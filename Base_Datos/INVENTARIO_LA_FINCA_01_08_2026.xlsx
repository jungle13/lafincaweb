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esktop\11_Dashboard_La_Finca\11_Dashboard_La_Finca\Base_Datos\"/>
    </mc:Choice>
  </mc:AlternateContent>
  <xr:revisionPtr revIDLastSave="0" documentId="13_ncr:1_{77686D0C-94F3-441F-A59B-124CBAB7F5D1}" xr6:coauthVersionLast="47" xr6:coauthVersionMax="47" xr10:uidLastSave="{00000000-0000-0000-0000-000000000000}"/>
  <bookViews>
    <workbookView minimized="1" xWindow="5140" yWindow="3150" windowWidth="14400" windowHeight="7270" activeTab="1" xr2:uid="{00000000-000D-0000-FFFF-FFFF00000000}"/>
  </bookViews>
  <sheets>
    <sheet name="6. Conteo Bodega" sheetId="1" r:id="rId1"/>
    <sheet name="2. Catálogo" sheetId="5" r:id="rId2"/>
    <sheet name="3. Compras" sheetId="2" r:id="rId3"/>
    <sheet name="5. Ventas" sheetId="3" r:id="rId4"/>
    <sheet name="7. Recetas" sheetId="4" r:id="rId5"/>
  </sheets>
  <definedNames>
    <definedName name="_xlnm._FilterDatabase" localSheetId="0" hidden="1">'6. Conteo Bodega'!$A$1:$R$31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<sst xmlns="http://schemas.openxmlformats.org/spreadsheetml/2006/main" count="700" uniqueCount="288">
  <si>
    <t>Fecha</t>
  </si>
  <si>
    <t>Tipo</t>
  </si>
  <si>
    <t>Insumo</t>
  </si>
  <si>
    <t>EsCorte</t>
  </si>
  <si>
    <t>STOCK INICIAL (Porciones)</t>
  </si>
  <si>
    <t>PESO DE LAS PORCIONES (Kg)</t>
  </si>
  <si>
    <t>Stock Inicial Sin Porcionar (Kg)</t>
  </si>
  <si>
    <t>Ingreso Factura Dia (Kg)</t>
  </si>
  <si>
    <t>Cant. Insumo en Bodega (Kg)</t>
  </si>
  <si>
    <t>Porciones Devueltas a Bodega</t>
  </si>
  <si>
    <t>Peso Porciones Devueltas (Kgs)</t>
  </si>
  <si>
    <t>Cant. Porcion. Entreg. a Cocina (Unds)</t>
  </si>
  <si>
    <t>Peso de Unidades Porcionadas (Kgs)</t>
  </si>
  <si>
    <t>Total Porciones Bodega (Unds)</t>
  </si>
  <si>
    <t>Peso Porciones Bodega Kgs</t>
  </si>
  <si>
    <t>Peso Insumo Sin Porcionar Bodega Kg</t>
  </si>
  <si>
    <t>Peso Total Insumo Bodega Kg</t>
  </si>
  <si>
    <t>CONSUMO/PERDIDA/MERMA</t>
  </si>
  <si>
    <t>CARNE DE RES</t>
  </si>
  <si>
    <t>Lomo viche</t>
  </si>
  <si>
    <t>Churrasco</t>
  </si>
  <si>
    <t>Punta de anca</t>
  </si>
  <si>
    <t>CARNE DE CERDO</t>
  </si>
  <si>
    <t>Lomo de cerdo</t>
  </si>
  <si>
    <t>CARNE POLLO</t>
  </si>
  <si>
    <t>Filete de pollox 320 gr</t>
  </si>
  <si>
    <t>Filete de pollo x 350</t>
  </si>
  <si>
    <t>Costilla ahumada</t>
  </si>
  <si>
    <t>Costilla san luis</t>
  </si>
  <si>
    <t>Panceta de cerdo</t>
  </si>
  <si>
    <t>Carne molida</t>
  </si>
  <si>
    <t>EMBUTIDO</t>
  </si>
  <si>
    <t>Chorizo paisa</t>
  </si>
  <si>
    <t>MIXTO</t>
  </si>
  <si>
    <t>Tamal</t>
  </si>
  <si>
    <t>Lengua de res</t>
  </si>
  <si>
    <t>Sobrebarriga delgada</t>
  </si>
  <si>
    <t>Gallina</t>
  </si>
  <si>
    <t>Alas de pollo</t>
  </si>
  <si>
    <t>PESCADOS Y MARISCOS</t>
  </si>
  <si>
    <t>Marisco</t>
  </si>
  <si>
    <t>Camaron precocido</t>
  </si>
  <si>
    <t>Salmon</t>
  </si>
  <si>
    <t>Tilapia 350/450</t>
  </si>
  <si>
    <t>Trucha</t>
  </si>
  <si>
    <t>Bola negra</t>
  </si>
  <si>
    <t>Proveedor</t>
  </si>
  <si>
    <t>Insumo Comprado</t>
  </si>
  <si>
    <t>Cantidad (Kg)</t>
  </si>
  <si>
    <t>Costo Total (Factura)</t>
  </si>
  <si>
    <t>Costo Unitario (Calculado)</t>
  </si>
  <si>
    <t>Id Plato</t>
  </si>
  <si>
    <t>Id Concatenado</t>
  </si>
  <si>
    <t>Cant. Platos Vendidos</t>
  </si>
  <si>
    <t xml:space="preserve">Ingreso </t>
  </si>
  <si>
    <t>Costo de Insumo</t>
  </si>
  <si>
    <t>PLT-039</t>
  </si>
  <si>
    <t>PLT-029</t>
  </si>
  <si>
    <t>PLT-041</t>
  </si>
  <si>
    <t>PLT-006</t>
  </si>
  <si>
    <t>PLT-001</t>
  </si>
  <si>
    <t>PLT-034</t>
  </si>
  <si>
    <t>PLT-008</t>
  </si>
  <si>
    <t>PLT-024</t>
  </si>
  <si>
    <t>PLT-027</t>
  </si>
  <si>
    <t>PLT-016</t>
  </si>
  <si>
    <t>PLT-013</t>
  </si>
  <si>
    <t>PLT-021</t>
  </si>
  <si>
    <t>PLT-012</t>
  </si>
  <si>
    <t>PLT-018</t>
  </si>
  <si>
    <t>PLT-033</t>
  </si>
  <si>
    <t>PLT-032</t>
  </si>
  <si>
    <t>PLT-004</t>
  </si>
  <si>
    <t>PLT-014</t>
  </si>
  <si>
    <t>PLT-026</t>
  </si>
  <si>
    <t>PLT-038</t>
  </si>
  <si>
    <t>PLT-020</t>
  </si>
  <si>
    <t>PLT-010</t>
  </si>
  <si>
    <t>PLT-017</t>
  </si>
  <si>
    <t>PLT-011</t>
  </si>
  <si>
    <t>PLT-015</t>
  </si>
  <si>
    <t>PLT-009</t>
  </si>
  <si>
    <t>PLT-002</t>
  </si>
  <si>
    <t>PLT-031</t>
  </si>
  <si>
    <t>PLT-040</t>
  </si>
  <si>
    <t>PLT-005</t>
  </si>
  <si>
    <t>PLT-025</t>
  </si>
  <si>
    <t>PLT-019</t>
  </si>
  <si>
    <t>PLT-007</t>
  </si>
  <si>
    <t>PLT-022</t>
  </si>
  <si>
    <t>PLT-023</t>
  </si>
  <si>
    <t>PLT-003</t>
  </si>
  <si>
    <t>PLT-028</t>
  </si>
  <si>
    <t>PLT-036</t>
  </si>
  <si>
    <t>PLT-037</t>
  </si>
  <si>
    <t>PLT-030</t>
  </si>
  <si>
    <t>PLT-042</t>
  </si>
  <si>
    <t>PLT-035</t>
  </si>
  <si>
    <t>ID Plato</t>
  </si>
  <si>
    <t>Plato a la Carta</t>
  </si>
  <si>
    <t>ID Insumo</t>
  </si>
  <si>
    <t>Insumo (Materia Prima)</t>
  </si>
  <si>
    <t>Tipo de Carne</t>
  </si>
  <si>
    <t>Porciones por Plato</t>
  </si>
  <si>
    <t>Cantidad por Porción (Kg)</t>
  </si>
  <si>
    <t>Costo del Insumo por Kg</t>
  </si>
  <si>
    <t>Precio de Venta del Plato</t>
  </si>
  <si>
    <t>Baby Beef (400 gr. aprox.)</t>
  </si>
  <si>
    <t>INS-030</t>
  </si>
  <si>
    <t>Churrasco (400 gr. aprox.)</t>
  </si>
  <si>
    <t>INS-026</t>
  </si>
  <si>
    <t>Punta de Anca (400 gr. aprox.)</t>
  </si>
  <si>
    <t>INS-033</t>
  </si>
  <si>
    <t>Chuleta de Cerdo (330 gr. aprox.)</t>
  </si>
  <si>
    <t>INS-010</t>
  </si>
  <si>
    <t>Chuleta de Pollo (330 gr. aprox.)</t>
  </si>
  <si>
    <t>INS-041</t>
  </si>
  <si>
    <t>Lomo de Cerdo (330 gr. aprox.)</t>
  </si>
  <si>
    <t>Filete de Pechuga</t>
  </si>
  <si>
    <t>INS-039</t>
  </si>
  <si>
    <t>Costilla de Cerdo Ahumada</t>
  </si>
  <si>
    <t>INS-003</t>
  </si>
  <si>
    <t>Costilla San Luis a la BBQ</t>
  </si>
  <si>
    <t>INS-006</t>
  </si>
  <si>
    <t>Chicharron 350 gr. Aprox.</t>
  </si>
  <si>
    <t>INS-011</t>
  </si>
  <si>
    <t>Super Megachicharron (700 gr.)</t>
  </si>
  <si>
    <t>Bandeja Paisa Especial</t>
  </si>
  <si>
    <t>INS-023</t>
  </si>
  <si>
    <t>INS-049</t>
  </si>
  <si>
    <t>Tamal Valluno</t>
  </si>
  <si>
    <t>INS-059</t>
  </si>
  <si>
    <t>Lengua Criolla</t>
  </si>
  <si>
    <t>INS-029</t>
  </si>
  <si>
    <t>Lengua Asada</t>
  </si>
  <si>
    <t>Sobrebarriga Criolla</t>
  </si>
  <si>
    <t>INS-035</t>
  </si>
  <si>
    <t>Sobrebarriga Asada</t>
  </si>
  <si>
    <t>Cazuela de Frijol</t>
  </si>
  <si>
    <t>Sancocho de Gallina</t>
  </si>
  <si>
    <t>INS-042</t>
  </si>
  <si>
    <t>Sancocho de Gallina + Ala</t>
  </si>
  <si>
    <t>INS-037</t>
  </si>
  <si>
    <t>Cazuela de Mariscos</t>
  </si>
  <si>
    <t>INS-063</t>
  </si>
  <si>
    <t>Cazuela de Camarón</t>
  </si>
  <si>
    <t>INS-061</t>
  </si>
  <si>
    <t>Salmón en Salsa de Camarón</t>
  </si>
  <si>
    <t>INS-065</t>
  </si>
  <si>
    <t>Salmón a la Plancha o Salsa</t>
  </si>
  <si>
    <t>Tilapia en salsa de Camarón</t>
  </si>
  <si>
    <t>INS-066</t>
  </si>
  <si>
    <t>Tilapia Frita o Sudada (450 gr.)</t>
  </si>
  <si>
    <t>Trucha en salsa de Camarón</t>
  </si>
  <si>
    <t>INS-068</t>
  </si>
  <si>
    <t>Trucha a la plancha (400 gr.)</t>
  </si>
  <si>
    <t>Arroz con Camarones</t>
  </si>
  <si>
    <t>Arroz Marinero</t>
  </si>
  <si>
    <t>Chuleta de Cerdo 2 Por.</t>
  </si>
  <si>
    <t>Chuleta de Pollo 2 Por.</t>
  </si>
  <si>
    <t>Lomo de Cerdo 2 Por.</t>
  </si>
  <si>
    <t>Filete de Pollo 2 Por.</t>
  </si>
  <si>
    <t>Costilla Ahumada 2 Por.</t>
  </si>
  <si>
    <t>Cazuela de Frijol 2 Por.</t>
  </si>
  <si>
    <t>Tilapia Frita o Sudada 2 Por.</t>
  </si>
  <si>
    <t>Churrasco 2 Por.</t>
  </si>
  <si>
    <t>Punta de Anca 2 Por.</t>
  </si>
  <si>
    <t>Calentado Chorizo</t>
  </si>
  <si>
    <t>Calentado Carne</t>
  </si>
  <si>
    <t>INS-019</t>
  </si>
  <si>
    <t>Calentado Chicharrón</t>
  </si>
  <si>
    <t>ID</t>
  </si>
  <si>
    <t>Unidad de Compra</t>
  </si>
  <si>
    <t>Rendimiento Teórico (Porciones x Kg)</t>
  </si>
  <si>
    <t>Stock Mínimo (Kg)</t>
  </si>
  <si>
    <t>Costo Promedio por Kg.</t>
  </si>
  <si>
    <t>INS-001</t>
  </si>
  <si>
    <t>Bondiola importada</t>
  </si>
  <si>
    <t>Kg</t>
  </si>
  <si>
    <t>INS-002</t>
  </si>
  <si>
    <t>Cabeza de lomo</t>
  </si>
  <si>
    <t>INS-004</t>
  </si>
  <si>
    <t>Costilla corte americano</t>
  </si>
  <si>
    <t>INS-005</t>
  </si>
  <si>
    <t>Costilla de cerdo especial</t>
  </si>
  <si>
    <t>INS-007</t>
  </si>
  <si>
    <t>Costilla san luis jr</t>
  </si>
  <si>
    <t>INS-008</t>
  </si>
  <si>
    <t>Empella</t>
  </si>
  <si>
    <t>INS-009</t>
  </si>
  <si>
    <t>Espinazo de cerdo</t>
  </si>
  <si>
    <t>INS-012</t>
  </si>
  <si>
    <t xml:space="preserve">Pernil de cerdo </t>
  </si>
  <si>
    <t>INS-013</t>
  </si>
  <si>
    <t>Pezuña</t>
  </si>
  <si>
    <t>INS-014</t>
  </si>
  <si>
    <t>Tocineta barril</t>
  </si>
  <si>
    <t>INS-015</t>
  </si>
  <si>
    <t>Tocineta premium</t>
  </si>
  <si>
    <t>INS-016</t>
  </si>
  <si>
    <t>Costilla Especial</t>
  </si>
  <si>
    <t>INS-017</t>
  </si>
  <si>
    <t>Espinazo</t>
  </si>
  <si>
    <t>INS-018</t>
  </si>
  <si>
    <t>Barcino de res</t>
  </si>
  <si>
    <t>INS-020</t>
  </si>
  <si>
    <t>Caderita</t>
  </si>
  <si>
    <t>INS-021</t>
  </si>
  <si>
    <t>Callo</t>
  </si>
  <si>
    <t>INS-022</t>
  </si>
  <si>
    <t>Callo distribuidora myc sas</t>
  </si>
  <si>
    <t>INS-024</t>
  </si>
  <si>
    <t>Pecho</t>
  </si>
  <si>
    <t>INS-025</t>
  </si>
  <si>
    <t xml:space="preserve">Muchacho res </t>
  </si>
  <si>
    <t>INS-027</t>
  </si>
  <si>
    <t>Costilla de res</t>
  </si>
  <si>
    <t>INS-028</t>
  </si>
  <si>
    <t xml:space="preserve">Higado </t>
  </si>
  <si>
    <t>INS-031</t>
  </si>
  <si>
    <t>Morrillo</t>
  </si>
  <si>
    <t>INS-032</t>
  </si>
  <si>
    <t>Pata de res</t>
  </si>
  <si>
    <t>INS-034</t>
  </si>
  <si>
    <t>Sobaco</t>
  </si>
  <si>
    <t>INS-036</t>
  </si>
  <si>
    <t>Visceras</t>
  </si>
  <si>
    <t>INS-038</t>
  </si>
  <si>
    <t>Filete de pollo x 120</t>
  </si>
  <si>
    <t>INS-040</t>
  </si>
  <si>
    <t>Filete de pollo x 400</t>
  </si>
  <si>
    <t>INS-043</t>
  </si>
  <si>
    <t>Pernil de pollo</t>
  </si>
  <si>
    <t>INS-044</t>
  </si>
  <si>
    <t>Trozos e pechuga</t>
  </si>
  <si>
    <t>INS-045</t>
  </si>
  <si>
    <t>Gallina gigante</t>
  </si>
  <si>
    <t>INS-046</t>
  </si>
  <si>
    <t>Pechuga mcpollo</t>
  </si>
  <si>
    <t>INS-047</t>
  </si>
  <si>
    <t>Morcilla</t>
  </si>
  <si>
    <t>INS-048</t>
  </si>
  <si>
    <t>Chorizo Premium</t>
  </si>
  <si>
    <t>INS-050</t>
  </si>
  <si>
    <t>Mortadela</t>
  </si>
  <si>
    <t>INS-051</t>
  </si>
  <si>
    <t>INS-052</t>
  </si>
  <si>
    <t xml:space="preserve">Chorizo mediano </t>
  </si>
  <si>
    <t>INS-053</t>
  </si>
  <si>
    <t xml:space="preserve">Chorizo grande </t>
  </si>
  <si>
    <t>INS-054</t>
  </si>
  <si>
    <t>Rellena</t>
  </si>
  <si>
    <t>INS-055</t>
  </si>
  <si>
    <t>Salchicha</t>
  </si>
  <si>
    <t>INS-056</t>
  </si>
  <si>
    <t>Salchicha ranchera</t>
  </si>
  <si>
    <t>INS-057</t>
  </si>
  <si>
    <t>Chorizo de pollo</t>
  </si>
  <si>
    <t>INS-058</t>
  </si>
  <si>
    <t>Chorizo coctelero x 40</t>
  </si>
  <si>
    <t>INS-060</t>
  </si>
  <si>
    <t>Bagre de mar</t>
  </si>
  <si>
    <t>INS-062</t>
  </si>
  <si>
    <t>Lomo de caracho</t>
  </si>
  <si>
    <t>INS-064</t>
  </si>
  <si>
    <t xml:space="preserve">Pescado bagre </t>
  </si>
  <si>
    <t>INS-067</t>
  </si>
  <si>
    <t>Tilapia x 300</t>
  </si>
  <si>
    <t>INS-069</t>
  </si>
  <si>
    <t>Tilapia y truchas</t>
  </si>
  <si>
    <t>INS-070</t>
  </si>
  <si>
    <t>Atunes</t>
  </si>
  <si>
    <t>INS-071</t>
  </si>
  <si>
    <t>Filete Basa</t>
  </si>
  <si>
    <t>INS-072</t>
  </si>
  <si>
    <t>PROVISIONES</t>
  </si>
  <si>
    <t>Huevos</t>
  </si>
  <si>
    <t>INS-073</t>
  </si>
  <si>
    <t>Francesa</t>
  </si>
  <si>
    <t>INS-074</t>
  </si>
  <si>
    <t>Empanada</t>
  </si>
  <si>
    <t>INS-075</t>
  </si>
  <si>
    <t>Carne Hamburguesa</t>
  </si>
  <si>
    <t>INS-076</t>
  </si>
  <si>
    <t>Chicharron</t>
  </si>
  <si>
    <t>OTROS</t>
  </si>
  <si>
    <t>Mx Verdura</t>
  </si>
  <si>
    <t>Corte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</si>
</sst>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Moneda" xfId="1" builtinId="4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DDDDDD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350D7-DB1D-4962-8C8A-AAE48BDBDD8A}" name="ConteoBodega" displayName="ConteoBodega" ref="A1:G77" totalsRowShown="0" headerRowDxfId="0" dataDxfId="9" headerRowBorderDxfId="10" tableBorderDxfId="8">
  <autoFilter ref="A1:G77" xr:uid="{2E5350D7-DB1D-4962-8C8A-AAE48BDBDD8A}"/>
  <tableColumns count="7">
    <tableColumn id="1" xr3:uid="{FCC954A7-28AA-434F-90A2-F7DA0FCBE777}" name="ID" dataDxfId="7"/>
    <tableColumn id="2" xr3:uid="{40EFBC4E-C21B-4CA7-A06E-DE5E6A9A9EF7}" name="Tipo" dataDxfId="6"/>
    <tableColumn id="3" xr3:uid="{21E5E59F-393F-4C6C-AAF2-1548B84E7D2C}" name="Insumo (Materia Prima)" dataDxfId="5"/>
    <tableColumn id="4" xr3:uid="{A96FEB6E-7AA0-4505-A666-8870F2B2793C}" name="Unidad de Compra" dataDxfId="4"/>
    <tableColumn id="5" xr3:uid="{B711D7B3-F650-4471-8A07-220E7251DBCC}" name="Rendimiento Teórico (Porciones x Kg)" dataDxfId="3"/>
    <tableColumn id="6" xr3:uid="{29701055-08D3-4900-9DEF-89A734737923}" name="Stock Mínimo (Kg)" dataDxfId="2"/>
    <tableColumn id="7" xr3:uid="{2A467101-D7B0-459E-9B7D-DECEC14EA3F2}" name="Costo Promedio por Kg.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356"/>
  <sheetViews>
    <sheetView workbookViewId="0">
      <selection activeCell="C5" sqref="C5"/>
    </sheetView>
  </sheetViews>
  <sheetFormatPr baseColWidth="10" defaultColWidth="9.1796875" defaultRowHeight="14.5" x14ac:dyDescent="0.35"/>
  <cols>
    <col min="1" max="1" width="17.7265625" bestFit="1" customWidth="1"/>
    <col min="2" max="2" width="20.36328125" bestFit="1" customWidth="1"/>
    <col min="3" max="3" width="19" bestFit="1" customWidth="1"/>
    <col min="4" max="4" width="11.08984375" bestFit="1" customWidth="1"/>
    <col min="5" max="5" width="22.6328125" bestFit="1" customWidth="1"/>
    <col min="6" max="6" width="25.08984375" bestFit="1" customWidth="1"/>
    <col min="7" max="7" width="25.6328125" bestFit="1" customWidth="1"/>
    <col min="8" max="8" width="20.54296875" bestFit="1" customWidth="1"/>
    <col min="9" max="9" width="24.90625" bestFit="1" customWidth="1"/>
    <col min="10" max="10" width="25.81640625" bestFit="1" customWidth="1"/>
    <col min="11" max="11" width="26.6328125" bestFit="1" customWidth="1"/>
    <col min="12" max="12" width="32.6328125" bestFit="1" customWidth="1"/>
    <col min="13" max="13" width="30.90625" bestFit="1" customWidth="1"/>
    <col min="14" max="14" width="26.453125" bestFit="1" customWidth="1"/>
    <col min="15" max="15" width="23.26953125" bestFit="1" customWidth="1"/>
    <col min="16" max="16" width="32.1796875" bestFit="1" customWidth="1"/>
    <col min="17" max="17" width="25.26953125" bestFit="1" customWidth="1"/>
    <col min="18" max="18" width="25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s="6">
        <v>46235</v>
      </c>
      <c r="B2" s="7" t="s">
        <v>22</v>
      </c>
      <c r="C2" s="7" t="s">
        <v>27</v>
      </c>
      <c r="D2" s="7" t="s">
        <v>287</v>
      </c>
      <c r="E2" s="8">
        <v>0</v>
      </c>
      <c r="F2" s="8">
        <v>0</v>
      </c>
      <c r="G2" s="8">
        <v>8</v>
      </c>
      <c r="H2" s="8">
        <v>0</v>
      </c>
      <c r="I2" s="8">
        <v>8</v>
      </c>
      <c r="J2" s="8">
        <v>0</v>
      </c>
      <c r="K2" s="8">
        <v>0</v>
      </c>
      <c r="L2" s="8">
        <v>0</v>
      </c>
      <c r="M2" s="8">
        <v>4</v>
      </c>
      <c r="N2" s="8">
        <v>0</v>
      </c>
      <c r="O2" s="8">
        <v>0</v>
      </c>
      <c r="P2" s="8">
        <v>4</v>
      </c>
      <c r="Q2" s="8">
        <v>4</v>
      </c>
    </row>
    <row r="3" spans="1:18" x14ac:dyDescent="0.35">
      <c r="A3" s="6">
        <v>46235</v>
      </c>
      <c r="B3" s="7" t="s">
        <v>22</v>
      </c>
      <c r="C3" s="7" t="s">
        <v>28</v>
      </c>
      <c r="D3" s="7" t="s">
        <v>287</v>
      </c>
      <c r="E3" s="8">
        <v>0</v>
      </c>
      <c r="F3" s="8">
        <v>0</v>
      </c>
      <c r="G3" s="8">
        <v>3.2</v>
      </c>
      <c r="H3" s="8">
        <v>38.5</v>
      </c>
      <c r="I3" s="8">
        <v>41.7</v>
      </c>
      <c r="J3" s="8">
        <v>0</v>
      </c>
      <c r="K3" s="8">
        <v>0</v>
      </c>
      <c r="L3" s="8">
        <v>0</v>
      </c>
      <c r="M3" s="8">
        <v>38.5</v>
      </c>
      <c r="N3" s="8">
        <v>0</v>
      </c>
      <c r="O3" s="8">
        <v>0</v>
      </c>
      <c r="P3" s="8">
        <v>3.2</v>
      </c>
      <c r="Q3" s="8">
        <v>3.2</v>
      </c>
    </row>
    <row r="4" spans="1:18" x14ac:dyDescent="0.35">
      <c r="A4" s="6">
        <v>46235</v>
      </c>
      <c r="B4" s="7" t="s">
        <v>22</v>
      </c>
      <c r="C4" s="7" t="s">
        <v>23</v>
      </c>
      <c r="D4" s="7" t="s">
        <v>287</v>
      </c>
      <c r="E4" s="8">
        <v>47</v>
      </c>
      <c r="F4" s="8">
        <v>17.899999999999999</v>
      </c>
      <c r="G4" s="8">
        <v>0</v>
      </c>
      <c r="H4" s="8">
        <v>12.7</v>
      </c>
      <c r="I4" s="8">
        <v>30.6</v>
      </c>
      <c r="J4" s="8">
        <v>34</v>
      </c>
      <c r="K4" s="8">
        <v>12.95</v>
      </c>
      <c r="L4" s="8">
        <v>33</v>
      </c>
      <c r="M4" s="8">
        <v>12.57</v>
      </c>
      <c r="N4" s="8">
        <v>48</v>
      </c>
      <c r="O4" s="8">
        <v>18.3</v>
      </c>
      <c r="P4" s="8">
        <v>12.7</v>
      </c>
      <c r="Q4" s="8">
        <v>31</v>
      </c>
    </row>
    <row r="5" spans="1:18" x14ac:dyDescent="0.35">
      <c r="A5" s="6">
        <v>46235</v>
      </c>
      <c r="B5" s="7" t="s">
        <v>22</v>
      </c>
      <c r="C5" s="7" t="s">
        <v>29</v>
      </c>
      <c r="D5" s="7" t="s">
        <v>287</v>
      </c>
      <c r="E5" s="8">
        <v>114</v>
      </c>
      <c r="F5" s="8">
        <v>47.9</v>
      </c>
      <c r="G5" s="8">
        <v>32</v>
      </c>
      <c r="H5" s="8">
        <v>126.1</v>
      </c>
      <c r="I5" s="8">
        <v>206</v>
      </c>
      <c r="J5" s="8">
        <v>0</v>
      </c>
      <c r="K5" s="8">
        <v>0</v>
      </c>
      <c r="L5" s="8">
        <v>27</v>
      </c>
      <c r="M5" s="8">
        <v>13.6</v>
      </c>
      <c r="N5" s="8">
        <v>87</v>
      </c>
      <c r="O5" s="8">
        <v>43.8</v>
      </c>
      <c r="P5" s="8">
        <v>148.6</v>
      </c>
      <c r="Q5" s="8">
        <v>192.4</v>
      </c>
    </row>
    <row r="6" spans="1:18" hidden="1" x14ac:dyDescent="0.35">
      <c r="A6" s="6">
        <v>46235</v>
      </c>
      <c r="B6" s="7" t="s">
        <v>22</v>
      </c>
      <c r="C6" s="7" t="s">
        <v>198</v>
      </c>
      <c r="D6" s="7" t="s">
        <v>287</v>
      </c>
      <c r="E6" s="8">
        <v>6</v>
      </c>
      <c r="F6" s="8">
        <v>4.5999999999999996</v>
      </c>
      <c r="G6" s="8">
        <v>0</v>
      </c>
      <c r="H6" s="8">
        <v>0</v>
      </c>
      <c r="I6" s="8">
        <v>4.5999999999999996</v>
      </c>
      <c r="J6" s="8">
        <v>0</v>
      </c>
      <c r="K6" s="8">
        <v>0</v>
      </c>
      <c r="L6" s="8">
        <v>0</v>
      </c>
      <c r="M6" s="8">
        <v>0</v>
      </c>
      <c r="N6" s="8">
        <v>6</v>
      </c>
      <c r="O6" s="8">
        <v>4.5999999999999996</v>
      </c>
      <c r="P6" s="8">
        <v>0</v>
      </c>
      <c r="Q6" s="8">
        <v>4.5999999999999996</v>
      </c>
    </row>
    <row r="7" spans="1:18" hidden="1" x14ac:dyDescent="0.35">
      <c r="A7" s="6">
        <v>46235</v>
      </c>
      <c r="B7" s="7" t="s">
        <v>18</v>
      </c>
      <c r="C7" s="7" t="s">
        <v>282</v>
      </c>
      <c r="D7" s="7" t="s">
        <v>287</v>
      </c>
      <c r="E7" s="8">
        <v>0</v>
      </c>
      <c r="F7" s="8">
        <v>0</v>
      </c>
      <c r="G7" s="8">
        <v>20</v>
      </c>
      <c r="H7" s="8">
        <v>0</v>
      </c>
      <c r="I7" s="8">
        <v>20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20</v>
      </c>
      <c r="Q7" s="8">
        <v>20</v>
      </c>
    </row>
    <row r="8" spans="1:18" hidden="1" x14ac:dyDescent="0.35">
      <c r="A8" s="6">
        <v>46235</v>
      </c>
      <c r="B8" s="7" t="s">
        <v>18</v>
      </c>
      <c r="C8" s="7" t="s">
        <v>30</v>
      </c>
      <c r="D8" s="7" t="s">
        <v>287</v>
      </c>
      <c r="E8" s="8">
        <v>0</v>
      </c>
      <c r="F8" s="8">
        <v>0</v>
      </c>
      <c r="G8" s="8">
        <v>5.5</v>
      </c>
      <c r="H8" s="8">
        <v>0</v>
      </c>
      <c r="I8" s="8">
        <v>5.5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5.5</v>
      </c>
      <c r="Q8" s="8">
        <v>5.5</v>
      </c>
    </row>
    <row r="9" spans="1:18" hidden="1" x14ac:dyDescent="0.35">
      <c r="A9" s="6">
        <v>46235</v>
      </c>
      <c r="B9" s="7" t="s">
        <v>18</v>
      </c>
      <c r="C9" s="7" t="s">
        <v>20</v>
      </c>
      <c r="D9" s="7" t="s">
        <v>287</v>
      </c>
      <c r="E9" s="8">
        <v>20</v>
      </c>
      <c r="F9" s="8">
        <v>2.1</v>
      </c>
      <c r="G9" s="8">
        <v>0</v>
      </c>
      <c r="H9" s="8">
        <v>0</v>
      </c>
      <c r="I9" s="8">
        <v>2.1</v>
      </c>
      <c r="J9" s="8">
        <v>0</v>
      </c>
      <c r="K9" s="8">
        <v>0</v>
      </c>
      <c r="L9" s="8">
        <v>0</v>
      </c>
      <c r="M9" s="8">
        <v>0</v>
      </c>
      <c r="N9" s="8">
        <v>20</v>
      </c>
      <c r="O9" s="8">
        <v>2.1</v>
      </c>
      <c r="P9" s="8">
        <v>0</v>
      </c>
      <c r="Q9" s="8">
        <v>2.1</v>
      </c>
    </row>
    <row r="10" spans="1:18" hidden="1" x14ac:dyDescent="0.35">
      <c r="A10" s="6">
        <v>46235</v>
      </c>
      <c r="B10" s="7" t="s">
        <v>18</v>
      </c>
      <c r="C10" s="7" t="s">
        <v>35</v>
      </c>
      <c r="D10" s="7" t="s">
        <v>287</v>
      </c>
      <c r="E10" s="8">
        <v>17</v>
      </c>
      <c r="F10" s="8">
        <v>3.9</v>
      </c>
      <c r="G10" s="8">
        <v>0</v>
      </c>
      <c r="H10" s="8">
        <v>0</v>
      </c>
      <c r="I10" s="8">
        <v>3.9</v>
      </c>
      <c r="J10" s="8">
        <v>0</v>
      </c>
      <c r="K10" s="8">
        <v>0</v>
      </c>
      <c r="L10" s="8">
        <v>15</v>
      </c>
      <c r="M10" s="8">
        <v>3.44</v>
      </c>
      <c r="N10" s="8">
        <v>2</v>
      </c>
      <c r="O10" s="8">
        <v>0.5</v>
      </c>
      <c r="P10" s="8">
        <v>0</v>
      </c>
      <c r="Q10" s="8">
        <v>0.5</v>
      </c>
    </row>
    <row r="11" spans="1:18" x14ac:dyDescent="0.35">
      <c r="A11" s="6">
        <v>46235</v>
      </c>
      <c r="B11" s="7" t="s">
        <v>18</v>
      </c>
      <c r="C11" s="7" t="s">
        <v>19</v>
      </c>
      <c r="D11" s="7" t="s">
        <v>287</v>
      </c>
      <c r="E11" s="8">
        <v>3</v>
      </c>
      <c r="F11" s="8">
        <v>1.2</v>
      </c>
      <c r="G11" s="8">
        <v>0</v>
      </c>
      <c r="H11" s="8">
        <v>8.4</v>
      </c>
      <c r="I11" s="8">
        <v>9.6</v>
      </c>
      <c r="J11" s="8">
        <v>0</v>
      </c>
      <c r="K11" s="8">
        <v>0</v>
      </c>
      <c r="L11" s="8">
        <v>5</v>
      </c>
      <c r="M11" s="8">
        <v>2</v>
      </c>
      <c r="N11" s="8">
        <v>0</v>
      </c>
      <c r="O11" s="8">
        <v>0</v>
      </c>
      <c r="P11" s="8">
        <v>7.6</v>
      </c>
      <c r="Q11" s="8">
        <v>7.6</v>
      </c>
    </row>
    <row r="12" spans="1:18" x14ac:dyDescent="0.35">
      <c r="A12" s="6">
        <v>46235</v>
      </c>
      <c r="B12" s="7" t="s">
        <v>18</v>
      </c>
      <c r="C12" s="7" t="s">
        <v>21</v>
      </c>
      <c r="D12" s="7" t="s">
        <v>287</v>
      </c>
      <c r="E12" s="8">
        <v>36</v>
      </c>
      <c r="F12" s="8">
        <v>16.2</v>
      </c>
      <c r="G12" s="8">
        <v>0</v>
      </c>
      <c r="H12" s="8">
        <v>20.5</v>
      </c>
      <c r="I12" s="8">
        <v>36.700000000000003</v>
      </c>
      <c r="J12" s="8">
        <v>46</v>
      </c>
      <c r="K12" s="8">
        <v>20.7</v>
      </c>
      <c r="L12" s="8">
        <v>15</v>
      </c>
      <c r="M12" s="8">
        <v>6.75</v>
      </c>
      <c r="N12" s="8">
        <v>67</v>
      </c>
      <c r="O12" s="8">
        <v>30.2</v>
      </c>
      <c r="P12" s="8">
        <v>20.5</v>
      </c>
      <c r="Q12" s="8">
        <v>50.7</v>
      </c>
    </row>
    <row r="13" spans="1:18" x14ac:dyDescent="0.35">
      <c r="A13" s="6">
        <v>46235</v>
      </c>
      <c r="B13" s="7" t="s">
        <v>18</v>
      </c>
      <c r="C13" s="7" t="s">
        <v>224</v>
      </c>
      <c r="D13" s="7" t="s">
        <v>287</v>
      </c>
      <c r="E13" s="8">
        <v>0</v>
      </c>
      <c r="F13" s="8">
        <v>0</v>
      </c>
      <c r="G13" s="8">
        <v>12.8</v>
      </c>
      <c r="H13" s="8">
        <v>23.7</v>
      </c>
      <c r="I13" s="8">
        <v>36.5</v>
      </c>
      <c r="J13" s="8">
        <v>0</v>
      </c>
      <c r="K13" s="8">
        <v>0</v>
      </c>
      <c r="L13" s="8">
        <v>0</v>
      </c>
      <c r="M13" s="8">
        <v>5.9</v>
      </c>
      <c r="N13" s="8">
        <v>0</v>
      </c>
      <c r="O13" s="8">
        <v>0</v>
      </c>
      <c r="P13" s="8">
        <v>30.6</v>
      </c>
      <c r="Q13" s="8">
        <v>30.6</v>
      </c>
    </row>
    <row r="14" spans="1:18" x14ac:dyDescent="0.35">
      <c r="A14" s="6">
        <v>46235</v>
      </c>
      <c r="B14" s="7" t="s">
        <v>18</v>
      </c>
      <c r="C14" s="7" t="s">
        <v>36</v>
      </c>
      <c r="D14" s="7" t="s">
        <v>287</v>
      </c>
      <c r="E14" s="8">
        <v>23</v>
      </c>
      <c r="F14" s="8">
        <v>6.9</v>
      </c>
      <c r="G14" s="8">
        <v>0</v>
      </c>
      <c r="H14" s="8">
        <v>20</v>
      </c>
      <c r="I14" s="8">
        <v>26.9</v>
      </c>
      <c r="J14" s="8">
        <v>0</v>
      </c>
      <c r="K14" s="8">
        <v>0</v>
      </c>
      <c r="L14" s="8">
        <v>13</v>
      </c>
      <c r="M14" s="8">
        <v>13.5</v>
      </c>
      <c r="N14" s="8">
        <v>10</v>
      </c>
      <c r="O14" s="8">
        <v>3</v>
      </c>
      <c r="P14" s="8">
        <v>10.4</v>
      </c>
      <c r="Q14" s="8">
        <v>13.4</v>
      </c>
    </row>
    <row r="15" spans="1:18" x14ac:dyDescent="0.35">
      <c r="A15" s="6">
        <v>46235</v>
      </c>
      <c r="B15" s="7" t="s">
        <v>24</v>
      </c>
      <c r="C15" s="7" t="s">
        <v>228</v>
      </c>
      <c r="D15" s="7" t="s">
        <v>287</v>
      </c>
      <c r="E15" s="8">
        <v>33</v>
      </c>
      <c r="F15" s="8">
        <v>12.1</v>
      </c>
      <c r="G15" s="8">
        <v>0</v>
      </c>
      <c r="H15" s="8">
        <v>21.4</v>
      </c>
      <c r="I15" s="8">
        <v>33.5</v>
      </c>
      <c r="J15" s="8">
        <v>60</v>
      </c>
      <c r="K15" s="8">
        <v>22</v>
      </c>
      <c r="L15" s="8">
        <v>21</v>
      </c>
      <c r="M15" s="8">
        <v>7.7</v>
      </c>
      <c r="N15" s="8">
        <v>72</v>
      </c>
      <c r="O15" s="8">
        <v>26.4</v>
      </c>
      <c r="P15" s="8">
        <v>21.4</v>
      </c>
      <c r="Q15" s="8">
        <v>47.8</v>
      </c>
    </row>
    <row r="16" spans="1:18" hidden="1" x14ac:dyDescent="0.35">
      <c r="A16" s="6">
        <v>46235</v>
      </c>
      <c r="B16" s="7" t="s">
        <v>24</v>
      </c>
      <c r="C16" s="7" t="s">
        <v>37</v>
      </c>
      <c r="D16" s="7" t="s">
        <v>287</v>
      </c>
      <c r="E16" s="8">
        <v>19</v>
      </c>
      <c r="F16" s="8">
        <v>5.5</v>
      </c>
      <c r="G16" s="8">
        <v>51.7</v>
      </c>
      <c r="H16" s="8">
        <v>0</v>
      </c>
      <c r="I16" s="8">
        <v>57.2</v>
      </c>
      <c r="J16" s="8">
        <v>0</v>
      </c>
      <c r="K16" s="8">
        <v>0</v>
      </c>
      <c r="L16" s="8">
        <v>19</v>
      </c>
      <c r="M16" s="8">
        <v>5.5</v>
      </c>
      <c r="N16" s="8">
        <v>0</v>
      </c>
      <c r="O16" s="8">
        <v>0</v>
      </c>
      <c r="P16" s="8">
        <v>51.7</v>
      </c>
      <c r="Q16" s="8">
        <v>51.7</v>
      </c>
    </row>
    <row r="17" spans="1:17" hidden="1" x14ac:dyDescent="0.35">
      <c r="A17" s="6">
        <v>46235</v>
      </c>
      <c r="B17" s="7" t="s">
        <v>24</v>
      </c>
      <c r="C17" s="7" t="s">
        <v>232</v>
      </c>
      <c r="D17" s="7" t="s">
        <v>287</v>
      </c>
      <c r="E17" s="8">
        <v>18</v>
      </c>
      <c r="F17" s="8">
        <v>5</v>
      </c>
      <c r="G17" s="8">
        <v>0</v>
      </c>
      <c r="H17" s="8">
        <v>0</v>
      </c>
      <c r="I17" s="8">
        <v>5</v>
      </c>
      <c r="J17" s="8">
        <v>0</v>
      </c>
      <c r="K17" s="8">
        <v>0</v>
      </c>
      <c r="L17" s="8">
        <v>0</v>
      </c>
      <c r="M17" s="8">
        <v>0</v>
      </c>
      <c r="N17" s="8">
        <v>18</v>
      </c>
      <c r="O17" s="8">
        <v>5</v>
      </c>
      <c r="P17" s="8">
        <v>0</v>
      </c>
      <c r="Q17" s="8">
        <v>5</v>
      </c>
    </row>
    <row r="18" spans="1:17" hidden="1" x14ac:dyDescent="0.35">
      <c r="A18" s="6">
        <v>46235</v>
      </c>
      <c r="B18" s="7" t="s">
        <v>24</v>
      </c>
      <c r="C18" s="7" t="s">
        <v>234</v>
      </c>
      <c r="D18" s="7" t="s">
        <v>287</v>
      </c>
      <c r="E18" s="8">
        <v>0</v>
      </c>
      <c r="F18" s="8">
        <v>0</v>
      </c>
      <c r="G18" s="8">
        <v>18.8</v>
      </c>
      <c r="H18" s="8">
        <v>0</v>
      </c>
      <c r="I18" s="8">
        <v>18.8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18.8</v>
      </c>
      <c r="Q18" s="8">
        <v>18.8</v>
      </c>
    </row>
    <row r="19" spans="1:17" hidden="1" x14ac:dyDescent="0.35">
      <c r="A19" s="6">
        <v>46235</v>
      </c>
      <c r="B19" s="7" t="s">
        <v>31</v>
      </c>
      <c r="C19" s="7" t="s">
        <v>249</v>
      </c>
      <c r="D19" s="7" t="s">
        <v>287</v>
      </c>
      <c r="E19" s="8">
        <v>24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24</v>
      </c>
      <c r="O19" s="8">
        <v>0</v>
      </c>
      <c r="P19" s="8">
        <v>0</v>
      </c>
      <c r="Q19" s="8">
        <v>0</v>
      </c>
    </row>
    <row r="20" spans="1:17" hidden="1" x14ac:dyDescent="0.35">
      <c r="A20" s="6">
        <v>46235</v>
      </c>
      <c r="B20" s="7" t="s">
        <v>31</v>
      </c>
      <c r="C20" s="7" t="s">
        <v>32</v>
      </c>
      <c r="D20" s="7" t="s">
        <v>287</v>
      </c>
      <c r="E20" s="8">
        <v>240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40</v>
      </c>
      <c r="M20" s="8">
        <v>0</v>
      </c>
      <c r="N20" s="8">
        <v>200</v>
      </c>
      <c r="O20" s="8">
        <v>0</v>
      </c>
      <c r="P20" s="8">
        <v>0</v>
      </c>
      <c r="Q20" s="8">
        <v>0</v>
      </c>
    </row>
    <row r="21" spans="1:17" x14ac:dyDescent="0.35">
      <c r="A21" s="6">
        <v>46235</v>
      </c>
      <c r="B21" s="7" t="s">
        <v>31</v>
      </c>
      <c r="C21" s="7" t="s">
        <v>251</v>
      </c>
      <c r="D21" s="7" t="s">
        <v>287</v>
      </c>
      <c r="E21" s="8">
        <v>0</v>
      </c>
      <c r="F21" s="8">
        <v>0</v>
      </c>
      <c r="G21" s="8">
        <v>1.5</v>
      </c>
      <c r="H21" s="8">
        <v>5</v>
      </c>
      <c r="I21" s="8">
        <v>6.5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6.5</v>
      </c>
      <c r="Q21" s="8">
        <v>6.5</v>
      </c>
    </row>
    <row r="22" spans="1:17" hidden="1" x14ac:dyDescent="0.35">
      <c r="A22" s="6">
        <v>46235</v>
      </c>
      <c r="B22" s="7" t="s">
        <v>33</v>
      </c>
      <c r="C22" s="7" t="s">
        <v>34</v>
      </c>
      <c r="D22" s="7" t="s">
        <v>287</v>
      </c>
      <c r="E22" s="8">
        <v>70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30</v>
      </c>
      <c r="M22" s="8">
        <v>0</v>
      </c>
      <c r="N22" s="8">
        <v>40</v>
      </c>
      <c r="O22" s="8">
        <v>0</v>
      </c>
      <c r="P22" s="8">
        <v>0</v>
      </c>
      <c r="Q22" s="8">
        <v>0</v>
      </c>
    </row>
    <row r="23" spans="1:17" x14ac:dyDescent="0.35">
      <c r="A23" s="6">
        <v>46235</v>
      </c>
      <c r="B23" s="7" t="s">
        <v>285</v>
      </c>
      <c r="C23" s="7" t="s">
        <v>286</v>
      </c>
      <c r="D23" s="7" t="s">
        <v>287</v>
      </c>
      <c r="E23" s="8">
        <v>0</v>
      </c>
      <c r="F23" s="8">
        <v>0</v>
      </c>
      <c r="G23" s="8">
        <v>0</v>
      </c>
      <c r="H23" s="8">
        <v>10</v>
      </c>
      <c r="I23" s="8">
        <v>10</v>
      </c>
      <c r="J23" s="8">
        <v>0</v>
      </c>
      <c r="K23" s="8">
        <v>0</v>
      </c>
      <c r="L23" s="8">
        <v>0</v>
      </c>
      <c r="M23" s="8">
        <v>10</v>
      </c>
      <c r="N23" s="8">
        <v>0</v>
      </c>
      <c r="O23" s="8">
        <v>0</v>
      </c>
      <c r="P23" s="8">
        <v>0</v>
      </c>
      <c r="Q23" s="8">
        <v>0</v>
      </c>
    </row>
    <row r="24" spans="1:17" hidden="1" x14ac:dyDescent="0.35">
      <c r="A24" s="6">
        <v>46235</v>
      </c>
      <c r="B24" s="7" t="s">
        <v>39</v>
      </c>
      <c r="C24" s="7" t="s">
        <v>41</v>
      </c>
      <c r="D24" s="7" t="s">
        <v>287</v>
      </c>
      <c r="E24" s="8">
        <v>0</v>
      </c>
      <c r="F24" s="8">
        <v>0</v>
      </c>
      <c r="G24" s="8">
        <v>20</v>
      </c>
      <c r="H24" s="8">
        <v>0</v>
      </c>
      <c r="I24" s="8">
        <v>20</v>
      </c>
      <c r="J24" s="8">
        <v>0</v>
      </c>
      <c r="K24" s="8">
        <v>0</v>
      </c>
      <c r="L24" s="8">
        <v>0</v>
      </c>
      <c r="M24" s="8">
        <v>10.7</v>
      </c>
      <c r="N24" s="8">
        <v>0</v>
      </c>
      <c r="O24" s="8">
        <v>0</v>
      </c>
      <c r="P24" s="8">
        <v>9.3000000000000007</v>
      </c>
      <c r="Q24" s="8">
        <v>9.3000000000000007</v>
      </c>
    </row>
    <row r="25" spans="1:17" x14ac:dyDescent="0.35">
      <c r="A25" s="6">
        <v>46235</v>
      </c>
      <c r="B25" s="7" t="s">
        <v>39</v>
      </c>
      <c r="C25" s="7" t="s">
        <v>40</v>
      </c>
      <c r="D25" s="7" t="s">
        <v>287</v>
      </c>
      <c r="E25" s="8">
        <v>0</v>
      </c>
      <c r="F25" s="8">
        <v>0</v>
      </c>
      <c r="G25" s="8">
        <v>0</v>
      </c>
      <c r="H25" s="8">
        <v>5</v>
      </c>
      <c r="I25" s="8">
        <v>5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</v>
      </c>
      <c r="Q25" s="8">
        <v>5</v>
      </c>
    </row>
    <row r="26" spans="1:17" x14ac:dyDescent="0.35">
      <c r="A26" s="6">
        <v>46235</v>
      </c>
      <c r="B26" s="7" t="s">
        <v>39</v>
      </c>
      <c r="C26" s="7" t="s">
        <v>42</v>
      </c>
      <c r="D26" s="7" t="s">
        <v>287</v>
      </c>
      <c r="E26" s="8">
        <v>10</v>
      </c>
      <c r="F26" s="8">
        <v>2.9</v>
      </c>
      <c r="G26" s="8">
        <v>0</v>
      </c>
      <c r="H26" s="8">
        <v>4.5</v>
      </c>
      <c r="I26" s="8">
        <v>7.4</v>
      </c>
      <c r="J26" s="8">
        <v>15</v>
      </c>
      <c r="K26" s="8">
        <v>4.3499999999999996</v>
      </c>
      <c r="L26" s="8">
        <v>0</v>
      </c>
      <c r="M26" s="8">
        <v>0</v>
      </c>
      <c r="N26" s="8">
        <v>25</v>
      </c>
      <c r="O26" s="8">
        <v>7.3</v>
      </c>
      <c r="P26" s="8">
        <v>4.5</v>
      </c>
      <c r="Q26" s="8">
        <v>11.8</v>
      </c>
    </row>
    <row r="27" spans="1:17" x14ac:dyDescent="0.35">
      <c r="A27" s="6">
        <v>46235</v>
      </c>
      <c r="B27" s="7" t="s">
        <v>39</v>
      </c>
      <c r="C27" s="7" t="s">
        <v>267</v>
      </c>
      <c r="D27" s="7" t="s">
        <v>287</v>
      </c>
      <c r="E27" s="8">
        <v>10</v>
      </c>
      <c r="F27" s="8">
        <v>5.5</v>
      </c>
      <c r="G27" s="8">
        <v>0</v>
      </c>
      <c r="H27" s="8">
        <v>13.3</v>
      </c>
      <c r="I27" s="8">
        <v>18.8</v>
      </c>
      <c r="J27" s="8">
        <v>30</v>
      </c>
      <c r="K27" s="8">
        <v>16.5</v>
      </c>
      <c r="L27" s="8">
        <v>0</v>
      </c>
      <c r="M27" s="8">
        <v>0</v>
      </c>
      <c r="N27" s="8">
        <v>40</v>
      </c>
      <c r="O27" s="8">
        <v>22</v>
      </c>
      <c r="P27" s="8">
        <v>13.3</v>
      </c>
      <c r="Q27" s="8">
        <v>35.299999999999997</v>
      </c>
    </row>
    <row r="28" spans="1:17" x14ac:dyDescent="0.35">
      <c r="A28" s="6">
        <v>46235</v>
      </c>
      <c r="B28" s="7" t="s">
        <v>39</v>
      </c>
      <c r="C28" s="7" t="s">
        <v>44</v>
      </c>
      <c r="D28" s="7" t="s">
        <v>287</v>
      </c>
      <c r="E28" s="8">
        <v>8</v>
      </c>
      <c r="F28" s="8">
        <v>3.4</v>
      </c>
      <c r="G28" s="8">
        <v>0</v>
      </c>
      <c r="H28" s="8">
        <v>7</v>
      </c>
      <c r="I28" s="8">
        <v>10.4</v>
      </c>
      <c r="J28" s="8">
        <v>15</v>
      </c>
      <c r="K28" s="8">
        <v>6.38</v>
      </c>
      <c r="L28" s="8">
        <v>0</v>
      </c>
      <c r="M28" s="8">
        <v>0</v>
      </c>
      <c r="N28" s="8">
        <v>23</v>
      </c>
      <c r="O28" s="8">
        <v>9.8000000000000007</v>
      </c>
      <c r="P28" s="8">
        <v>7</v>
      </c>
      <c r="Q28" s="8">
        <v>16.8</v>
      </c>
    </row>
    <row r="29" spans="1:17" hidden="1" x14ac:dyDescent="0.35">
      <c r="A29" s="6">
        <v>46235</v>
      </c>
      <c r="B29" s="7" t="s">
        <v>275</v>
      </c>
      <c r="C29" s="7" t="s">
        <v>280</v>
      </c>
      <c r="D29" s="7" t="s">
        <v>287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 x14ac:dyDescent="0.35">
      <c r="A30" s="6">
        <v>46235</v>
      </c>
      <c r="B30" s="7" t="s">
        <v>275</v>
      </c>
      <c r="C30" s="7" t="s">
        <v>278</v>
      </c>
      <c r="D30" s="7" t="s">
        <v>287</v>
      </c>
      <c r="E30" s="8">
        <v>15</v>
      </c>
      <c r="F30" s="8">
        <v>0</v>
      </c>
      <c r="G30" s="8">
        <v>0</v>
      </c>
      <c r="H30" s="8">
        <v>4</v>
      </c>
      <c r="I30" s="8">
        <v>4</v>
      </c>
      <c r="J30" s="8">
        <v>0</v>
      </c>
      <c r="K30" s="8">
        <v>0</v>
      </c>
      <c r="L30" s="8">
        <v>4</v>
      </c>
      <c r="M30" s="8">
        <v>0</v>
      </c>
      <c r="N30" s="8">
        <v>11</v>
      </c>
      <c r="O30" s="8">
        <v>4</v>
      </c>
      <c r="P30" s="8">
        <v>0</v>
      </c>
      <c r="Q30" s="8">
        <v>4</v>
      </c>
    </row>
    <row r="31" spans="1:17" hidden="1" x14ac:dyDescent="0.35">
      <c r="A31" s="6">
        <v>46235</v>
      </c>
      <c r="B31" s="7" t="s">
        <v>275</v>
      </c>
      <c r="C31" s="7" t="s">
        <v>276</v>
      </c>
      <c r="D31" s="7" t="s">
        <v>287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</row>
    <row r="32" spans="1:17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</sheetData>
  <autoFilter ref="A1:R31" xr:uid="{00000000-0001-0000-0000-000000000000}">
    <filterColumn colId="7">
      <filters>
        <filter val="10,00"/>
        <filter val="12,70"/>
        <filter val="126,10"/>
        <filter val="13,30"/>
        <filter val="20,00"/>
        <filter val="20,50"/>
        <filter val="21,40"/>
        <filter val="23,70"/>
        <filter val="38,50"/>
        <filter val="4,00"/>
        <filter val="4,50"/>
        <filter val="5,00"/>
        <filter val="7,00"/>
        <filter val="8,4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18D2-64BF-49F9-8423-F4A0D92268CD}">
  <dimension ref="A1:G77"/>
  <sheetViews>
    <sheetView tabSelected="1" workbookViewId="0">
      <selection activeCell="D5" sqref="D5"/>
    </sheetView>
  </sheetViews>
  <sheetFormatPr baseColWidth="10" defaultRowHeight="14.5" x14ac:dyDescent="0.35"/>
  <cols>
    <col min="1" max="1" width="7.1796875" bestFit="1" customWidth="1"/>
    <col min="2" max="2" width="20.36328125" bestFit="1" customWidth="1"/>
    <col min="3" max="3" width="25.54296875" bestFit="1" customWidth="1"/>
    <col min="4" max="4" width="21.08984375" bestFit="1" customWidth="1"/>
    <col min="5" max="5" width="37.6328125" customWidth="1"/>
    <col min="6" max="6" width="20.6328125" bestFit="1" customWidth="1"/>
    <col min="7" max="7" width="26.6328125" bestFit="1" customWidth="1"/>
  </cols>
  <sheetData>
    <row r="1" spans="1:7" s="12" customFormat="1" x14ac:dyDescent="0.35">
      <c r="A1" s="10" t="s">
        <v>171</v>
      </c>
      <c r="B1" s="10" t="s">
        <v>1</v>
      </c>
      <c r="C1" s="10" t="s">
        <v>101</v>
      </c>
      <c r="D1" s="10" t="s">
        <v>172</v>
      </c>
      <c r="E1" s="10" t="s">
        <v>173</v>
      </c>
      <c r="F1" s="10" t="s">
        <v>174</v>
      </c>
      <c r="G1" s="11" t="s">
        <v>175</v>
      </c>
    </row>
    <row r="2" spans="1:7" x14ac:dyDescent="0.35">
      <c r="A2" s="2" t="s">
        <v>176</v>
      </c>
      <c r="B2" s="2" t="s">
        <v>22</v>
      </c>
      <c r="C2" s="2" t="s">
        <v>177</v>
      </c>
      <c r="D2" s="2" t="s">
        <v>178</v>
      </c>
      <c r="E2" s="2">
        <v>3</v>
      </c>
      <c r="F2" s="2">
        <v>10</v>
      </c>
      <c r="G2" s="3">
        <v>20000</v>
      </c>
    </row>
    <row r="3" spans="1:7" x14ac:dyDescent="0.35">
      <c r="A3" s="2" t="s">
        <v>179</v>
      </c>
      <c r="B3" s="2" t="s">
        <v>22</v>
      </c>
      <c r="C3" s="2" t="s">
        <v>180</v>
      </c>
      <c r="D3" s="2" t="s">
        <v>178</v>
      </c>
      <c r="E3" s="2">
        <v>3</v>
      </c>
      <c r="F3" s="2">
        <v>5</v>
      </c>
      <c r="G3" s="3">
        <v>4000</v>
      </c>
    </row>
    <row r="4" spans="1:7" x14ac:dyDescent="0.35">
      <c r="A4" s="2" t="s">
        <v>121</v>
      </c>
      <c r="B4" s="2" t="s">
        <v>22</v>
      </c>
      <c r="C4" s="2" t="s">
        <v>27</v>
      </c>
      <c r="D4" s="2" t="s">
        <v>178</v>
      </c>
      <c r="E4" s="2">
        <v>4.5</v>
      </c>
      <c r="F4" s="2">
        <v>5</v>
      </c>
      <c r="G4" s="3">
        <v>24000</v>
      </c>
    </row>
    <row r="5" spans="1:7" x14ac:dyDescent="0.35">
      <c r="A5" s="2" t="s">
        <v>181</v>
      </c>
      <c r="B5" s="2" t="s">
        <v>22</v>
      </c>
      <c r="C5" s="2" t="s">
        <v>182</v>
      </c>
      <c r="D5" s="2" t="s">
        <v>178</v>
      </c>
      <c r="E5" s="2">
        <v>3.5</v>
      </c>
      <c r="F5" s="2">
        <v>15</v>
      </c>
      <c r="G5" s="3">
        <v>14000</v>
      </c>
    </row>
    <row r="6" spans="1:7" x14ac:dyDescent="0.35">
      <c r="A6" s="2" t="s">
        <v>183</v>
      </c>
      <c r="B6" s="2" t="s">
        <v>22</v>
      </c>
      <c r="C6" s="4" t="s">
        <v>184</v>
      </c>
      <c r="D6" s="4" t="s">
        <v>178</v>
      </c>
      <c r="E6" s="2">
        <v>5</v>
      </c>
      <c r="F6" s="2">
        <v>12</v>
      </c>
      <c r="G6" s="3">
        <v>16000</v>
      </c>
    </row>
    <row r="7" spans="1:7" x14ac:dyDescent="0.35">
      <c r="A7" s="2" t="s">
        <v>123</v>
      </c>
      <c r="B7" s="2" t="s">
        <v>22</v>
      </c>
      <c r="C7" s="4" t="s">
        <v>28</v>
      </c>
      <c r="D7" s="4" t="s">
        <v>178</v>
      </c>
      <c r="E7" s="2">
        <v>2</v>
      </c>
      <c r="F7" s="2">
        <v>7</v>
      </c>
      <c r="G7" s="3">
        <v>7000</v>
      </c>
    </row>
    <row r="8" spans="1:7" x14ac:dyDescent="0.35">
      <c r="A8" s="2" t="s">
        <v>185</v>
      </c>
      <c r="B8" s="2" t="s">
        <v>22</v>
      </c>
      <c r="C8" s="4" t="s">
        <v>186</v>
      </c>
      <c r="D8" s="4" t="s">
        <v>178</v>
      </c>
      <c r="E8" s="2">
        <v>3</v>
      </c>
      <c r="F8" s="2">
        <v>12</v>
      </c>
      <c r="G8" s="3">
        <v>18000</v>
      </c>
    </row>
    <row r="9" spans="1:7" x14ac:dyDescent="0.35">
      <c r="A9" s="2" t="s">
        <v>187</v>
      </c>
      <c r="B9" s="2" t="s">
        <v>22</v>
      </c>
      <c r="C9" s="4" t="s">
        <v>188</v>
      </c>
      <c r="D9" s="4" t="s">
        <v>178</v>
      </c>
      <c r="E9" s="2">
        <v>3</v>
      </c>
      <c r="F9" s="2">
        <v>8</v>
      </c>
      <c r="G9" s="3">
        <v>18000</v>
      </c>
    </row>
    <row r="10" spans="1:7" x14ac:dyDescent="0.35">
      <c r="A10" s="2" t="s">
        <v>189</v>
      </c>
      <c r="B10" s="2" t="s">
        <v>22</v>
      </c>
      <c r="C10" s="4" t="s">
        <v>190</v>
      </c>
      <c r="D10" s="4" t="s">
        <v>178</v>
      </c>
      <c r="E10" s="2">
        <v>3</v>
      </c>
      <c r="F10" s="2">
        <v>8</v>
      </c>
      <c r="G10" s="3">
        <v>15000</v>
      </c>
    </row>
    <row r="11" spans="1:7" x14ac:dyDescent="0.35">
      <c r="A11" s="2" t="s">
        <v>114</v>
      </c>
      <c r="B11" s="2" t="s">
        <v>22</v>
      </c>
      <c r="C11" s="4" t="s">
        <v>23</v>
      </c>
      <c r="D11" s="4" t="s">
        <v>178</v>
      </c>
      <c r="E11" s="2">
        <v>4.5</v>
      </c>
      <c r="F11" s="2">
        <v>5</v>
      </c>
      <c r="G11" s="3">
        <v>23000</v>
      </c>
    </row>
    <row r="12" spans="1:7" x14ac:dyDescent="0.35">
      <c r="A12" s="2" t="s">
        <v>125</v>
      </c>
      <c r="B12" s="2" t="s">
        <v>22</v>
      </c>
      <c r="C12" s="4" t="s">
        <v>29</v>
      </c>
      <c r="D12" s="4" t="s">
        <v>178</v>
      </c>
      <c r="E12" s="2">
        <v>3</v>
      </c>
      <c r="F12" s="2">
        <v>8</v>
      </c>
      <c r="G12" s="3">
        <v>14000</v>
      </c>
    </row>
    <row r="13" spans="1:7" x14ac:dyDescent="0.35">
      <c r="A13" s="2" t="s">
        <v>191</v>
      </c>
      <c r="B13" s="2" t="s">
        <v>22</v>
      </c>
      <c r="C13" s="4" t="s">
        <v>192</v>
      </c>
      <c r="D13" s="4" t="s">
        <v>178</v>
      </c>
      <c r="E13" s="2">
        <v>3</v>
      </c>
      <c r="F13" s="2">
        <v>8</v>
      </c>
      <c r="G13" s="3">
        <v>10000</v>
      </c>
    </row>
    <row r="14" spans="1:7" x14ac:dyDescent="0.35">
      <c r="A14" s="2" t="s">
        <v>193</v>
      </c>
      <c r="B14" s="2" t="s">
        <v>22</v>
      </c>
      <c r="C14" s="4" t="s">
        <v>194</v>
      </c>
      <c r="D14" s="4" t="s">
        <v>178</v>
      </c>
      <c r="E14" s="2">
        <v>3</v>
      </c>
      <c r="F14" s="2">
        <v>15</v>
      </c>
      <c r="G14" s="3">
        <v>9000</v>
      </c>
    </row>
    <row r="15" spans="1:7" x14ac:dyDescent="0.35">
      <c r="A15" s="2" t="s">
        <v>195</v>
      </c>
      <c r="B15" s="2" t="s">
        <v>22</v>
      </c>
      <c r="C15" s="4" t="s">
        <v>196</v>
      </c>
      <c r="D15" s="4" t="s">
        <v>178</v>
      </c>
      <c r="E15" s="2">
        <v>3</v>
      </c>
      <c r="F15" s="2">
        <v>12</v>
      </c>
      <c r="G15" s="3">
        <v>17000</v>
      </c>
    </row>
    <row r="16" spans="1:7" x14ac:dyDescent="0.35">
      <c r="A16" s="2" t="s">
        <v>197</v>
      </c>
      <c r="B16" s="2" t="s">
        <v>22</v>
      </c>
      <c r="C16" s="4" t="s">
        <v>198</v>
      </c>
      <c r="D16" s="4" t="s">
        <v>178</v>
      </c>
      <c r="E16" s="2">
        <v>3.5</v>
      </c>
      <c r="F16" s="2">
        <v>5</v>
      </c>
      <c r="G16" s="3">
        <v>24000</v>
      </c>
    </row>
    <row r="17" spans="1:7" x14ac:dyDescent="0.35">
      <c r="A17" s="2" t="s">
        <v>199</v>
      </c>
      <c r="B17" s="2" t="s">
        <v>22</v>
      </c>
      <c r="C17" s="4" t="s">
        <v>200</v>
      </c>
      <c r="D17" s="4" t="s">
        <v>178</v>
      </c>
      <c r="E17" s="2">
        <v>3.5</v>
      </c>
      <c r="F17" s="2">
        <v>10</v>
      </c>
      <c r="G17" s="3">
        <v>24000</v>
      </c>
    </row>
    <row r="18" spans="1:7" x14ac:dyDescent="0.35">
      <c r="A18" s="2" t="s">
        <v>201</v>
      </c>
      <c r="B18" s="2" t="s">
        <v>22</v>
      </c>
      <c r="C18" s="4" t="s">
        <v>202</v>
      </c>
      <c r="D18" s="4" t="s">
        <v>178</v>
      </c>
      <c r="E18" s="2">
        <v>5</v>
      </c>
      <c r="F18" s="2">
        <v>12</v>
      </c>
      <c r="G18" s="3">
        <v>22000</v>
      </c>
    </row>
    <row r="19" spans="1:7" x14ac:dyDescent="0.35">
      <c r="A19" s="2" t="s">
        <v>203</v>
      </c>
      <c r="B19" s="2" t="s">
        <v>18</v>
      </c>
      <c r="C19" s="4" t="s">
        <v>204</v>
      </c>
      <c r="D19" s="4" t="s">
        <v>178</v>
      </c>
      <c r="E19" s="2">
        <v>5</v>
      </c>
      <c r="F19" s="2">
        <v>8</v>
      </c>
      <c r="G19" s="3">
        <v>23000</v>
      </c>
    </row>
    <row r="20" spans="1:7" x14ac:dyDescent="0.35">
      <c r="A20" s="2" t="s">
        <v>169</v>
      </c>
      <c r="B20" s="2" t="s">
        <v>18</v>
      </c>
      <c r="C20" s="4" t="s">
        <v>45</v>
      </c>
      <c r="D20" s="4" t="s">
        <v>178</v>
      </c>
      <c r="E20" s="2">
        <v>3</v>
      </c>
      <c r="F20" s="2">
        <v>12</v>
      </c>
      <c r="G20" s="3">
        <v>10000</v>
      </c>
    </row>
    <row r="21" spans="1:7" x14ac:dyDescent="0.35">
      <c r="A21" s="2" t="s">
        <v>205</v>
      </c>
      <c r="B21" s="2" t="s">
        <v>18</v>
      </c>
      <c r="C21" s="4" t="s">
        <v>206</v>
      </c>
      <c r="D21" s="4" t="s">
        <v>178</v>
      </c>
      <c r="E21" s="2">
        <v>3.5</v>
      </c>
      <c r="F21" s="2">
        <v>12</v>
      </c>
      <c r="G21" s="3">
        <v>13000</v>
      </c>
    </row>
    <row r="22" spans="1:7" x14ac:dyDescent="0.35">
      <c r="A22" s="2" t="s">
        <v>207</v>
      </c>
      <c r="B22" s="2" t="s">
        <v>18</v>
      </c>
      <c r="C22" s="4" t="s">
        <v>208</v>
      </c>
      <c r="D22" s="4" t="s">
        <v>178</v>
      </c>
      <c r="E22" s="2">
        <v>3</v>
      </c>
      <c r="F22" s="2">
        <v>8</v>
      </c>
      <c r="G22" s="3">
        <v>21000</v>
      </c>
    </row>
    <row r="23" spans="1:7" x14ac:dyDescent="0.35">
      <c r="A23" s="2" t="s">
        <v>209</v>
      </c>
      <c r="B23" s="2" t="s">
        <v>18</v>
      </c>
      <c r="C23" s="4" t="s">
        <v>210</v>
      </c>
      <c r="D23" s="4" t="s">
        <v>178</v>
      </c>
      <c r="E23" s="2">
        <v>4</v>
      </c>
      <c r="F23" s="2">
        <v>5</v>
      </c>
      <c r="G23" s="3">
        <v>9000</v>
      </c>
    </row>
    <row r="24" spans="1:7" x14ac:dyDescent="0.35">
      <c r="A24" s="2" t="s">
        <v>128</v>
      </c>
      <c r="B24" s="2" t="s">
        <v>18</v>
      </c>
      <c r="C24" s="4" t="s">
        <v>30</v>
      </c>
      <c r="D24" s="4" t="s">
        <v>178</v>
      </c>
      <c r="E24" s="2">
        <v>4</v>
      </c>
      <c r="F24" s="2">
        <v>15</v>
      </c>
      <c r="G24" s="3">
        <v>10000</v>
      </c>
    </row>
    <row r="25" spans="1:7" x14ac:dyDescent="0.35">
      <c r="A25" s="2" t="s">
        <v>211</v>
      </c>
      <c r="B25" s="2" t="s">
        <v>18</v>
      </c>
      <c r="C25" s="4" t="s">
        <v>212</v>
      </c>
      <c r="D25" s="4" t="s">
        <v>178</v>
      </c>
      <c r="E25" s="4">
        <v>3.5</v>
      </c>
      <c r="F25" s="4">
        <v>5</v>
      </c>
      <c r="G25" s="5">
        <v>24000</v>
      </c>
    </row>
    <row r="26" spans="1:7" x14ac:dyDescent="0.35">
      <c r="A26" s="2" t="s">
        <v>213</v>
      </c>
      <c r="B26" s="2" t="s">
        <v>18</v>
      </c>
      <c r="C26" s="4" t="s">
        <v>214</v>
      </c>
      <c r="D26" s="4" t="s">
        <v>178</v>
      </c>
      <c r="E26" s="4">
        <v>4.5</v>
      </c>
      <c r="F26" s="4">
        <v>10</v>
      </c>
      <c r="G26" s="5">
        <v>18000</v>
      </c>
    </row>
    <row r="27" spans="1:7" x14ac:dyDescent="0.35">
      <c r="A27" s="2" t="s">
        <v>110</v>
      </c>
      <c r="B27" s="2" t="s">
        <v>18</v>
      </c>
      <c r="C27" s="4" t="s">
        <v>20</v>
      </c>
      <c r="D27" s="4" t="s">
        <v>178</v>
      </c>
      <c r="E27" s="4">
        <v>4</v>
      </c>
      <c r="F27" s="4">
        <v>5</v>
      </c>
      <c r="G27" s="5">
        <v>11000</v>
      </c>
    </row>
    <row r="28" spans="1:7" x14ac:dyDescent="0.35">
      <c r="A28" s="2" t="s">
        <v>215</v>
      </c>
      <c r="B28" s="2" t="s">
        <v>18</v>
      </c>
      <c r="C28" s="4" t="s">
        <v>216</v>
      </c>
      <c r="D28" s="4" t="s">
        <v>178</v>
      </c>
      <c r="E28" s="4">
        <v>5</v>
      </c>
      <c r="F28" s="4">
        <v>15</v>
      </c>
      <c r="G28" s="5">
        <v>8000</v>
      </c>
    </row>
    <row r="29" spans="1:7" x14ac:dyDescent="0.35">
      <c r="A29" s="2" t="s">
        <v>217</v>
      </c>
      <c r="B29" s="2" t="s">
        <v>18</v>
      </c>
      <c r="C29" s="4" t="s">
        <v>218</v>
      </c>
      <c r="D29" s="4" t="s">
        <v>178</v>
      </c>
      <c r="E29" s="4">
        <v>3</v>
      </c>
      <c r="F29" s="4">
        <v>5</v>
      </c>
      <c r="G29" s="5">
        <v>18000</v>
      </c>
    </row>
    <row r="30" spans="1:7" x14ac:dyDescent="0.35">
      <c r="A30" s="2" t="s">
        <v>133</v>
      </c>
      <c r="B30" s="2" t="s">
        <v>18</v>
      </c>
      <c r="C30" s="4" t="s">
        <v>35</v>
      </c>
      <c r="D30" s="4" t="s">
        <v>178</v>
      </c>
      <c r="E30" s="4">
        <v>5</v>
      </c>
      <c r="F30" s="4">
        <v>5</v>
      </c>
      <c r="G30" s="5">
        <v>12000</v>
      </c>
    </row>
    <row r="31" spans="1:7" x14ac:dyDescent="0.35">
      <c r="A31" s="2" t="s">
        <v>108</v>
      </c>
      <c r="B31" s="2" t="s">
        <v>18</v>
      </c>
      <c r="C31" s="4" t="s">
        <v>19</v>
      </c>
      <c r="D31" s="4" t="s">
        <v>178</v>
      </c>
      <c r="E31" s="4">
        <v>5</v>
      </c>
      <c r="F31" s="4">
        <v>10</v>
      </c>
      <c r="G31" s="5">
        <v>23000</v>
      </c>
    </row>
    <row r="32" spans="1:7" x14ac:dyDescent="0.35">
      <c r="A32" s="2" t="s">
        <v>219</v>
      </c>
      <c r="B32" s="2" t="s">
        <v>18</v>
      </c>
      <c r="C32" s="4" t="s">
        <v>220</v>
      </c>
      <c r="D32" s="4" t="s">
        <v>178</v>
      </c>
      <c r="E32" s="4">
        <v>4</v>
      </c>
      <c r="F32" s="4">
        <v>8</v>
      </c>
      <c r="G32" s="5">
        <v>25000</v>
      </c>
    </row>
    <row r="33" spans="1:7" x14ac:dyDescent="0.35">
      <c r="A33" s="2" t="s">
        <v>221</v>
      </c>
      <c r="B33" s="2" t="s">
        <v>18</v>
      </c>
      <c r="C33" s="4" t="s">
        <v>222</v>
      </c>
      <c r="D33" s="4" t="s">
        <v>178</v>
      </c>
      <c r="E33" s="4">
        <v>3.5</v>
      </c>
      <c r="F33" s="4">
        <v>10</v>
      </c>
      <c r="G33" s="5">
        <v>21000</v>
      </c>
    </row>
    <row r="34" spans="1:7" x14ac:dyDescent="0.35">
      <c r="A34" s="2" t="s">
        <v>112</v>
      </c>
      <c r="B34" s="2" t="s">
        <v>18</v>
      </c>
      <c r="C34" s="4" t="s">
        <v>21</v>
      </c>
      <c r="D34" s="4" t="s">
        <v>178</v>
      </c>
      <c r="E34" s="4">
        <v>4.5</v>
      </c>
      <c r="F34" s="4">
        <v>10</v>
      </c>
      <c r="G34" s="5">
        <v>19000</v>
      </c>
    </row>
    <row r="35" spans="1:7" x14ac:dyDescent="0.35">
      <c r="A35" s="2" t="s">
        <v>223</v>
      </c>
      <c r="B35" s="2" t="s">
        <v>18</v>
      </c>
      <c r="C35" s="4" t="s">
        <v>224</v>
      </c>
      <c r="D35" s="4" t="s">
        <v>178</v>
      </c>
      <c r="E35" s="4">
        <v>5</v>
      </c>
      <c r="F35" s="4">
        <v>5</v>
      </c>
      <c r="G35" s="5">
        <v>16000</v>
      </c>
    </row>
    <row r="36" spans="1:7" x14ac:dyDescent="0.35">
      <c r="A36" s="2" t="s">
        <v>136</v>
      </c>
      <c r="B36" s="2" t="s">
        <v>18</v>
      </c>
      <c r="C36" s="4" t="s">
        <v>36</v>
      </c>
      <c r="D36" s="4" t="s">
        <v>178</v>
      </c>
      <c r="E36" s="4">
        <v>3</v>
      </c>
      <c r="F36" s="4">
        <v>5</v>
      </c>
      <c r="G36" s="5">
        <v>14000</v>
      </c>
    </row>
    <row r="37" spans="1:7" x14ac:dyDescent="0.35">
      <c r="A37" s="2" t="s">
        <v>225</v>
      </c>
      <c r="B37" s="2" t="s">
        <v>18</v>
      </c>
      <c r="C37" s="4" t="s">
        <v>226</v>
      </c>
      <c r="D37" s="4" t="s">
        <v>178</v>
      </c>
      <c r="E37" s="4">
        <v>4</v>
      </c>
      <c r="F37" s="4">
        <v>10</v>
      </c>
      <c r="G37" s="5">
        <v>20000</v>
      </c>
    </row>
    <row r="38" spans="1:7" x14ac:dyDescent="0.35">
      <c r="A38" s="2" t="s">
        <v>142</v>
      </c>
      <c r="B38" s="2" t="s">
        <v>24</v>
      </c>
      <c r="C38" s="4" t="s">
        <v>38</v>
      </c>
      <c r="D38" s="4" t="s">
        <v>178</v>
      </c>
      <c r="E38" s="4">
        <v>4</v>
      </c>
      <c r="F38" s="4">
        <v>5</v>
      </c>
      <c r="G38" s="5">
        <v>5000</v>
      </c>
    </row>
    <row r="39" spans="1:7" x14ac:dyDescent="0.35">
      <c r="A39" s="2" t="s">
        <v>227</v>
      </c>
      <c r="B39" s="2" t="s">
        <v>24</v>
      </c>
      <c r="C39" s="4" t="s">
        <v>228</v>
      </c>
      <c r="D39" s="4" t="s">
        <v>178</v>
      </c>
      <c r="E39" s="4">
        <v>5</v>
      </c>
      <c r="F39" s="4">
        <v>10</v>
      </c>
      <c r="G39" s="5">
        <v>25000</v>
      </c>
    </row>
    <row r="40" spans="1:7" x14ac:dyDescent="0.35">
      <c r="A40" s="2" t="s">
        <v>119</v>
      </c>
      <c r="B40" s="2" t="s">
        <v>24</v>
      </c>
      <c r="C40" s="4" t="s">
        <v>26</v>
      </c>
      <c r="D40" s="4" t="s">
        <v>178</v>
      </c>
      <c r="E40" s="4">
        <v>3.5</v>
      </c>
      <c r="F40" s="4">
        <v>8</v>
      </c>
      <c r="G40" s="5">
        <v>15000</v>
      </c>
    </row>
    <row r="41" spans="1:7" x14ac:dyDescent="0.35">
      <c r="A41" s="2" t="s">
        <v>229</v>
      </c>
      <c r="B41" s="2" t="s">
        <v>24</v>
      </c>
      <c r="C41" s="4" t="s">
        <v>230</v>
      </c>
      <c r="D41" s="4" t="s">
        <v>178</v>
      </c>
      <c r="E41" s="4">
        <v>4.5</v>
      </c>
      <c r="F41" s="4">
        <v>5</v>
      </c>
      <c r="G41" s="5">
        <v>16000</v>
      </c>
    </row>
    <row r="42" spans="1:7" x14ac:dyDescent="0.35">
      <c r="A42" s="2" t="s">
        <v>116</v>
      </c>
      <c r="B42" s="2" t="s">
        <v>24</v>
      </c>
      <c r="C42" s="4" t="s">
        <v>25</v>
      </c>
      <c r="D42" s="4" t="s">
        <v>178</v>
      </c>
      <c r="E42" s="4">
        <v>5</v>
      </c>
      <c r="F42" s="4">
        <v>8</v>
      </c>
      <c r="G42" s="5">
        <v>10000</v>
      </c>
    </row>
    <row r="43" spans="1:7" x14ac:dyDescent="0.35">
      <c r="A43" s="2" t="s">
        <v>140</v>
      </c>
      <c r="B43" s="2" t="s">
        <v>24</v>
      </c>
      <c r="C43" s="4" t="s">
        <v>37</v>
      </c>
      <c r="D43" s="4" t="s">
        <v>178</v>
      </c>
      <c r="E43" s="4">
        <v>4.5</v>
      </c>
      <c r="F43" s="4">
        <v>5</v>
      </c>
      <c r="G43" s="5">
        <v>19000</v>
      </c>
    </row>
    <row r="44" spans="1:7" x14ac:dyDescent="0.35">
      <c r="A44" s="2" t="s">
        <v>231</v>
      </c>
      <c r="B44" s="2" t="s">
        <v>24</v>
      </c>
      <c r="C44" s="4" t="s">
        <v>232</v>
      </c>
      <c r="D44" s="4" t="s">
        <v>178</v>
      </c>
      <c r="E44" s="4">
        <v>4.5</v>
      </c>
      <c r="F44" s="4">
        <v>15</v>
      </c>
      <c r="G44" s="5">
        <v>15000</v>
      </c>
    </row>
    <row r="45" spans="1:7" x14ac:dyDescent="0.35">
      <c r="A45" s="2" t="s">
        <v>233</v>
      </c>
      <c r="B45" s="2" t="s">
        <v>24</v>
      </c>
      <c r="C45" s="4" t="s">
        <v>234</v>
      </c>
      <c r="D45" s="4" t="s">
        <v>178</v>
      </c>
      <c r="E45" s="4">
        <v>5</v>
      </c>
      <c r="F45" s="4">
        <v>8</v>
      </c>
      <c r="G45" s="5">
        <v>13000</v>
      </c>
    </row>
    <row r="46" spans="1:7" x14ac:dyDescent="0.35">
      <c r="A46" s="2" t="s">
        <v>235</v>
      </c>
      <c r="B46" s="2" t="s">
        <v>24</v>
      </c>
      <c r="C46" s="4" t="s">
        <v>236</v>
      </c>
      <c r="D46" s="4" t="s">
        <v>178</v>
      </c>
      <c r="E46" s="4">
        <v>3.5</v>
      </c>
      <c r="F46" s="4">
        <v>5</v>
      </c>
      <c r="G46" s="5">
        <v>13000</v>
      </c>
    </row>
    <row r="47" spans="1:7" x14ac:dyDescent="0.35">
      <c r="A47" s="2" t="s">
        <v>237</v>
      </c>
      <c r="B47" s="2" t="s">
        <v>24</v>
      </c>
      <c r="C47" s="4" t="s">
        <v>238</v>
      </c>
      <c r="D47" s="4" t="s">
        <v>178</v>
      </c>
      <c r="E47" s="4">
        <v>4</v>
      </c>
      <c r="F47" s="4">
        <v>8</v>
      </c>
      <c r="G47" s="5">
        <v>18000</v>
      </c>
    </row>
    <row r="48" spans="1:7" x14ac:dyDescent="0.35">
      <c r="A48" s="2" t="s">
        <v>239</v>
      </c>
      <c r="B48" s="2" t="s">
        <v>31</v>
      </c>
      <c r="C48" s="4" t="s">
        <v>240</v>
      </c>
      <c r="D48" s="4" t="s">
        <v>178</v>
      </c>
      <c r="E48" s="4">
        <v>4</v>
      </c>
      <c r="F48" s="4">
        <v>5</v>
      </c>
      <c r="G48" s="5">
        <v>25000</v>
      </c>
    </row>
    <row r="49" spans="1:7" x14ac:dyDescent="0.35">
      <c r="A49" s="2" t="s">
        <v>241</v>
      </c>
      <c r="B49" s="2" t="s">
        <v>31</v>
      </c>
      <c r="C49" s="4" t="s">
        <v>242</v>
      </c>
      <c r="D49" s="4" t="s">
        <v>178</v>
      </c>
      <c r="E49" s="4">
        <v>4.5</v>
      </c>
      <c r="F49" s="4">
        <v>10</v>
      </c>
      <c r="G49" s="5">
        <v>12000</v>
      </c>
    </row>
    <row r="50" spans="1:7" x14ac:dyDescent="0.35">
      <c r="A50" s="2" t="s">
        <v>129</v>
      </c>
      <c r="B50" s="2" t="s">
        <v>31</v>
      </c>
      <c r="C50" s="4" t="s">
        <v>32</v>
      </c>
      <c r="D50" s="4" t="s">
        <v>178</v>
      </c>
      <c r="E50" s="4">
        <v>3.5</v>
      </c>
      <c r="F50" s="4">
        <v>10</v>
      </c>
      <c r="G50" s="5">
        <v>15000</v>
      </c>
    </row>
    <row r="51" spans="1:7" x14ac:dyDescent="0.35">
      <c r="A51" s="2" t="s">
        <v>243</v>
      </c>
      <c r="B51" s="2" t="s">
        <v>31</v>
      </c>
      <c r="C51" s="4" t="s">
        <v>244</v>
      </c>
      <c r="D51" s="4" t="s">
        <v>178</v>
      </c>
      <c r="E51" s="4">
        <v>3</v>
      </c>
      <c r="F51" s="4">
        <v>8</v>
      </c>
      <c r="G51" s="5">
        <v>12000</v>
      </c>
    </row>
    <row r="52" spans="1:7" x14ac:dyDescent="0.35">
      <c r="A52" s="2" t="s">
        <v>245</v>
      </c>
      <c r="B52" s="2" t="s">
        <v>31</v>
      </c>
      <c r="C52" s="4" t="s">
        <v>244</v>
      </c>
      <c r="D52" s="4" t="s">
        <v>178</v>
      </c>
      <c r="E52" s="4">
        <v>4</v>
      </c>
      <c r="F52" s="4">
        <v>5</v>
      </c>
      <c r="G52" s="5">
        <v>23000</v>
      </c>
    </row>
    <row r="53" spans="1:7" x14ac:dyDescent="0.35">
      <c r="A53" s="2" t="s">
        <v>246</v>
      </c>
      <c r="B53" s="2" t="s">
        <v>31</v>
      </c>
      <c r="C53" s="4" t="s">
        <v>247</v>
      </c>
      <c r="D53" s="4" t="s">
        <v>178</v>
      </c>
      <c r="E53" s="4">
        <v>4</v>
      </c>
      <c r="F53" s="4">
        <v>5</v>
      </c>
      <c r="G53" s="5">
        <v>21000</v>
      </c>
    </row>
    <row r="54" spans="1:7" x14ac:dyDescent="0.35">
      <c r="A54" s="2" t="s">
        <v>248</v>
      </c>
      <c r="B54" s="2" t="s">
        <v>31</v>
      </c>
      <c r="C54" s="4" t="s">
        <v>249</v>
      </c>
      <c r="D54" s="4" t="s">
        <v>178</v>
      </c>
      <c r="E54" s="4">
        <v>5</v>
      </c>
      <c r="F54" s="4">
        <v>12</v>
      </c>
      <c r="G54" s="5">
        <v>19000</v>
      </c>
    </row>
    <row r="55" spans="1:7" x14ac:dyDescent="0.35">
      <c r="A55" s="2" t="s">
        <v>250</v>
      </c>
      <c r="B55" s="2" t="s">
        <v>31</v>
      </c>
      <c r="C55" s="4" t="s">
        <v>251</v>
      </c>
      <c r="D55" s="4" t="s">
        <v>178</v>
      </c>
      <c r="E55" s="4">
        <v>4</v>
      </c>
      <c r="F55" s="4">
        <v>12</v>
      </c>
      <c r="G55" s="5">
        <v>21000</v>
      </c>
    </row>
    <row r="56" spans="1:7" x14ac:dyDescent="0.35">
      <c r="A56" s="2" t="s">
        <v>252</v>
      </c>
      <c r="B56" s="2" t="s">
        <v>31</v>
      </c>
      <c r="C56" s="4" t="s">
        <v>253</v>
      </c>
      <c r="D56" s="4" t="s">
        <v>178</v>
      </c>
      <c r="E56" s="4">
        <v>3.5</v>
      </c>
      <c r="F56" s="4">
        <v>10</v>
      </c>
      <c r="G56" s="5">
        <v>23000</v>
      </c>
    </row>
    <row r="57" spans="1:7" x14ac:dyDescent="0.35">
      <c r="A57" s="2" t="s">
        <v>254</v>
      </c>
      <c r="B57" s="2" t="s">
        <v>31</v>
      </c>
      <c r="C57" s="4" t="s">
        <v>255</v>
      </c>
      <c r="D57" s="4" t="s">
        <v>178</v>
      </c>
      <c r="E57" s="4">
        <v>5</v>
      </c>
      <c r="F57" s="4">
        <v>12</v>
      </c>
      <c r="G57" s="5">
        <v>23000</v>
      </c>
    </row>
    <row r="58" spans="1:7" x14ac:dyDescent="0.35">
      <c r="A58" s="2" t="s">
        <v>256</v>
      </c>
      <c r="B58" s="2" t="s">
        <v>31</v>
      </c>
      <c r="C58" s="4" t="s">
        <v>257</v>
      </c>
      <c r="D58" s="4" t="s">
        <v>178</v>
      </c>
      <c r="E58" s="4">
        <v>3.5</v>
      </c>
      <c r="F58" s="4">
        <v>12</v>
      </c>
      <c r="G58" s="5">
        <v>23000</v>
      </c>
    </row>
    <row r="59" spans="1:7" x14ac:dyDescent="0.35">
      <c r="A59" s="2" t="s">
        <v>258</v>
      </c>
      <c r="B59" s="2" t="s">
        <v>31</v>
      </c>
      <c r="C59" s="4" t="s">
        <v>259</v>
      </c>
      <c r="D59" s="4" t="s">
        <v>178</v>
      </c>
      <c r="E59" s="4">
        <v>4</v>
      </c>
      <c r="F59" s="4">
        <v>15</v>
      </c>
      <c r="G59" s="5">
        <v>22000</v>
      </c>
    </row>
    <row r="60" spans="1:7" x14ac:dyDescent="0.35">
      <c r="A60" s="2" t="s">
        <v>131</v>
      </c>
      <c r="B60" s="2" t="s">
        <v>33</v>
      </c>
      <c r="C60" s="4" t="s">
        <v>34</v>
      </c>
      <c r="D60" s="4" t="s">
        <v>178</v>
      </c>
      <c r="E60" s="4">
        <v>4</v>
      </c>
      <c r="F60" s="4">
        <v>15</v>
      </c>
      <c r="G60" s="5">
        <v>25000</v>
      </c>
    </row>
    <row r="61" spans="1:7" x14ac:dyDescent="0.35">
      <c r="A61" s="2" t="s">
        <v>260</v>
      </c>
      <c r="B61" s="2" t="s">
        <v>39</v>
      </c>
      <c r="C61" s="4" t="s">
        <v>261</v>
      </c>
      <c r="D61" s="4" t="s">
        <v>178</v>
      </c>
      <c r="E61" s="4">
        <v>5</v>
      </c>
      <c r="F61" s="4">
        <v>12</v>
      </c>
      <c r="G61" s="5">
        <v>12000</v>
      </c>
    </row>
    <row r="62" spans="1:7" x14ac:dyDescent="0.35">
      <c r="A62" s="2" t="s">
        <v>146</v>
      </c>
      <c r="B62" s="2" t="s">
        <v>39</v>
      </c>
      <c r="C62" s="4" t="s">
        <v>41</v>
      </c>
      <c r="D62" s="4" t="s">
        <v>178</v>
      </c>
      <c r="E62" s="4">
        <v>4</v>
      </c>
      <c r="F62" s="4">
        <v>15</v>
      </c>
      <c r="G62" s="5">
        <v>24000</v>
      </c>
    </row>
    <row r="63" spans="1:7" x14ac:dyDescent="0.35">
      <c r="A63" s="2" t="s">
        <v>262</v>
      </c>
      <c r="B63" s="2" t="s">
        <v>39</v>
      </c>
      <c r="C63" s="4" t="s">
        <v>263</v>
      </c>
      <c r="D63" s="4" t="s">
        <v>178</v>
      </c>
      <c r="E63" s="4">
        <v>5</v>
      </c>
      <c r="F63" s="4">
        <v>10</v>
      </c>
      <c r="G63" s="5">
        <v>9000</v>
      </c>
    </row>
    <row r="64" spans="1:7" x14ac:dyDescent="0.35">
      <c r="A64" s="2" t="s">
        <v>144</v>
      </c>
      <c r="B64" s="2" t="s">
        <v>39</v>
      </c>
      <c r="C64" s="4" t="s">
        <v>40</v>
      </c>
      <c r="D64" s="4" t="s">
        <v>178</v>
      </c>
      <c r="E64" s="4">
        <v>3</v>
      </c>
      <c r="F64" s="4">
        <v>15</v>
      </c>
      <c r="G64" s="5">
        <v>19000</v>
      </c>
    </row>
    <row r="65" spans="1:7" x14ac:dyDescent="0.35">
      <c r="A65" s="2" t="s">
        <v>264</v>
      </c>
      <c r="B65" s="2" t="s">
        <v>39</v>
      </c>
      <c r="C65" s="4" t="s">
        <v>265</v>
      </c>
      <c r="D65" s="4" t="s">
        <v>178</v>
      </c>
      <c r="E65" s="4">
        <v>4.5</v>
      </c>
      <c r="F65" s="4">
        <v>5</v>
      </c>
      <c r="G65" s="5">
        <v>10000</v>
      </c>
    </row>
    <row r="66" spans="1:7" x14ac:dyDescent="0.35">
      <c r="A66" s="2" t="s">
        <v>148</v>
      </c>
      <c r="B66" s="2" t="s">
        <v>39</v>
      </c>
      <c r="C66" s="4" t="s">
        <v>42</v>
      </c>
      <c r="D66" s="4" t="s">
        <v>178</v>
      </c>
      <c r="E66" s="4">
        <v>5</v>
      </c>
      <c r="F66" s="4">
        <v>8</v>
      </c>
      <c r="G66" s="5">
        <v>23000</v>
      </c>
    </row>
    <row r="67" spans="1:7" x14ac:dyDescent="0.35">
      <c r="A67" s="2" t="s">
        <v>151</v>
      </c>
      <c r="B67" s="2" t="s">
        <v>39</v>
      </c>
      <c r="C67" s="4" t="s">
        <v>43</v>
      </c>
      <c r="D67" s="4" t="s">
        <v>178</v>
      </c>
      <c r="E67" s="4">
        <v>3</v>
      </c>
      <c r="F67" s="4">
        <v>12</v>
      </c>
      <c r="G67" s="5">
        <v>22000</v>
      </c>
    </row>
    <row r="68" spans="1:7" x14ac:dyDescent="0.35">
      <c r="A68" s="2" t="s">
        <v>266</v>
      </c>
      <c r="B68" s="2" t="s">
        <v>39</v>
      </c>
      <c r="C68" s="4" t="s">
        <v>267</v>
      </c>
      <c r="D68" s="4" t="s">
        <v>178</v>
      </c>
      <c r="E68" s="4">
        <v>3</v>
      </c>
      <c r="F68" s="4">
        <v>10</v>
      </c>
      <c r="G68" s="5">
        <v>10000</v>
      </c>
    </row>
    <row r="69" spans="1:7" x14ac:dyDescent="0.35">
      <c r="A69" s="2" t="s">
        <v>154</v>
      </c>
      <c r="B69" s="2" t="s">
        <v>39</v>
      </c>
      <c r="C69" s="4" t="s">
        <v>44</v>
      </c>
      <c r="D69" s="4" t="s">
        <v>178</v>
      </c>
      <c r="E69" s="4">
        <v>4</v>
      </c>
      <c r="F69" s="4">
        <v>15</v>
      </c>
      <c r="G69" s="5">
        <v>10000</v>
      </c>
    </row>
    <row r="70" spans="1:7" x14ac:dyDescent="0.35">
      <c r="A70" s="2" t="s">
        <v>268</v>
      </c>
      <c r="B70" s="2" t="s">
        <v>39</v>
      </c>
      <c r="C70" s="4" t="s">
        <v>269</v>
      </c>
      <c r="D70" s="4" t="s">
        <v>178</v>
      </c>
      <c r="E70" s="4">
        <v>3.5</v>
      </c>
      <c r="F70" s="4">
        <v>8</v>
      </c>
      <c r="G70" s="5">
        <v>16000</v>
      </c>
    </row>
    <row r="71" spans="1:7" x14ac:dyDescent="0.35">
      <c r="A71" s="2" t="s">
        <v>270</v>
      </c>
      <c r="B71" s="2" t="s">
        <v>39</v>
      </c>
      <c r="C71" s="4" t="s">
        <v>271</v>
      </c>
      <c r="D71" s="4" t="s">
        <v>178</v>
      </c>
      <c r="E71" s="4">
        <v>4</v>
      </c>
      <c r="F71" s="4">
        <v>10</v>
      </c>
      <c r="G71" s="5">
        <v>25000</v>
      </c>
    </row>
    <row r="72" spans="1:7" x14ac:dyDescent="0.35">
      <c r="A72" s="4" t="s">
        <v>272</v>
      </c>
      <c r="B72" s="2" t="s">
        <v>39</v>
      </c>
      <c r="C72" s="4" t="s">
        <v>273</v>
      </c>
      <c r="D72" s="4" t="s">
        <v>178</v>
      </c>
      <c r="E72" s="4">
        <v>1</v>
      </c>
      <c r="F72" s="4">
        <v>5</v>
      </c>
      <c r="G72" s="4">
        <v>0</v>
      </c>
    </row>
    <row r="73" spans="1:7" x14ac:dyDescent="0.35">
      <c r="A73" s="4" t="s">
        <v>274</v>
      </c>
      <c r="B73" s="4" t="s">
        <v>275</v>
      </c>
      <c r="C73" s="4" t="s">
        <v>276</v>
      </c>
      <c r="D73" s="4" t="s">
        <v>178</v>
      </c>
      <c r="E73" s="4">
        <v>1</v>
      </c>
      <c r="F73" s="4">
        <v>5</v>
      </c>
      <c r="G73" s="4">
        <v>0</v>
      </c>
    </row>
    <row r="74" spans="1:7" x14ac:dyDescent="0.35">
      <c r="A74" s="4" t="s">
        <v>277</v>
      </c>
      <c r="B74" s="4" t="s">
        <v>275</v>
      </c>
      <c r="C74" s="4" t="s">
        <v>278</v>
      </c>
      <c r="D74" s="4" t="s">
        <v>178</v>
      </c>
      <c r="E74" s="4">
        <v>1</v>
      </c>
      <c r="F74" s="4">
        <v>5</v>
      </c>
      <c r="G74" s="4">
        <v>0</v>
      </c>
    </row>
    <row r="75" spans="1:7" x14ac:dyDescent="0.35">
      <c r="A75" s="4" t="s">
        <v>279</v>
      </c>
      <c r="B75" s="4" t="s">
        <v>275</v>
      </c>
      <c r="C75" s="4" t="s">
        <v>280</v>
      </c>
      <c r="D75" s="4" t="s">
        <v>178</v>
      </c>
      <c r="E75" s="4">
        <v>1</v>
      </c>
      <c r="F75" s="4">
        <v>5</v>
      </c>
      <c r="G75" s="4">
        <v>0</v>
      </c>
    </row>
    <row r="76" spans="1:7" x14ac:dyDescent="0.35">
      <c r="A76" s="4" t="s">
        <v>281</v>
      </c>
      <c r="B76" s="4" t="s">
        <v>18</v>
      </c>
      <c r="C76" s="4" t="s">
        <v>282</v>
      </c>
      <c r="D76" s="4" t="s">
        <v>178</v>
      </c>
      <c r="E76" s="4">
        <v>1</v>
      </c>
      <c r="F76" s="4">
        <v>5</v>
      </c>
      <c r="G76" s="4">
        <v>0</v>
      </c>
    </row>
    <row r="77" spans="1:7" x14ac:dyDescent="0.35">
      <c r="A77" s="4" t="s">
        <v>283</v>
      </c>
      <c r="B77" s="2" t="s">
        <v>22</v>
      </c>
      <c r="C77" s="4" t="s">
        <v>284</v>
      </c>
      <c r="D77" s="4" t="s">
        <v>178</v>
      </c>
      <c r="E77" s="4">
        <v>1</v>
      </c>
      <c r="F77" s="4">
        <v>5</v>
      </c>
      <c r="G77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F7" sqref="F7"/>
    </sheetView>
  </sheetViews>
  <sheetFormatPr baseColWidth="10" defaultColWidth="9.1796875" defaultRowHeight="14.5" x14ac:dyDescent="0.35"/>
  <cols>
    <col min="1" max="1" width="17.7265625" bestFit="1" customWidth="1"/>
    <col min="2" max="2" width="17.7265625" hidden="1" customWidth="1"/>
    <col min="3" max="3" width="19" bestFit="1" customWidth="1"/>
    <col min="4" max="4" width="11.90625" bestFit="1" customWidth="1"/>
    <col min="5" max="5" width="18.1796875" bestFit="1" customWidth="1"/>
    <col min="6" max="6" width="22.7265625" bestFit="1" customWidth="1"/>
  </cols>
  <sheetData>
    <row r="1" spans="1:6" x14ac:dyDescent="0.3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35">
      <c r="A2" s="1">
        <v>46235</v>
      </c>
      <c r="C2" t="s">
        <v>28</v>
      </c>
      <c r="D2">
        <v>38.5</v>
      </c>
      <c r="E2">
        <v>35000</v>
      </c>
      <c r="F2">
        <f>E2/D2</f>
        <v>909.09090909090912</v>
      </c>
    </row>
    <row r="3" spans="1:6" x14ac:dyDescent="0.35">
      <c r="A3" s="1">
        <v>46235</v>
      </c>
      <c r="C3" t="s">
        <v>23</v>
      </c>
      <c r="D3">
        <v>12.7</v>
      </c>
      <c r="E3">
        <v>28000</v>
      </c>
      <c r="F3">
        <f t="shared" ref="F3:F16" si="0">E3/D3</f>
        <v>2204.7244094488192</v>
      </c>
    </row>
    <row r="4" spans="1:6" x14ac:dyDescent="0.35">
      <c r="A4" s="1">
        <v>46235</v>
      </c>
      <c r="C4" t="s">
        <v>29</v>
      </c>
      <c r="D4">
        <v>126.1</v>
      </c>
      <c r="E4">
        <v>356000</v>
      </c>
      <c r="F4">
        <f t="shared" si="0"/>
        <v>2823.1562252180811</v>
      </c>
    </row>
    <row r="5" spans="1:6" x14ac:dyDescent="0.35">
      <c r="A5" s="1">
        <v>46235</v>
      </c>
      <c r="C5" t="s">
        <v>19</v>
      </c>
      <c r="D5">
        <v>8.4</v>
      </c>
      <c r="E5">
        <v>46000</v>
      </c>
      <c r="F5">
        <f t="shared" si="0"/>
        <v>5476.1904761904761</v>
      </c>
    </row>
    <row r="6" spans="1:6" x14ac:dyDescent="0.35">
      <c r="A6" s="1">
        <v>46235</v>
      </c>
      <c r="C6" t="s">
        <v>21</v>
      </c>
      <c r="D6">
        <v>20.5</v>
      </c>
      <c r="E6">
        <v>32000</v>
      </c>
      <c r="F6">
        <f t="shared" si="0"/>
        <v>1560.9756097560976</v>
      </c>
    </row>
    <row r="7" spans="1:6" x14ac:dyDescent="0.35">
      <c r="A7" s="1">
        <v>46235</v>
      </c>
      <c r="C7" t="s">
        <v>224</v>
      </c>
      <c r="D7">
        <v>23.7</v>
      </c>
      <c r="E7">
        <v>22000</v>
      </c>
      <c r="F7">
        <f t="shared" si="0"/>
        <v>928.27004219409287</v>
      </c>
    </row>
    <row r="8" spans="1:6" x14ac:dyDescent="0.35">
      <c r="A8" s="1">
        <v>46235</v>
      </c>
      <c r="C8" t="s">
        <v>36</v>
      </c>
      <c r="D8">
        <v>20</v>
      </c>
      <c r="E8">
        <v>12000</v>
      </c>
      <c r="F8">
        <f t="shared" si="0"/>
        <v>600</v>
      </c>
    </row>
    <row r="9" spans="1:6" x14ac:dyDescent="0.35">
      <c r="A9" s="1">
        <v>46235</v>
      </c>
      <c r="C9" t="s">
        <v>228</v>
      </c>
      <c r="D9">
        <v>21.4</v>
      </c>
      <c r="E9">
        <v>24900</v>
      </c>
      <c r="F9">
        <f t="shared" si="0"/>
        <v>1163.551401869159</v>
      </c>
    </row>
    <row r="10" spans="1:6" x14ac:dyDescent="0.35">
      <c r="A10" s="1">
        <v>46235</v>
      </c>
      <c r="C10" t="s">
        <v>251</v>
      </c>
      <c r="D10">
        <v>5</v>
      </c>
      <c r="E10">
        <v>23400</v>
      </c>
      <c r="F10">
        <f t="shared" si="0"/>
        <v>4680</v>
      </c>
    </row>
    <row r="11" spans="1:6" x14ac:dyDescent="0.35">
      <c r="A11" s="1">
        <v>46235</v>
      </c>
      <c r="C11" t="s">
        <v>286</v>
      </c>
      <c r="D11">
        <v>10</v>
      </c>
      <c r="E11">
        <v>31000</v>
      </c>
      <c r="F11">
        <f t="shared" si="0"/>
        <v>3100</v>
      </c>
    </row>
    <row r="12" spans="1:6" x14ac:dyDescent="0.35">
      <c r="A12" s="1">
        <v>46235</v>
      </c>
      <c r="C12" t="s">
        <v>40</v>
      </c>
      <c r="D12">
        <v>5</v>
      </c>
      <c r="E12">
        <v>75000</v>
      </c>
      <c r="F12">
        <f t="shared" si="0"/>
        <v>15000</v>
      </c>
    </row>
    <row r="13" spans="1:6" x14ac:dyDescent="0.35">
      <c r="A13" s="1">
        <v>46235</v>
      </c>
      <c r="C13" t="s">
        <v>42</v>
      </c>
      <c r="D13">
        <v>4.5</v>
      </c>
      <c r="E13" s="9">
        <v>16045.4545454545</v>
      </c>
      <c r="F13">
        <f t="shared" si="0"/>
        <v>3565.6565656565558</v>
      </c>
    </row>
    <row r="14" spans="1:6" x14ac:dyDescent="0.35">
      <c r="A14" s="1">
        <v>46235</v>
      </c>
      <c r="C14" t="s">
        <v>267</v>
      </c>
      <c r="D14">
        <v>13.3</v>
      </c>
      <c r="E14" s="9">
        <v>235678</v>
      </c>
      <c r="F14">
        <f t="shared" si="0"/>
        <v>17720.150375939847</v>
      </c>
    </row>
    <row r="15" spans="1:6" x14ac:dyDescent="0.35">
      <c r="A15" s="1">
        <v>46235</v>
      </c>
      <c r="C15" t="s">
        <v>44</v>
      </c>
      <c r="D15">
        <v>7</v>
      </c>
      <c r="E15" s="9">
        <v>546700</v>
      </c>
      <c r="F15">
        <f t="shared" si="0"/>
        <v>78100</v>
      </c>
    </row>
    <row r="16" spans="1:6" x14ac:dyDescent="0.35">
      <c r="A16" s="1">
        <v>46235</v>
      </c>
      <c r="C16" t="s">
        <v>278</v>
      </c>
      <c r="D16">
        <v>4</v>
      </c>
      <c r="E16" s="9">
        <v>12000</v>
      </c>
      <c r="F16">
        <f t="shared" si="0"/>
        <v>3000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1"/>
  <sheetViews>
    <sheetView workbookViewId="0">
      <selection activeCell="A2" sqref="A2:XFD2"/>
    </sheetView>
  </sheetViews>
  <sheetFormatPr baseColWidth="10" defaultColWidth="9.1796875" defaultRowHeight="14.5" x14ac:dyDescent="0.35"/>
  <cols>
    <col min="1" max="1" width="18.1796875" bestFit="1" customWidth="1"/>
    <col min="2" max="2" width="7.7265625" bestFit="1" customWidth="1"/>
    <col min="3" max="3" width="37.7265625" bestFit="1" customWidth="1"/>
    <col min="4" max="4" width="20.453125" bestFit="1" customWidth="1"/>
    <col min="5" max="5" width="8" bestFit="1" customWidth="1"/>
    <col min="6" max="6" width="15.7265625" bestFit="1" customWidth="1"/>
  </cols>
  <sheetData>
    <row r="1" spans="1:6" x14ac:dyDescent="0.3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35">
      <c r="A2" s="1"/>
    </row>
    <row r="3" spans="1:6" x14ac:dyDescent="0.35">
      <c r="A3" s="1"/>
    </row>
    <row r="4" spans="1:6" x14ac:dyDescent="0.35">
      <c r="A4" s="1"/>
    </row>
    <row r="5" spans="1:6" x14ac:dyDescent="0.35">
      <c r="A5" s="1"/>
    </row>
    <row r="6" spans="1:6" x14ac:dyDescent="0.35">
      <c r="A6" s="1"/>
    </row>
    <row r="7" spans="1:6" x14ac:dyDescent="0.35">
      <c r="A7" s="1"/>
    </row>
    <row r="8" spans="1:6" x14ac:dyDescent="0.35">
      <c r="A8" s="1"/>
    </row>
    <row r="9" spans="1:6" x14ac:dyDescent="0.35">
      <c r="A9" s="1"/>
    </row>
    <row r="10" spans="1:6" x14ac:dyDescent="0.35">
      <c r="A10" s="1"/>
    </row>
    <row r="11" spans="1:6" x14ac:dyDescent="0.35">
      <c r="A11" s="1"/>
    </row>
    <row r="12" spans="1:6" x14ac:dyDescent="0.35">
      <c r="A12" s="1"/>
    </row>
    <row r="13" spans="1:6" x14ac:dyDescent="0.35">
      <c r="A13" s="1"/>
    </row>
    <row r="14" spans="1:6" x14ac:dyDescent="0.35">
      <c r="A14" s="1"/>
    </row>
    <row r="15" spans="1:6" x14ac:dyDescent="0.35">
      <c r="A15" s="1"/>
    </row>
    <row r="16" spans="1:6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>
      <selection activeCell="B6" sqref="B6"/>
    </sheetView>
  </sheetViews>
  <sheetFormatPr baseColWidth="10" defaultColWidth="9.1796875" defaultRowHeight="14.5" x14ac:dyDescent="0.35"/>
  <cols>
    <col min="1" max="1" width="7.81640625" bestFit="1" customWidth="1"/>
    <col min="2" max="2" width="30.26953125" bestFit="1" customWidth="1"/>
    <col min="3" max="3" width="9.81640625" bestFit="1" customWidth="1"/>
    <col min="4" max="4" width="22.1796875" bestFit="1" customWidth="1"/>
    <col min="5" max="5" width="21.7265625" bestFit="1" customWidth="1"/>
    <col min="6" max="6" width="18.26953125" bestFit="1" customWidth="1"/>
    <col min="7" max="7" width="23.7265625" bestFit="1" customWidth="1"/>
    <col min="8" max="8" width="22.54296875" bestFit="1" customWidth="1"/>
    <col min="9" max="9" width="23.54296875" bestFit="1" customWidth="1"/>
  </cols>
  <sheetData>
    <row r="1" spans="1:9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35">
      <c r="A2" t="s">
        <v>60</v>
      </c>
      <c r="B2" t="s">
        <v>107</v>
      </c>
      <c r="C2" t="s">
        <v>108</v>
      </c>
      <c r="D2" t="s">
        <v>19</v>
      </c>
      <c r="E2" t="s">
        <v>18</v>
      </c>
      <c r="F2">
        <v>1</v>
      </c>
      <c r="G2">
        <v>0.4</v>
      </c>
      <c r="H2">
        <v>9200</v>
      </c>
      <c r="I2">
        <v>59500</v>
      </c>
    </row>
    <row r="3" spans="1:9" x14ac:dyDescent="0.35">
      <c r="A3" t="s">
        <v>82</v>
      </c>
      <c r="B3" t="s">
        <v>109</v>
      </c>
      <c r="C3" t="s">
        <v>110</v>
      </c>
      <c r="D3" t="s">
        <v>20</v>
      </c>
      <c r="E3" t="s">
        <v>18</v>
      </c>
      <c r="F3">
        <v>1</v>
      </c>
      <c r="G3">
        <v>0.4</v>
      </c>
      <c r="H3">
        <v>4400</v>
      </c>
      <c r="I3">
        <v>53000</v>
      </c>
    </row>
    <row r="4" spans="1:9" x14ac:dyDescent="0.35">
      <c r="A4" t="s">
        <v>91</v>
      </c>
      <c r="B4" t="s">
        <v>111</v>
      </c>
      <c r="C4" t="s">
        <v>112</v>
      </c>
      <c r="D4" t="s">
        <v>21</v>
      </c>
      <c r="E4" t="s">
        <v>18</v>
      </c>
      <c r="F4">
        <v>1</v>
      </c>
      <c r="G4">
        <v>0.4</v>
      </c>
      <c r="H4">
        <v>7600</v>
      </c>
      <c r="I4">
        <v>53000</v>
      </c>
    </row>
    <row r="5" spans="1:9" x14ac:dyDescent="0.35">
      <c r="A5" t="s">
        <v>72</v>
      </c>
      <c r="B5" t="s">
        <v>113</v>
      </c>
      <c r="C5" t="s">
        <v>114</v>
      </c>
      <c r="D5" t="s">
        <v>23</v>
      </c>
      <c r="E5" t="s">
        <v>22</v>
      </c>
      <c r="F5">
        <v>1</v>
      </c>
      <c r="G5">
        <v>0.33</v>
      </c>
      <c r="H5">
        <v>7590</v>
      </c>
      <c r="I5">
        <v>40500</v>
      </c>
    </row>
    <row r="6" spans="1:9" x14ac:dyDescent="0.35">
      <c r="A6" t="s">
        <v>85</v>
      </c>
      <c r="B6" t="s">
        <v>115</v>
      </c>
      <c r="C6" t="s">
        <v>116</v>
      </c>
      <c r="D6" t="s">
        <v>25</v>
      </c>
      <c r="E6" t="s">
        <v>24</v>
      </c>
      <c r="F6">
        <v>1</v>
      </c>
      <c r="G6">
        <v>0.33</v>
      </c>
      <c r="H6">
        <v>3300</v>
      </c>
      <c r="I6">
        <v>40500</v>
      </c>
    </row>
    <row r="7" spans="1:9" x14ac:dyDescent="0.35">
      <c r="A7" t="s">
        <v>59</v>
      </c>
      <c r="B7" t="s">
        <v>117</v>
      </c>
      <c r="C7" t="s">
        <v>114</v>
      </c>
      <c r="D7" t="s">
        <v>23</v>
      </c>
      <c r="E7" t="s">
        <v>22</v>
      </c>
      <c r="F7">
        <v>1</v>
      </c>
      <c r="G7">
        <v>0.33</v>
      </c>
      <c r="H7">
        <v>7590</v>
      </c>
      <c r="I7">
        <v>38500</v>
      </c>
    </row>
    <row r="8" spans="1:9" x14ac:dyDescent="0.35">
      <c r="A8" t="s">
        <v>88</v>
      </c>
      <c r="B8" t="s">
        <v>118</v>
      </c>
      <c r="C8" t="s">
        <v>119</v>
      </c>
      <c r="D8" t="s">
        <v>26</v>
      </c>
      <c r="E8" t="s">
        <v>24</v>
      </c>
      <c r="F8">
        <v>1</v>
      </c>
      <c r="G8">
        <v>0.35</v>
      </c>
      <c r="H8">
        <v>5250</v>
      </c>
      <c r="I8">
        <v>38500</v>
      </c>
    </row>
    <row r="9" spans="1:9" x14ac:dyDescent="0.35">
      <c r="A9" t="s">
        <v>62</v>
      </c>
      <c r="B9" t="s">
        <v>120</v>
      </c>
      <c r="C9" t="s">
        <v>121</v>
      </c>
      <c r="D9" t="s">
        <v>27</v>
      </c>
      <c r="E9" t="s">
        <v>22</v>
      </c>
      <c r="F9">
        <v>1</v>
      </c>
      <c r="G9">
        <v>0.45</v>
      </c>
      <c r="H9">
        <v>10800</v>
      </c>
      <c r="I9">
        <v>35000</v>
      </c>
    </row>
    <row r="10" spans="1:9" x14ac:dyDescent="0.35">
      <c r="A10" t="s">
        <v>81</v>
      </c>
      <c r="B10" t="s">
        <v>122</v>
      </c>
      <c r="C10" t="s">
        <v>123</v>
      </c>
      <c r="D10" t="s">
        <v>28</v>
      </c>
      <c r="E10" t="s">
        <v>22</v>
      </c>
      <c r="F10">
        <v>1</v>
      </c>
      <c r="G10">
        <v>0.45</v>
      </c>
      <c r="H10">
        <v>3150</v>
      </c>
      <c r="I10">
        <v>30500</v>
      </c>
    </row>
    <row r="11" spans="1:9" x14ac:dyDescent="0.35">
      <c r="A11" t="s">
        <v>77</v>
      </c>
      <c r="B11" t="s">
        <v>124</v>
      </c>
      <c r="C11" t="s">
        <v>125</v>
      </c>
      <c r="D11" t="s">
        <v>29</v>
      </c>
      <c r="E11" t="s">
        <v>22</v>
      </c>
      <c r="F11">
        <v>1</v>
      </c>
      <c r="G11">
        <v>0.35</v>
      </c>
      <c r="H11">
        <v>4900</v>
      </c>
      <c r="I11">
        <v>22500</v>
      </c>
    </row>
    <row r="12" spans="1:9" x14ac:dyDescent="0.35">
      <c r="A12" t="s">
        <v>79</v>
      </c>
      <c r="B12" t="s">
        <v>126</v>
      </c>
      <c r="C12" t="s">
        <v>125</v>
      </c>
      <c r="D12" t="s">
        <v>29</v>
      </c>
      <c r="E12" t="s">
        <v>22</v>
      </c>
      <c r="F12">
        <v>1</v>
      </c>
      <c r="G12">
        <v>0.7</v>
      </c>
      <c r="H12">
        <v>9800</v>
      </c>
      <c r="I12">
        <v>45000</v>
      </c>
    </row>
    <row r="13" spans="1:9" x14ac:dyDescent="0.35">
      <c r="A13" t="s">
        <v>68</v>
      </c>
      <c r="B13" t="s">
        <v>127</v>
      </c>
      <c r="C13" t="s">
        <v>128</v>
      </c>
      <c r="D13" t="s">
        <v>30</v>
      </c>
      <c r="E13" t="s">
        <v>18</v>
      </c>
      <c r="F13">
        <v>1</v>
      </c>
      <c r="G13">
        <v>0.15</v>
      </c>
      <c r="H13">
        <v>1500</v>
      </c>
      <c r="I13">
        <v>48000</v>
      </c>
    </row>
    <row r="14" spans="1:9" x14ac:dyDescent="0.35">
      <c r="A14" t="s">
        <v>68</v>
      </c>
      <c r="B14" t="s">
        <v>127</v>
      </c>
      <c r="C14" t="s">
        <v>125</v>
      </c>
      <c r="D14" t="s">
        <v>29</v>
      </c>
      <c r="E14" t="s">
        <v>22</v>
      </c>
      <c r="F14">
        <v>1</v>
      </c>
      <c r="G14">
        <v>0.2</v>
      </c>
      <c r="H14">
        <v>2800</v>
      </c>
      <c r="I14">
        <v>48000</v>
      </c>
    </row>
    <row r="15" spans="1:9" x14ac:dyDescent="0.35">
      <c r="A15" t="s">
        <v>68</v>
      </c>
      <c r="B15" t="s">
        <v>127</v>
      </c>
      <c r="C15" t="s">
        <v>129</v>
      </c>
      <c r="D15" t="s">
        <v>32</v>
      </c>
      <c r="E15" t="s">
        <v>31</v>
      </c>
      <c r="F15">
        <v>1</v>
      </c>
      <c r="G15">
        <v>0.1</v>
      </c>
      <c r="H15">
        <v>1500</v>
      </c>
      <c r="I15">
        <v>48000</v>
      </c>
    </row>
    <row r="16" spans="1:9" x14ac:dyDescent="0.35">
      <c r="A16" t="s">
        <v>66</v>
      </c>
      <c r="B16" t="s">
        <v>130</v>
      </c>
      <c r="C16" t="s">
        <v>131</v>
      </c>
      <c r="D16" t="s">
        <v>34</v>
      </c>
      <c r="E16" t="s">
        <v>33</v>
      </c>
      <c r="F16">
        <v>1</v>
      </c>
      <c r="G16">
        <v>0.5</v>
      </c>
      <c r="H16">
        <v>12500</v>
      </c>
      <c r="I16">
        <v>24000</v>
      </c>
    </row>
    <row r="17" spans="1:9" x14ac:dyDescent="0.35">
      <c r="A17" t="s">
        <v>73</v>
      </c>
      <c r="B17" t="s">
        <v>132</v>
      </c>
      <c r="C17" t="s">
        <v>133</v>
      </c>
      <c r="D17" t="s">
        <v>35</v>
      </c>
      <c r="E17" t="s">
        <v>18</v>
      </c>
      <c r="F17">
        <v>1</v>
      </c>
      <c r="G17">
        <v>0.3</v>
      </c>
      <c r="H17">
        <v>3600</v>
      </c>
      <c r="I17">
        <v>45000</v>
      </c>
    </row>
    <row r="18" spans="1:9" x14ac:dyDescent="0.35">
      <c r="A18" t="s">
        <v>80</v>
      </c>
      <c r="B18" t="s">
        <v>134</v>
      </c>
      <c r="C18" t="s">
        <v>133</v>
      </c>
      <c r="D18" t="s">
        <v>35</v>
      </c>
      <c r="E18" t="s">
        <v>18</v>
      </c>
      <c r="F18">
        <v>1</v>
      </c>
      <c r="G18">
        <v>0.3</v>
      </c>
      <c r="H18">
        <v>3600</v>
      </c>
      <c r="I18">
        <v>45000</v>
      </c>
    </row>
    <row r="19" spans="1:9" x14ac:dyDescent="0.35">
      <c r="A19" t="s">
        <v>65</v>
      </c>
      <c r="B19" t="s">
        <v>135</v>
      </c>
      <c r="C19" t="s">
        <v>136</v>
      </c>
      <c r="D19" t="s">
        <v>36</v>
      </c>
      <c r="E19" t="s">
        <v>18</v>
      </c>
      <c r="F19">
        <v>1</v>
      </c>
      <c r="G19">
        <v>0.3</v>
      </c>
      <c r="H19">
        <v>4200</v>
      </c>
      <c r="I19">
        <v>45000</v>
      </c>
    </row>
    <row r="20" spans="1:9" x14ac:dyDescent="0.35">
      <c r="A20" t="s">
        <v>78</v>
      </c>
      <c r="B20" t="s">
        <v>137</v>
      </c>
      <c r="C20" t="s">
        <v>136</v>
      </c>
      <c r="D20" t="s">
        <v>36</v>
      </c>
      <c r="E20" t="s">
        <v>18</v>
      </c>
      <c r="F20">
        <v>1</v>
      </c>
      <c r="G20">
        <v>0.3</v>
      </c>
      <c r="H20">
        <v>4200</v>
      </c>
      <c r="I20">
        <v>45000</v>
      </c>
    </row>
    <row r="21" spans="1:9" x14ac:dyDescent="0.35">
      <c r="A21" t="s">
        <v>69</v>
      </c>
      <c r="B21" t="s">
        <v>138</v>
      </c>
      <c r="C21" t="s">
        <v>125</v>
      </c>
      <c r="D21" t="s">
        <v>29</v>
      </c>
      <c r="E21" t="s">
        <v>22</v>
      </c>
      <c r="F21">
        <v>1</v>
      </c>
      <c r="G21">
        <v>0.15</v>
      </c>
      <c r="H21">
        <v>2100</v>
      </c>
      <c r="I21">
        <v>40500</v>
      </c>
    </row>
    <row r="22" spans="1:9" x14ac:dyDescent="0.35">
      <c r="A22" t="s">
        <v>69</v>
      </c>
      <c r="B22" t="s">
        <v>138</v>
      </c>
      <c r="C22" t="s">
        <v>129</v>
      </c>
      <c r="D22" t="s">
        <v>32</v>
      </c>
      <c r="E22" t="s">
        <v>31</v>
      </c>
      <c r="F22">
        <v>1</v>
      </c>
      <c r="G22">
        <v>0.08</v>
      </c>
      <c r="H22">
        <v>1200</v>
      </c>
      <c r="I22">
        <v>40500</v>
      </c>
    </row>
    <row r="23" spans="1:9" x14ac:dyDescent="0.35">
      <c r="A23" t="s">
        <v>87</v>
      </c>
      <c r="B23" t="s">
        <v>139</v>
      </c>
      <c r="C23" t="s">
        <v>140</v>
      </c>
      <c r="D23" t="s">
        <v>37</v>
      </c>
      <c r="E23" t="s">
        <v>24</v>
      </c>
      <c r="F23">
        <v>1</v>
      </c>
      <c r="G23">
        <v>0.35</v>
      </c>
      <c r="H23">
        <v>6650</v>
      </c>
      <c r="I23">
        <v>35500</v>
      </c>
    </row>
    <row r="24" spans="1:9" x14ac:dyDescent="0.35">
      <c r="A24" t="s">
        <v>76</v>
      </c>
      <c r="B24" t="s">
        <v>141</v>
      </c>
      <c r="C24" t="s">
        <v>142</v>
      </c>
      <c r="D24" t="s">
        <v>38</v>
      </c>
      <c r="E24" t="s">
        <v>24</v>
      </c>
      <c r="F24">
        <v>1</v>
      </c>
      <c r="G24">
        <v>0.25</v>
      </c>
      <c r="H24">
        <v>1250</v>
      </c>
      <c r="I24">
        <v>31500</v>
      </c>
    </row>
    <row r="25" spans="1:9" x14ac:dyDescent="0.35">
      <c r="A25" t="s">
        <v>67</v>
      </c>
      <c r="B25" t="s">
        <v>143</v>
      </c>
      <c r="C25" t="s">
        <v>144</v>
      </c>
      <c r="D25" t="s">
        <v>40</v>
      </c>
      <c r="E25" t="s">
        <v>39</v>
      </c>
      <c r="F25">
        <v>1</v>
      </c>
      <c r="G25">
        <v>0.3</v>
      </c>
      <c r="H25">
        <v>5700</v>
      </c>
      <c r="I25">
        <v>48500</v>
      </c>
    </row>
    <row r="26" spans="1:9" x14ac:dyDescent="0.35">
      <c r="A26" t="s">
        <v>89</v>
      </c>
      <c r="B26" t="s">
        <v>145</v>
      </c>
      <c r="C26" t="s">
        <v>146</v>
      </c>
      <c r="D26" t="s">
        <v>41</v>
      </c>
      <c r="E26" t="s">
        <v>39</v>
      </c>
      <c r="F26">
        <v>1</v>
      </c>
      <c r="G26">
        <v>0.25</v>
      </c>
      <c r="H26">
        <v>6000</v>
      </c>
      <c r="I26">
        <v>48500</v>
      </c>
    </row>
    <row r="27" spans="1:9" x14ac:dyDescent="0.35">
      <c r="A27" t="s">
        <v>90</v>
      </c>
      <c r="B27" t="s">
        <v>147</v>
      </c>
      <c r="C27" t="s">
        <v>148</v>
      </c>
      <c r="D27" t="s">
        <v>42</v>
      </c>
      <c r="E27" t="s">
        <v>39</v>
      </c>
      <c r="F27">
        <v>1</v>
      </c>
      <c r="G27">
        <v>0.25</v>
      </c>
      <c r="H27">
        <v>5750</v>
      </c>
      <c r="I27">
        <v>48000</v>
      </c>
    </row>
    <row r="28" spans="1:9" x14ac:dyDescent="0.35">
      <c r="A28" t="s">
        <v>90</v>
      </c>
      <c r="B28" t="s">
        <v>147</v>
      </c>
      <c r="C28" t="s">
        <v>146</v>
      </c>
      <c r="D28" t="s">
        <v>41</v>
      </c>
      <c r="E28" t="s">
        <v>39</v>
      </c>
      <c r="F28">
        <v>1</v>
      </c>
      <c r="G28">
        <v>0.08</v>
      </c>
      <c r="H28">
        <v>1920</v>
      </c>
      <c r="I28">
        <v>48000</v>
      </c>
    </row>
    <row r="29" spans="1:9" x14ac:dyDescent="0.35">
      <c r="A29" t="s">
        <v>63</v>
      </c>
      <c r="B29" t="s">
        <v>149</v>
      </c>
      <c r="C29" t="s">
        <v>148</v>
      </c>
      <c r="D29" t="s">
        <v>42</v>
      </c>
      <c r="E29" t="s">
        <v>39</v>
      </c>
      <c r="F29">
        <v>1</v>
      </c>
      <c r="G29">
        <v>0.25</v>
      </c>
      <c r="H29">
        <v>5750</v>
      </c>
      <c r="I29">
        <v>45000</v>
      </c>
    </row>
    <row r="30" spans="1:9" x14ac:dyDescent="0.35">
      <c r="A30" t="s">
        <v>86</v>
      </c>
      <c r="B30" t="s">
        <v>150</v>
      </c>
      <c r="C30" t="s">
        <v>151</v>
      </c>
      <c r="D30" t="s">
        <v>43</v>
      </c>
      <c r="E30" t="s">
        <v>39</v>
      </c>
      <c r="F30">
        <v>1</v>
      </c>
      <c r="G30">
        <v>0.45</v>
      </c>
      <c r="H30">
        <v>9900</v>
      </c>
      <c r="I30">
        <v>45000</v>
      </c>
    </row>
    <row r="31" spans="1:9" x14ac:dyDescent="0.35">
      <c r="A31" t="s">
        <v>86</v>
      </c>
      <c r="B31" t="s">
        <v>150</v>
      </c>
      <c r="C31" t="s">
        <v>146</v>
      </c>
      <c r="D31" t="s">
        <v>41</v>
      </c>
      <c r="E31" t="s">
        <v>39</v>
      </c>
      <c r="F31">
        <v>1</v>
      </c>
      <c r="G31">
        <v>0.08</v>
      </c>
      <c r="H31">
        <v>1920</v>
      </c>
      <c r="I31">
        <v>45000</v>
      </c>
    </row>
    <row r="32" spans="1:9" x14ac:dyDescent="0.35">
      <c r="A32" t="s">
        <v>74</v>
      </c>
      <c r="B32" t="s">
        <v>152</v>
      </c>
      <c r="C32" t="s">
        <v>151</v>
      </c>
      <c r="D32" t="s">
        <v>43</v>
      </c>
      <c r="E32" t="s">
        <v>39</v>
      </c>
      <c r="F32">
        <v>1</v>
      </c>
      <c r="G32">
        <v>0.45</v>
      </c>
      <c r="H32">
        <v>9900</v>
      </c>
      <c r="I32">
        <v>38500</v>
      </c>
    </row>
    <row r="33" spans="1:9" x14ac:dyDescent="0.35">
      <c r="A33" t="s">
        <v>64</v>
      </c>
      <c r="B33" t="s">
        <v>153</v>
      </c>
      <c r="C33" t="s">
        <v>154</v>
      </c>
      <c r="D33" t="s">
        <v>44</v>
      </c>
      <c r="E33" t="s">
        <v>39</v>
      </c>
      <c r="F33">
        <v>1</v>
      </c>
      <c r="G33">
        <v>0.4</v>
      </c>
      <c r="H33">
        <v>4000</v>
      </c>
      <c r="I33">
        <v>45000</v>
      </c>
    </row>
    <row r="34" spans="1:9" x14ac:dyDescent="0.35">
      <c r="A34" t="s">
        <v>64</v>
      </c>
      <c r="B34" t="s">
        <v>153</v>
      </c>
      <c r="C34" t="s">
        <v>146</v>
      </c>
      <c r="D34" t="s">
        <v>41</v>
      </c>
      <c r="E34" t="s">
        <v>39</v>
      </c>
      <c r="F34">
        <v>1</v>
      </c>
      <c r="G34">
        <v>0.08</v>
      </c>
      <c r="H34">
        <v>1920</v>
      </c>
      <c r="I34">
        <v>45000</v>
      </c>
    </row>
    <row r="35" spans="1:9" x14ac:dyDescent="0.35">
      <c r="A35" t="s">
        <v>92</v>
      </c>
      <c r="B35" t="s">
        <v>155</v>
      </c>
      <c r="C35" t="s">
        <v>154</v>
      </c>
      <c r="D35" t="s">
        <v>44</v>
      </c>
      <c r="E35" t="s">
        <v>39</v>
      </c>
      <c r="F35">
        <v>1</v>
      </c>
      <c r="G35">
        <v>0.4</v>
      </c>
      <c r="H35">
        <v>4000</v>
      </c>
      <c r="I35">
        <v>38500</v>
      </c>
    </row>
    <row r="36" spans="1:9" x14ac:dyDescent="0.35">
      <c r="A36" t="s">
        <v>57</v>
      </c>
      <c r="B36" t="s">
        <v>156</v>
      </c>
      <c r="C36" t="s">
        <v>146</v>
      </c>
      <c r="D36" t="s">
        <v>41</v>
      </c>
      <c r="E36" t="s">
        <v>39</v>
      </c>
      <c r="F36">
        <v>1</v>
      </c>
      <c r="G36">
        <v>0.15</v>
      </c>
      <c r="H36">
        <v>3600</v>
      </c>
      <c r="I36">
        <v>45000</v>
      </c>
    </row>
    <row r="37" spans="1:9" x14ac:dyDescent="0.35">
      <c r="A37" t="s">
        <v>95</v>
      </c>
      <c r="B37" t="s">
        <v>157</v>
      </c>
      <c r="C37" t="s">
        <v>144</v>
      </c>
      <c r="D37" t="s">
        <v>40</v>
      </c>
      <c r="E37" t="s">
        <v>39</v>
      </c>
      <c r="F37">
        <v>1</v>
      </c>
      <c r="G37">
        <v>0.2</v>
      </c>
      <c r="H37">
        <v>3800</v>
      </c>
      <c r="I37">
        <v>45000</v>
      </c>
    </row>
    <row r="38" spans="1:9" x14ac:dyDescent="0.35">
      <c r="A38" t="s">
        <v>83</v>
      </c>
      <c r="B38" t="s">
        <v>158</v>
      </c>
      <c r="C38" t="s">
        <v>114</v>
      </c>
      <c r="D38" t="s">
        <v>23</v>
      </c>
      <c r="E38" t="s">
        <v>22</v>
      </c>
      <c r="F38">
        <v>2</v>
      </c>
      <c r="G38">
        <v>0.66</v>
      </c>
      <c r="H38">
        <v>15180</v>
      </c>
      <c r="I38">
        <v>75000</v>
      </c>
    </row>
    <row r="39" spans="1:9" x14ac:dyDescent="0.35">
      <c r="A39" t="s">
        <v>71</v>
      </c>
      <c r="B39" t="s">
        <v>159</v>
      </c>
      <c r="C39" t="s">
        <v>116</v>
      </c>
      <c r="D39" t="s">
        <v>25</v>
      </c>
      <c r="E39" t="s">
        <v>24</v>
      </c>
      <c r="F39">
        <v>2</v>
      </c>
      <c r="G39">
        <v>0.66</v>
      </c>
      <c r="H39">
        <v>6600</v>
      </c>
      <c r="I39">
        <v>75000</v>
      </c>
    </row>
    <row r="40" spans="1:9" x14ac:dyDescent="0.35">
      <c r="A40" t="s">
        <v>70</v>
      </c>
      <c r="B40" t="s">
        <v>160</v>
      </c>
      <c r="C40" t="s">
        <v>114</v>
      </c>
      <c r="D40" t="s">
        <v>23</v>
      </c>
      <c r="E40" t="s">
        <v>22</v>
      </c>
      <c r="F40">
        <v>2</v>
      </c>
      <c r="G40">
        <v>0.66</v>
      </c>
      <c r="H40">
        <v>15180</v>
      </c>
      <c r="I40">
        <v>67500</v>
      </c>
    </row>
    <row r="41" spans="1:9" x14ac:dyDescent="0.35">
      <c r="A41" t="s">
        <v>61</v>
      </c>
      <c r="B41" t="s">
        <v>161</v>
      </c>
      <c r="C41" t="s">
        <v>119</v>
      </c>
      <c r="D41" t="s">
        <v>26</v>
      </c>
      <c r="E41" t="s">
        <v>24</v>
      </c>
      <c r="F41">
        <v>2</v>
      </c>
      <c r="G41">
        <v>0.7</v>
      </c>
      <c r="H41">
        <v>10500</v>
      </c>
      <c r="I41">
        <v>67500</v>
      </c>
    </row>
    <row r="42" spans="1:9" x14ac:dyDescent="0.35">
      <c r="A42" t="s">
        <v>97</v>
      </c>
      <c r="B42" t="s">
        <v>162</v>
      </c>
      <c r="C42" t="s">
        <v>121</v>
      </c>
      <c r="D42" t="s">
        <v>27</v>
      </c>
      <c r="E42" t="s">
        <v>22</v>
      </c>
      <c r="F42">
        <v>2</v>
      </c>
      <c r="G42">
        <v>0.9</v>
      </c>
      <c r="H42">
        <v>21600</v>
      </c>
      <c r="I42">
        <v>58500</v>
      </c>
    </row>
    <row r="43" spans="1:9" x14ac:dyDescent="0.35">
      <c r="A43" t="s">
        <v>93</v>
      </c>
      <c r="B43" t="s">
        <v>163</v>
      </c>
      <c r="C43" t="s">
        <v>125</v>
      </c>
      <c r="D43" t="s">
        <v>29</v>
      </c>
      <c r="E43" t="s">
        <v>22</v>
      </c>
      <c r="F43">
        <v>2</v>
      </c>
      <c r="G43">
        <v>0.3</v>
      </c>
      <c r="H43">
        <v>4200</v>
      </c>
      <c r="I43">
        <v>75000</v>
      </c>
    </row>
    <row r="44" spans="1:9" x14ac:dyDescent="0.35">
      <c r="A44" t="s">
        <v>93</v>
      </c>
      <c r="B44" t="s">
        <v>163</v>
      </c>
      <c r="C44" t="s">
        <v>129</v>
      </c>
      <c r="D44" t="s">
        <v>32</v>
      </c>
      <c r="E44" t="s">
        <v>31</v>
      </c>
      <c r="F44">
        <v>2</v>
      </c>
      <c r="G44">
        <v>0.16</v>
      </c>
      <c r="H44">
        <v>2400</v>
      </c>
      <c r="I44">
        <v>75000</v>
      </c>
    </row>
    <row r="45" spans="1:9" x14ac:dyDescent="0.35">
      <c r="A45" t="s">
        <v>94</v>
      </c>
      <c r="B45" t="s">
        <v>164</v>
      </c>
      <c r="C45" t="s">
        <v>151</v>
      </c>
      <c r="D45" t="s">
        <v>43</v>
      </c>
      <c r="E45" t="s">
        <v>39</v>
      </c>
      <c r="F45">
        <v>2</v>
      </c>
      <c r="G45">
        <v>0.9</v>
      </c>
      <c r="H45">
        <v>19800</v>
      </c>
      <c r="I45">
        <v>68500</v>
      </c>
    </row>
    <row r="46" spans="1:9" x14ac:dyDescent="0.35">
      <c r="A46" t="s">
        <v>75</v>
      </c>
      <c r="B46" t="s">
        <v>165</v>
      </c>
      <c r="C46" t="s">
        <v>110</v>
      </c>
      <c r="D46" t="s">
        <v>20</v>
      </c>
      <c r="E46" t="s">
        <v>18</v>
      </c>
      <c r="F46">
        <v>2</v>
      </c>
      <c r="G46">
        <v>0.8</v>
      </c>
      <c r="H46">
        <v>8800</v>
      </c>
      <c r="I46">
        <v>98000</v>
      </c>
    </row>
    <row r="47" spans="1:9" x14ac:dyDescent="0.35">
      <c r="A47" t="s">
        <v>56</v>
      </c>
      <c r="B47" t="s">
        <v>166</v>
      </c>
      <c r="C47" t="s">
        <v>112</v>
      </c>
      <c r="D47" t="s">
        <v>21</v>
      </c>
      <c r="E47" t="s">
        <v>18</v>
      </c>
      <c r="F47">
        <v>2</v>
      </c>
      <c r="G47">
        <v>0.8</v>
      </c>
      <c r="H47">
        <v>15200</v>
      </c>
      <c r="I47">
        <v>98000</v>
      </c>
    </row>
    <row r="48" spans="1:9" x14ac:dyDescent="0.35">
      <c r="A48" t="s">
        <v>84</v>
      </c>
      <c r="B48" t="s">
        <v>167</v>
      </c>
      <c r="C48" t="s">
        <v>129</v>
      </c>
      <c r="D48" t="s">
        <v>32</v>
      </c>
      <c r="E48" t="s">
        <v>31</v>
      </c>
      <c r="F48">
        <v>1</v>
      </c>
      <c r="G48">
        <v>0.1</v>
      </c>
      <c r="H48">
        <v>1500</v>
      </c>
      <c r="I48">
        <v>15000</v>
      </c>
    </row>
    <row r="49" spans="1:9" x14ac:dyDescent="0.35">
      <c r="A49" t="s">
        <v>58</v>
      </c>
      <c r="B49" t="s">
        <v>168</v>
      </c>
      <c r="C49" t="s">
        <v>169</v>
      </c>
      <c r="D49" t="s">
        <v>45</v>
      </c>
      <c r="E49" t="s">
        <v>18</v>
      </c>
      <c r="F49">
        <v>1</v>
      </c>
      <c r="G49">
        <v>0.15</v>
      </c>
      <c r="H49">
        <v>1500</v>
      </c>
      <c r="I49">
        <v>16000</v>
      </c>
    </row>
    <row r="50" spans="1:9" x14ac:dyDescent="0.35">
      <c r="A50" t="s">
        <v>96</v>
      </c>
      <c r="B50" t="s">
        <v>170</v>
      </c>
      <c r="C50" t="s">
        <v>125</v>
      </c>
      <c r="D50" t="s">
        <v>29</v>
      </c>
      <c r="E50" t="s">
        <v>22</v>
      </c>
      <c r="F50">
        <v>1</v>
      </c>
      <c r="G50">
        <v>0.15</v>
      </c>
      <c r="H50">
        <v>2100</v>
      </c>
      <c r="I50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6. Conteo Bodega</vt:lpstr>
      <vt:lpstr>2. Catálogo</vt:lpstr>
      <vt:lpstr>3. Compras</vt:lpstr>
      <vt:lpstr>5. Ventas</vt:lpstr>
      <vt:lpstr>7. Recetas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2026-08-02T05:52:55Z</dcterms:created>
  <dcterms:modified xsi:type="dcterms:W3CDTF">2026-08-04T21:26:18Z</dcterms:modified>
</cp:coreProperties>
</file>