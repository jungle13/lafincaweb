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1EA81739-EE58-4DB3-86A5-D98C25C9A862}" xr6:coauthVersionLast="47" xr6:coauthVersionMax="47" xr10:uidLastSave="{00000000-0000-0000-0000-000000000000}"/>
  <bookViews>
    <workbookView xWindow="3930" yWindow="3135" windowWidth="21600" windowHeight="11295" xr2:uid="{00000000-000D-0000-FFFF-FFFF00000000}"/>
  </bookViews>
  <sheets>
    <sheet name="Dashboard" sheetId="1" r:id="rId1"/>
    <sheet name="Dashboard Ventas" sheetId="2" r:id="rId2"/>
    <sheet name="Dashboard Carnes" sheetId="3" r:id="rId3"/>
    <sheet name="Dashboard Bebidas" sheetId="4" r:id="rId4"/>
    <sheet name="Detalle Ventas Septiembre 2026" sheetId="5" r:id="rId5"/>
    <sheet name="Detalle Compras Septiembre 2026" sheetId="6" r:id="rId6"/>
    <sheet name="Auditoría Cuaderno vs Excel" sheetId="7" r:id="rId7"/>
    <sheet name="Auditoria libro de Caja" sheetId="8" r:id="rId8"/>
    <sheet name="Hoja1" sheetId="9" state="hidden" r:id="rId9"/>
    <sheet name="Agosto 2026" sheetId="10" state="hidden" r:id="rId10"/>
    <sheet name="Transacciones Repetidas" sheetId="11" state="hidden" r:id="rId11"/>
  </sheets>
  <definedNames>
    <definedName name="_xlnm._FilterDatabase" localSheetId="9" hidden="1">'Agosto 2026'!$A$1:$G$1</definedName>
    <definedName name="_xlnm._FilterDatabase" localSheetId="6" hidden="1">'Auditoría Cuaderno vs Excel'!$B$10:$J$53</definedName>
    <definedName name="_xlnm._FilterDatabase" localSheetId="7" hidden="1">'Auditoria libro de Caja'!$B$10:$L$80</definedName>
    <definedName name="_xlnm._FilterDatabase" localSheetId="2" hidden="1">'Dashboard Carnes'!$B$9:$G$9</definedName>
    <definedName name="_xlnm._FilterDatabase" localSheetId="5" hidden="1">'Detalle Compras Septiembre 2026'!$A$1:$J$497</definedName>
    <definedName name="_xlnm._FilterDatabase" localSheetId="4" hidden="1">'Detalle Ventas Septiembre 2026'!$A$1:$N$1100</definedName>
    <definedName name="_xlnm._FilterDatabase" localSheetId="8" hidden="1">Hoja1!$A$1:$C$1</definedName>
    <definedName name="_xlnm._FilterDatabase" localSheetId="10" hidden="1">'Transacciones Repetidas'!$A$1:$H$1</definedName>
    <definedName name="Print_Area" localSheetId="0">Dashboard!$B$2:$N$61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7" i="9" l="1"/>
  <c r="B106" i="9"/>
  <c r="C105" i="9"/>
  <c r="B105" i="9"/>
  <c r="C104" i="9"/>
  <c r="B104" i="9"/>
  <c r="C103" i="9"/>
  <c r="B103" i="9"/>
  <c r="C102" i="9"/>
  <c r="B102" i="9"/>
  <c r="C101" i="9"/>
  <c r="B101" i="9"/>
  <c r="C100" i="9"/>
  <c r="B100" i="9"/>
  <c r="C99" i="9"/>
  <c r="B99" i="9"/>
  <c r="C98" i="9"/>
  <c r="B98" i="9"/>
  <c r="C97" i="9"/>
  <c r="B97" i="9"/>
  <c r="C96" i="9"/>
  <c r="B96" i="9"/>
  <c r="C95" i="9"/>
  <c r="B95" i="9"/>
  <c r="C94" i="9"/>
  <c r="B94" i="9"/>
  <c r="C93" i="9"/>
  <c r="B93" i="9"/>
  <c r="C92" i="9"/>
  <c r="B92" i="9"/>
  <c r="C91" i="9"/>
  <c r="B91" i="9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B67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" i="9"/>
  <c r="B5" i="9"/>
  <c r="C4" i="9"/>
  <c r="B4" i="9"/>
  <c r="C3" i="9"/>
  <c r="B3" i="9"/>
  <c r="C2" i="9"/>
  <c r="B2" i="9"/>
  <c r="K93" i="8"/>
  <c r="J93" i="8"/>
  <c r="I93" i="8"/>
  <c r="H93" i="8"/>
  <c r="B6" i="8" s="1"/>
  <c r="G93" i="8"/>
  <c r="E93" i="8"/>
  <c r="D93" i="8"/>
  <c r="K80" i="8"/>
  <c r="D6" i="8" s="1"/>
  <c r="E80" i="8"/>
  <c r="D51" i="7"/>
  <c r="D53" i="7" s="1"/>
  <c r="F49" i="7"/>
  <c r="D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568" i="6"/>
  <c r="G567" i="6"/>
  <c r="R50" i="4" s="1"/>
  <c r="G566" i="6"/>
  <c r="R49" i="4" s="1"/>
  <c r="G565" i="6"/>
  <c r="R48" i="4" s="1"/>
  <c r="G564" i="6"/>
  <c r="G563" i="6"/>
  <c r="G562" i="6"/>
  <c r="G561" i="6"/>
  <c r="G560" i="6"/>
  <c r="G559" i="6"/>
  <c r="O75" i="3" s="1"/>
  <c r="G558" i="6"/>
  <c r="G557" i="6"/>
  <c r="G556" i="6"/>
  <c r="G555" i="6"/>
  <c r="G554" i="6"/>
  <c r="G553" i="6"/>
  <c r="G552" i="6"/>
  <c r="G551" i="6"/>
  <c r="G550" i="6"/>
  <c r="R52" i="4" s="1"/>
  <c r="G549" i="6"/>
  <c r="R80" i="4" s="1"/>
  <c r="G548" i="6"/>
  <c r="G547" i="6"/>
  <c r="R78" i="4" s="1"/>
  <c r="G546" i="6"/>
  <c r="R77" i="4" s="1"/>
  <c r="G545" i="6"/>
  <c r="R76" i="4" s="1"/>
  <c r="G544" i="6"/>
  <c r="G543" i="6"/>
  <c r="R74" i="4" s="1"/>
  <c r="G542" i="6"/>
  <c r="R73" i="4" s="1"/>
  <c r="G541" i="6"/>
  <c r="G540" i="6"/>
  <c r="G539" i="6"/>
  <c r="G538" i="6"/>
  <c r="G537" i="6"/>
  <c r="G536" i="6"/>
  <c r="G535" i="6"/>
  <c r="R71" i="4" s="1"/>
  <c r="G534" i="6"/>
  <c r="R70" i="4" s="1"/>
  <c r="G533" i="6"/>
  <c r="G532" i="6"/>
  <c r="G531" i="6"/>
  <c r="O45" i="3" s="1"/>
  <c r="G530" i="6"/>
  <c r="G529" i="6"/>
  <c r="G528" i="6"/>
  <c r="G527" i="6"/>
  <c r="G526" i="6"/>
  <c r="R45" i="4" s="1"/>
  <c r="G525" i="6"/>
  <c r="R44" i="4" s="1"/>
  <c r="G524" i="6"/>
  <c r="G523" i="6"/>
  <c r="R42" i="4" s="1"/>
  <c r="G522" i="6"/>
  <c r="G521" i="6"/>
  <c r="R40" i="4" s="1"/>
  <c r="G520" i="6"/>
  <c r="G519" i="6"/>
  <c r="R38" i="4" s="1"/>
  <c r="G518" i="6"/>
  <c r="R37" i="4" s="1"/>
  <c r="G517" i="6"/>
  <c r="R36" i="4" s="1"/>
  <c r="G516" i="6"/>
  <c r="G515" i="6"/>
  <c r="R34" i="4" s="1"/>
  <c r="G514" i="6"/>
  <c r="R33" i="4" s="1"/>
  <c r="G513" i="6"/>
  <c r="R32" i="4" s="1"/>
  <c r="G512" i="6"/>
  <c r="G511" i="6"/>
  <c r="O99" i="3" s="1"/>
  <c r="G510" i="6"/>
  <c r="G509" i="6"/>
  <c r="G508" i="6"/>
  <c r="G507" i="6"/>
  <c r="G506" i="6"/>
  <c r="R89" i="4" s="1"/>
  <c r="G505" i="6"/>
  <c r="G504" i="6"/>
  <c r="G503" i="6"/>
  <c r="O109" i="3" s="1"/>
  <c r="G502" i="6"/>
  <c r="R88" i="4" s="1"/>
  <c r="G501" i="6"/>
  <c r="R87" i="4" s="1"/>
  <c r="G500" i="6"/>
  <c r="G499" i="6"/>
  <c r="R93" i="4" s="1"/>
  <c r="G498" i="6"/>
  <c r="R92" i="4" s="1"/>
  <c r="G497" i="6"/>
  <c r="G496" i="6"/>
  <c r="G495" i="6"/>
  <c r="G494" i="6"/>
  <c r="G493" i="6"/>
  <c r="G492" i="6"/>
  <c r="G491" i="6"/>
  <c r="G490" i="6"/>
  <c r="G489" i="6"/>
  <c r="G488" i="6"/>
  <c r="G487" i="6"/>
  <c r="O131" i="3" s="1"/>
  <c r="G486" i="6"/>
  <c r="G485" i="6"/>
  <c r="G484" i="6"/>
  <c r="G483" i="6"/>
  <c r="G482" i="6"/>
  <c r="G481" i="6"/>
  <c r="G480" i="6"/>
  <c r="G479" i="6"/>
  <c r="G478" i="6"/>
  <c r="G477" i="6"/>
  <c r="O127" i="3" s="1"/>
  <c r="G476" i="6"/>
  <c r="G475" i="6"/>
  <c r="G474" i="6"/>
  <c r="G473" i="6"/>
  <c r="G472" i="6"/>
  <c r="G471" i="6"/>
  <c r="G470" i="6"/>
  <c r="G469" i="6"/>
  <c r="G468" i="6"/>
  <c r="G467" i="6"/>
  <c r="G466" i="6"/>
  <c r="G465" i="6"/>
  <c r="G464" i="6"/>
  <c r="G463" i="6"/>
  <c r="G462" i="6"/>
  <c r="R97" i="4" s="1"/>
  <c r="G461" i="6"/>
  <c r="R96" i="4" s="1"/>
  <c r="G460" i="6"/>
  <c r="G459" i="6"/>
  <c r="G458" i="6"/>
  <c r="O120" i="3" s="1"/>
  <c r="G457" i="6"/>
  <c r="G456" i="6"/>
  <c r="G455" i="6"/>
  <c r="G454" i="6"/>
  <c r="G453" i="6"/>
  <c r="G452" i="6"/>
  <c r="G451" i="6"/>
  <c r="G450" i="6"/>
  <c r="G449" i="6"/>
  <c r="G448" i="6"/>
  <c r="G447" i="6"/>
  <c r="G446" i="6"/>
  <c r="G445" i="6"/>
  <c r="G444" i="6"/>
  <c r="G443" i="6"/>
  <c r="G442" i="6"/>
  <c r="G441" i="6"/>
  <c r="G440" i="6"/>
  <c r="G439" i="6"/>
  <c r="G438" i="6"/>
  <c r="G437" i="6"/>
  <c r="G436" i="6"/>
  <c r="G435" i="6"/>
  <c r="O119" i="3" s="1"/>
  <c r="G434" i="6"/>
  <c r="G433" i="6"/>
  <c r="G432" i="6"/>
  <c r="G431" i="6"/>
  <c r="G430" i="6"/>
  <c r="O115" i="3" s="1"/>
  <c r="G429" i="6"/>
  <c r="G428" i="6"/>
  <c r="G427" i="6"/>
  <c r="G426" i="6"/>
  <c r="G425" i="6"/>
  <c r="O111" i="3" s="1"/>
  <c r="G424" i="6"/>
  <c r="G423" i="6"/>
  <c r="G422" i="6"/>
  <c r="G421" i="6"/>
  <c r="G420" i="6"/>
  <c r="G419" i="6"/>
  <c r="G418" i="6"/>
  <c r="G417" i="6"/>
  <c r="G416" i="6"/>
  <c r="G415" i="6"/>
  <c r="G414" i="6"/>
  <c r="G413" i="6"/>
  <c r="G412" i="6"/>
  <c r="G411" i="6"/>
  <c r="G410" i="6"/>
  <c r="G409" i="6"/>
  <c r="G408" i="6"/>
  <c r="G407" i="6"/>
  <c r="G406" i="6"/>
  <c r="O106" i="3" s="1"/>
  <c r="G405" i="6"/>
  <c r="G404" i="6"/>
  <c r="G403" i="6"/>
  <c r="G402" i="6"/>
  <c r="G401" i="6"/>
  <c r="G400" i="6"/>
  <c r="G399" i="6"/>
  <c r="G398" i="6"/>
  <c r="G397" i="6"/>
  <c r="G396" i="6"/>
  <c r="G395" i="6"/>
  <c r="G394" i="6"/>
  <c r="G393" i="6"/>
  <c r="G392" i="6"/>
  <c r="G391" i="6"/>
  <c r="G390" i="6"/>
  <c r="O105" i="3" s="1"/>
  <c r="G389" i="6"/>
  <c r="G388" i="6"/>
  <c r="G387" i="6"/>
  <c r="G386" i="6"/>
  <c r="G385" i="6"/>
  <c r="G384" i="6"/>
  <c r="G383" i="6"/>
  <c r="G382" i="6"/>
  <c r="G381" i="6"/>
  <c r="G380" i="6"/>
  <c r="G379" i="6"/>
  <c r="G378" i="6"/>
  <c r="G377" i="6"/>
  <c r="G376" i="6"/>
  <c r="G375" i="6"/>
  <c r="G374" i="6"/>
  <c r="G373" i="6"/>
  <c r="C106" i="9" s="1"/>
  <c r="G370" i="6"/>
  <c r="G369" i="6"/>
  <c r="G368" i="6"/>
  <c r="R84" i="4" s="1"/>
  <c r="G367" i="6"/>
  <c r="R83" i="4" s="1"/>
  <c r="G356" i="6"/>
  <c r="G355" i="6"/>
  <c r="G354" i="6"/>
  <c r="G353" i="6"/>
  <c r="G352" i="6"/>
  <c r="G351" i="6"/>
  <c r="G350" i="6"/>
  <c r="G330" i="6"/>
  <c r="G329" i="6"/>
  <c r="G328" i="6"/>
  <c r="G321" i="6"/>
  <c r="G320" i="6"/>
  <c r="G319" i="6"/>
  <c r="G318" i="6"/>
  <c r="G317" i="6"/>
  <c r="O91" i="3" s="1"/>
  <c r="G316" i="6"/>
  <c r="G315" i="6"/>
  <c r="G314" i="6"/>
  <c r="G272" i="6"/>
  <c r="G271" i="6"/>
  <c r="G270" i="6"/>
  <c r="G269" i="6"/>
  <c r="G268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00" i="6"/>
  <c r="G195" i="6"/>
  <c r="G194" i="6"/>
  <c r="G193" i="6"/>
  <c r="G192" i="6"/>
  <c r="G191" i="6"/>
  <c r="G190" i="6"/>
  <c r="G28" i="6"/>
  <c r="M1100" i="5"/>
  <c r="K1100" i="5"/>
  <c r="K1099" i="5"/>
  <c r="M1099" i="5" s="1"/>
  <c r="K1098" i="5"/>
  <c r="M1098" i="5" s="1"/>
  <c r="K1097" i="5"/>
  <c r="M1097" i="5" s="1"/>
  <c r="K1096" i="5"/>
  <c r="M1096" i="5" s="1"/>
  <c r="K1095" i="5"/>
  <c r="M1095" i="5" s="1"/>
  <c r="K1094" i="5"/>
  <c r="M1094" i="5" s="1"/>
  <c r="K1093" i="5"/>
  <c r="M1093" i="5" s="1"/>
  <c r="M1092" i="5"/>
  <c r="K1092" i="5"/>
  <c r="K1091" i="5"/>
  <c r="M1091" i="5" s="1"/>
  <c r="K1090" i="5"/>
  <c r="M1090" i="5" s="1"/>
  <c r="K1089" i="5"/>
  <c r="M1089" i="5" s="1"/>
  <c r="M1088" i="5"/>
  <c r="K1088" i="5"/>
  <c r="K1087" i="5"/>
  <c r="M1087" i="5" s="1"/>
  <c r="K1086" i="5"/>
  <c r="M1086" i="5" s="1"/>
  <c r="K1085" i="5"/>
  <c r="M1085" i="5" s="1"/>
  <c r="M1084" i="5"/>
  <c r="K1084" i="5"/>
  <c r="K1083" i="5"/>
  <c r="M1083" i="5" s="1"/>
  <c r="M1082" i="5"/>
  <c r="K1082" i="5"/>
  <c r="K1081" i="5"/>
  <c r="M1081" i="5" s="1"/>
  <c r="M1080" i="5"/>
  <c r="K1080" i="5"/>
  <c r="K1079" i="5"/>
  <c r="M1079" i="5" s="1"/>
  <c r="K1078" i="5"/>
  <c r="M1078" i="5" s="1"/>
  <c r="K1077" i="5"/>
  <c r="M1077" i="5" s="1"/>
  <c r="M1076" i="5"/>
  <c r="K1076" i="5"/>
  <c r="K1075" i="5"/>
  <c r="M1075" i="5" s="1"/>
  <c r="M1074" i="5"/>
  <c r="K1074" i="5"/>
  <c r="K1073" i="5"/>
  <c r="M1073" i="5" s="1"/>
  <c r="M1072" i="5"/>
  <c r="K1072" i="5"/>
  <c r="K1071" i="5"/>
  <c r="M1071" i="5" s="1"/>
  <c r="K1070" i="5"/>
  <c r="M1070" i="5" s="1"/>
  <c r="K1069" i="5"/>
  <c r="M1069" i="5" s="1"/>
  <c r="M1068" i="5"/>
  <c r="K1068" i="5"/>
  <c r="K1067" i="5"/>
  <c r="M1067" i="5" s="1"/>
  <c r="M1066" i="5"/>
  <c r="K1066" i="5"/>
  <c r="K1065" i="5"/>
  <c r="M1065" i="5" s="1"/>
  <c r="K1064" i="5"/>
  <c r="M1064" i="5" s="1"/>
  <c r="K1063" i="5"/>
  <c r="M1063" i="5" s="1"/>
  <c r="K1062" i="5"/>
  <c r="M1062" i="5" s="1"/>
  <c r="K1061" i="5"/>
  <c r="M1061" i="5" s="1"/>
  <c r="M1060" i="5"/>
  <c r="K1060" i="5"/>
  <c r="K1059" i="5"/>
  <c r="M1059" i="5" s="1"/>
  <c r="K1058" i="5"/>
  <c r="M1058" i="5" s="1"/>
  <c r="K1057" i="5"/>
  <c r="M1057" i="5" s="1"/>
  <c r="M1056" i="5"/>
  <c r="K1056" i="5"/>
  <c r="K1055" i="5"/>
  <c r="M1055" i="5" s="1"/>
  <c r="K1054" i="5"/>
  <c r="M1054" i="5" s="1"/>
  <c r="K1053" i="5"/>
  <c r="M1053" i="5" s="1"/>
  <c r="M1052" i="5"/>
  <c r="K1052" i="5"/>
  <c r="K1051" i="5"/>
  <c r="M1051" i="5" s="1"/>
  <c r="M1050" i="5"/>
  <c r="K1050" i="5"/>
  <c r="K1049" i="5"/>
  <c r="M1049" i="5" s="1"/>
  <c r="M1048" i="5"/>
  <c r="K1048" i="5"/>
  <c r="K1047" i="5"/>
  <c r="M1047" i="5" s="1"/>
  <c r="K1046" i="5"/>
  <c r="M1046" i="5" s="1"/>
  <c r="K1045" i="5"/>
  <c r="M1045" i="5" s="1"/>
  <c r="M1044" i="5"/>
  <c r="K1044" i="5"/>
  <c r="K1043" i="5"/>
  <c r="M1043" i="5" s="1"/>
  <c r="M1042" i="5"/>
  <c r="K1042" i="5"/>
  <c r="K1041" i="5"/>
  <c r="M1041" i="5" s="1"/>
  <c r="K1040" i="5"/>
  <c r="M1040" i="5" s="1"/>
  <c r="K1039" i="5"/>
  <c r="M1039" i="5" s="1"/>
  <c r="K1038" i="5"/>
  <c r="M1038" i="5" s="1"/>
  <c r="K1037" i="5"/>
  <c r="M1037" i="5" s="1"/>
  <c r="M1036" i="5"/>
  <c r="K1036" i="5"/>
  <c r="K1035" i="5"/>
  <c r="M1035" i="5" s="1"/>
  <c r="K1034" i="5"/>
  <c r="M1034" i="5" s="1"/>
  <c r="G24" i="2" s="1"/>
  <c r="K1033" i="5"/>
  <c r="M1033" i="5" s="1"/>
  <c r="K1032" i="5"/>
  <c r="M1032" i="5" s="1"/>
  <c r="K1031" i="5"/>
  <c r="M1031" i="5" s="1"/>
  <c r="K1030" i="5"/>
  <c r="M1030" i="5" s="1"/>
  <c r="K1029" i="5"/>
  <c r="M1029" i="5" s="1"/>
  <c r="M1028" i="5"/>
  <c r="K1028" i="5"/>
  <c r="K1027" i="5"/>
  <c r="M1027" i="5" s="1"/>
  <c r="K1026" i="5"/>
  <c r="M1026" i="5" s="1"/>
  <c r="K1025" i="5"/>
  <c r="M1025" i="5" s="1"/>
  <c r="M1024" i="5"/>
  <c r="K1024" i="5"/>
  <c r="K1023" i="5"/>
  <c r="M1023" i="5" s="1"/>
  <c r="P30" i="2" s="1"/>
  <c r="K1022" i="5"/>
  <c r="M1022" i="5" s="1"/>
  <c r="K1021" i="5"/>
  <c r="M1021" i="5" s="1"/>
  <c r="M1020" i="5"/>
  <c r="K1020" i="5"/>
  <c r="K1019" i="5"/>
  <c r="M1019" i="5" s="1"/>
  <c r="M1018" i="5"/>
  <c r="K1018" i="5"/>
  <c r="K1017" i="5"/>
  <c r="M1017" i="5" s="1"/>
  <c r="M1016" i="5"/>
  <c r="K1016" i="5"/>
  <c r="K1015" i="5"/>
  <c r="M1015" i="5" s="1"/>
  <c r="K1014" i="5"/>
  <c r="M1014" i="5" s="1"/>
  <c r="K1013" i="5"/>
  <c r="M1013" i="5" s="1"/>
  <c r="M1012" i="5"/>
  <c r="K1012" i="5"/>
  <c r="K1011" i="5"/>
  <c r="M1011" i="5" s="1"/>
  <c r="M1010" i="5"/>
  <c r="K1010" i="5"/>
  <c r="K1009" i="5"/>
  <c r="M1009" i="5" s="1"/>
  <c r="M1008" i="5"/>
  <c r="K1008" i="5"/>
  <c r="K1007" i="5"/>
  <c r="M1007" i="5" s="1"/>
  <c r="K1006" i="5"/>
  <c r="M1006" i="5" s="1"/>
  <c r="K1005" i="5"/>
  <c r="M1005" i="5" s="1"/>
  <c r="M1004" i="5"/>
  <c r="K1004" i="5"/>
  <c r="K1003" i="5"/>
  <c r="M1003" i="5" s="1"/>
  <c r="M1002" i="5"/>
  <c r="K1002" i="5"/>
  <c r="K1001" i="5"/>
  <c r="M1001" i="5" s="1"/>
  <c r="K1000" i="5"/>
  <c r="M1000" i="5" s="1"/>
  <c r="K999" i="5"/>
  <c r="M999" i="5" s="1"/>
  <c r="G23" i="2" s="1"/>
  <c r="K998" i="5"/>
  <c r="M998" i="5" s="1"/>
  <c r="K997" i="5"/>
  <c r="M997" i="5" s="1"/>
  <c r="M996" i="5"/>
  <c r="K996" i="5"/>
  <c r="K995" i="5"/>
  <c r="M995" i="5" s="1"/>
  <c r="K994" i="5"/>
  <c r="M994" i="5" s="1"/>
  <c r="K993" i="5"/>
  <c r="M993" i="5" s="1"/>
  <c r="M992" i="5"/>
  <c r="K992" i="5"/>
  <c r="K991" i="5"/>
  <c r="M991" i="5" s="1"/>
  <c r="K990" i="5"/>
  <c r="M990" i="5" s="1"/>
  <c r="K989" i="5"/>
  <c r="M989" i="5" s="1"/>
  <c r="M988" i="5"/>
  <c r="K988" i="5"/>
  <c r="K987" i="5"/>
  <c r="M987" i="5" s="1"/>
  <c r="M986" i="5"/>
  <c r="K986" i="5"/>
  <c r="K985" i="5"/>
  <c r="M985" i="5" s="1"/>
  <c r="M984" i="5"/>
  <c r="K984" i="5"/>
  <c r="K983" i="5"/>
  <c r="M983" i="5" s="1"/>
  <c r="K982" i="5"/>
  <c r="M982" i="5" s="1"/>
  <c r="K981" i="5"/>
  <c r="M981" i="5" s="1"/>
  <c r="M980" i="5"/>
  <c r="K980" i="5"/>
  <c r="K979" i="5"/>
  <c r="M979" i="5" s="1"/>
  <c r="M978" i="5"/>
  <c r="K978" i="5"/>
  <c r="K977" i="5"/>
  <c r="M977" i="5" s="1"/>
  <c r="K976" i="5"/>
  <c r="M976" i="5" s="1"/>
  <c r="K975" i="5"/>
  <c r="M975" i="5" s="1"/>
  <c r="K974" i="5"/>
  <c r="M974" i="5" s="1"/>
  <c r="K973" i="5"/>
  <c r="M973" i="5" s="1"/>
  <c r="M972" i="5"/>
  <c r="K972" i="5"/>
  <c r="K971" i="5"/>
  <c r="M971" i="5" s="1"/>
  <c r="K970" i="5"/>
  <c r="M970" i="5" s="1"/>
  <c r="K969" i="5"/>
  <c r="M969" i="5" s="1"/>
  <c r="K968" i="5"/>
  <c r="M968" i="5" s="1"/>
  <c r="K967" i="5"/>
  <c r="M967" i="5" s="1"/>
  <c r="K966" i="5"/>
  <c r="M966" i="5" s="1"/>
  <c r="K965" i="5"/>
  <c r="M965" i="5" s="1"/>
  <c r="M964" i="5"/>
  <c r="K964" i="5"/>
  <c r="K963" i="5"/>
  <c r="M963" i="5" s="1"/>
  <c r="K962" i="5"/>
  <c r="M962" i="5" s="1"/>
  <c r="K961" i="5"/>
  <c r="M961" i="5" s="1"/>
  <c r="M960" i="5"/>
  <c r="K960" i="5"/>
  <c r="K959" i="5"/>
  <c r="M959" i="5" s="1"/>
  <c r="K958" i="5"/>
  <c r="M958" i="5" s="1"/>
  <c r="K957" i="5"/>
  <c r="M957" i="5" s="1"/>
  <c r="M956" i="5"/>
  <c r="K956" i="5"/>
  <c r="K955" i="5"/>
  <c r="M955" i="5" s="1"/>
  <c r="M954" i="5"/>
  <c r="K954" i="5"/>
  <c r="K953" i="5"/>
  <c r="M953" i="5" s="1"/>
  <c r="M952" i="5"/>
  <c r="K952" i="5"/>
  <c r="K951" i="5"/>
  <c r="M951" i="5" s="1"/>
  <c r="K950" i="5"/>
  <c r="M950" i="5" s="1"/>
  <c r="K949" i="5"/>
  <c r="M949" i="5" s="1"/>
  <c r="M948" i="5"/>
  <c r="K948" i="5"/>
  <c r="K947" i="5"/>
  <c r="M947" i="5" s="1"/>
  <c r="M946" i="5"/>
  <c r="K946" i="5"/>
  <c r="K945" i="5"/>
  <c r="M945" i="5" s="1"/>
  <c r="M944" i="5"/>
  <c r="K944" i="5"/>
  <c r="K943" i="5"/>
  <c r="M943" i="5" s="1"/>
  <c r="K942" i="5"/>
  <c r="M942" i="5" s="1"/>
  <c r="K941" i="5"/>
  <c r="M941" i="5" s="1"/>
  <c r="M940" i="5"/>
  <c r="K940" i="5"/>
  <c r="K939" i="5"/>
  <c r="M939" i="5" s="1"/>
  <c r="M938" i="5"/>
  <c r="K938" i="5"/>
  <c r="K937" i="5"/>
  <c r="M937" i="5" s="1"/>
  <c r="K936" i="5"/>
  <c r="M936" i="5" s="1"/>
  <c r="K935" i="5"/>
  <c r="M935" i="5" s="1"/>
  <c r="K934" i="5"/>
  <c r="M934" i="5" s="1"/>
  <c r="K933" i="5"/>
  <c r="M933" i="5" s="1"/>
  <c r="M932" i="5"/>
  <c r="K932" i="5"/>
  <c r="K931" i="5"/>
  <c r="M931" i="5" s="1"/>
  <c r="K930" i="5"/>
  <c r="M930" i="5" s="1"/>
  <c r="K929" i="5"/>
  <c r="M929" i="5" s="1"/>
  <c r="M928" i="5"/>
  <c r="K928" i="5"/>
  <c r="K927" i="5"/>
  <c r="M927" i="5" s="1"/>
  <c r="K926" i="5"/>
  <c r="M926" i="5" s="1"/>
  <c r="K925" i="5"/>
  <c r="M925" i="5" s="1"/>
  <c r="M924" i="5"/>
  <c r="K924" i="5"/>
  <c r="K923" i="5"/>
  <c r="M923" i="5" s="1"/>
  <c r="M922" i="5"/>
  <c r="K922" i="5"/>
  <c r="K921" i="5"/>
  <c r="M921" i="5" s="1"/>
  <c r="M920" i="5"/>
  <c r="K920" i="5"/>
  <c r="K919" i="5"/>
  <c r="M919" i="5" s="1"/>
  <c r="K918" i="5"/>
  <c r="M918" i="5" s="1"/>
  <c r="K917" i="5"/>
  <c r="M917" i="5" s="1"/>
  <c r="M916" i="5"/>
  <c r="K916" i="5"/>
  <c r="K915" i="5"/>
  <c r="M915" i="5" s="1"/>
  <c r="M914" i="5"/>
  <c r="K914" i="5"/>
  <c r="K913" i="5"/>
  <c r="M913" i="5" s="1"/>
  <c r="K912" i="5"/>
  <c r="M912" i="5" s="1"/>
  <c r="K911" i="5"/>
  <c r="M911" i="5" s="1"/>
  <c r="K910" i="5"/>
  <c r="M910" i="5" s="1"/>
  <c r="K909" i="5"/>
  <c r="M909" i="5" s="1"/>
  <c r="M908" i="5"/>
  <c r="K908" i="5"/>
  <c r="K907" i="5"/>
  <c r="M907" i="5" s="1"/>
  <c r="K906" i="5"/>
  <c r="M906" i="5" s="1"/>
  <c r="K905" i="5"/>
  <c r="M905" i="5" s="1"/>
  <c r="K904" i="5"/>
  <c r="M904" i="5" s="1"/>
  <c r="K903" i="5"/>
  <c r="M903" i="5" s="1"/>
  <c r="K902" i="5"/>
  <c r="M902" i="5" s="1"/>
  <c r="K901" i="5"/>
  <c r="M901" i="5" s="1"/>
  <c r="M900" i="5"/>
  <c r="K900" i="5"/>
  <c r="K899" i="5"/>
  <c r="M899" i="5" s="1"/>
  <c r="K898" i="5"/>
  <c r="M898" i="5" s="1"/>
  <c r="K897" i="5"/>
  <c r="M897" i="5" s="1"/>
  <c r="M896" i="5"/>
  <c r="K896" i="5"/>
  <c r="K895" i="5"/>
  <c r="M895" i="5" s="1"/>
  <c r="K894" i="5"/>
  <c r="M894" i="5" s="1"/>
  <c r="K893" i="5"/>
  <c r="M893" i="5" s="1"/>
  <c r="M892" i="5"/>
  <c r="K892" i="5"/>
  <c r="K891" i="5"/>
  <c r="M891" i="5" s="1"/>
  <c r="M890" i="5"/>
  <c r="K890" i="5"/>
  <c r="K889" i="5"/>
  <c r="M889" i="5" s="1"/>
  <c r="M888" i="5"/>
  <c r="K888" i="5"/>
  <c r="K887" i="5"/>
  <c r="M887" i="5" s="1"/>
  <c r="K886" i="5"/>
  <c r="M886" i="5" s="1"/>
  <c r="K885" i="5"/>
  <c r="M885" i="5" s="1"/>
  <c r="M884" i="5"/>
  <c r="K884" i="5"/>
  <c r="K883" i="5"/>
  <c r="M883" i="5" s="1"/>
  <c r="M882" i="5"/>
  <c r="K882" i="5"/>
  <c r="K881" i="5"/>
  <c r="M881" i="5" s="1"/>
  <c r="M880" i="5"/>
  <c r="K880" i="5"/>
  <c r="K879" i="5"/>
  <c r="M879" i="5" s="1"/>
  <c r="K878" i="5"/>
  <c r="M878" i="5" s="1"/>
  <c r="K877" i="5"/>
  <c r="M877" i="5" s="1"/>
  <c r="M876" i="5"/>
  <c r="K876" i="5"/>
  <c r="K875" i="5"/>
  <c r="M875" i="5" s="1"/>
  <c r="M874" i="5"/>
  <c r="K874" i="5"/>
  <c r="K873" i="5"/>
  <c r="M873" i="5" s="1"/>
  <c r="K872" i="5"/>
  <c r="M872" i="5" s="1"/>
  <c r="K871" i="5"/>
  <c r="M871" i="5" s="1"/>
  <c r="G22" i="2" s="1"/>
  <c r="K870" i="5"/>
  <c r="M870" i="5" s="1"/>
  <c r="K869" i="5"/>
  <c r="M869" i="5" s="1"/>
  <c r="M868" i="5"/>
  <c r="K868" i="5"/>
  <c r="K867" i="5"/>
  <c r="M867" i="5" s="1"/>
  <c r="K866" i="5"/>
  <c r="M866" i="5" s="1"/>
  <c r="K865" i="5"/>
  <c r="M865" i="5" s="1"/>
  <c r="M864" i="5"/>
  <c r="K864" i="5"/>
  <c r="K863" i="5"/>
  <c r="M863" i="5" s="1"/>
  <c r="K862" i="5"/>
  <c r="M862" i="5" s="1"/>
  <c r="K861" i="5"/>
  <c r="M861" i="5" s="1"/>
  <c r="M860" i="5"/>
  <c r="K860" i="5"/>
  <c r="K859" i="5"/>
  <c r="M859" i="5" s="1"/>
  <c r="M858" i="5"/>
  <c r="K858" i="5"/>
  <c r="K857" i="5"/>
  <c r="M857" i="5" s="1"/>
  <c r="M856" i="5"/>
  <c r="K856" i="5"/>
  <c r="K855" i="5"/>
  <c r="M855" i="5" s="1"/>
  <c r="K854" i="5"/>
  <c r="M854" i="5" s="1"/>
  <c r="K853" i="5"/>
  <c r="M853" i="5" s="1"/>
  <c r="M852" i="5"/>
  <c r="K852" i="5"/>
  <c r="K851" i="5"/>
  <c r="M851" i="5" s="1"/>
  <c r="M850" i="5"/>
  <c r="K850" i="5"/>
  <c r="K849" i="5"/>
  <c r="M849" i="5" s="1"/>
  <c r="K848" i="5"/>
  <c r="M848" i="5" s="1"/>
  <c r="K847" i="5"/>
  <c r="M847" i="5" s="1"/>
  <c r="K846" i="5"/>
  <c r="M846" i="5" s="1"/>
  <c r="K845" i="5"/>
  <c r="M845" i="5" s="1"/>
  <c r="M844" i="5"/>
  <c r="K844" i="5"/>
  <c r="K843" i="5"/>
  <c r="M843" i="5" s="1"/>
  <c r="K842" i="5"/>
  <c r="M842" i="5" s="1"/>
  <c r="K841" i="5"/>
  <c r="M841" i="5" s="1"/>
  <c r="K840" i="5"/>
  <c r="M840" i="5" s="1"/>
  <c r="K839" i="5"/>
  <c r="M839" i="5" s="1"/>
  <c r="K838" i="5"/>
  <c r="M838" i="5" s="1"/>
  <c r="K837" i="5"/>
  <c r="M837" i="5" s="1"/>
  <c r="M836" i="5"/>
  <c r="K836" i="5"/>
  <c r="K835" i="5"/>
  <c r="M835" i="5" s="1"/>
  <c r="K834" i="5"/>
  <c r="M834" i="5" s="1"/>
  <c r="K833" i="5"/>
  <c r="M833" i="5" s="1"/>
  <c r="M832" i="5"/>
  <c r="K832" i="5"/>
  <c r="K831" i="5"/>
  <c r="M831" i="5" s="1"/>
  <c r="K830" i="5"/>
  <c r="M830" i="5" s="1"/>
  <c r="K829" i="5"/>
  <c r="M829" i="5" s="1"/>
  <c r="M828" i="5"/>
  <c r="K828" i="5"/>
  <c r="K827" i="5"/>
  <c r="M827" i="5" s="1"/>
  <c r="M826" i="5"/>
  <c r="K826" i="5"/>
  <c r="K825" i="5"/>
  <c r="M825" i="5" s="1"/>
  <c r="M824" i="5"/>
  <c r="K824" i="5"/>
  <c r="K823" i="5"/>
  <c r="M823" i="5" s="1"/>
  <c r="K822" i="5"/>
  <c r="M822" i="5" s="1"/>
  <c r="K821" i="5"/>
  <c r="M821" i="5" s="1"/>
  <c r="M820" i="5"/>
  <c r="K820" i="5"/>
  <c r="K819" i="5"/>
  <c r="M819" i="5" s="1"/>
  <c r="M818" i="5"/>
  <c r="K818" i="5"/>
  <c r="K817" i="5"/>
  <c r="M817" i="5" s="1"/>
  <c r="M816" i="5"/>
  <c r="K816" i="5"/>
  <c r="K815" i="5"/>
  <c r="M815" i="5" s="1"/>
  <c r="K814" i="5"/>
  <c r="M814" i="5" s="1"/>
  <c r="K813" i="5"/>
  <c r="M813" i="5" s="1"/>
  <c r="M812" i="5"/>
  <c r="K812" i="5"/>
  <c r="K811" i="5"/>
  <c r="M811" i="5" s="1"/>
  <c r="M810" i="5"/>
  <c r="K810" i="5"/>
  <c r="K809" i="5"/>
  <c r="M809" i="5" s="1"/>
  <c r="K808" i="5"/>
  <c r="M808" i="5" s="1"/>
  <c r="K807" i="5"/>
  <c r="M807" i="5" s="1"/>
  <c r="K806" i="5"/>
  <c r="M806" i="5" s="1"/>
  <c r="K805" i="5"/>
  <c r="M805" i="5" s="1"/>
  <c r="M804" i="5"/>
  <c r="K804" i="5"/>
  <c r="K803" i="5"/>
  <c r="M803" i="5" s="1"/>
  <c r="K802" i="5"/>
  <c r="M802" i="5" s="1"/>
  <c r="K801" i="5"/>
  <c r="M801" i="5" s="1"/>
  <c r="M800" i="5"/>
  <c r="K800" i="5"/>
  <c r="K799" i="5"/>
  <c r="M799" i="5" s="1"/>
  <c r="K798" i="5"/>
  <c r="M798" i="5" s="1"/>
  <c r="K797" i="5"/>
  <c r="M797" i="5" s="1"/>
  <c r="M796" i="5"/>
  <c r="K796" i="5"/>
  <c r="K795" i="5"/>
  <c r="M795" i="5" s="1"/>
  <c r="M794" i="5"/>
  <c r="K794" i="5"/>
  <c r="K793" i="5"/>
  <c r="M793" i="5" s="1"/>
  <c r="M792" i="5"/>
  <c r="K792" i="5"/>
  <c r="K791" i="5"/>
  <c r="M791" i="5" s="1"/>
  <c r="K790" i="5"/>
  <c r="M790" i="5" s="1"/>
  <c r="K789" i="5"/>
  <c r="M789" i="5" s="1"/>
  <c r="M788" i="5"/>
  <c r="K788" i="5"/>
  <c r="K787" i="5"/>
  <c r="M787" i="5" s="1"/>
  <c r="M786" i="5"/>
  <c r="K786" i="5"/>
  <c r="K785" i="5"/>
  <c r="M785" i="5" s="1"/>
  <c r="K784" i="5"/>
  <c r="M784" i="5" s="1"/>
  <c r="K783" i="5"/>
  <c r="M783" i="5" s="1"/>
  <c r="K782" i="5"/>
  <c r="M782" i="5" s="1"/>
  <c r="K781" i="5"/>
  <c r="M781" i="5" s="1"/>
  <c r="M780" i="5"/>
  <c r="G21" i="2" s="1"/>
  <c r="K780" i="5"/>
  <c r="K779" i="5"/>
  <c r="M779" i="5" s="1"/>
  <c r="K778" i="5"/>
  <c r="M778" i="5" s="1"/>
  <c r="K777" i="5"/>
  <c r="M777" i="5" s="1"/>
  <c r="K776" i="5"/>
  <c r="M776" i="5" s="1"/>
  <c r="K775" i="5"/>
  <c r="M775" i="5" s="1"/>
  <c r="K774" i="5"/>
  <c r="M774" i="5" s="1"/>
  <c r="K773" i="5"/>
  <c r="M773" i="5" s="1"/>
  <c r="M772" i="5"/>
  <c r="K772" i="5"/>
  <c r="K771" i="5"/>
  <c r="M771" i="5" s="1"/>
  <c r="K770" i="5"/>
  <c r="M770" i="5" s="1"/>
  <c r="K769" i="5"/>
  <c r="M769" i="5" s="1"/>
  <c r="M768" i="5"/>
  <c r="K768" i="5"/>
  <c r="K767" i="5"/>
  <c r="M767" i="5" s="1"/>
  <c r="M766" i="5"/>
  <c r="K766" i="5"/>
  <c r="K765" i="5"/>
  <c r="M765" i="5" s="1"/>
  <c r="M764" i="5"/>
  <c r="K764" i="5"/>
  <c r="K763" i="5"/>
  <c r="M763" i="5" s="1"/>
  <c r="K762" i="5"/>
  <c r="M762" i="5" s="1"/>
  <c r="K761" i="5"/>
  <c r="M761" i="5" s="1"/>
  <c r="M760" i="5"/>
  <c r="K760" i="5"/>
  <c r="K759" i="5"/>
  <c r="M759" i="5" s="1"/>
  <c r="M758" i="5"/>
  <c r="K758" i="5"/>
  <c r="K757" i="5"/>
  <c r="M757" i="5" s="1"/>
  <c r="K756" i="5"/>
  <c r="M756" i="5" s="1"/>
  <c r="K755" i="5"/>
  <c r="M755" i="5" s="1"/>
  <c r="K754" i="5"/>
  <c r="M754" i="5" s="1"/>
  <c r="K753" i="5"/>
  <c r="M753" i="5" s="1"/>
  <c r="M752" i="5"/>
  <c r="K752" i="5"/>
  <c r="K751" i="5"/>
  <c r="M751" i="5" s="1"/>
  <c r="M750" i="5"/>
  <c r="K750" i="5"/>
  <c r="K749" i="5"/>
  <c r="M749" i="5" s="1"/>
  <c r="K748" i="5"/>
  <c r="M748" i="5" s="1"/>
  <c r="K747" i="5"/>
  <c r="M747" i="5" s="1"/>
  <c r="K746" i="5"/>
  <c r="M746" i="5" s="1"/>
  <c r="K745" i="5"/>
  <c r="M745" i="5" s="1"/>
  <c r="M744" i="5"/>
  <c r="K744" i="5"/>
  <c r="K743" i="5"/>
  <c r="M743" i="5" s="1"/>
  <c r="M742" i="5"/>
  <c r="K742" i="5"/>
  <c r="K741" i="5"/>
  <c r="M741" i="5" s="1"/>
  <c r="K740" i="5"/>
  <c r="M740" i="5" s="1"/>
  <c r="K739" i="5"/>
  <c r="M739" i="5" s="1"/>
  <c r="K738" i="5"/>
  <c r="M738" i="5" s="1"/>
  <c r="K737" i="5"/>
  <c r="M737" i="5" s="1"/>
  <c r="M736" i="5"/>
  <c r="K736" i="5"/>
  <c r="K735" i="5"/>
  <c r="M735" i="5" s="1"/>
  <c r="M734" i="5"/>
  <c r="K734" i="5"/>
  <c r="K733" i="5"/>
  <c r="M733" i="5" s="1"/>
  <c r="M732" i="5"/>
  <c r="K732" i="5"/>
  <c r="K731" i="5"/>
  <c r="M731" i="5" s="1"/>
  <c r="K730" i="5"/>
  <c r="M730" i="5" s="1"/>
  <c r="K729" i="5"/>
  <c r="M729" i="5" s="1"/>
  <c r="M728" i="5"/>
  <c r="K728" i="5"/>
  <c r="K727" i="5"/>
  <c r="M727" i="5" s="1"/>
  <c r="M726" i="5"/>
  <c r="K726" i="5"/>
  <c r="K725" i="5"/>
  <c r="M725" i="5" s="1"/>
  <c r="K724" i="5"/>
  <c r="M724" i="5" s="1"/>
  <c r="K723" i="5"/>
  <c r="M723" i="5" s="1"/>
  <c r="K722" i="5"/>
  <c r="M722" i="5" s="1"/>
  <c r="K721" i="5"/>
  <c r="M721" i="5" s="1"/>
  <c r="M720" i="5"/>
  <c r="K720" i="5"/>
  <c r="K719" i="5"/>
  <c r="M719" i="5" s="1"/>
  <c r="M718" i="5"/>
  <c r="K718" i="5"/>
  <c r="K717" i="5"/>
  <c r="M717" i="5" s="1"/>
  <c r="K716" i="5"/>
  <c r="M716" i="5" s="1"/>
  <c r="K715" i="5"/>
  <c r="M715" i="5" s="1"/>
  <c r="K714" i="5"/>
  <c r="M714" i="5" s="1"/>
  <c r="K713" i="5"/>
  <c r="M713" i="5" s="1"/>
  <c r="M712" i="5"/>
  <c r="K712" i="5"/>
  <c r="K711" i="5"/>
  <c r="M711" i="5" s="1"/>
  <c r="M710" i="5"/>
  <c r="K710" i="5"/>
  <c r="K709" i="5"/>
  <c r="M709" i="5" s="1"/>
  <c r="K708" i="5"/>
  <c r="M708" i="5" s="1"/>
  <c r="K707" i="5"/>
  <c r="M707" i="5" s="1"/>
  <c r="K706" i="5"/>
  <c r="M706" i="5" s="1"/>
  <c r="K705" i="5"/>
  <c r="M705" i="5" s="1"/>
  <c r="M704" i="5"/>
  <c r="K704" i="5"/>
  <c r="K703" i="5"/>
  <c r="M703" i="5" s="1"/>
  <c r="M702" i="5"/>
  <c r="K702" i="5"/>
  <c r="K701" i="5"/>
  <c r="M701" i="5" s="1"/>
  <c r="M700" i="5"/>
  <c r="K700" i="5"/>
  <c r="K699" i="5"/>
  <c r="M699" i="5" s="1"/>
  <c r="K698" i="5"/>
  <c r="M698" i="5" s="1"/>
  <c r="K697" i="5"/>
  <c r="M697" i="5" s="1"/>
  <c r="M696" i="5"/>
  <c r="K696" i="5"/>
  <c r="K695" i="5"/>
  <c r="M695" i="5" s="1"/>
  <c r="M694" i="5"/>
  <c r="K694" i="5"/>
  <c r="K693" i="5"/>
  <c r="M693" i="5" s="1"/>
  <c r="K692" i="5"/>
  <c r="M692" i="5" s="1"/>
  <c r="K691" i="5"/>
  <c r="M691" i="5" s="1"/>
  <c r="K690" i="5"/>
  <c r="M690" i="5" s="1"/>
  <c r="K689" i="5"/>
  <c r="M689" i="5" s="1"/>
  <c r="M688" i="5"/>
  <c r="K688" i="5"/>
  <c r="K687" i="5"/>
  <c r="M687" i="5" s="1"/>
  <c r="M686" i="5"/>
  <c r="K686" i="5"/>
  <c r="K685" i="5"/>
  <c r="M685" i="5" s="1"/>
  <c r="K684" i="5"/>
  <c r="M684" i="5" s="1"/>
  <c r="M683" i="5"/>
  <c r="K683" i="5"/>
  <c r="K682" i="5"/>
  <c r="M682" i="5" s="1"/>
  <c r="M681" i="5"/>
  <c r="K681" i="5"/>
  <c r="K680" i="5"/>
  <c r="M680" i="5" s="1"/>
  <c r="M679" i="5"/>
  <c r="K679" i="5"/>
  <c r="K678" i="5"/>
  <c r="M678" i="5" s="1"/>
  <c r="M677" i="5"/>
  <c r="K677" i="5"/>
  <c r="K676" i="5"/>
  <c r="M676" i="5" s="1"/>
  <c r="M675" i="5"/>
  <c r="K675" i="5"/>
  <c r="K674" i="5"/>
  <c r="M674" i="5" s="1"/>
  <c r="M673" i="5"/>
  <c r="K673" i="5"/>
  <c r="K672" i="5"/>
  <c r="M672" i="5" s="1"/>
  <c r="M671" i="5"/>
  <c r="K671" i="5"/>
  <c r="K670" i="5"/>
  <c r="M670" i="5" s="1"/>
  <c r="M669" i="5"/>
  <c r="K669" i="5"/>
  <c r="K668" i="5"/>
  <c r="M668" i="5" s="1"/>
  <c r="M667" i="5"/>
  <c r="K667" i="5"/>
  <c r="K666" i="5"/>
  <c r="M666" i="5" s="1"/>
  <c r="M665" i="5"/>
  <c r="K665" i="5"/>
  <c r="K664" i="5"/>
  <c r="M664" i="5" s="1"/>
  <c r="M663" i="5"/>
  <c r="K663" i="5"/>
  <c r="K662" i="5"/>
  <c r="M662" i="5" s="1"/>
  <c r="M661" i="5"/>
  <c r="K661" i="5"/>
  <c r="K660" i="5"/>
  <c r="M660" i="5" s="1"/>
  <c r="M659" i="5"/>
  <c r="K659" i="5"/>
  <c r="K658" i="5"/>
  <c r="M658" i="5" s="1"/>
  <c r="M657" i="5"/>
  <c r="K657" i="5"/>
  <c r="K656" i="5"/>
  <c r="M656" i="5" s="1"/>
  <c r="M655" i="5"/>
  <c r="K655" i="5"/>
  <c r="K654" i="5"/>
  <c r="M654" i="5" s="1"/>
  <c r="M653" i="5"/>
  <c r="K653" i="5"/>
  <c r="K652" i="5"/>
  <c r="M652" i="5" s="1"/>
  <c r="M651" i="5"/>
  <c r="K651" i="5"/>
  <c r="K650" i="5"/>
  <c r="M650" i="5" s="1"/>
  <c r="M649" i="5"/>
  <c r="K649" i="5"/>
  <c r="K648" i="5"/>
  <c r="M648" i="5" s="1"/>
  <c r="M647" i="5"/>
  <c r="K647" i="5"/>
  <c r="K646" i="5"/>
  <c r="M646" i="5" s="1"/>
  <c r="M645" i="5"/>
  <c r="K645" i="5"/>
  <c r="K644" i="5"/>
  <c r="M644" i="5" s="1"/>
  <c r="M643" i="5"/>
  <c r="K643" i="5"/>
  <c r="K642" i="5"/>
  <c r="M642" i="5" s="1"/>
  <c r="M641" i="5"/>
  <c r="K641" i="5"/>
  <c r="K640" i="5"/>
  <c r="M640" i="5" s="1"/>
  <c r="M639" i="5"/>
  <c r="K639" i="5"/>
  <c r="K638" i="5"/>
  <c r="M638" i="5" s="1"/>
  <c r="M637" i="5"/>
  <c r="K637" i="5"/>
  <c r="K636" i="5"/>
  <c r="M636" i="5" s="1"/>
  <c r="M635" i="5"/>
  <c r="K635" i="5"/>
  <c r="K634" i="5"/>
  <c r="M634" i="5" s="1"/>
  <c r="M633" i="5"/>
  <c r="K633" i="5"/>
  <c r="K632" i="5"/>
  <c r="M632" i="5" s="1"/>
  <c r="M631" i="5"/>
  <c r="K631" i="5"/>
  <c r="K630" i="5"/>
  <c r="M630" i="5" s="1"/>
  <c r="M629" i="5"/>
  <c r="K629" i="5"/>
  <c r="K628" i="5"/>
  <c r="M628" i="5" s="1"/>
  <c r="M627" i="5"/>
  <c r="K627" i="5"/>
  <c r="K626" i="5"/>
  <c r="M626" i="5" s="1"/>
  <c r="M625" i="5"/>
  <c r="K625" i="5"/>
  <c r="K624" i="5"/>
  <c r="M624" i="5" s="1"/>
  <c r="G19" i="2" s="1"/>
  <c r="M623" i="5"/>
  <c r="K623" i="5"/>
  <c r="K622" i="5"/>
  <c r="M622" i="5" s="1"/>
  <c r="M621" i="5"/>
  <c r="K621" i="5"/>
  <c r="K620" i="5"/>
  <c r="M620" i="5" s="1"/>
  <c r="M619" i="5"/>
  <c r="K619" i="5"/>
  <c r="K618" i="5"/>
  <c r="M618" i="5" s="1"/>
  <c r="M617" i="5"/>
  <c r="K617" i="5"/>
  <c r="K616" i="5"/>
  <c r="M616" i="5" s="1"/>
  <c r="M615" i="5"/>
  <c r="K615" i="5"/>
  <c r="K614" i="5"/>
  <c r="M614" i="5" s="1"/>
  <c r="M613" i="5"/>
  <c r="K613" i="5"/>
  <c r="K612" i="5"/>
  <c r="M612" i="5" s="1"/>
  <c r="M611" i="5"/>
  <c r="K611" i="5"/>
  <c r="K610" i="5"/>
  <c r="M610" i="5" s="1"/>
  <c r="M609" i="5"/>
  <c r="K609" i="5"/>
  <c r="K608" i="5"/>
  <c r="M608" i="5" s="1"/>
  <c r="M607" i="5"/>
  <c r="K607" i="5"/>
  <c r="K606" i="5"/>
  <c r="M606" i="5" s="1"/>
  <c r="M605" i="5"/>
  <c r="K605" i="5"/>
  <c r="K604" i="5"/>
  <c r="M604" i="5" s="1"/>
  <c r="M603" i="5"/>
  <c r="K603" i="5"/>
  <c r="K602" i="5"/>
  <c r="M602" i="5" s="1"/>
  <c r="M601" i="5"/>
  <c r="K601" i="5"/>
  <c r="K600" i="5"/>
  <c r="M600" i="5" s="1"/>
  <c r="M599" i="5"/>
  <c r="K599" i="5"/>
  <c r="K598" i="5"/>
  <c r="M598" i="5" s="1"/>
  <c r="M597" i="5"/>
  <c r="K597" i="5"/>
  <c r="K596" i="5"/>
  <c r="M596" i="5" s="1"/>
  <c r="M595" i="5"/>
  <c r="K595" i="5"/>
  <c r="K594" i="5"/>
  <c r="M594" i="5" s="1"/>
  <c r="M593" i="5"/>
  <c r="K593" i="5"/>
  <c r="K592" i="5"/>
  <c r="M592" i="5" s="1"/>
  <c r="M591" i="5"/>
  <c r="K591" i="5"/>
  <c r="K590" i="5"/>
  <c r="M590" i="5" s="1"/>
  <c r="M589" i="5"/>
  <c r="K589" i="5"/>
  <c r="K588" i="5"/>
  <c r="M588" i="5" s="1"/>
  <c r="M587" i="5"/>
  <c r="K587" i="5"/>
  <c r="K586" i="5"/>
  <c r="M586" i="5" s="1"/>
  <c r="M585" i="5"/>
  <c r="K585" i="5"/>
  <c r="K584" i="5"/>
  <c r="M584" i="5" s="1"/>
  <c r="M583" i="5"/>
  <c r="K583" i="5"/>
  <c r="K582" i="5"/>
  <c r="M582" i="5" s="1"/>
  <c r="M581" i="5"/>
  <c r="K581" i="5"/>
  <c r="K580" i="5"/>
  <c r="M580" i="5" s="1"/>
  <c r="M579" i="5"/>
  <c r="K579" i="5"/>
  <c r="K578" i="5"/>
  <c r="M578" i="5" s="1"/>
  <c r="M577" i="5"/>
  <c r="K577" i="5"/>
  <c r="K576" i="5"/>
  <c r="M576" i="5" s="1"/>
  <c r="M575" i="5"/>
  <c r="K575" i="5"/>
  <c r="K574" i="5"/>
  <c r="M574" i="5" s="1"/>
  <c r="M573" i="5"/>
  <c r="K573" i="5"/>
  <c r="K572" i="5"/>
  <c r="M572" i="5" s="1"/>
  <c r="M571" i="5"/>
  <c r="K571" i="5"/>
  <c r="K570" i="5"/>
  <c r="M570" i="5" s="1"/>
  <c r="M569" i="5"/>
  <c r="K569" i="5"/>
  <c r="K568" i="5"/>
  <c r="M568" i="5" s="1"/>
  <c r="M567" i="5"/>
  <c r="K567" i="5"/>
  <c r="K566" i="5"/>
  <c r="M566" i="5" s="1"/>
  <c r="M565" i="5"/>
  <c r="K565" i="5"/>
  <c r="K564" i="5"/>
  <c r="M564" i="5" s="1"/>
  <c r="M563" i="5"/>
  <c r="K563" i="5"/>
  <c r="K562" i="5"/>
  <c r="M562" i="5" s="1"/>
  <c r="M561" i="5"/>
  <c r="K561" i="5"/>
  <c r="K560" i="5"/>
  <c r="M560" i="5" s="1"/>
  <c r="M559" i="5"/>
  <c r="K559" i="5"/>
  <c r="K558" i="5"/>
  <c r="M558" i="5" s="1"/>
  <c r="M557" i="5"/>
  <c r="K557" i="5"/>
  <c r="K556" i="5"/>
  <c r="M556" i="5" s="1"/>
  <c r="M555" i="5"/>
  <c r="K555" i="5"/>
  <c r="K554" i="5"/>
  <c r="M554" i="5" s="1"/>
  <c r="M553" i="5"/>
  <c r="K553" i="5"/>
  <c r="K552" i="5"/>
  <c r="M552" i="5" s="1"/>
  <c r="M551" i="5"/>
  <c r="K551" i="5"/>
  <c r="K550" i="5"/>
  <c r="M550" i="5" s="1"/>
  <c r="M549" i="5"/>
  <c r="K549" i="5"/>
  <c r="K548" i="5"/>
  <c r="M548" i="5" s="1"/>
  <c r="M547" i="5"/>
  <c r="K547" i="5"/>
  <c r="K546" i="5"/>
  <c r="M546" i="5" s="1"/>
  <c r="M545" i="5"/>
  <c r="K545" i="5"/>
  <c r="K544" i="5"/>
  <c r="M544" i="5" s="1"/>
  <c r="M543" i="5"/>
  <c r="K543" i="5"/>
  <c r="K542" i="5"/>
  <c r="M542" i="5" s="1"/>
  <c r="M541" i="5"/>
  <c r="K541" i="5"/>
  <c r="K540" i="5"/>
  <c r="M540" i="5" s="1"/>
  <c r="M539" i="5"/>
  <c r="K539" i="5"/>
  <c r="K538" i="5"/>
  <c r="M538" i="5" s="1"/>
  <c r="M537" i="5"/>
  <c r="K537" i="5"/>
  <c r="K536" i="5"/>
  <c r="M536" i="5" s="1"/>
  <c r="M535" i="5"/>
  <c r="K535" i="5"/>
  <c r="K534" i="5"/>
  <c r="M534" i="5" s="1"/>
  <c r="M533" i="5"/>
  <c r="K533" i="5"/>
  <c r="K532" i="5"/>
  <c r="M532" i="5" s="1"/>
  <c r="M531" i="5"/>
  <c r="K531" i="5"/>
  <c r="K530" i="5"/>
  <c r="M530" i="5" s="1"/>
  <c r="M529" i="5"/>
  <c r="K529" i="5"/>
  <c r="K528" i="5"/>
  <c r="M528" i="5" s="1"/>
  <c r="M527" i="5"/>
  <c r="K527" i="5"/>
  <c r="K526" i="5"/>
  <c r="M526" i="5" s="1"/>
  <c r="M525" i="5"/>
  <c r="K525" i="5"/>
  <c r="K524" i="5"/>
  <c r="M524" i="5" s="1"/>
  <c r="M523" i="5"/>
  <c r="K523" i="5"/>
  <c r="K522" i="5"/>
  <c r="M522" i="5" s="1"/>
  <c r="M521" i="5"/>
  <c r="K521" i="5"/>
  <c r="K520" i="5"/>
  <c r="M520" i="5" s="1"/>
  <c r="M519" i="5"/>
  <c r="K519" i="5"/>
  <c r="K518" i="5"/>
  <c r="M518" i="5" s="1"/>
  <c r="M517" i="5"/>
  <c r="K517" i="5"/>
  <c r="K516" i="5"/>
  <c r="M516" i="5" s="1"/>
  <c r="M515" i="5"/>
  <c r="K515" i="5"/>
  <c r="K514" i="5"/>
  <c r="M514" i="5" s="1"/>
  <c r="M513" i="5"/>
  <c r="K513" i="5"/>
  <c r="K512" i="5"/>
  <c r="M512" i="5" s="1"/>
  <c r="M511" i="5"/>
  <c r="K511" i="5"/>
  <c r="K510" i="5"/>
  <c r="M510" i="5" s="1"/>
  <c r="M509" i="5"/>
  <c r="K509" i="5"/>
  <c r="K508" i="5"/>
  <c r="M508" i="5" s="1"/>
  <c r="M507" i="5"/>
  <c r="K507" i="5"/>
  <c r="K506" i="5"/>
  <c r="M506" i="5" s="1"/>
  <c r="M505" i="5"/>
  <c r="K505" i="5"/>
  <c r="K504" i="5"/>
  <c r="M504" i="5" s="1"/>
  <c r="M503" i="5"/>
  <c r="K503" i="5"/>
  <c r="K502" i="5"/>
  <c r="M502" i="5" s="1"/>
  <c r="M501" i="5"/>
  <c r="K501" i="5"/>
  <c r="K500" i="5"/>
  <c r="M500" i="5" s="1"/>
  <c r="M499" i="5"/>
  <c r="K499" i="5"/>
  <c r="K498" i="5"/>
  <c r="M498" i="5" s="1"/>
  <c r="M497" i="5"/>
  <c r="K497" i="5"/>
  <c r="K496" i="5"/>
  <c r="M496" i="5" s="1"/>
  <c r="M495" i="5"/>
  <c r="K495" i="5"/>
  <c r="K494" i="5"/>
  <c r="M494" i="5" s="1"/>
  <c r="M493" i="5"/>
  <c r="K493" i="5"/>
  <c r="K492" i="5"/>
  <c r="M492" i="5" s="1"/>
  <c r="M491" i="5"/>
  <c r="K491" i="5"/>
  <c r="K490" i="5"/>
  <c r="M490" i="5" s="1"/>
  <c r="M489" i="5"/>
  <c r="K489" i="5"/>
  <c r="K488" i="5"/>
  <c r="M488" i="5" s="1"/>
  <c r="G17" i="2" s="1"/>
  <c r="M487" i="5"/>
  <c r="K487" i="5"/>
  <c r="K486" i="5"/>
  <c r="M486" i="5" s="1"/>
  <c r="M485" i="5"/>
  <c r="K485" i="5"/>
  <c r="K484" i="5"/>
  <c r="M484" i="5" s="1"/>
  <c r="M483" i="5"/>
  <c r="K483" i="5"/>
  <c r="K482" i="5"/>
  <c r="M482" i="5" s="1"/>
  <c r="M481" i="5"/>
  <c r="K481" i="5"/>
  <c r="K480" i="5"/>
  <c r="M480" i="5" s="1"/>
  <c r="M479" i="5"/>
  <c r="K479" i="5"/>
  <c r="K478" i="5"/>
  <c r="M478" i="5" s="1"/>
  <c r="M477" i="5"/>
  <c r="K477" i="5"/>
  <c r="K476" i="5"/>
  <c r="M476" i="5" s="1"/>
  <c r="M475" i="5"/>
  <c r="K475" i="5"/>
  <c r="K474" i="5"/>
  <c r="M474" i="5" s="1"/>
  <c r="M473" i="5"/>
  <c r="K473" i="5"/>
  <c r="K472" i="5"/>
  <c r="M472" i="5" s="1"/>
  <c r="P25" i="2" s="1"/>
  <c r="M471" i="5"/>
  <c r="K471" i="5"/>
  <c r="K470" i="5"/>
  <c r="M470" i="5" s="1"/>
  <c r="M469" i="5"/>
  <c r="K469" i="5"/>
  <c r="K468" i="5"/>
  <c r="M468" i="5" s="1"/>
  <c r="M467" i="5"/>
  <c r="K467" i="5"/>
  <c r="K466" i="5"/>
  <c r="M466" i="5" s="1"/>
  <c r="M465" i="5"/>
  <c r="K465" i="5"/>
  <c r="K464" i="5"/>
  <c r="M464" i="5" s="1"/>
  <c r="M463" i="5"/>
  <c r="K463" i="5"/>
  <c r="K462" i="5"/>
  <c r="M462" i="5" s="1"/>
  <c r="M461" i="5"/>
  <c r="K461" i="5"/>
  <c r="K460" i="5"/>
  <c r="M460" i="5" s="1"/>
  <c r="M459" i="5"/>
  <c r="K459" i="5"/>
  <c r="K458" i="5"/>
  <c r="M458" i="5" s="1"/>
  <c r="M457" i="5"/>
  <c r="K457" i="5"/>
  <c r="K456" i="5"/>
  <c r="M456" i="5" s="1"/>
  <c r="M455" i="5"/>
  <c r="K455" i="5"/>
  <c r="K454" i="5"/>
  <c r="M454" i="5" s="1"/>
  <c r="M453" i="5"/>
  <c r="K453" i="5"/>
  <c r="K452" i="5"/>
  <c r="M452" i="5" s="1"/>
  <c r="M451" i="5"/>
  <c r="K451" i="5"/>
  <c r="K450" i="5"/>
  <c r="M450" i="5" s="1"/>
  <c r="M449" i="5"/>
  <c r="K449" i="5"/>
  <c r="K448" i="5"/>
  <c r="M448" i="5" s="1"/>
  <c r="M447" i="5"/>
  <c r="K447" i="5"/>
  <c r="K446" i="5"/>
  <c r="M446" i="5" s="1"/>
  <c r="M445" i="5"/>
  <c r="K445" i="5"/>
  <c r="K444" i="5"/>
  <c r="M444" i="5" s="1"/>
  <c r="M443" i="5"/>
  <c r="K443" i="5"/>
  <c r="K442" i="5"/>
  <c r="M442" i="5" s="1"/>
  <c r="M441" i="5"/>
  <c r="K441" i="5"/>
  <c r="K440" i="5"/>
  <c r="M440" i="5" s="1"/>
  <c r="M439" i="5"/>
  <c r="K439" i="5"/>
  <c r="K438" i="5"/>
  <c r="M438" i="5" s="1"/>
  <c r="M437" i="5"/>
  <c r="K437" i="5"/>
  <c r="K436" i="5"/>
  <c r="M436" i="5" s="1"/>
  <c r="M435" i="5"/>
  <c r="K435" i="5"/>
  <c r="K434" i="5"/>
  <c r="M434" i="5" s="1"/>
  <c r="M433" i="5"/>
  <c r="K433" i="5"/>
  <c r="K432" i="5"/>
  <c r="M432" i="5" s="1"/>
  <c r="P28" i="2" s="1"/>
  <c r="K431" i="5"/>
  <c r="M431" i="5" s="1"/>
  <c r="K430" i="5"/>
  <c r="M430" i="5" s="1"/>
  <c r="M429" i="5"/>
  <c r="K429" i="5"/>
  <c r="K428" i="5"/>
  <c r="M428" i="5" s="1"/>
  <c r="K427" i="5"/>
  <c r="M427" i="5" s="1"/>
  <c r="M426" i="5"/>
  <c r="K426" i="5"/>
  <c r="K425" i="5"/>
  <c r="M425" i="5" s="1"/>
  <c r="K424" i="5"/>
  <c r="M424" i="5" s="1"/>
  <c r="K423" i="5"/>
  <c r="M423" i="5" s="1"/>
  <c r="K422" i="5"/>
  <c r="M422" i="5" s="1"/>
  <c r="M421" i="5"/>
  <c r="K421" i="5"/>
  <c r="K420" i="5"/>
  <c r="M420" i="5" s="1"/>
  <c r="K419" i="5"/>
  <c r="M419" i="5" s="1"/>
  <c r="K418" i="5"/>
  <c r="M418" i="5" s="1"/>
  <c r="K417" i="5"/>
  <c r="M417" i="5" s="1"/>
  <c r="M416" i="5"/>
  <c r="K416" i="5"/>
  <c r="K415" i="5"/>
  <c r="M415" i="5" s="1"/>
  <c r="K414" i="5"/>
  <c r="M414" i="5" s="1"/>
  <c r="K413" i="5"/>
  <c r="M413" i="5" s="1"/>
  <c r="K412" i="5"/>
  <c r="M412" i="5" s="1"/>
  <c r="K411" i="5"/>
  <c r="M411" i="5" s="1"/>
  <c r="K410" i="5"/>
  <c r="M410" i="5" s="1"/>
  <c r="K409" i="5"/>
  <c r="M409" i="5" s="1"/>
  <c r="M408" i="5"/>
  <c r="K408" i="5"/>
  <c r="K407" i="5"/>
  <c r="M407" i="5" s="1"/>
  <c r="K406" i="5"/>
  <c r="M406" i="5" s="1"/>
  <c r="K405" i="5"/>
  <c r="M405" i="5" s="1"/>
  <c r="K404" i="5"/>
  <c r="M404" i="5" s="1"/>
  <c r="K403" i="5"/>
  <c r="M403" i="5" s="1"/>
  <c r="K402" i="5"/>
  <c r="M402" i="5" s="1"/>
  <c r="M401" i="5"/>
  <c r="K401" i="5"/>
  <c r="K400" i="5"/>
  <c r="M400" i="5" s="1"/>
  <c r="K399" i="5"/>
  <c r="M399" i="5" s="1"/>
  <c r="M398" i="5"/>
  <c r="K398" i="5"/>
  <c r="K397" i="5"/>
  <c r="M397" i="5" s="1"/>
  <c r="K396" i="5"/>
  <c r="M12" i="2" s="1"/>
  <c r="K395" i="5"/>
  <c r="M395" i="5" s="1"/>
  <c r="K394" i="5"/>
  <c r="M394" i="5" s="1"/>
  <c r="K393" i="5"/>
  <c r="M393" i="5" s="1"/>
  <c r="K392" i="5"/>
  <c r="M392" i="5" s="1"/>
  <c r="K391" i="5"/>
  <c r="M391" i="5" s="1"/>
  <c r="M390" i="5"/>
  <c r="K390" i="5"/>
  <c r="K389" i="5"/>
  <c r="M389" i="5" s="1"/>
  <c r="M388" i="5"/>
  <c r="K388" i="5"/>
  <c r="K387" i="5"/>
  <c r="M387" i="5" s="1"/>
  <c r="K386" i="5"/>
  <c r="M386" i="5" s="1"/>
  <c r="K385" i="5"/>
  <c r="M385" i="5" s="1"/>
  <c r="K384" i="5"/>
  <c r="M384" i="5" s="1"/>
  <c r="K383" i="5"/>
  <c r="M383" i="5" s="1"/>
  <c r="M382" i="5"/>
  <c r="K382" i="5"/>
  <c r="K381" i="5"/>
  <c r="M381" i="5" s="1"/>
  <c r="K380" i="5"/>
  <c r="M380" i="5" s="1"/>
  <c r="K379" i="5"/>
  <c r="M379" i="5" s="1"/>
  <c r="K378" i="5"/>
  <c r="M378" i="5" s="1"/>
  <c r="K377" i="5"/>
  <c r="M377" i="5" s="1"/>
  <c r="K376" i="5"/>
  <c r="M376" i="5" s="1"/>
  <c r="K375" i="5"/>
  <c r="M375" i="5" s="1"/>
  <c r="M374" i="5"/>
  <c r="K374" i="5"/>
  <c r="K373" i="5"/>
  <c r="M373" i="5" s="1"/>
  <c r="M372" i="5"/>
  <c r="K372" i="5"/>
  <c r="K371" i="5"/>
  <c r="M371" i="5" s="1"/>
  <c r="K370" i="5"/>
  <c r="M370" i="5" s="1"/>
  <c r="K369" i="5"/>
  <c r="M369" i="5" s="1"/>
  <c r="K368" i="5"/>
  <c r="M368" i="5" s="1"/>
  <c r="K367" i="5"/>
  <c r="M367" i="5" s="1"/>
  <c r="M366" i="5"/>
  <c r="K366" i="5"/>
  <c r="K365" i="5"/>
  <c r="M365" i="5" s="1"/>
  <c r="K364" i="5"/>
  <c r="M364" i="5" s="1"/>
  <c r="K363" i="5"/>
  <c r="M363" i="5" s="1"/>
  <c r="K362" i="5"/>
  <c r="M362" i="5" s="1"/>
  <c r="M361" i="5"/>
  <c r="K361" i="5"/>
  <c r="K360" i="5"/>
  <c r="M360" i="5" s="1"/>
  <c r="K359" i="5"/>
  <c r="M359" i="5" s="1"/>
  <c r="K358" i="5"/>
  <c r="M358" i="5" s="1"/>
  <c r="K357" i="5"/>
  <c r="M357" i="5" s="1"/>
  <c r="M356" i="5"/>
  <c r="K356" i="5"/>
  <c r="K355" i="5"/>
  <c r="M355" i="5" s="1"/>
  <c r="K354" i="5"/>
  <c r="M354" i="5" s="1"/>
  <c r="K353" i="5"/>
  <c r="M353" i="5" s="1"/>
  <c r="K352" i="5"/>
  <c r="M352" i="5" s="1"/>
  <c r="K351" i="5"/>
  <c r="M351" i="5" s="1"/>
  <c r="K350" i="5"/>
  <c r="M350" i="5" s="1"/>
  <c r="K349" i="5"/>
  <c r="M349" i="5" s="1"/>
  <c r="M348" i="5"/>
  <c r="K348" i="5"/>
  <c r="K347" i="5"/>
  <c r="M347" i="5" s="1"/>
  <c r="K346" i="5"/>
  <c r="M346" i="5" s="1"/>
  <c r="K345" i="5"/>
  <c r="M345" i="5" s="1"/>
  <c r="K344" i="5"/>
  <c r="M344" i="5" s="1"/>
  <c r="K343" i="5"/>
  <c r="M343" i="5" s="1"/>
  <c r="K342" i="5"/>
  <c r="M342" i="5" s="1"/>
  <c r="M341" i="5"/>
  <c r="K341" i="5"/>
  <c r="K340" i="5"/>
  <c r="M340" i="5" s="1"/>
  <c r="M339" i="5"/>
  <c r="K339" i="5"/>
  <c r="K338" i="5"/>
  <c r="M338" i="5" s="1"/>
  <c r="K337" i="5"/>
  <c r="M337" i="5" s="1"/>
  <c r="M336" i="5"/>
  <c r="K336" i="5"/>
  <c r="K335" i="5"/>
  <c r="M335" i="5" s="1"/>
  <c r="K334" i="5"/>
  <c r="M334" i="5" s="1"/>
  <c r="K333" i="5"/>
  <c r="M333" i="5" s="1"/>
  <c r="K332" i="5"/>
  <c r="M332" i="5" s="1"/>
  <c r="K331" i="5"/>
  <c r="M331" i="5" s="1"/>
  <c r="K330" i="5"/>
  <c r="M330" i="5" s="1"/>
  <c r="K329" i="5"/>
  <c r="M329" i="5" s="1"/>
  <c r="M328" i="5"/>
  <c r="K328" i="5"/>
  <c r="K327" i="5"/>
  <c r="M327" i="5" s="1"/>
  <c r="K326" i="5"/>
  <c r="M326" i="5" s="1"/>
  <c r="K325" i="5"/>
  <c r="M325" i="5" s="1"/>
  <c r="K324" i="5"/>
  <c r="M324" i="5" s="1"/>
  <c r="K323" i="5"/>
  <c r="M323" i="5" s="1"/>
  <c r="K322" i="5"/>
  <c r="M322" i="5" s="1"/>
  <c r="M321" i="5"/>
  <c r="K321" i="5"/>
  <c r="K320" i="5"/>
  <c r="M320" i="5" s="1"/>
  <c r="K319" i="5"/>
  <c r="M319" i="5" s="1"/>
  <c r="M318" i="5"/>
  <c r="K318" i="5"/>
  <c r="M317" i="5"/>
  <c r="K317" i="5"/>
  <c r="M316" i="5"/>
  <c r="K316" i="5"/>
  <c r="K315" i="5"/>
  <c r="M315" i="5" s="1"/>
  <c r="M314" i="5"/>
  <c r="K314" i="5"/>
  <c r="K313" i="5"/>
  <c r="M313" i="5" s="1"/>
  <c r="K312" i="5"/>
  <c r="M312" i="5" s="1"/>
  <c r="K311" i="5"/>
  <c r="M311" i="5" s="1"/>
  <c r="K310" i="5"/>
  <c r="M310" i="5" s="1"/>
  <c r="K309" i="5"/>
  <c r="M309" i="5" s="1"/>
  <c r="M308" i="5"/>
  <c r="K308" i="5"/>
  <c r="K307" i="5"/>
  <c r="M307" i="5" s="1"/>
  <c r="K306" i="5"/>
  <c r="M306" i="5" s="1"/>
  <c r="K305" i="5"/>
  <c r="M305" i="5" s="1"/>
  <c r="K304" i="5"/>
  <c r="M304" i="5" s="1"/>
  <c r="K303" i="5"/>
  <c r="M303" i="5" s="1"/>
  <c r="K302" i="5"/>
  <c r="M302" i="5" s="1"/>
  <c r="K301" i="5"/>
  <c r="M301" i="5" s="1"/>
  <c r="M300" i="5"/>
  <c r="K300" i="5"/>
  <c r="K299" i="5"/>
  <c r="M299" i="5" s="1"/>
  <c r="M298" i="5"/>
  <c r="K298" i="5"/>
  <c r="K297" i="5"/>
  <c r="M297" i="5" s="1"/>
  <c r="K296" i="5"/>
  <c r="M296" i="5" s="1"/>
  <c r="K295" i="5"/>
  <c r="M295" i="5" s="1"/>
  <c r="K294" i="5"/>
  <c r="M294" i="5" s="1"/>
  <c r="K293" i="5"/>
  <c r="M293" i="5" s="1"/>
  <c r="M292" i="5"/>
  <c r="G15" i="2" s="1"/>
  <c r="K292" i="5"/>
  <c r="K291" i="5"/>
  <c r="M291" i="5" s="1"/>
  <c r="K290" i="5"/>
  <c r="M290" i="5" s="1"/>
  <c r="K289" i="5"/>
  <c r="M289" i="5" s="1"/>
  <c r="K288" i="5"/>
  <c r="M288" i="5" s="1"/>
  <c r="K287" i="5"/>
  <c r="M287" i="5" s="1"/>
  <c r="K286" i="5"/>
  <c r="M286" i="5" s="1"/>
  <c r="K285" i="5"/>
  <c r="M285" i="5" s="1"/>
  <c r="M284" i="5"/>
  <c r="K284" i="5"/>
  <c r="K283" i="5"/>
  <c r="M283" i="5" s="1"/>
  <c r="M282" i="5"/>
  <c r="K282" i="5"/>
  <c r="K281" i="5"/>
  <c r="M281" i="5" s="1"/>
  <c r="K280" i="5"/>
  <c r="M280" i="5" s="1"/>
  <c r="K279" i="5"/>
  <c r="M279" i="5" s="1"/>
  <c r="K278" i="5"/>
  <c r="M278" i="5" s="1"/>
  <c r="K277" i="5"/>
  <c r="M277" i="5" s="1"/>
  <c r="M276" i="5"/>
  <c r="K276" i="5"/>
  <c r="K275" i="5"/>
  <c r="M275" i="5" s="1"/>
  <c r="K274" i="5"/>
  <c r="M274" i="5" s="1"/>
  <c r="K273" i="5"/>
  <c r="M273" i="5" s="1"/>
  <c r="K272" i="5"/>
  <c r="M272" i="5" s="1"/>
  <c r="K271" i="5"/>
  <c r="M271" i="5" s="1"/>
  <c r="K270" i="5"/>
  <c r="M270" i="5" s="1"/>
  <c r="K269" i="5"/>
  <c r="M269" i="5" s="1"/>
  <c r="M268" i="5"/>
  <c r="K268" i="5"/>
  <c r="K267" i="5"/>
  <c r="M267" i="5" s="1"/>
  <c r="M266" i="5"/>
  <c r="K266" i="5"/>
  <c r="K265" i="5"/>
  <c r="M265" i="5" s="1"/>
  <c r="K264" i="5"/>
  <c r="M264" i="5" s="1"/>
  <c r="K263" i="5"/>
  <c r="M263" i="5" s="1"/>
  <c r="K262" i="5"/>
  <c r="M262" i="5" s="1"/>
  <c r="K261" i="5"/>
  <c r="M261" i="5" s="1"/>
  <c r="M260" i="5"/>
  <c r="K260" i="5"/>
  <c r="K259" i="5"/>
  <c r="M259" i="5" s="1"/>
  <c r="K258" i="5"/>
  <c r="M258" i="5" s="1"/>
  <c r="M257" i="5"/>
  <c r="K257" i="5"/>
  <c r="K256" i="5"/>
  <c r="M11" i="2" s="1"/>
  <c r="K255" i="5"/>
  <c r="M255" i="5" s="1"/>
  <c r="K254" i="5"/>
  <c r="M254" i="5" s="1"/>
  <c r="K253" i="5"/>
  <c r="M253" i="5" s="1"/>
  <c r="K252" i="5"/>
  <c r="M252" i="5" s="1"/>
  <c r="K251" i="5"/>
  <c r="M251" i="5" s="1"/>
  <c r="M250" i="5"/>
  <c r="K250" i="5"/>
  <c r="K249" i="5"/>
  <c r="M249" i="5" s="1"/>
  <c r="M248" i="5"/>
  <c r="K248" i="5"/>
  <c r="K247" i="5"/>
  <c r="M247" i="5" s="1"/>
  <c r="K246" i="5"/>
  <c r="M246" i="5" s="1"/>
  <c r="M245" i="5"/>
  <c r="K245" i="5"/>
  <c r="K244" i="5"/>
  <c r="M244" i="5" s="1"/>
  <c r="M243" i="5"/>
  <c r="K243" i="5"/>
  <c r="K242" i="5"/>
  <c r="M242" i="5" s="1"/>
  <c r="M241" i="5"/>
  <c r="K241" i="5"/>
  <c r="M240" i="5"/>
  <c r="K240" i="5"/>
  <c r="M239" i="5"/>
  <c r="K239" i="5"/>
  <c r="M238" i="5"/>
  <c r="K238" i="5"/>
  <c r="M237" i="5"/>
  <c r="K237" i="5"/>
  <c r="M236" i="5"/>
  <c r="K236" i="5"/>
  <c r="M235" i="5"/>
  <c r="K235" i="5"/>
  <c r="M234" i="5"/>
  <c r="K234" i="5"/>
  <c r="M233" i="5"/>
  <c r="K233" i="5"/>
  <c r="M232" i="5"/>
  <c r="K232" i="5"/>
  <c r="M231" i="5"/>
  <c r="K231" i="5"/>
  <c r="M230" i="5"/>
  <c r="K230" i="5"/>
  <c r="M229" i="5"/>
  <c r="K229" i="5"/>
  <c r="M228" i="5"/>
  <c r="K228" i="5"/>
  <c r="M227" i="5"/>
  <c r="K227" i="5"/>
  <c r="M226" i="5"/>
  <c r="K226" i="5"/>
  <c r="M225" i="5"/>
  <c r="K225" i="5"/>
  <c r="M224" i="5"/>
  <c r="K224" i="5"/>
  <c r="M223" i="5"/>
  <c r="K223" i="5"/>
  <c r="M222" i="5"/>
  <c r="K222" i="5"/>
  <c r="M221" i="5"/>
  <c r="K221" i="5"/>
  <c r="M220" i="5"/>
  <c r="K220" i="5"/>
  <c r="M219" i="5"/>
  <c r="K219" i="5"/>
  <c r="M218" i="5"/>
  <c r="K218" i="5"/>
  <c r="M217" i="5"/>
  <c r="K217" i="5"/>
  <c r="M216" i="5"/>
  <c r="K216" i="5"/>
  <c r="M215" i="5"/>
  <c r="K215" i="5"/>
  <c r="M214" i="5"/>
  <c r="K214" i="5"/>
  <c r="M213" i="5"/>
  <c r="K213" i="5"/>
  <c r="M212" i="5"/>
  <c r="K212" i="5"/>
  <c r="M211" i="5"/>
  <c r="K211" i="5"/>
  <c r="M210" i="5"/>
  <c r="K210" i="5"/>
  <c r="M209" i="5"/>
  <c r="K209" i="5"/>
  <c r="M208" i="5"/>
  <c r="K208" i="5"/>
  <c r="M207" i="5"/>
  <c r="K207" i="5"/>
  <c r="M206" i="5"/>
  <c r="K206" i="5"/>
  <c r="M205" i="5"/>
  <c r="K205" i="5"/>
  <c r="M204" i="5"/>
  <c r="K204" i="5"/>
  <c r="M203" i="5"/>
  <c r="K203" i="5"/>
  <c r="M202" i="5"/>
  <c r="K202" i="5"/>
  <c r="M201" i="5"/>
  <c r="K201" i="5"/>
  <c r="M200" i="5"/>
  <c r="K200" i="5"/>
  <c r="M199" i="5"/>
  <c r="K199" i="5"/>
  <c r="M198" i="5"/>
  <c r="K198" i="5"/>
  <c r="M197" i="5"/>
  <c r="K197" i="5"/>
  <c r="M196" i="5"/>
  <c r="K196" i="5"/>
  <c r="M195" i="5"/>
  <c r="K195" i="5"/>
  <c r="M194" i="5"/>
  <c r="K194" i="5"/>
  <c r="M193" i="5"/>
  <c r="K193" i="5"/>
  <c r="M192" i="5"/>
  <c r="P26" i="2" s="1"/>
  <c r="K192" i="5"/>
  <c r="M191" i="5"/>
  <c r="K191" i="5"/>
  <c r="M190" i="5"/>
  <c r="K190" i="5"/>
  <c r="M189" i="5"/>
  <c r="K189" i="5"/>
  <c r="M188" i="5"/>
  <c r="K188" i="5"/>
  <c r="M187" i="5"/>
  <c r="K187" i="5"/>
  <c r="M186" i="5"/>
  <c r="K186" i="5"/>
  <c r="M185" i="5"/>
  <c r="K185" i="5"/>
  <c r="M184" i="5"/>
  <c r="K184" i="5"/>
  <c r="M183" i="5"/>
  <c r="K183" i="5"/>
  <c r="M182" i="5"/>
  <c r="K182" i="5"/>
  <c r="M181" i="5"/>
  <c r="K181" i="5"/>
  <c r="M180" i="5"/>
  <c r="K180" i="5"/>
  <c r="M179" i="5"/>
  <c r="K179" i="5"/>
  <c r="M178" i="5"/>
  <c r="K178" i="5"/>
  <c r="M177" i="5"/>
  <c r="K177" i="5"/>
  <c r="M176" i="5"/>
  <c r="K176" i="5"/>
  <c r="M175" i="5"/>
  <c r="K175" i="5"/>
  <c r="M174" i="5"/>
  <c r="K174" i="5"/>
  <c r="M173" i="5"/>
  <c r="K173" i="5"/>
  <c r="M172" i="5"/>
  <c r="K172" i="5"/>
  <c r="M171" i="5"/>
  <c r="K171" i="5"/>
  <c r="M170" i="5"/>
  <c r="K170" i="5"/>
  <c r="M169" i="5"/>
  <c r="K169" i="5"/>
  <c r="M168" i="5"/>
  <c r="K168" i="5"/>
  <c r="M167" i="5"/>
  <c r="K167" i="5"/>
  <c r="M166" i="5"/>
  <c r="K166" i="5"/>
  <c r="M165" i="5"/>
  <c r="K165" i="5"/>
  <c r="M164" i="5"/>
  <c r="P41" i="2" s="1"/>
  <c r="K164" i="5"/>
  <c r="M163" i="5"/>
  <c r="K163" i="5"/>
  <c r="M162" i="5"/>
  <c r="K162" i="5"/>
  <c r="M161" i="5"/>
  <c r="K161" i="5"/>
  <c r="M160" i="5"/>
  <c r="K160" i="5"/>
  <c r="M159" i="5"/>
  <c r="K159" i="5"/>
  <c r="M158" i="5"/>
  <c r="K158" i="5"/>
  <c r="M157" i="5"/>
  <c r="K157" i="5"/>
  <c r="M156" i="5"/>
  <c r="K156" i="5"/>
  <c r="M155" i="5"/>
  <c r="K155" i="5"/>
  <c r="M154" i="5"/>
  <c r="K154" i="5"/>
  <c r="M153" i="5"/>
  <c r="K153" i="5"/>
  <c r="M152" i="5"/>
  <c r="K152" i="5"/>
  <c r="M151" i="5"/>
  <c r="K151" i="5"/>
  <c r="M150" i="5"/>
  <c r="K150" i="5"/>
  <c r="M149" i="5"/>
  <c r="K149" i="5"/>
  <c r="M148" i="5"/>
  <c r="K148" i="5"/>
  <c r="M147" i="5"/>
  <c r="K147" i="5"/>
  <c r="M146" i="5"/>
  <c r="K146" i="5"/>
  <c r="M145" i="5"/>
  <c r="K145" i="5"/>
  <c r="M144" i="5"/>
  <c r="K144" i="5"/>
  <c r="M143" i="5"/>
  <c r="K143" i="5"/>
  <c r="M142" i="5"/>
  <c r="K142" i="5"/>
  <c r="M141" i="5"/>
  <c r="K141" i="5"/>
  <c r="M140" i="5"/>
  <c r="K140" i="5"/>
  <c r="M139" i="5"/>
  <c r="K139" i="5"/>
  <c r="M138" i="5"/>
  <c r="P29" i="2" s="1"/>
  <c r="K138" i="5"/>
  <c r="M137" i="5"/>
  <c r="K137" i="5"/>
  <c r="M136" i="5"/>
  <c r="K136" i="5"/>
  <c r="M135" i="5"/>
  <c r="K135" i="5"/>
  <c r="M134" i="5"/>
  <c r="K134" i="5"/>
  <c r="M133" i="5"/>
  <c r="K133" i="5"/>
  <c r="M132" i="5"/>
  <c r="P32" i="2" s="1"/>
  <c r="K132" i="5"/>
  <c r="M131" i="5"/>
  <c r="K131" i="5"/>
  <c r="M130" i="5"/>
  <c r="K130" i="5"/>
  <c r="M129" i="5"/>
  <c r="K129" i="5"/>
  <c r="M128" i="5"/>
  <c r="K128" i="5"/>
  <c r="M127" i="5"/>
  <c r="K127" i="5"/>
  <c r="M126" i="5"/>
  <c r="K126" i="5"/>
  <c r="M125" i="5"/>
  <c r="K125" i="5"/>
  <c r="M124" i="5"/>
  <c r="K124" i="5"/>
  <c r="M123" i="5"/>
  <c r="K123" i="5"/>
  <c r="M122" i="5"/>
  <c r="K122" i="5"/>
  <c r="M121" i="5"/>
  <c r="K121" i="5"/>
  <c r="M120" i="5"/>
  <c r="K120" i="5"/>
  <c r="M119" i="5"/>
  <c r="K119" i="5"/>
  <c r="M118" i="5"/>
  <c r="K118" i="5"/>
  <c r="M117" i="5"/>
  <c r="K117" i="5"/>
  <c r="M116" i="5"/>
  <c r="K116" i="5"/>
  <c r="M115" i="5"/>
  <c r="K115" i="5"/>
  <c r="M114" i="5"/>
  <c r="K114" i="5"/>
  <c r="M113" i="5"/>
  <c r="K113" i="5"/>
  <c r="M112" i="5"/>
  <c r="K112" i="5"/>
  <c r="M111" i="5"/>
  <c r="K111" i="5"/>
  <c r="M110" i="5"/>
  <c r="K110" i="5"/>
  <c r="M109" i="5"/>
  <c r="K109" i="5"/>
  <c r="M108" i="5"/>
  <c r="K108" i="5"/>
  <c r="M107" i="5"/>
  <c r="K107" i="5"/>
  <c r="M106" i="5"/>
  <c r="K106" i="5"/>
  <c r="M105" i="5"/>
  <c r="K105" i="5"/>
  <c r="M104" i="5"/>
  <c r="K104" i="5"/>
  <c r="M103" i="5"/>
  <c r="K103" i="5"/>
  <c r="M102" i="5"/>
  <c r="K102" i="5"/>
  <c r="M101" i="5"/>
  <c r="K101" i="5"/>
  <c r="M100" i="5"/>
  <c r="P24" i="2" s="1"/>
  <c r="K100" i="5"/>
  <c r="M99" i="5"/>
  <c r="K99" i="5"/>
  <c r="M98" i="5"/>
  <c r="K98" i="5"/>
  <c r="M97" i="5"/>
  <c r="K97" i="5"/>
  <c r="M96" i="5"/>
  <c r="K96" i="5"/>
  <c r="M95" i="5"/>
  <c r="K95" i="5"/>
  <c r="M94" i="5"/>
  <c r="K94" i="5"/>
  <c r="M93" i="5"/>
  <c r="K93" i="5"/>
  <c r="M92" i="5"/>
  <c r="K92" i="5"/>
  <c r="M91" i="5"/>
  <c r="K91" i="5"/>
  <c r="M90" i="5"/>
  <c r="K90" i="5"/>
  <c r="M89" i="5"/>
  <c r="K89" i="5"/>
  <c r="M88" i="5"/>
  <c r="K88" i="5"/>
  <c r="M87" i="5"/>
  <c r="K87" i="5"/>
  <c r="M86" i="5"/>
  <c r="K86" i="5"/>
  <c r="M85" i="5"/>
  <c r="K85" i="5"/>
  <c r="M84" i="5"/>
  <c r="P33" i="2" s="1"/>
  <c r="K84" i="5"/>
  <c r="M83" i="5"/>
  <c r="K83" i="5"/>
  <c r="M82" i="5"/>
  <c r="P37" i="2" s="1"/>
  <c r="K82" i="5"/>
  <c r="M81" i="5"/>
  <c r="K81" i="5"/>
  <c r="M80" i="5"/>
  <c r="K80" i="5"/>
  <c r="M79" i="5"/>
  <c r="K79" i="5"/>
  <c r="M78" i="5"/>
  <c r="K78" i="5"/>
  <c r="M77" i="5"/>
  <c r="K77" i="5"/>
  <c r="M76" i="5"/>
  <c r="K76" i="5"/>
  <c r="M75" i="5"/>
  <c r="K75" i="5"/>
  <c r="M74" i="5"/>
  <c r="K74" i="5"/>
  <c r="M73" i="5"/>
  <c r="K73" i="5"/>
  <c r="M72" i="5"/>
  <c r="G12" i="2" s="1"/>
  <c r="K72" i="5"/>
  <c r="M71" i="5"/>
  <c r="K71" i="5"/>
  <c r="M70" i="5"/>
  <c r="K70" i="5"/>
  <c r="M69" i="5"/>
  <c r="K69" i="5"/>
  <c r="M68" i="5"/>
  <c r="N16" i="2" s="1"/>
  <c r="K68" i="5"/>
  <c r="M67" i="5"/>
  <c r="K67" i="5"/>
  <c r="M66" i="5"/>
  <c r="K66" i="5"/>
  <c r="M65" i="5"/>
  <c r="K65" i="5"/>
  <c r="M64" i="5"/>
  <c r="K64" i="5"/>
  <c r="M63" i="5"/>
  <c r="K63" i="5"/>
  <c r="M62" i="5"/>
  <c r="P38" i="2" s="1"/>
  <c r="K62" i="5"/>
  <c r="M61" i="5"/>
  <c r="K61" i="5"/>
  <c r="M60" i="5"/>
  <c r="K60" i="5"/>
  <c r="M59" i="5"/>
  <c r="K59" i="5"/>
  <c r="M58" i="5"/>
  <c r="P36" i="2" s="1"/>
  <c r="K58" i="5"/>
  <c r="M57" i="5"/>
  <c r="K57" i="5"/>
  <c r="M56" i="5"/>
  <c r="K56" i="5"/>
  <c r="M55" i="5"/>
  <c r="K55" i="5"/>
  <c r="M54" i="5"/>
  <c r="K54" i="5"/>
  <c r="M53" i="5"/>
  <c r="K53" i="5"/>
  <c r="M52" i="5"/>
  <c r="K52" i="5"/>
  <c r="M51" i="5"/>
  <c r="K51" i="5"/>
  <c r="M50" i="5"/>
  <c r="K50" i="5"/>
  <c r="M49" i="5"/>
  <c r="K49" i="5"/>
  <c r="M48" i="5"/>
  <c r="K48" i="5"/>
  <c r="M47" i="5"/>
  <c r="K47" i="5"/>
  <c r="M46" i="5"/>
  <c r="P23" i="2" s="1"/>
  <c r="K46" i="5"/>
  <c r="M45" i="5"/>
  <c r="K45" i="5"/>
  <c r="M44" i="5"/>
  <c r="K44" i="5"/>
  <c r="M43" i="5"/>
  <c r="K43" i="5"/>
  <c r="M42" i="5"/>
  <c r="K42" i="5"/>
  <c r="M41" i="5"/>
  <c r="K41" i="5"/>
  <c r="M40" i="5"/>
  <c r="P34" i="2" s="1"/>
  <c r="K40" i="5"/>
  <c r="M39" i="5"/>
  <c r="K39" i="5"/>
  <c r="M38" i="5"/>
  <c r="K38" i="5"/>
  <c r="M37" i="5"/>
  <c r="K37" i="5"/>
  <c r="M36" i="5"/>
  <c r="P40" i="2" s="1"/>
  <c r="K36" i="5"/>
  <c r="M35" i="5"/>
  <c r="K35" i="5"/>
  <c r="M34" i="5"/>
  <c r="K34" i="5"/>
  <c r="M33" i="5"/>
  <c r="K33" i="5"/>
  <c r="M32" i="5"/>
  <c r="K32" i="5"/>
  <c r="M31" i="5"/>
  <c r="K31" i="5"/>
  <c r="M30" i="5"/>
  <c r="K30" i="5"/>
  <c r="M29" i="5"/>
  <c r="K29" i="5"/>
  <c r="M28" i="5"/>
  <c r="K28" i="5"/>
  <c r="M27" i="5"/>
  <c r="K27" i="5"/>
  <c r="M26" i="5"/>
  <c r="P35" i="2" s="1"/>
  <c r="K26" i="5"/>
  <c r="M25" i="5"/>
  <c r="K25" i="5"/>
  <c r="M24" i="5"/>
  <c r="N15" i="2" s="1"/>
  <c r="O15" i="2" s="1"/>
  <c r="K24" i="5"/>
  <c r="M23" i="5"/>
  <c r="K23" i="5"/>
  <c r="M22" i="5"/>
  <c r="K22" i="5"/>
  <c r="M21" i="5"/>
  <c r="K21" i="5"/>
  <c r="M20" i="5"/>
  <c r="P31" i="2" s="1"/>
  <c r="K20" i="5"/>
  <c r="M19" i="5"/>
  <c r="K19" i="5"/>
  <c r="M18" i="5"/>
  <c r="K18" i="5"/>
  <c r="M17" i="5"/>
  <c r="K17" i="5"/>
  <c r="M16" i="5"/>
  <c r="K16" i="5"/>
  <c r="M15" i="5"/>
  <c r="K15" i="5"/>
  <c r="M14" i="5"/>
  <c r="K14" i="5"/>
  <c r="M13" i="5"/>
  <c r="K13" i="5"/>
  <c r="M12" i="5"/>
  <c r="K12" i="5"/>
  <c r="M11" i="5"/>
  <c r="K11" i="5"/>
  <c r="M10" i="5"/>
  <c r="N14" i="2" s="1"/>
  <c r="O14" i="2" s="1"/>
  <c r="K10" i="5"/>
  <c r="M9" i="5"/>
  <c r="K9" i="5"/>
  <c r="M8" i="5"/>
  <c r="K8" i="5"/>
  <c r="M7" i="5"/>
  <c r="K7" i="5"/>
  <c r="M6" i="5"/>
  <c r="P39" i="2" s="1"/>
  <c r="K6" i="5"/>
  <c r="M5" i="5"/>
  <c r="K5" i="5"/>
  <c r="M4" i="5"/>
  <c r="K4" i="5"/>
  <c r="M3" i="5"/>
  <c r="K3" i="5"/>
  <c r="M2" i="5"/>
  <c r="N13" i="2" s="1"/>
  <c r="K2" i="5"/>
  <c r="M102" i="4"/>
  <c r="R101" i="4"/>
  <c r="P101" i="4"/>
  <c r="R100" i="4"/>
  <c r="Q100" i="4" s="1"/>
  <c r="P100" i="4"/>
  <c r="M99" i="4"/>
  <c r="R98" i="4"/>
  <c r="Q98" i="4" s="1"/>
  <c r="P98" i="4"/>
  <c r="P97" i="4"/>
  <c r="P96" i="4"/>
  <c r="Q96" i="4" s="1"/>
  <c r="R95" i="4"/>
  <c r="P95" i="4"/>
  <c r="M94" i="4"/>
  <c r="P93" i="4"/>
  <c r="Q93" i="4" s="1"/>
  <c r="P92" i="4"/>
  <c r="M91" i="4"/>
  <c r="R90" i="4"/>
  <c r="P90" i="4"/>
  <c r="P89" i="4"/>
  <c r="Q89" i="4" s="1"/>
  <c r="P88" i="4"/>
  <c r="P87" i="4"/>
  <c r="R86" i="4"/>
  <c r="Q86" i="4" s="1"/>
  <c r="P86" i="4"/>
  <c r="R85" i="4"/>
  <c r="P85" i="4"/>
  <c r="Q84" i="4"/>
  <c r="P84" i="4"/>
  <c r="P83" i="4"/>
  <c r="R82" i="4"/>
  <c r="P82" i="4"/>
  <c r="M81" i="4"/>
  <c r="P80" i="4"/>
  <c r="Q80" i="4" s="1"/>
  <c r="R79" i="4"/>
  <c r="P79" i="4"/>
  <c r="P78" i="4"/>
  <c r="Q78" i="4" s="1"/>
  <c r="P77" i="4"/>
  <c r="Q77" i="4" s="1"/>
  <c r="P76" i="4"/>
  <c r="R75" i="4"/>
  <c r="Q75" i="4"/>
  <c r="P75" i="4"/>
  <c r="P74" i="4"/>
  <c r="Q74" i="4" s="1"/>
  <c r="P73" i="4"/>
  <c r="R72" i="4"/>
  <c r="P72" i="4"/>
  <c r="Q72" i="4" s="1"/>
  <c r="P71" i="4"/>
  <c r="Q71" i="4" s="1"/>
  <c r="P70" i="4"/>
  <c r="R69" i="4"/>
  <c r="P69" i="4"/>
  <c r="Q69" i="4" s="1"/>
  <c r="R68" i="4"/>
  <c r="Q68" i="4" s="1"/>
  <c r="P68" i="4"/>
  <c r="R67" i="4"/>
  <c r="Q67" i="4"/>
  <c r="P67" i="4"/>
  <c r="R66" i="4"/>
  <c r="P66" i="4"/>
  <c r="R65" i="4"/>
  <c r="P65" i="4"/>
  <c r="R64" i="4"/>
  <c r="P64" i="4"/>
  <c r="Q64" i="4" s="1"/>
  <c r="R63" i="4"/>
  <c r="P63" i="4"/>
  <c r="R62" i="4"/>
  <c r="P62" i="4"/>
  <c r="Q62" i="4" s="1"/>
  <c r="R61" i="4"/>
  <c r="P61" i="4"/>
  <c r="R60" i="4"/>
  <c r="P60" i="4"/>
  <c r="Q60" i="4" s="1"/>
  <c r="R59" i="4"/>
  <c r="P59" i="4"/>
  <c r="R58" i="4"/>
  <c r="Q58" i="4"/>
  <c r="P58" i="4"/>
  <c r="R57" i="4"/>
  <c r="P57" i="4"/>
  <c r="Q57" i="4" s="1"/>
  <c r="R56" i="4"/>
  <c r="Q56" i="4" s="1"/>
  <c r="P56" i="4"/>
  <c r="R55" i="4"/>
  <c r="P55" i="4"/>
  <c r="M54" i="4"/>
  <c r="R53" i="4"/>
  <c r="P53" i="4"/>
  <c r="P52" i="4"/>
  <c r="P54" i="4" s="1"/>
  <c r="M51" i="4"/>
  <c r="P50" i="4"/>
  <c r="Q50" i="4" s="1"/>
  <c r="P49" i="4"/>
  <c r="Q49" i="4" s="1"/>
  <c r="P48" i="4"/>
  <c r="R47" i="4"/>
  <c r="R51" i="4" s="1"/>
  <c r="Q47" i="4"/>
  <c r="P47" i="4"/>
  <c r="M46" i="4"/>
  <c r="P45" i="4"/>
  <c r="Q45" i="4" s="1"/>
  <c r="Q44" i="4"/>
  <c r="P44" i="4"/>
  <c r="R43" i="4"/>
  <c r="P43" i="4"/>
  <c r="Q43" i="4" s="1"/>
  <c r="P42" i="4"/>
  <c r="R41" i="4"/>
  <c r="P41" i="4"/>
  <c r="P40" i="4"/>
  <c r="Q40" i="4" s="1"/>
  <c r="R39" i="4"/>
  <c r="P39" i="4"/>
  <c r="Q39" i="4" s="1"/>
  <c r="G39" i="4"/>
  <c r="E39" i="4"/>
  <c r="D39" i="4"/>
  <c r="C39" i="4"/>
  <c r="P38" i="4"/>
  <c r="Q38" i="4" s="1"/>
  <c r="G38" i="4"/>
  <c r="D38" i="4"/>
  <c r="E38" i="4" s="1"/>
  <c r="C38" i="4"/>
  <c r="P37" i="4"/>
  <c r="Q37" i="4" s="1"/>
  <c r="G37" i="4"/>
  <c r="D37" i="4"/>
  <c r="E37" i="4" s="1"/>
  <c r="C37" i="4"/>
  <c r="P36" i="4"/>
  <c r="Q36" i="4" s="1"/>
  <c r="G36" i="4"/>
  <c r="E36" i="4"/>
  <c r="D36" i="4"/>
  <c r="C36" i="4"/>
  <c r="R35" i="4"/>
  <c r="Q35" i="4"/>
  <c r="P35" i="4"/>
  <c r="G35" i="4"/>
  <c r="D35" i="4"/>
  <c r="E35" i="4" s="1"/>
  <c r="C35" i="4"/>
  <c r="P34" i="4"/>
  <c r="Q34" i="4" s="1"/>
  <c r="G34" i="4"/>
  <c r="D34" i="4"/>
  <c r="E34" i="4" s="1"/>
  <c r="C34" i="4"/>
  <c r="P33" i="4"/>
  <c r="Q33" i="4" s="1"/>
  <c r="G33" i="4"/>
  <c r="E33" i="4"/>
  <c r="D33" i="4"/>
  <c r="C33" i="4"/>
  <c r="P32" i="4"/>
  <c r="Q32" i="4" s="1"/>
  <c r="G32" i="4"/>
  <c r="D32" i="4"/>
  <c r="E32" i="4" s="1"/>
  <c r="C32" i="4"/>
  <c r="R31" i="4"/>
  <c r="R46" i="4" s="1"/>
  <c r="N46" i="4" s="1"/>
  <c r="P31" i="4"/>
  <c r="Q31" i="4" s="1"/>
  <c r="G31" i="4"/>
  <c r="E31" i="4"/>
  <c r="D31" i="4"/>
  <c r="C31" i="4"/>
  <c r="M30" i="4"/>
  <c r="G30" i="4"/>
  <c r="D30" i="4"/>
  <c r="E30" i="4" s="1"/>
  <c r="C30" i="4"/>
  <c r="R29" i="4"/>
  <c r="Q29" i="4" s="1"/>
  <c r="P29" i="4"/>
  <c r="G29" i="4"/>
  <c r="E29" i="4"/>
  <c r="D29" i="4"/>
  <c r="C29" i="4"/>
  <c r="R28" i="4"/>
  <c r="R30" i="4" s="1"/>
  <c r="P28" i="4"/>
  <c r="P30" i="4" s="1"/>
  <c r="Q30" i="4" s="1"/>
  <c r="G28" i="4"/>
  <c r="D28" i="4"/>
  <c r="E28" i="4" s="1"/>
  <c r="C28" i="4"/>
  <c r="M27" i="4"/>
  <c r="G27" i="4"/>
  <c r="E27" i="4"/>
  <c r="D27" i="4"/>
  <c r="C27" i="4"/>
  <c r="R26" i="4"/>
  <c r="Q26" i="4"/>
  <c r="P26" i="4"/>
  <c r="G26" i="4"/>
  <c r="D26" i="4"/>
  <c r="E26" i="4" s="1"/>
  <c r="C26" i="4"/>
  <c r="R25" i="4"/>
  <c r="P25" i="4"/>
  <c r="G25" i="4"/>
  <c r="E25" i="4"/>
  <c r="D25" i="4"/>
  <c r="C25" i="4"/>
  <c r="R24" i="4"/>
  <c r="Q24" i="4"/>
  <c r="P24" i="4"/>
  <c r="G24" i="4"/>
  <c r="D24" i="4"/>
  <c r="E24" i="4" s="1"/>
  <c r="C24" i="4"/>
  <c r="R23" i="4"/>
  <c r="P23" i="4"/>
  <c r="G23" i="4"/>
  <c r="E23" i="4"/>
  <c r="D23" i="4"/>
  <c r="C23" i="4"/>
  <c r="R22" i="4"/>
  <c r="Q22" i="4"/>
  <c r="P22" i="4"/>
  <c r="G22" i="4"/>
  <c r="D22" i="4"/>
  <c r="C22" i="4"/>
  <c r="R21" i="4"/>
  <c r="P21" i="4"/>
  <c r="G21" i="4"/>
  <c r="D21" i="4"/>
  <c r="C21" i="4"/>
  <c r="R20" i="4"/>
  <c r="P20" i="4"/>
  <c r="Q20" i="4" s="1"/>
  <c r="G20" i="4"/>
  <c r="D20" i="4"/>
  <c r="C20" i="4"/>
  <c r="R19" i="4"/>
  <c r="R27" i="4" s="1"/>
  <c r="P19" i="4"/>
  <c r="G19" i="4"/>
  <c r="D19" i="4"/>
  <c r="C19" i="4"/>
  <c r="E19" i="4" s="1"/>
  <c r="M18" i="4"/>
  <c r="G18" i="4"/>
  <c r="D18" i="4"/>
  <c r="R17" i="4"/>
  <c r="Q17" i="4" s="1"/>
  <c r="P17" i="4"/>
  <c r="G17" i="4"/>
  <c r="D17" i="4"/>
  <c r="C17" i="4"/>
  <c r="R16" i="4"/>
  <c r="P16" i="4"/>
  <c r="G16" i="4"/>
  <c r="D16" i="4"/>
  <c r="C16" i="4"/>
  <c r="R15" i="4"/>
  <c r="P15" i="4"/>
  <c r="P18" i="4" s="1"/>
  <c r="G15" i="4"/>
  <c r="D15" i="4"/>
  <c r="E15" i="4" s="1"/>
  <c r="C15" i="4"/>
  <c r="M14" i="4"/>
  <c r="G14" i="4"/>
  <c r="D14" i="4"/>
  <c r="E14" i="4" s="1"/>
  <c r="C14" i="4"/>
  <c r="R13" i="4"/>
  <c r="P13" i="4"/>
  <c r="Q13" i="4" s="1"/>
  <c r="G13" i="4"/>
  <c r="D13" i="4"/>
  <c r="C13" i="4"/>
  <c r="E13" i="4" s="1"/>
  <c r="R12" i="4"/>
  <c r="Q12" i="4" s="1"/>
  <c r="P12" i="4"/>
  <c r="G12" i="4"/>
  <c r="E12" i="4"/>
  <c r="D12" i="4"/>
  <c r="C12" i="4"/>
  <c r="R11" i="4"/>
  <c r="Q11" i="4"/>
  <c r="P11" i="4"/>
  <c r="G11" i="4"/>
  <c r="D11" i="4"/>
  <c r="C11" i="4"/>
  <c r="R10" i="4"/>
  <c r="R14" i="4" s="1"/>
  <c r="P10" i="4"/>
  <c r="G10" i="4"/>
  <c r="D10" i="4"/>
  <c r="C10" i="4"/>
  <c r="G6" i="4"/>
  <c r="D6" i="4"/>
  <c r="M133" i="3"/>
  <c r="O132" i="3"/>
  <c r="O130" i="3"/>
  <c r="O129" i="3"/>
  <c r="O128" i="3"/>
  <c r="O126" i="3"/>
  <c r="M125" i="3"/>
  <c r="O124" i="3"/>
  <c r="O123" i="3"/>
  <c r="M122" i="3"/>
  <c r="O121" i="3"/>
  <c r="O118" i="3"/>
  <c r="O117" i="3"/>
  <c r="O116" i="3"/>
  <c r="O114" i="3"/>
  <c r="O113" i="3"/>
  <c r="O112" i="3"/>
  <c r="O122" i="3" s="1"/>
  <c r="M110" i="3"/>
  <c r="O108" i="3"/>
  <c r="O107" i="3"/>
  <c r="O104" i="3"/>
  <c r="O110" i="3" s="1"/>
  <c r="O103" i="3"/>
  <c r="O102" i="3"/>
  <c r="O101" i="3"/>
  <c r="M100" i="3"/>
  <c r="O98" i="3"/>
  <c r="O97" i="3"/>
  <c r="O96" i="3"/>
  <c r="O95" i="3"/>
  <c r="O94" i="3"/>
  <c r="O93" i="3"/>
  <c r="M92" i="3"/>
  <c r="O90" i="3"/>
  <c r="O89" i="3"/>
  <c r="O88" i="3"/>
  <c r="O87" i="3"/>
  <c r="O86" i="3"/>
  <c r="O85" i="3"/>
  <c r="O84" i="3"/>
  <c r="O83" i="3"/>
  <c r="O82" i="3"/>
  <c r="O81" i="3"/>
  <c r="O80" i="3"/>
  <c r="M79" i="3"/>
  <c r="O78" i="3"/>
  <c r="O77" i="3"/>
  <c r="O76" i="3"/>
  <c r="O74" i="3"/>
  <c r="O73" i="3"/>
  <c r="O72" i="3"/>
  <c r="O71" i="3"/>
  <c r="O70" i="3"/>
  <c r="O69" i="3"/>
  <c r="O68" i="3"/>
  <c r="M67" i="3"/>
  <c r="O66" i="3"/>
  <c r="O65" i="3"/>
  <c r="O64" i="3"/>
  <c r="O63" i="3"/>
  <c r="O62" i="3"/>
  <c r="O61" i="3"/>
  <c r="O60" i="3"/>
  <c r="O59" i="3"/>
  <c r="O58" i="3"/>
  <c r="M57" i="3"/>
  <c r="O56" i="3"/>
  <c r="O55" i="3"/>
  <c r="O54" i="3"/>
  <c r="O53" i="3"/>
  <c r="O52" i="3"/>
  <c r="O51" i="3"/>
  <c r="O50" i="3"/>
  <c r="O49" i="3"/>
  <c r="O48" i="3"/>
  <c r="M47" i="3"/>
  <c r="O46" i="3"/>
  <c r="O44" i="3"/>
  <c r="O43" i="3"/>
  <c r="O42" i="3"/>
  <c r="O41" i="3"/>
  <c r="O40" i="3"/>
  <c r="O39" i="3"/>
  <c r="G39" i="3"/>
  <c r="D39" i="3"/>
  <c r="E39" i="3" s="1"/>
  <c r="C39" i="3"/>
  <c r="M38" i="3"/>
  <c r="G38" i="3"/>
  <c r="E38" i="3"/>
  <c r="D38" i="3"/>
  <c r="C38" i="3"/>
  <c r="O37" i="3"/>
  <c r="G37" i="3"/>
  <c r="D37" i="3"/>
  <c r="E37" i="3" s="1"/>
  <c r="C37" i="3"/>
  <c r="O36" i="3"/>
  <c r="G36" i="3"/>
  <c r="E36" i="3"/>
  <c r="D36" i="3"/>
  <c r="C36" i="3"/>
  <c r="O35" i="3"/>
  <c r="G35" i="3"/>
  <c r="D35" i="3"/>
  <c r="E35" i="3" s="1"/>
  <c r="C35" i="3"/>
  <c r="O34" i="3"/>
  <c r="G34" i="3"/>
  <c r="D34" i="3"/>
  <c r="C34" i="3"/>
  <c r="O33" i="3"/>
  <c r="G33" i="3"/>
  <c r="D33" i="3"/>
  <c r="E33" i="3" s="1"/>
  <c r="C33" i="3"/>
  <c r="O32" i="3"/>
  <c r="G32" i="3"/>
  <c r="D32" i="3"/>
  <c r="E32" i="3" s="1"/>
  <c r="C32" i="3"/>
  <c r="O31" i="3"/>
  <c r="G31" i="3"/>
  <c r="D31" i="3"/>
  <c r="E31" i="3" s="1"/>
  <c r="C31" i="3"/>
  <c r="O30" i="3"/>
  <c r="G30" i="3"/>
  <c r="D30" i="3"/>
  <c r="E30" i="3" s="1"/>
  <c r="C30" i="3"/>
  <c r="O29" i="3"/>
  <c r="G29" i="3"/>
  <c r="D29" i="3"/>
  <c r="E29" i="3" s="1"/>
  <c r="C29" i="3"/>
  <c r="M28" i="3"/>
  <c r="G28" i="3"/>
  <c r="E28" i="3"/>
  <c r="D28" i="3"/>
  <c r="C28" i="3"/>
  <c r="O27" i="3"/>
  <c r="G27" i="3"/>
  <c r="D27" i="3"/>
  <c r="E27" i="3" s="1"/>
  <c r="C27" i="3"/>
  <c r="O26" i="3"/>
  <c r="G26" i="3"/>
  <c r="E26" i="3"/>
  <c r="D26" i="3"/>
  <c r="C26" i="3"/>
  <c r="O25" i="3"/>
  <c r="G25" i="3"/>
  <c r="D25" i="3"/>
  <c r="E25" i="3" s="1"/>
  <c r="C25" i="3"/>
  <c r="O24" i="3"/>
  <c r="O28" i="3" s="1"/>
  <c r="N28" i="3" s="1"/>
  <c r="G24" i="3"/>
  <c r="D24" i="3"/>
  <c r="E24" i="3" s="1"/>
  <c r="C24" i="3"/>
  <c r="M23" i="3"/>
  <c r="G23" i="3"/>
  <c r="D23" i="3"/>
  <c r="E23" i="3" s="1"/>
  <c r="C23" i="3"/>
  <c r="O22" i="3"/>
  <c r="G22" i="3"/>
  <c r="D22" i="3"/>
  <c r="E22" i="3" s="1"/>
  <c r="C22" i="3"/>
  <c r="O21" i="3"/>
  <c r="G21" i="3"/>
  <c r="E21" i="3"/>
  <c r="D21" i="3"/>
  <c r="C21" i="3"/>
  <c r="O20" i="3"/>
  <c r="G20" i="3"/>
  <c r="D20" i="3"/>
  <c r="E20" i="3" s="1"/>
  <c r="C20" i="3"/>
  <c r="O19" i="3"/>
  <c r="G19" i="3"/>
  <c r="D19" i="3"/>
  <c r="C19" i="3"/>
  <c r="E19" i="3" s="1"/>
  <c r="O18" i="3"/>
  <c r="G18" i="3"/>
  <c r="D18" i="3"/>
  <c r="C18" i="3"/>
  <c r="O17" i="3"/>
  <c r="G17" i="3"/>
  <c r="D17" i="3"/>
  <c r="E17" i="3" s="1"/>
  <c r="C17" i="3"/>
  <c r="O16" i="3"/>
  <c r="G16" i="3"/>
  <c r="D16" i="3"/>
  <c r="C16" i="3"/>
  <c r="O15" i="3"/>
  <c r="G15" i="3"/>
  <c r="D15" i="3"/>
  <c r="E15" i="3" s="1"/>
  <c r="C15" i="3"/>
  <c r="O14" i="3"/>
  <c r="G14" i="3"/>
  <c r="D14" i="3"/>
  <c r="E14" i="3" s="1"/>
  <c r="C14" i="3"/>
  <c r="O13" i="3"/>
  <c r="G13" i="3"/>
  <c r="E13" i="3"/>
  <c r="D13" i="3"/>
  <c r="C13" i="3"/>
  <c r="O12" i="3"/>
  <c r="G12" i="3"/>
  <c r="D12" i="3"/>
  <c r="E12" i="3" s="1"/>
  <c r="C12" i="3"/>
  <c r="O11" i="3"/>
  <c r="G11" i="3"/>
  <c r="D11" i="3"/>
  <c r="C11" i="3"/>
  <c r="E11" i="3" s="1"/>
  <c r="O10" i="3"/>
  <c r="O23" i="3" s="1"/>
  <c r="G10" i="3"/>
  <c r="D10" i="3"/>
  <c r="C10" i="3"/>
  <c r="G6" i="3"/>
  <c r="D6" i="3"/>
  <c r="F6" i="3" s="1"/>
  <c r="B6" i="3"/>
  <c r="P42" i="2"/>
  <c r="O42" i="2"/>
  <c r="O41" i="2"/>
  <c r="O40" i="2"/>
  <c r="G40" i="2"/>
  <c r="F40" i="2"/>
  <c r="E40" i="2"/>
  <c r="D40" i="2"/>
  <c r="H40" i="2" s="1"/>
  <c r="O39" i="2"/>
  <c r="G39" i="2"/>
  <c r="F39" i="2"/>
  <c r="E39" i="2"/>
  <c r="D39" i="2"/>
  <c r="H39" i="2" s="1"/>
  <c r="O38" i="2"/>
  <c r="G38" i="2"/>
  <c r="F38" i="2"/>
  <c r="E38" i="2"/>
  <c r="D38" i="2"/>
  <c r="H38" i="2" s="1"/>
  <c r="O37" i="2"/>
  <c r="G37" i="2"/>
  <c r="F37" i="2"/>
  <c r="E37" i="2"/>
  <c r="D37" i="2"/>
  <c r="H37" i="2" s="1"/>
  <c r="O36" i="2"/>
  <c r="G36" i="2"/>
  <c r="F36" i="2"/>
  <c r="E36" i="2"/>
  <c r="D36" i="2"/>
  <c r="H36" i="2" s="1"/>
  <c r="O35" i="2"/>
  <c r="G35" i="2"/>
  <c r="F35" i="2"/>
  <c r="E35" i="2"/>
  <c r="D35" i="2"/>
  <c r="H35" i="2" s="1"/>
  <c r="O34" i="2"/>
  <c r="G34" i="2"/>
  <c r="F34" i="2"/>
  <c r="E34" i="2"/>
  <c r="D34" i="2"/>
  <c r="H34" i="2" s="1"/>
  <c r="O33" i="2"/>
  <c r="G33" i="2"/>
  <c r="F33" i="2"/>
  <c r="E33" i="2"/>
  <c r="D33" i="2"/>
  <c r="H33" i="2" s="1"/>
  <c r="O32" i="2"/>
  <c r="G32" i="2"/>
  <c r="F32" i="2"/>
  <c r="E32" i="2"/>
  <c r="D32" i="2"/>
  <c r="H32" i="2" s="1"/>
  <c r="O31" i="2"/>
  <c r="G31" i="2"/>
  <c r="F31" i="2"/>
  <c r="E31" i="2"/>
  <c r="D31" i="2"/>
  <c r="H31" i="2" s="1"/>
  <c r="O30" i="2"/>
  <c r="G30" i="2"/>
  <c r="F30" i="2"/>
  <c r="E30" i="2"/>
  <c r="D30" i="2"/>
  <c r="H30" i="2" s="1"/>
  <c r="O29" i="2"/>
  <c r="G29" i="2"/>
  <c r="F29" i="2"/>
  <c r="E29" i="2"/>
  <c r="D29" i="2"/>
  <c r="H29" i="2" s="1"/>
  <c r="O28" i="2"/>
  <c r="G28" i="2"/>
  <c r="F28" i="2"/>
  <c r="E28" i="2"/>
  <c r="D28" i="2"/>
  <c r="H28" i="2" s="1"/>
  <c r="O27" i="2"/>
  <c r="G27" i="2"/>
  <c r="F27" i="2"/>
  <c r="E27" i="2"/>
  <c r="D27" i="2"/>
  <c r="H27" i="2" s="1"/>
  <c r="O26" i="2"/>
  <c r="G26" i="2"/>
  <c r="F26" i="2"/>
  <c r="E26" i="2"/>
  <c r="D26" i="2"/>
  <c r="H26" i="2" s="1"/>
  <c r="O25" i="2"/>
  <c r="G25" i="2"/>
  <c r="F25" i="2"/>
  <c r="E25" i="2"/>
  <c r="D25" i="2"/>
  <c r="H25" i="2" s="1"/>
  <c r="O24" i="2"/>
  <c r="F24" i="2"/>
  <c r="D24" i="2"/>
  <c r="O23" i="2"/>
  <c r="F23" i="2"/>
  <c r="D23" i="2"/>
  <c r="F22" i="2"/>
  <c r="D22" i="2"/>
  <c r="F21" i="2"/>
  <c r="D21" i="2"/>
  <c r="F20" i="2"/>
  <c r="D20" i="2"/>
  <c r="F19" i="2"/>
  <c r="D19" i="2"/>
  <c r="G18" i="2"/>
  <c r="F18" i="2"/>
  <c r="D18" i="2"/>
  <c r="N17" i="2"/>
  <c r="L17" i="2"/>
  <c r="F17" i="2"/>
  <c r="D17" i="2"/>
  <c r="M16" i="2"/>
  <c r="L16" i="2"/>
  <c r="F16" i="2"/>
  <c r="E16" i="2"/>
  <c r="D16" i="2"/>
  <c r="M15" i="2"/>
  <c r="L15" i="2"/>
  <c r="F15" i="2"/>
  <c r="E15" i="2"/>
  <c r="D15" i="2"/>
  <c r="L14" i="2"/>
  <c r="F14" i="2"/>
  <c r="E14" i="2"/>
  <c r="D14" i="2"/>
  <c r="L13" i="2"/>
  <c r="G13" i="2"/>
  <c r="F13" i="2"/>
  <c r="E13" i="2"/>
  <c r="D13" i="2"/>
  <c r="L12" i="2"/>
  <c r="F12" i="2"/>
  <c r="E12" i="2"/>
  <c r="D12" i="2"/>
  <c r="L11" i="2"/>
  <c r="F11" i="2"/>
  <c r="E11" i="2"/>
  <c r="D11" i="2"/>
  <c r="K6" i="2"/>
  <c r="I6" i="2"/>
  <c r="G6" i="2"/>
  <c r="N57" i="1"/>
  <c r="M57" i="1"/>
  <c r="L57" i="1"/>
  <c r="K57" i="1"/>
  <c r="J57" i="1"/>
  <c r="I57" i="1"/>
  <c r="H57" i="1"/>
  <c r="G57" i="1"/>
  <c r="F57" i="1"/>
  <c r="E57" i="1"/>
  <c r="D57" i="1"/>
  <c r="C57" i="1" s="1"/>
  <c r="N56" i="1"/>
  <c r="M56" i="1"/>
  <c r="L56" i="1"/>
  <c r="K56" i="1"/>
  <c r="J56" i="1"/>
  <c r="I56" i="1"/>
  <c r="H56" i="1"/>
  <c r="E56" i="1"/>
  <c r="F56" i="1" s="1"/>
  <c r="D56" i="1"/>
  <c r="N55" i="1"/>
  <c r="M55" i="1"/>
  <c r="L55" i="1"/>
  <c r="K55" i="1"/>
  <c r="J55" i="1"/>
  <c r="I55" i="1"/>
  <c r="H55" i="1"/>
  <c r="E55" i="1"/>
  <c r="G55" i="1" s="1"/>
  <c r="D55" i="1"/>
  <c r="C55" i="1" s="1"/>
  <c r="N54" i="1"/>
  <c r="M54" i="1"/>
  <c r="L54" i="1"/>
  <c r="K54" i="1"/>
  <c r="J54" i="1"/>
  <c r="I54" i="1"/>
  <c r="H54" i="1"/>
  <c r="G54" i="1"/>
  <c r="E54" i="1"/>
  <c r="F54" i="1" s="1"/>
  <c r="D54" i="1"/>
  <c r="C54" i="1" s="1"/>
  <c r="N53" i="1"/>
  <c r="M53" i="1"/>
  <c r="L53" i="1"/>
  <c r="K53" i="1"/>
  <c r="J53" i="1"/>
  <c r="I53" i="1"/>
  <c r="H53" i="1"/>
  <c r="G53" i="1"/>
  <c r="F53" i="1"/>
  <c r="E53" i="1"/>
  <c r="D53" i="1"/>
  <c r="C53" i="1" s="1"/>
  <c r="N52" i="1"/>
  <c r="M52" i="1"/>
  <c r="L52" i="1"/>
  <c r="K52" i="1"/>
  <c r="J52" i="1"/>
  <c r="I52" i="1"/>
  <c r="H52" i="1"/>
  <c r="E52" i="1"/>
  <c r="G52" i="1" s="1"/>
  <c r="D52" i="1"/>
  <c r="N51" i="1"/>
  <c r="M51" i="1"/>
  <c r="L51" i="1"/>
  <c r="K51" i="1"/>
  <c r="J51" i="1"/>
  <c r="I51" i="1"/>
  <c r="H51" i="1"/>
  <c r="E51" i="1"/>
  <c r="G51" i="1" s="1"/>
  <c r="D51" i="1"/>
  <c r="C51" i="1" s="1"/>
  <c r="N50" i="1"/>
  <c r="M50" i="1"/>
  <c r="L50" i="1"/>
  <c r="K50" i="1"/>
  <c r="J50" i="1"/>
  <c r="I50" i="1"/>
  <c r="H50" i="1"/>
  <c r="G50" i="1"/>
  <c r="E50" i="1"/>
  <c r="F50" i="1" s="1"/>
  <c r="D50" i="1"/>
  <c r="C50" i="1" s="1"/>
  <c r="N49" i="1"/>
  <c r="M49" i="1"/>
  <c r="L49" i="1"/>
  <c r="K49" i="1"/>
  <c r="J49" i="1"/>
  <c r="I49" i="1"/>
  <c r="H49" i="1"/>
  <c r="G49" i="1"/>
  <c r="F49" i="1"/>
  <c r="E49" i="1"/>
  <c r="D49" i="1"/>
  <c r="C49" i="1" s="1"/>
  <c r="N48" i="1"/>
  <c r="M48" i="1"/>
  <c r="L48" i="1"/>
  <c r="K48" i="1"/>
  <c r="J48" i="1"/>
  <c r="I48" i="1"/>
  <c r="H48" i="1"/>
  <c r="E48" i="1"/>
  <c r="G48" i="1" s="1"/>
  <c r="D48" i="1"/>
  <c r="N47" i="1"/>
  <c r="M47" i="1"/>
  <c r="L47" i="1"/>
  <c r="K47" i="1"/>
  <c r="J47" i="1"/>
  <c r="I47" i="1"/>
  <c r="H47" i="1"/>
  <c r="E47" i="1"/>
  <c r="G47" i="1" s="1"/>
  <c r="D47" i="1"/>
  <c r="C47" i="1" s="1"/>
  <c r="N46" i="1"/>
  <c r="M46" i="1"/>
  <c r="L46" i="1"/>
  <c r="K46" i="1"/>
  <c r="J46" i="1"/>
  <c r="I46" i="1"/>
  <c r="H46" i="1"/>
  <c r="G46" i="1"/>
  <c r="E46" i="1"/>
  <c r="F46" i="1" s="1"/>
  <c r="D46" i="1"/>
  <c r="C46" i="1" s="1"/>
  <c r="N45" i="1"/>
  <c r="M45" i="1"/>
  <c r="L45" i="1"/>
  <c r="K45" i="1"/>
  <c r="J45" i="1"/>
  <c r="I45" i="1"/>
  <c r="H45" i="1"/>
  <c r="G45" i="1"/>
  <c r="F45" i="1"/>
  <c r="E45" i="1"/>
  <c r="D45" i="1"/>
  <c r="C45" i="1" s="1"/>
  <c r="N44" i="1"/>
  <c r="M44" i="1"/>
  <c r="L44" i="1"/>
  <c r="K44" i="1"/>
  <c r="J44" i="1"/>
  <c r="I44" i="1"/>
  <c r="H44" i="1"/>
  <c r="E44" i="1"/>
  <c r="F44" i="1" s="1"/>
  <c r="D44" i="1"/>
  <c r="N43" i="1"/>
  <c r="M43" i="1"/>
  <c r="L43" i="1"/>
  <c r="K43" i="1"/>
  <c r="J43" i="1"/>
  <c r="I43" i="1"/>
  <c r="H43" i="1"/>
  <c r="E43" i="1"/>
  <c r="D43" i="1"/>
  <c r="N42" i="1"/>
  <c r="M42" i="1"/>
  <c r="L42" i="1"/>
  <c r="K42" i="1"/>
  <c r="J42" i="1"/>
  <c r="I42" i="1"/>
  <c r="H42" i="1"/>
  <c r="E42" i="1"/>
  <c r="D42" i="1"/>
  <c r="G42" i="1" s="1"/>
  <c r="N41" i="1"/>
  <c r="M41" i="1"/>
  <c r="L41" i="1"/>
  <c r="K41" i="1"/>
  <c r="J41" i="1"/>
  <c r="I41" i="1"/>
  <c r="H41" i="1"/>
  <c r="E41" i="1"/>
  <c r="D41" i="1"/>
  <c r="G41" i="1" s="1"/>
  <c r="N40" i="1"/>
  <c r="M40" i="1"/>
  <c r="L40" i="1"/>
  <c r="K40" i="1"/>
  <c r="J40" i="1"/>
  <c r="I40" i="1"/>
  <c r="H40" i="1"/>
  <c r="E40" i="1"/>
  <c r="D40" i="1"/>
  <c r="N39" i="1"/>
  <c r="M39" i="1"/>
  <c r="L39" i="1"/>
  <c r="K39" i="1"/>
  <c r="J39" i="1"/>
  <c r="I39" i="1"/>
  <c r="H39" i="1"/>
  <c r="E39" i="1"/>
  <c r="D39" i="1"/>
  <c r="G39" i="1" s="1"/>
  <c r="N38" i="1"/>
  <c r="M38" i="1"/>
  <c r="L38" i="1"/>
  <c r="K38" i="1"/>
  <c r="J38" i="1"/>
  <c r="I38" i="1"/>
  <c r="H38" i="1"/>
  <c r="E38" i="1"/>
  <c r="D38" i="1"/>
  <c r="G38" i="1" s="1"/>
  <c r="N37" i="1"/>
  <c r="M37" i="1"/>
  <c r="L37" i="1"/>
  <c r="K37" i="1"/>
  <c r="J37" i="1"/>
  <c r="I37" i="1"/>
  <c r="H37" i="1"/>
  <c r="E37" i="1"/>
  <c r="D37" i="1"/>
  <c r="G37" i="1" s="1"/>
  <c r="N36" i="1"/>
  <c r="M36" i="1"/>
  <c r="L36" i="1"/>
  <c r="K36" i="1"/>
  <c r="J36" i="1"/>
  <c r="I36" i="1"/>
  <c r="H36" i="1"/>
  <c r="E36" i="1"/>
  <c r="D36" i="1"/>
  <c r="N35" i="1"/>
  <c r="M35" i="1"/>
  <c r="L35" i="1"/>
  <c r="K35" i="1"/>
  <c r="J35" i="1"/>
  <c r="I35" i="1"/>
  <c r="H35" i="1"/>
  <c r="E35" i="1"/>
  <c r="D35" i="1"/>
  <c r="G35" i="1" s="1"/>
  <c r="N34" i="1"/>
  <c r="M34" i="1"/>
  <c r="L34" i="1"/>
  <c r="K34" i="1"/>
  <c r="J34" i="1"/>
  <c r="I34" i="1"/>
  <c r="H34" i="1"/>
  <c r="E34" i="1"/>
  <c r="D34" i="1"/>
  <c r="G34" i="1" s="1"/>
  <c r="N33" i="1"/>
  <c r="M33" i="1"/>
  <c r="L33" i="1"/>
  <c r="K33" i="1"/>
  <c r="J33" i="1"/>
  <c r="I33" i="1"/>
  <c r="H33" i="1"/>
  <c r="E33" i="1"/>
  <c r="D33" i="1"/>
  <c r="G33" i="1" s="1"/>
  <c r="N32" i="1"/>
  <c r="M32" i="1"/>
  <c r="L32" i="1"/>
  <c r="K32" i="1"/>
  <c r="J32" i="1"/>
  <c r="I32" i="1"/>
  <c r="H32" i="1"/>
  <c r="E32" i="1"/>
  <c r="D32" i="1"/>
  <c r="N31" i="1"/>
  <c r="M31" i="1"/>
  <c r="L31" i="1"/>
  <c r="K31" i="1"/>
  <c r="J31" i="1"/>
  <c r="I31" i="1"/>
  <c r="H31" i="1"/>
  <c r="E31" i="1"/>
  <c r="D31" i="1"/>
  <c r="G31" i="1" s="1"/>
  <c r="N30" i="1"/>
  <c r="M30" i="1"/>
  <c r="L30" i="1"/>
  <c r="K30" i="1"/>
  <c r="J30" i="1"/>
  <c r="I30" i="1"/>
  <c r="H30" i="1"/>
  <c r="E30" i="1"/>
  <c r="D30" i="1"/>
  <c r="G30" i="1" s="1"/>
  <c r="N29" i="1"/>
  <c r="M29" i="1"/>
  <c r="L29" i="1"/>
  <c r="K29" i="1"/>
  <c r="J29" i="1"/>
  <c r="I29" i="1"/>
  <c r="H29" i="1"/>
  <c r="E29" i="1"/>
  <c r="D29" i="1"/>
  <c r="N28" i="1"/>
  <c r="M28" i="1"/>
  <c r="L28" i="1"/>
  <c r="K28" i="1"/>
  <c r="J28" i="1"/>
  <c r="I28" i="1"/>
  <c r="H28" i="1"/>
  <c r="E28" i="1"/>
  <c r="D28" i="1"/>
  <c r="E17" i="1"/>
  <c r="D17" i="1"/>
  <c r="E16" i="1"/>
  <c r="D16" i="1"/>
  <c r="E15" i="1"/>
  <c r="D15" i="1"/>
  <c r="L14" i="1"/>
  <c r="K14" i="1"/>
  <c r="E14" i="1"/>
  <c r="D14" i="1"/>
  <c r="L13" i="1"/>
  <c r="K13" i="1"/>
  <c r="E13" i="1"/>
  <c r="D13" i="1"/>
  <c r="L12" i="1"/>
  <c r="K12" i="1"/>
  <c r="E12" i="1"/>
  <c r="D12" i="1"/>
  <c r="L11" i="1"/>
  <c r="L15" i="1" s="1"/>
  <c r="K11" i="1"/>
  <c r="K15" i="1" s="1"/>
  <c r="D22" i="1" s="1"/>
  <c r="E11" i="1"/>
  <c r="D11" i="1"/>
  <c r="D18" i="1" s="1"/>
  <c r="D21" i="1" s="1"/>
  <c r="D23" i="1" s="1"/>
  <c r="G20" i="2" l="1"/>
  <c r="G16" i="2"/>
  <c r="H16" i="2" s="1"/>
  <c r="H24" i="2"/>
  <c r="O38" i="3"/>
  <c r="N38" i="3" s="1"/>
  <c r="E16" i="3"/>
  <c r="O67" i="3"/>
  <c r="D40" i="4"/>
  <c r="E22" i="4"/>
  <c r="N30" i="4"/>
  <c r="R91" i="4"/>
  <c r="H61" i="1"/>
  <c r="L61" i="1"/>
  <c r="G29" i="1"/>
  <c r="F48" i="1"/>
  <c r="F52" i="1"/>
  <c r="O13" i="2"/>
  <c r="C40" i="3"/>
  <c r="F38" i="3" s="1"/>
  <c r="E18" i="1"/>
  <c r="J60" i="1"/>
  <c r="N61" i="1"/>
  <c r="G44" i="1"/>
  <c r="F47" i="1"/>
  <c r="F51" i="1"/>
  <c r="F55" i="1"/>
  <c r="G56" i="1"/>
  <c r="E6" i="2"/>
  <c r="H12" i="2"/>
  <c r="M13" i="2"/>
  <c r="M18" i="2" s="1"/>
  <c r="H17" i="2"/>
  <c r="O17" i="2"/>
  <c r="E18" i="2"/>
  <c r="H19" i="2"/>
  <c r="H21" i="2"/>
  <c r="H23" i="2"/>
  <c r="F42" i="2"/>
  <c r="E10" i="3"/>
  <c r="E18" i="3"/>
  <c r="D40" i="3"/>
  <c r="N67" i="3"/>
  <c r="O92" i="3"/>
  <c r="N92" i="3" s="1"/>
  <c r="O100" i="3"/>
  <c r="N100" i="3" s="1"/>
  <c r="P14" i="4"/>
  <c r="E16" i="4"/>
  <c r="Q16" i="4"/>
  <c r="Q21" i="4"/>
  <c r="Q23" i="4"/>
  <c r="Q25" i="4"/>
  <c r="N27" i="4"/>
  <c r="R102" i="4"/>
  <c r="N102" i="4" s="1"/>
  <c r="M256" i="5"/>
  <c r="N11" i="2" s="1"/>
  <c r="M396" i="5"/>
  <c r="N12" i="2" s="1"/>
  <c r="O12" i="2" s="1"/>
  <c r="Q76" i="4"/>
  <c r="Q48" i="4"/>
  <c r="B6" i="2"/>
  <c r="G11" i="2"/>
  <c r="H13" i="2"/>
  <c r="M14" i="2"/>
  <c r="H18" i="2"/>
  <c r="E24" i="2"/>
  <c r="D60" i="1"/>
  <c r="J61" i="1"/>
  <c r="N60" i="1"/>
  <c r="G32" i="1"/>
  <c r="G36" i="1"/>
  <c r="G40" i="1"/>
  <c r="C44" i="1"/>
  <c r="C48" i="1"/>
  <c r="C52" i="1"/>
  <c r="C56" i="1"/>
  <c r="H15" i="2"/>
  <c r="O16" i="2"/>
  <c r="E17" i="2"/>
  <c r="M17" i="2"/>
  <c r="E19" i="2"/>
  <c r="E20" i="2"/>
  <c r="E41" i="2" s="1"/>
  <c r="E21" i="2"/>
  <c r="E22" i="2"/>
  <c r="E23" i="2"/>
  <c r="G40" i="3"/>
  <c r="E17" i="4"/>
  <c r="E21" i="4"/>
  <c r="Q63" i="4"/>
  <c r="Q101" i="4"/>
  <c r="C107" i="9"/>
  <c r="Q97" i="4"/>
  <c r="Q88" i="4"/>
  <c r="Q70" i="4"/>
  <c r="Q41" i="4"/>
  <c r="Q53" i="4"/>
  <c r="Q59" i="4"/>
  <c r="Q66" i="4"/>
  <c r="Q79" i="4"/>
  <c r="Q85" i="4"/>
  <c r="Q90" i="4"/>
  <c r="P102" i="4"/>
  <c r="Q102" i="4" s="1"/>
  <c r="Q42" i="4"/>
  <c r="I6" i="8"/>
  <c r="F17" i="1"/>
  <c r="F16" i="1"/>
  <c r="F15" i="1"/>
  <c r="F14" i="1"/>
  <c r="F13" i="1"/>
  <c r="F12" i="1"/>
  <c r="F11" i="1"/>
  <c r="E6" i="1"/>
  <c r="E21" i="1"/>
  <c r="I6" i="1"/>
  <c r="M14" i="1"/>
  <c r="M13" i="1"/>
  <c r="M12" i="1"/>
  <c r="M11" i="1"/>
  <c r="E22" i="1"/>
  <c r="N58" i="1"/>
  <c r="N59" i="1" s="1"/>
  <c r="H60" i="1"/>
  <c r="D61" i="1"/>
  <c r="L18" i="2"/>
  <c r="Q92" i="4"/>
  <c r="R94" i="4"/>
  <c r="N94" i="4" s="1"/>
  <c r="I60" i="1"/>
  <c r="I61" i="1"/>
  <c r="I58" i="1"/>
  <c r="I59" i="1" s="1"/>
  <c r="H58" i="1"/>
  <c r="F41" i="2"/>
  <c r="G11" i="1"/>
  <c r="N11" i="1"/>
  <c r="G12" i="1"/>
  <c r="N12" i="1"/>
  <c r="G13" i="1"/>
  <c r="N13" i="1"/>
  <c r="G14" i="1"/>
  <c r="N14" i="1"/>
  <c r="G15" i="1"/>
  <c r="G16" i="1"/>
  <c r="G17" i="1"/>
  <c r="J58" i="1"/>
  <c r="J59" i="1" s="1"/>
  <c r="L60" i="1"/>
  <c r="F43" i="2"/>
  <c r="H20" i="2"/>
  <c r="N23" i="3"/>
  <c r="O43" i="2"/>
  <c r="E61" i="1"/>
  <c r="E60" i="1"/>
  <c r="M60" i="1"/>
  <c r="M61" i="1"/>
  <c r="M58" i="1"/>
  <c r="M59" i="1" s="1"/>
  <c r="C28" i="1"/>
  <c r="F28" i="1" s="1"/>
  <c r="G28" i="1"/>
  <c r="K61" i="1"/>
  <c r="K58" i="1"/>
  <c r="K59" i="1" s="1"/>
  <c r="K60" i="1"/>
  <c r="C29" i="1"/>
  <c r="F29" i="1" s="1"/>
  <c r="C30" i="1"/>
  <c r="F30" i="1" s="1"/>
  <c r="C31" i="1"/>
  <c r="F31" i="1" s="1"/>
  <c r="C32" i="1"/>
  <c r="F32" i="1" s="1"/>
  <c r="C33" i="1"/>
  <c r="F33" i="1" s="1"/>
  <c r="C34" i="1"/>
  <c r="F34" i="1" s="1"/>
  <c r="C35" i="1"/>
  <c r="F35" i="1" s="1"/>
  <c r="C36" i="1"/>
  <c r="F36" i="1" s="1"/>
  <c r="C37" i="1"/>
  <c r="F37" i="1" s="1"/>
  <c r="C38" i="1"/>
  <c r="F38" i="1" s="1"/>
  <c r="C39" i="1"/>
  <c r="F39" i="1" s="1"/>
  <c r="C40" i="1"/>
  <c r="F40" i="1" s="1"/>
  <c r="C41" i="1"/>
  <c r="F41" i="1" s="1"/>
  <c r="C42" i="1"/>
  <c r="F42" i="1" s="1"/>
  <c r="G43" i="1"/>
  <c r="C43" i="1"/>
  <c r="F43" i="1" s="1"/>
  <c r="D58" i="1"/>
  <c r="D59" i="1" s="1"/>
  <c r="L58" i="1"/>
  <c r="L59" i="1" s="1"/>
  <c r="H59" i="1"/>
  <c r="D43" i="2"/>
  <c r="H22" i="2"/>
  <c r="F39" i="3"/>
  <c r="F32" i="3"/>
  <c r="F22" i="3"/>
  <c r="F14" i="3"/>
  <c r="F34" i="3"/>
  <c r="F28" i="3"/>
  <c r="F21" i="3"/>
  <c r="F13" i="3"/>
  <c r="R99" i="4"/>
  <c r="N99" i="4" s="1"/>
  <c r="H11" i="2"/>
  <c r="E34" i="3"/>
  <c r="Q10" i="4"/>
  <c r="E11" i="4"/>
  <c r="P99" i="4"/>
  <c r="Q99" i="4" s="1"/>
  <c r="R54" i="4"/>
  <c r="N54" i="4" s="1"/>
  <c r="O47" i="3"/>
  <c r="N47" i="3" s="1"/>
  <c r="O57" i="3"/>
  <c r="N57" i="3" s="1"/>
  <c r="O125" i="3"/>
  <c r="N125" i="3" s="1"/>
  <c r="O133" i="3"/>
  <c r="N133" i="3" s="1"/>
  <c r="E10" i="4"/>
  <c r="M103" i="4"/>
  <c r="E20" i="4"/>
  <c r="Q52" i="4"/>
  <c r="Q55" i="4"/>
  <c r="R81" i="4"/>
  <c r="Q82" i="4"/>
  <c r="P91" i="4"/>
  <c r="Q91" i="4" s="1"/>
  <c r="D41" i="2"/>
  <c r="M134" i="3"/>
  <c r="O79" i="3"/>
  <c r="N79" i="3" s="1"/>
  <c r="N110" i="3"/>
  <c r="G40" i="4"/>
  <c r="N14" i="4"/>
  <c r="R18" i="4"/>
  <c r="N18" i="4" s="1"/>
  <c r="Q15" i="4"/>
  <c r="P27" i="4"/>
  <c r="Q27" i="4" s="1"/>
  <c r="Q19" i="4"/>
  <c r="P46" i="4"/>
  <c r="Q46" i="4" s="1"/>
  <c r="P81" i="4"/>
  <c r="Q81" i="4" s="1"/>
  <c r="D42" i="2"/>
  <c r="N122" i="3"/>
  <c r="Q14" i="4"/>
  <c r="C18" i="4"/>
  <c r="E18" i="4" s="1"/>
  <c r="Q28" i="4"/>
  <c r="P51" i="4"/>
  <c r="Q51" i="4" s="1"/>
  <c r="N51" i="4"/>
  <c r="Q87" i="4"/>
  <c r="C66" i="9"/>
  <c r="C67" i="9"/>
  <c r="G49" i="7"/>
  <c r="B6" i="4"/>
  <c r="F6" i="4" s="1"/>
  <c r="Q65" i="4"/>
  <c r="Q83" i="4"/>
  <c r="N91" i="4"/>
  <c r="P94" i="4"/>
  <c r="Q94" i="4" s="1"/>
  <c r="Q61" i="4"/>
  <c r="Q73" i="4"/>
  <c r="N81" i="4"/>
  <c r="Q95" i="4"/>
  <c r="F15" i="3" l="1"/>
  <c r="F23" i="3"/>
  <c r="F29" i="3"/>
  <c r="F37" i="3"/>
  <c r="F16" i="3"/>
  <c r="F25" i="3"/>
  <c r="F35" i="3"/>
  <c r="F40" i="3"/>
  <c r="E43" i="2"/>
  <c r="E42" i="2"/>
  <c r="F17" i="3"/>
  <c r="F24" i="3"/>
  <c r="F31" i="3"/>
  <c r="F10" i="3"/>
  <c r="F18" i="3"/>
  <c r="F27" i="3"/>
  <c r="F33" i="3"/>
  <c r="O134" i="3"/>
  <c r="N134" i="3" s="1"/>
  <c r="N18" i="2"/>
  <c r="O11" i="2"/>
  <c r="E40" i="3"/>
  <c r="G14" i="2"/>
  <c r="M6" i="2" s="1"/>
  <c r="F11" i="3"/>
  <c r="F19" i="3"/>
  <c r="F26" i="3"/>
  <c r="F36" i="3"/>
  <c r="F12" i="3"/>
  <c r="F20" i="3"/>
  <c r="F30" i="3"/>
  <c r="C40" i="4"/>
  <c r="E40" i="4" s="1"/>
  <c r="O18" i="2"/>
  <c r="P27" i="2"/>
  <c r="P43" i="2" s="1"/>
  <c r="P103" i="4"/>
  <c r="G18" i="1"/>
  <c r="G21" i="1" s="1"/>
  <c r="F18" i="1"/>
  <c r="F40" i="4"/>
  <c r="F38" i="4"/>
  <c r="F37" i="4"/>
  <c r="F36" i="4"/>
  <c r="F34" i="4"/>
  <c r="F33" i="4"/>
  <c r="F32" i="4"/>
  <c r="F27" i="4"/>
  <c r="F26" i="4"/>
  <c r="F25" i="4"/>
  <c r="F23" i="4"/>
  <c r="F22" i="4"/>
  <c r="F21" i="4"/>
  <c r="F19" i="4"/>
  <c r="F14" i="4"/>
  <c r="F13" i="4"/>
  <c r="F11" i="4"/>
  <c r="F10" i="4"/>
  <c r="F17" i="4"/>
  <c r="F18" i="4"/>
  <c r="F16" i="4"/>
  <c r="F30" i="4"/>
  <c r="F28" i="4"/>
  <c r="Q18" i="4"/>
  <c r="M15" i="1"/>
  <c r="N15" i="1"/>
  <c r="G22" i="1" s="1"/>
  <c r="Q54" i="4"/>
  <c r="C60" i="1"/>
  <c r="C58" i="1"/>
  <c r="C61" i="1"/>
  <c r="R103" i="4"/>
  <c r="N103" i="4" s="1"/>
  <c r="E23" i="1"/>
  <c r="G23" i="1" l="1"/>
  <c r="L6" i="1" s="1"/>
  <c r="H14" i="2"/>
  <c r="G42" i="2"/>
  <c r="H42" i="2" s="1"/>
  <c r="G41" i="2"/>
  <c r="G43" i="2"/>
  <c r="F29" i="4"/>
  <c r="F15" i="4"/>
  <c r="F12" i="4"/>
  <c r="F20" i="4"/>
  <c r="F24" i="4"/>
  <c r="F31" i="4"/>
  <c r="F35" i="4"/>
  <c r="F39" i="4"/>
  <c r="P11" i="2"/>
  <c r="P16" i="2"/>
  <c r="P18" i="2"/>
  <c r="P17" i="2"/>
  <c r="P15" i="2"/>
  <c r="P12" i="2"/>
  <c r="P14" i="2"/>
  <c r="P13" i="2"/>
  <c r="E58" i="1"/>
  <c r="C59" i="1"/>
  <c r="F22" i="1"/>
  <c r="I7" i="1" s="1"/>
  <c r="F21" i="1"/>
  <c r="B6" i="1"/>
  <c r="Q103" i="4"/>
  <c r="H41" i="2" l="1"/>
  <c r="I37" i="2"/>
  <c r="I29" i="2"/>
  <c r="I20" i="2"/>
  <c r="Q41" i="2"/>
  <c r="Q33" i="2"/>
  <c r="Q25" i="2"/>
  <c r="Q39" i="2"/>
  <c r="Q31" i="2"/>
  <c r="Q23" i="2"/>
  <c r="Q32" i="2"/>
  <c r="Q24" i="2"/>
  <c r="Q40" i="2"/>
  <c r="Q28" i="2"/>
  <c r="Q34" i="2"/>
  <c r="Q26" i="2"/>
  <c r="I17" i="2"/>
  <c r="I32" i="2"/>
  <c r="I24" i="2"/>
  <c r="I38" i="2"/>
  <c r="I30" i="2"/>
  <c r="I16" i="2"/>
  <c r="I23" i="2"/>
  <c r="I31" i="2"/>
  <c r="I41" i="2"/>
  <c r="I33" i="2"/>
  <c r="I13" i="2"/>
  <c r="Q37" i="2"/>
  <c r="I18" i="2"/>
  <c r="Q35" i="2"/>
  <c r="I12" i="2"/>
  <c r="I15" i="2"/>
  <c r="I19" i="2"/>
  <c r="Q30" i="2"/>
  <c r="I36" i="2"/>
  <c r="I14" i="2"/>
  <c r="I26" i="2"/>
  <c r="I11" i="2"/>
  <c r="I40" i="2"/>
  <c r="Q36" i="2"/>
  <c r="I25" i="2"/>
  <c r="Q29" i="2"/>
  <c r="Q27" i="2"/>
  <c r="I27" i="2"/>
  <c r="Q38" i="2"/>
  <c r="I22" i="2"/>
  <c r="Q42" i="2"/>
  <c r="I28" i="2"/>
  <c r="I34" i="2"/>
  <c r="I39" i="2"/>
  <c r="I21" i="2"/>
  <c r="I35" i="2"/>
  <c r="F23" i="1"/>
  <c r="E7" i="1"/>
  <c r="H6" i="4"/>
  <c r="H6" i="3"/>
  <c r="G58" i="1"/>
  <c r="F58" i="1"/>
  <c r="E59" i="1"/>
  <c r="Q43" i="2" l="1"/>
  <c r="G59" i="1"/>
  <c r="F59" i="1"/>
</calcChain>
</file>

<file path=xl/sharedStrings.xml><?xml version="1.0" encoding="utf-8"?>
<sst xmlns="http://schemas.openxmlformats.org/spreadsheetml/2006/main" count="9722" uniqueCount="1914">
  <si>
    <t>RESTAURANTE CHOCLOS Y ASADOS LA FINCA</t>
  </si>
  <si>
    <t>DASHBOARD GERENCIAL DE COSTOS Y GASTOS - INFORME MENSUAL Y DIARIO SEPTIEMBRE 2026</t>
  </si>
  <si>
    <t>TOTAL COMPRAS Y EGRESOS</t>
  </si>
  <si>
    <t>TOTAL COSTOS DIRECTOS (COGS)</t>
  </si>
  <si>
    <t>TOTAL GASTOS OPERACIONALES (OPEX)</t>
  </si>
  <si>
    <t>PROMEDIO DIARIO TOTAL</t>
  </si>
  <si>
    <t>100% Consolidado del Mes</t>
  </si>
  <si>
    <t>Costo Prom: $4.678.227 | Gasto Prom: $3.484.285</t>
  </si>
  <si>
    <t>1. COSTOS DIRECTOS (COGS: MATERIA PRIMA E INSUMOS)</t>
  </si>
  <si>
    <t>2. GASTOS OPERACIONALES Y ADMINISTRATIVOS (OPEX)</t>
  </si>
  <si>
    <t>Categoría / Insumo</t>
  </si>
  <si>
    <t>Tipo</t>
  </si>
  <si>
    <t>N° Compras</t>
  </si>
  <si>
    <t>Total Mes ($)</t>
  </si>
  <si>
    <t>% Costos</t>
  </si>
  <si>
    <t>Prom. Día</t>
  </si>
  <si>
    <t>Concepto / Categoría</t>
  </si>
  <si>
    <t>N° Pagos</t>
  </si>
  <si>
    <t>% Gastos</t>
  </si>
  <si>
    <t>Carnes y Proteínas</t>
  </si>
  <si>
    <t>Directo</t>
  </si>
  <si>
    <t>Servicios (Personal y Planta)</t>
  </si>
  <si>
    <t>Gasto Oper.</t>
  </si>
  <si>
    <t>Verduras y Frutas</t>
  </si>
  <si>
    <t>Mantenimiento y Adecuaciones</t>
  </si>
  <si>
    <t>Desechables y Empaques</t>
  </si>
  <si>
    <t>Servicios Públicos (Energía y TV)</t>
  </si>
  <si>
    <t>Granos y Harinas</t>
  </si>
  <si>
    <t>Otros Gastos Operacionales (Admin y Varios)</t>
  </si>
  <si>
    <t>Gasto Admin.</t>
  </si>
  <si>
    <t>Bebidas y Licores</t>
  </si>
  <si>
    <t>SUBTOTAL GASTOS OPERACIONALES</t>
  </si>
  <si>
    <t>Operativo</t>
  </si>
  <si>
    <t>Inventario Inicial (Arranque)</t>
  </si>
  <si>
    <t>Otros Insumos (Abarrotes y Cocina)</t>
  </si>
  <si>
    <t>SUBTOTAL COSTOS DIRECTOS</t>
  </si>
  <si>
    <t>Materia Prima</t>
  </si>
  <si>
    <t>RESUMEN CONSOLIDADO: COSTOS DIRECTOS VS GASTOS OPERACIONALES</t>
  </si>
  <si>
    <t>Costos Directos (COGS)</t>
  </si>
  <si>
    <t>Gastos Operacionales (OPEX)</t>
  </si>
  <si>
    <t>TOTAL CONSOLIDADO MES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</si>
  <si>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</si>
  <si>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</si>
  <si>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</si>
  <si>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</si>
  <si>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</si>
  <si>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</si>
  <si>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</si>
  <si>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</si>
  <si>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</si>
  <si>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</si>
  <si>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</si>
  <si>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</si>
  <si>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</si>
  <si>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</si>
  <si>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</si>
  <si>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</si>
  <si>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-</t>
  </si>
  <si>
    <t>MÍNIMO DIARIO</t>
  </si>
  <si>
    <t>DASHBOARD EJECUTIVO DE VENTAS - SEPTIEMBRE 2026</t>
  </si>
  <si>
    <t>Restaurante Choclos y Asados La Finca - Seguimiento diario de facturación, volumen, mezcla de productos y rentabilidad</t>
  </si>
  <si>
    <t>TOTAL FACTURADO (GRAN TOTAL)</t>
  </si>
  <si>
    <t>VENTA NETA TOTAL (BASE)</t>
  </si>
  <si>
    <t>IMPOCONSUMO (8%)</t>
  </si>
  <si>
    <t>DESCUENTOS OTORGADOS</t>
  </si>
  <si>
    <t>TOTAL PLATOS / UNID. VENDIDAS</t>
  </si>
  <si>
    <t>PROMEDIO VENTA DIARIA (14 DÍAS)</t>
  </si>
  <si>
    <t>DÍA PICO FACTURACIÓN</t>
  </si>
  <si>
    <t>Día 6 ($20.262.800)</t>
  </si>
  <si>
    <t>1. SEGUIMIENTO DIARIO DE VENTAS - SEPTIEMBRE 2026</t>
  </si>
  <si>
    <t>2. PARTICIPACIÓN Y FACTURACIÓN POR CATEGORÍA</t>
  </si>
  <si>
    <t>Fecha</t>
  </si>
  <si>
    <t>Platos / Unid.</t>
  </si>
  <si>
    <t>Venta Neta ($)</t>
  </si>
  <si>
    <t>Impoconsumo ($)</t>
  </si>
  <si>
    <t>Gran Total ($)</t>
  </si>
  <si>
    <t>Ticket / Ítem</t>
  </si>
  <si>
    <t>% Mes</t>
  </si>
  <si>
    <t>Categoría de Venta</t>
  </si>
  <si>
    <t>Unid. Vendidas</t>
  </si>
  <si>
    <t>% Facturación</t>
  </si>
  <si>
    <t>01/09/2026</t>
  </si>
  <si>
    <t>Platos Fuertes / Carnes</t>
  </si>
  <si>
    <t>02/09/2026</t>
  </si>
  <si>
    <t>Especialidades Típicas</t>
  </si>
  <si>
    <t>03/09/2026</t>
  </si>
  <si>
    <t>Bebidas</t>
  </si>
  <si>
    <t>04/09/2026</t>
  </si>
  <si>
    <t>Pescados y Mariscos</t>
  </si>
  <si>
    <t>05/09/2026</t>
  </si>
  <si>
    <t>Acompañamientos y Adicionales</t>
  </si>
  <si>
    <t>06/09/2026</t>
  </si>
  <si>
    <t>Sopas y Entradas</t>
  </si>
  <si>
    <t>07/09/2026</t>
  </si>
  <si>
    <t>Otros / Empaques</t>
  </si>
  <si>
    <t>08/09/2026</t>
  </si>
  <si>
    <t>TOTAL CATEGORÍAS</t>
  </si>
  <si>
    <t>09/09/2026</t>
  </si>
  <si>
    <t>10/09/2026</t>
  </si>
  <si>
    <t>11/09/2026</t>
  </si>
  <si>
    <t>3. TOP 20 PRODUCTOS MÁS VENDIDOS (RANKING DE FACTURACIÓN)</t>
  </si>
  <si>
    <t>12/09/2026</t>
  </si>
  <si>
    <t>Rank</t>
  </si>
  <si>
    <t>Código</t>
  </si>
  <si>
    <t>Producto</t>
  </si>
  <si>
    <t>Categoría</t>
  </si>
  <si>
    <t>% Venta Total</t>
  </si>
  <si>
    <t>13/09/2026</t>
  </si>
  <si>
    <t>#1</t>
  </si>
  <si>
    <t>Paisa especial</t>
  </si>
  <si>
    <t>14/09/2026</t>
  </si>
  <si>
    <t>#2</t>
  </si>
  <si>
    <t>Frijolada chicha jun</t>
  </si>
  <si>
    <t>15/09/2026</t>
  </si>
  <si>
    <t>#3</t>
  </si>
  <si>
    <t>Sobre domingo</t>
  </si>
  <si>
    <t>16/09/2026</t>
  </si>
  <si>
    <t>#4</t>
  </si>
  <si>
    <t>Paisa economico</t>
  </si>
  <si>
    <t>17/09/2026</t>
  </si>
  <si>
    <t>#5</t>
  </si>
  <si>
    <t>Lengua domingo</t>
  </si>
  <si>
    <t>18/09/2026</t>
  </si>
  <si>
    <t>#6</t>
  </si>
  <si>
    <t>Junior gallina</t>
  </si>
  <si>
    <t>19/09/2026</t>
  </si>
  <si>
    <t>#7</t>
  </si>
  <si>
    <t>Super de cerdo</t>
  </si>
  <si>
    <t>20/09/2026</t>
  </si>
  <si>
    <t>#8</t>
  </si>
  <si>
    <t>Tamal</t>
  </si>
  <si>
    <t>21/09/2026</t>
  </si>
  <si>
    <t>#9</t>
  </si>
  <si>
    <t>Costilla c san luis</t>
  </si>
  <si>
    <t>22/09/2026</t>
  </si>
  <si>
    <t>#10</t>
  </si>
  <si>
    <t>Promo cazuela</t>
  </si>
  <si>
    <t>23/09/2026</t>
  </si>
  <si>
    <t>#11</t>
  </si>
  <si>
    <t>Cazuela frijol</t>
  </si>
  <si>
    <t>24/09/2026</t>
  </si>
  <si>
    <t>#12</t>
  </si>
  <si>
    <t>Limonada natural 1l</t>
  </si>
  <si>
    <t>25/09/2026</t>
  </si>
  <si>
    <t>#13</t>
  </si>
  <si>
    <t>Frijolada</t>
  </si>
  <si>
    <t>26/09/2026</t>
  </si>
  <si>
    <t>#14</t>
  </si>
  <si>
    <t>Prom chuleta cerdo</t>
  </si>
  <si>
    <t>27/09/2026</t>
  </si>
  <si>
    <t>#15</t>
  </si>
  <si>
    <t>Carne molida</t>
  </si>
  <si>
    <t>28/09/2026</t>
  </si>
  <si>
    <t>#16</t>
  </si>
  <si>
    <t>Punta de anca 400</t>
  </si>
  <si>
    <t>29/09/2026</t>
  </si>
  <si>
    <t>#17</t>
  </si>
  <si>
    <t>Bandeja sola</t>
  </si>
  <si>
    <t>30/09/2026</t>
  </si>
  <si>
    <t>#18</t>
  </si>
  <si>
    <t>Jarra limonada 2 lit</t>
  </si>
  <si>
    <t>TOTAL MES (DÍAS 1-30)</t>
  </si>
  <si>
    <t>#19</t>
  </si>
  <si>
    <t>Churrasco 400 gr apr</t>
  </si>
  <si>
    <t>#20</t>
  </si>
  <si>
    <t>Baby beef 400 gr apr</t>
  </si>
  <si>
    <t>SUBTOTAL TOP 20 PRODUCTOS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</si>
  <si>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</si>
  <si>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</si>
  <si>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</si>
  <si>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</si>
  <si>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</si>
  <si>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</si>
  <si>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</si>
  <si>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</si>
  <si>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</si>
  <si>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</si>
  <si>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</si>
  <si>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</si>
  <si>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</si>
  <si>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</si>
  <si>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</si>
  <si>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</si>
  <si>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</si>
  <si>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</si>
  <si>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</si>
  <si>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01FZ70896</t>
  </si>
  <si>
    <t>Pezuña</t>
  </si>
  <si>
    <t>PEZUÑA CERDO A GRANEL (Supertiendas Cañaveral - 01FZ70896)</t>
  </si>
  <si>
    <t>FAC-188</t>
  </si>
  <si>
    <t>Bagre de mar</t>
  </si>
  <si>
    <t>BAGRE DE MAR (Gabriel Ramirez Cubillos - FAC-188)</t>
  </si>
  <si>
    <t>FAC-916</t>
  </si>
  <si>
    <t>Filete de pollo x 120</t>
  </si>
  <si>
    <t>Filete pollo 110g (Alexis Valencia - Factura 916)</t>
  </si>
  <si>
    <t>Filete de pollo x 350</t>
  </si>
  <si>
    <t>Filete pollo 350g (Alexis Valencia - Factura 916)</t>
  </si>
  <si>
    <t>FVE-121</t>
  </si>
  <si>
    <t>Salmon</t>
  </si>
  <si>
    <t>Filete de Salmon Grande (Frio Sabor FVE-121)</t>
  </si>
  <si>
    <t>Tilapia y truchas</t>
  </si>
  <si>
    <t>Tilapia Roja (Frio Sabor FVE-121)</t>
  </si>
  <si>
    <t>RCM-01-Sep-2026</t>
  </si>
  <si>
    <t>6 lbs cabeza Tilapia (Recibo Caja Menor 01-Sep-2026)</t>
  </si>
  <si>
    <t>YP24140</t>
  </si>
  <si>
    <t>Costilla de cerdo especial</t>
  </si>
  <si>
    <t>COSTILLA DE CERDO IBP 244M (Carnes Los Monos - YP24140)</t>
  </si>
  <si>
    <t>Lengua de res</t>
  </si>
  <si>
    <t>LENGUA DE RES IMP X KL (Carnes Los Monos - YP24140)</t>
  </si>
  <si>
    <t>Sobaco</t>
  </si>
  <si>
    <t>SOBACO (Carnes Los Monos - YP24140)</t>
  </si>
  <si>
    <t>Sobrebarriga delgada</t>
  </si>
  <si>
    <t>SOBREBARRIGA DELGADA (Carnes Los Monos - YP24140)</t>
  </si>
  <si>
    <t>YP24152</t>
  </si>
  <si>
    <t>Tocino barril</t>
  </si>
  <si>
    <t>TOCINETA BARRIL (Carnes Los Monos - YP24152)</t>
  </si>
  <si>
    <t>SUBTOTAL DÍA 1 (13 compras)</t>
  </si>
  <si>
    <t>FAC-917</t>
  </si>
  <si>
    <t>Pernil de pollo</t>
  </si>
  <si>
    <t>Pernil pollo campo (Alexis Valencia - Factura 917)</t>
  </si>
  <si>
    <t>DESP-0444</t>
  </si>
  <si>
    <t>Higado</t>
  </si>
  <si>
    <t>HIGADO DE RES (Poblado Despacho 0444)</t>
  </si>
  <si>
    <t>03FH104321</t>
  </si>
  <si>
    <t>Alas de pollo</t>
  </si>
  <si>
    <t>ALAS POLLO MACPOLLO CONGELADO (Supertiendas Cañaveral - 03FH104321)</t>
  </si>
  <si>
    <t>SUBTOTAL DÍA 2 (4 compras)</t>
  </si>
  <si>
    <t>FE01576</t>
  </si>
  <si>
    <t>Caderita</t>
  </si>
  <si>
    <t>CADERITA DE RES (MYC - FE01576)</t>
  </si>
  <si>
    <t>Callo</t>
  </si>
  <si>
    <t>CALLO DE RES (MYC - FE01576)</t>
  </si>
  <si>
    <t>FE01570</t>
  </si>
  <si>
    <t>HIGADO DE RES (MYC - FE01570)</t>
  </si>
  <si>
    <t>Lomo viche</t>
  </si>
  <si>
    <t>LOMO VICHE ESPECIAL DE RES (MYC - FE01570)</t>
  </si>
  <si>
    <t>FE01569</t>
  </si>
  <si>
    <t>CADERITA DE RES (MYC - FE01569)</t>
  </si>
  <si>
    <t>Costilla Especial</t>
  </si>
  <si>
    <t>COSTILLA ESPECIAL DE RES (MYC - FE01569)</t>
  </si>
  <si>
    <t>0000006666</t>
  </si>
  <si>
    <t>Chorizo</t>
  </si>
  <si>
    <t>CHORIZO COCTELERO 4 PAQ (Carnicos Montero FAC-0000006666)</t>
  </si>
  <si>
    <t>CHORIZO PREMIUM 1 PAQ (Carnicos Montero FAC-0000006666)</t>
  </si>
  <si>
    <t>FE1-49657</t>
  </si>
  <si>
    <t>Costilla de cerdo</t>
  </si>
  <si>
    <t>COSTILLA CERDO ESP CR (BS) X 4 KG (ARMAR ALIMENTOS S.A.S.)</t>
  </si>
  <si>
    <t>SUBTOTAL DÍA 3 (9 compras)</t>
  </si>
  <si>
    <t>FEBF-33</t>
  </si>
  <si>
    <t>Lomo de cerdo</t>
  </si>
  <si>
    <t>LOMO DE CERDO (Fabian Bonilla - FEBF-33)</t>
  </si>
  <si>
    <t>FAC-920</t>
  </si>
  <si>
    <t>Filete pollo 350g (Alexis Valencia - Factura 920)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</si>
  <si>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</si>
  <si>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</si>
  <si>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</si>
  <si>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</si>
  <si>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</si>
  <si>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</si>
  <si>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FVE 130</t>
  </si>
  <si>
    <t>Tilapia Roja</t>
  </si>
  <si>
    <t>Tilapia Roja (Gerson Alexander Valencia Angel)</t>
  </si>
  <si>
    <t>Filete de Salmón Grande</t>
  </si>
  <si>
    <t>Filete de Salmon Grande (Gerson Alexander Valencia Angel)</t>
  </si>
  <si>
    <t>Trucha Arcoíris</t>
  </si>
  <si>
    <t>Trucha arcoiris (Gerson Alexander Valencia Angel)</t>
  </si>
  <si>
    <t>Mix de Mariscos</t>
  </si>
  <si>
    <t>Mix de Mariscos (Gerson Alexander Valencia Angel)</t>
  </si>
  <si>
    <t>SUBTOTAL DÍA 4 (8 compras)</t>
  </si>
  <si>
    <t>YP24244</t>
  </si>
  <si>
    <t>Camaron precocido</t>
  </si>
  <si>
    <t>CAMARON DE CULTIVO PRECOCIDO 91-110P (Carnes Los Monos - YP24244)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</si>
  <si>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</si>
  <si>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</si>
  <si>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</si>
  <si>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</si>
  <si>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de caracho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</si>
  <si>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</si>
  <si>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</si>
  <si>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</si>
  <si>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</si>
  <si>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</si>
  <si>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</t>
  </si>
  <si>
    <t>TOCINETA BARRIL (Carnes Los Monos - YP24244)</t>
  </si>
  <si>
    <t>FE1-49726</t>
  </si>
  <si>
    <t>SUBTOTAL DÍA 5 (9 compras)</t>
  </si>
  <si>
    <t>SEV-07SEP</t>
  </si>
  <si>
    <t>Espinazo de cerdo</t>
  </si>
  <si>
    <t>ESPINAZO DE CERDO A GRANEL (Agropecuaria La Sevillana SAS)</t>
  </si>
  <si>
    <t>PEZUNA GRANEL (Agropecuaria La Sevillana SAS)</t>
  </si>
  <si>
    <t>REM-07-Sep-2026</t>
  </si>
  <si>
    <t>Gallina</t>
  </si>
  <si>
    <t>GALLINAS GIGANTES 9 UND (Remision s/n 07-09-2026)</t>
  </si>
  <si>
    <t>REM-07-09-2026</t>
  </si>
  <si>
    <t>Combo Morcilla CL (Remision 07-09-2026)</t>
  </si>
  <si>
    <t>MY8683</t>
  </si>
  <si>
    <t>Morrillo</t>
  </si>
  <si>
    <t>MORRILLO DE RES (Carnes Los Monos - MY8683)</t>
  </si>
  <si>
    <t>SOBACO (Carnes Los Monos - MY8683)</t>
  </si>
  <si>
    <t>SOBREBARRIGA DELGADA (Carnes Los Monos - MY8683)</t>
  </si>
  <si>
    <t>11FH128829</t>
  </si>
  <si>
    <t>ALAS MACPOLLO CAMPO C/COS MARIN A GRAN (Supertiendas Cañaveral 11FH128829)</t>
  </si>
  <si>
    <t>Mortadela</t>
  </si>
  <si>
    <t>2 MORTADELA RICA*450g (Supertiendas Cañaveral 11FH128829)</t>
  </si>
  <si>
    <t>SUBTOTAL DÍA 7 (9 compras)</t>
  </si>
  <si>
    <t>REM-08-09-2026</t>
  </si>
  <si>
    <t>Filete x 350g - 40 und (Alexis Valencia Remision 08-09-2026)</t>
  </si>
  <si>
    <t>FEBF-34 / REM-08-09-2026</t>
  </si>
  <si>
    <t>Lomo cerdo (Pappyer Remision 08-09-2026)</t>
  </si>
  <si>
    <t>Perniles Campo - 25 und (Alexis Valencia Remision 08-09-2026)</t>
  </si>
  <si>
    <t>FE01598 / DESP-0493</t>
  </si>
  <si>
    <t>Caderita (Poblado Despacho 0493)</t>
  </si>
  <si>
    <t>Pezuña (Poblado Despacho 0493)</t>
  </si>
  <si>
    <t>CUADERNO CAJA / NO REGISTRADO</t>
  </si>
  <si>
    <t>Visceras Domicilios (Neymar)</t>
  </si>
  <si>
    <t>08FH337898</t>
  </si>
  <si>
    <t>Víscera de pollo</t>
  </si>
  <si>
    <t>VISCERA BUCANERO*und BOLSA (SUPERTIENDAS CAÑAVERAL S.A.S.)</t>
  </si>
  <si>
    <t>SUBTOTAL DÍA 8 (11 compras)</t>
  </si>
  <si>
    <t>YP24314</t>
  </si>
  <si>
    <t>CAMARON DE CULTIVO PRECOCIDO 91-110P (Carnes Los Monos - YP24314)</t>
  </si>
  <si>
    <t>COSTILLA DE CERDO IBP 244L (Carnes Los Monos - YP24314)</t>
  </si>
  <si>
    <t>LENGUA DE RES IMP X KL (Carnes Los Monos - YP24314)</t>
  </si>
  <si>
    <t>SOBACO (Carnes Los Monos - YP24314)</t>
  </si>
  <si>
    <t>TOCINETA BARRIL (Carnes Los Monos - YP24314)</t>
  </si>
  <si>
    <t>Trozos e pechuga</t>
  </si>
  <si>
    <t>TROZOS DE PECHUGA (Carnes Los Monos - YP24314)</t>
  </si>
  <si>
    <t>REM-09-Sep-2026</t>
  </si>
  <si>
    <t>GALLINAS GIGANTES 9 UND (Remision s/n 09.09.2026)</t>
  </si>
  <si>
    <t>REM-09-09-2026</t>
  </si>
  <si>
    <t>Filete x 350g - 40 und (Alexis Valencia Remision 09-09-2026)</t>
  </si>
  <si>
    <t>Pernil Camp. (Alexis Valencia Remision 09-09-2026)</t>
  </si>
  <si>
    <t>FE01591 / FAC-2860</t>
  </si>
  <si>
    <t>Lomo de Cerdo (Carnes de Res y Cerdo Factura 2860)</t>
  </si>
  <si>
    <t>FAC191</t>
  </si>
  <si>
    <t>BAGRE DE MAR (Acuatica Factura FAC 191)</t>
  </si>
  <si>
    <t>Espinazo, Cuchuco, Salchicha Principal (Johanna)</t>
  </si>
  <si>
    <t>SUBTOTAL DÍA 9 (12 compras)</t>
  </si>
  <si>
    <t>REM-10-Sep-2026</t>
  </si>
  <si>
    <t>PERNIL POLLO (Alexis Valencia Remision 10-09-2026)</t>
  </si>
  <si>
    <t>RCM-10-Sep-2026-6</t>
  </si>
  <si>
    <t>CHORIZOS (Recibo Caja Menor 10/09/26)</t>
  </si>
  <si>
    <t>Costilla</t>
  </si>
  <si>
    <t>COSTILLA (Recibo Caja Menor 10/09/26)</t>
  </si>
  <si>
    <t>06FZ47115</t>
  </si>
  <si>
    <t>MORTADELA RICA 1 UN (Supertiendas Canaveral 06FZ47115)</t>
  </si>
  <si>
    <t>FE01599 / 0515</t>
  </si>
  <si>
    <t>LOMO CERDO (Carnes El Poblado Despacho 0515)</t>
  </si>
  <si>
    <t>LOMO VICHE (Carnes El Poblado Despacho 0515)</t>
  </si>
  <si>
    <t>FE01592</t>
  </si>
  <si>
    <t>Caderita de res</t>
  </si>
  <si>
    <t>CADERITA DE RES (DISTRIBUIDORA M Y C S.A.S.)</t>
  </si>
  <si>
    <t>SUBTOTAL DÍA 10 (7 compras)</t>
  </si>
  <si>
    <t>CUADERNO DON ARTURO / NO REGISTRADO</t>
  </si>
  <si>
    <t>Costilla ahumada</t>
  </si>
  <si>
    <t>Mariscos</t>
  </si>
  <si>
    <t>dos cajas costilla (Cuaderno Pág. 159 Renglón 2)</t>
  </si>
  <si>
    <t>Tilapia Principal (Johanna/Wilson)</t>
  </si>
  <si>
    <t>07FI112763</t>
  </si>
  <si>
    <t>Mortadela Zenu</t>
  </si>
  <si>
    <t>4 MORTADELA ZENU*450g TRADICIONAL</t>
  </si>
  <si>
    <t>5 MORTADELA ZENU*450g TRADICIONAL</t>
  </si>
  <si>
    <t>FVE 132</t>
  </si>
  <si>
    <t>Tilapia Roja (GERSON ALEXANDER VALENCIA ANGEL (FRIO SABOR))</t>
  </si>
  <si>
    <t>FE1-49890</t>
  </si>
  <si>
    <t>SUBTOTAL DÍA 11 (9 compras)</t>
  </si>
  <si>
    <t>YP24413</t>
  </si>
  <si>
    <t>SOBACO</t>
  </si>
  <si>
    <t>Tocineta</t>
  </si>
  <si>
    <t>TOCINETA BARRIL</t>
  </si>
  <si>
    <t>Sobrebarriga</t>
  </si>
  <si>
    <t>SOBREBARRIGA DELGADA</t>
  </si>
  <si>
    <t>PUNTA DE ANCA IMP PORC. PARRILLA</t>
  </si>
  <si>
    <t>COSTILLA SAN LUIS JUNIOR T/M</t>
  </si>
  <si>
    <t>MORRILLO DE RES</t>
  </si>
  <si>
    <t>2914 / FE01609</t>
  </si>
  <si>
    <t>Callo de res</t>
  </si>
  <si>
    <t>Callo de Res</t>
  </si>
  <si>
    <t>2909 / FE01608</t>
  </si>
  <si>
    <t>Sobrebarriga Delgada de Res</t>
  </si>
  <si>
    <t>0000006723</t>
  </si>
  <si>
    <t>Chorizo Premium Coctelero</t>
  </si>
  <si>
    <t>CHORIZO PREMIUM COCTELERO PAQ. X 40 UND. (MONTERO) COCX40</t>
  </si>
  <si>
    <t>Chorizo Premium 12 Und</t>
  </si>
  <si>
    <t>CHORIZO PREMIUM PAQ. X 12 UND. (MONTERO) 1800gr PREMX12</t>
  </si>
  <si>
    <t>SUBTOTAL DÍA 12 (11 compras)</t>
  </si>
  <si>
    <t>S/N</t>
  </si>
  <si>
    <t>Espinazo</t>
  </si>
  <si>
    <t>7 - lbs - Espinazo</t>
  </si>
  <si>
    <t>Cabeza tilapia</t>
  </si>
  <si>
    <t>7 - lbs - Cabeza tilapia</t>
  </si>
  <si>
    <t>SUBTOTAL DÍA 13 (2 compras)</t>
  </si>
  <si>
    <t>2925 / FE01610</t>
  </si>
  <si>
    <t>Cadera de res</t>
  </si>
  <si>
    <t>Caderita de Res</t>
  </si>
  <si>
    <t>Costilla Especial de Res</t>
  </si>
  <si>
    <t>MY8828</t>
  </si>
  <si>
    <t>Muchacho</t>
  </si>
  <si>
    <t>MUCHACHO DE RES</t>
  </si>
  <si>
    <t>FEBF-36</t>
  </si>
  <si>
    <t>Lomo de Cerdo</t>
  </si>
  <si>
    <t>LOMO DE CERDO (Fabian Bonilla - FEBF-36)</t>
  </si>
  <si>
    <t>933</t>
  </si>
  <si>
    <t>Filete de pollo</t>
  </si>
  <si>
    <t>FILETE DE POLLO X 350G (Cárnicos Valencia - Factura 933)</t>
  </si>
  <si>
    <t>932</t>
  </si>
  <si>
    <t>FILETE DE POLLO X 120GR (Cárnicos Valencia - Factura 932)</t>
  </si>
  <si>
    <t>SUBTOTAL DÍA 14 (7 compras)</t>
  </si>
  <si>
    <t>TOTAL CONSOLIDADO CARNES (111 COMPRAS)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</si>
  <si>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</si>
  <si>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</si>
  <si>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</si>
  <si>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</si>
  <si>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</si>
  <si>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</si>
  <si>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</si>
  <si>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</si>
  <si>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</si>
  <si>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</si>
  <si>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</si>
  <si>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</si>
  <si>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</si>
  <si>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</si>
  <si>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</si>
  <si>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</si>
  <si>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</si>
  <si>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</si>
  <si>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</si>
  <si>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</si>
  <si>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</si>
  <si>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</si>
  <si>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</si>
  <si>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</si>
  <si>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</si>
  <si>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</si>
  <si>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</si>
  <si>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</si>
  <si>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</si>
  <si>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</si>
  <si>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</si>
  <si>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</si>
  <si>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</si>
  <si>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</si>
  <si>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</si>
  <si>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</si>
  <si>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</si>
  <si>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</si>
  <si>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</si>
  <si>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</si>
  <si>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</si>
  <si>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</si>
  <si>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</si>
  <si>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</si>
  <si>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</si>
  <si>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</si>
  <si>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</si>
  <si>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</si>
  <si>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</si>
  <si>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</si>
  <si>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</si>
  <si>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</si>
  <si>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</si>
  <si>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SUBTOTAL DÍA 3 (8 compras)</t>
  </si>
  <si>
    <t>A 1494</t>
  </si>
  <si>
    <t>Extracto de Coco Premium 1000 ml</t>
  </si>
  <si>
    <t>Extrato de coco premium 1000 mL (COL COCO S.A.S.)</t>
  </si>
  <si>
    <t>NV202395</t>
  </si>
  <si>
    <t>Hielo en bloque</t>
  </si>
  <si>
    <t>BLOQUE MEDIA (INDUSTRIA HIELO EL NEVADO SAS)</t>
  </si>
  <si>
    <t>SUBTOTAL DÍA 4 (2 compras)</t>
  </si>
  <si>
    <t>JM07-1019725</t>
  </si>
  <si>
    <t>H2OH! Maracuyá 600 ml</t>
  </si>
  <si>
    <t>MARACUYA H2OH! 600 ML PET X 15 (POSTOBON S.A.)</t>
  </si>
  <si>
    <t>H2OH! Limoneto 600 ml</t>
  </si>
  <si>
    <t>LIMONATA H2OH! 600 ML PET X 15 (POSTOBON S.A.)</t>
  </si>
  <si>
    <t>H2OH! Manzana 600 ml</t>
  </si>
  <si>
    <t>MANZANA H2OH 600 ML PET X 15 (POSTOBON S.A.)</t>
  </si>
  <si>
    <t>Mr Tea Durazno 500 ml</t>
  </si>
  <si>
    <t>DURAZNO MR TEA 500 ML PET X 12 (Postobón S.A.)</t>
  </si>
  <si>
    <t>Mr Tea Limón 500 ml</t>
  </si>
  <si>
    <t>LIMON MR TEA 500 ML PET X 12 (Postobón S.A.)</t>
  </si>
  <si>
    <t>Postobón Naranja 1.75 L</t>
  </si>
  <si>
    <t>NARANJA POSTOBON 1.750 ML PET X 12 PM (Postobón S.A.)</t>
  </si>
  <si>
    <t>Postobón Uva 1.75 L</t>
  </si>
  <si>
    <t>UVA POSTOBON PET 1.750 ML PET X 12 PM (Postobón S.A.)</t>
  </si>
  <si>
    <t>Piña Postobón 350 ml Vidrio</t>
  </si>
  <si>
    <t>PIÑA NACIONAL 350 ML VIDRIO R X 30 (Postobón S.A.)</t>
  </si>
  <si>
    <t>Colombiana 350 ml Vidrio</t>
  </si>
  <si>
    <t>COLOMBIANA NACIONAL 350 ML VIDRIO R X 30 (Postobón S.A.)</t>
  </si>
  <si>
    <t>Postobón Uva 350 ml Vidrio</t>
  </si>
  <si>
    <t>UVA POSTOBON 350 ML VIDRIO R X 30 (Postobón S.A.)</t>
  </si>
  <si>
    <t>Postobón Manzana 350 ml Vidrio</t>
  </si>
  <si>
    <t>MANZANA POSTOBON 350 ML VIDRIO R X 30 (Postobón S.A.)</t>
  </si>
  <si>
    <t>Postobón Manzana 1.75 L</t>
  </si>
  <si>
    <t>MANZANA POSTOBON 1.750 ML PET X 12 PM (Postobón S.A.)</t>
  </si>
  <si>
    <t>Colombiana 1.75 L</t>
  </si>
  <si>
    <t>COLOMBIANA NACIONAL 1.750 ML PET X 12 PM (Postobón S.A.)</t>
  </si>
  <si>
    <t>Agua Cristal 600 ml</t>
  </si>
  <si>
    <t>AGUA CRISTAL 600 ML PET X 24 (Postobón S.A.)</t>
  </si>
  <si>
    <t>Agua Cristal con Gas 600 ml</t>
  </si>
  <si>
    <t>AGUA CRISTAL CON GAS 600 ML PET X 24 (Postobón S.A.)</t>
  </si>
  <si>
    <t>SUBTOTAL DÍA 5 (15 compras)</t>
  </si>
  <si>
    <t>NV202629</t>
  </si>
  <si>
    <t>Hielo en bolsa</t>
  </si>
  <si>
    <t>BOLSA X 5 KL TUBULAR (INDUSTRIA HIELO EL NEVADO SAS)</t>
  </si>
  <si>
    <t>NV202664</t>
  </si>
  <si>
    <t>SUBTOTAL DÍA 7 (4 compras)</t>
  </si>
  <si>
    <t>NV202876</t>
  </si>
  <si>
    <t>Hielo en Bloque Media</t>
  </si>
  <si>
    <t>NV202875</t>
  </si>
  <si>
    <t>Hielo en Bolsa x 5 kg Tubular</t>
  </si>
  <si>
    <t>SUBTOTAL DÍA 8 (2 compras)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</si>
  <si>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</si>
  <si>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</si>
  <si>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</si>
  <si>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</si>
  <si>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</si>
  <si>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</si>
  <si>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</si>
  <si>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</si>
  <si>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</si>
  <si>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</si>
  <si>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</si>
  <si>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</si>
  <si>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</si>
  <si>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</si>
  <si>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</si>
  <si>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</si>
  <si>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</si>
  <si>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</si>
  <si>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</si>
  <si>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</si>
  <si>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</si>
  <si>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</si>
  <si>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</si>
  <si>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</si>
  <si>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</si>
  <si>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</si>
  <si>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</si>
  <si>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</si>
  <si>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</si>
  <si>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</si>
  <si>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</si>
  <si>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</si>
  <si>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NV202947</t>
  </si>
  <si>
    <t>FEC 2940</t>
  </si>
  <si>
    <t>Limonada de Coco Fusionada x 10</t>
  </si>
  <si>
    <t>LIMONADA DE COCO FUSIONADA X 10 (HENRY ANTONIO CASTAÑO TORO)</t>
  </si>
  <si>
    <t>Z1284001674</t>
  </si>
  <si>
    <t>Café Colcafé Cappuccino Clásico 500 g</t>
  </si>
  <si>
    <t>Colcafé Cappuccino Clasic 500g (ALKOSTO)</t>
  </si>
  <si>
    <t>MA42914</t>
  </si>
  <si>
    <t>Alquemix Galaxy V 170 g</t>
  </si>
  <si>
    <t>ALQUEMIX GALAXY V 170G (PRODUCTOS NATURALES DE LA SABANA S.A.S. BIC)</t>
  </si>
  <si>
    <t>Alquemix Milo V 95 g</t>
  </si>
  <si>
    <t>ALQUEMIX MILO V95G (PRODUCTOS NATURALES DE LA SABANA S.A.S. BIC)</t>
  </si>
  <si>
    <t>Crema de Leche 1000 g</t>
  </si>
  <si>
    <t>CREMA DE LECHE 1000G (PRODUCTOS NATURALES DE LA SABANA S.A.S. BIC)</t>
  </si>
  <si>
    <t>Leche Institucional 1100 ml</t>
  </si>
  <si>
    <t>SABOR ORIGINAL INSTITUCIONAL 1100ML (PRODUCTOS NATURALES DE LA SABANA S.A.S. BIC)</t>
  </si>
  <si>
    <t>Jugo Tangelo 400 ml</t>
  </si>
  <si>
    <t>TANGELO BOTELLA 400 ML (PRODUCTOS NATURALES DE LA SABANA S.A.S. BIC)</t>
  </si>
  <si>
    <t>Alquería M&amp;M 100 g</t>
  </si>
  <si>
    <t>ALQUERIA M&amp;M 100G (PRODUCTOS NATURALES DE LA SABANA S.A.S. BIC)</t>
  </si>
  <si>
    <t>Alquería Flips 170 g</t>
  </si>
  <si>
    <t>ALQUERIA CER 170G FLIPS (PRODUCTOS NATURALES DE LA SABANA S.A.S. BIC)</t>
  </si>
  <si>
    <t>Alquería Hojuelas 170 g</t>
  </si>
  <si>
    <t>ALQUERIA HOJUELAS 170GR (PRODUCTOS NATURALES DE LA SABANA S.A.S. BIC)</t>
  </si>
  <si>
    <t>SUBTOTAL DÍA 9 (26 compras)</t>
  </si>
  <si>
    <t>Coca-Cola Domicilios (Neymar)</t>
  </si>
  <si>
    <t>FVCL 5350357</t>
  </si>
  <si>
    <t>Brisa Manzana 600ml</t>
  </si>
  <si>
    <t>BRISA MANZANA 600ML PET(6) REDUCCION (Ind. Nac. Gaseosas)</t>
  </si>
  <si>
    <t>FVCL 5350352</t>
  </si>
  <si>
    <t>Brisa 1L</t>
  </si>
  <si>
    <t>BRISA ECOFLEX 1 LITRO (6) REDUCCION (Ind. Nac. Gaseosas)</t>
  </si>
  <si>
    <t>FVCL 5350354</t>
  </si>
  <si>
    <t>Coca Cola 1L</t>
  </si>
  <si>
    <t>COCA COLA SO 1L PET (12) REDUCCION (Ind. Nac. Gaseosas)</t>
  </si>
  <si>
    <t>FVCL 5350355</t>
  </si>
  <si>
    <t>Quatro 1.5L</t>
  </si>
  <si>
    <t>QUATRO CHOICE 1.5 LT PET (12) REDUCCION (Ind. Nac. Gaseosas)</t>
  </si>
  <si>
    <t>6760 / FP 5350350</t>
  </si>
  <si>
    <t>Agua Brisa</t>
  </si>
  <si>
    <t>AGUA BRISA (INDUSTRIA NACIONAL DE GASEOSAS SA)</t>
  </si>
  <si>
    <t>6759 / FP 5350358</t>
  </si>
  <si>
    <t>Gaseosas</t>
  </si>
  <si>
    <t>GASEOSAS (INDUSTRIA NACIONAL DE GASEOSAS SA)</t>
  </si>
  <si>
    <t>NV203068</t>
  </si>
  <si>
    <t>Bloque media</t>
  </si>
  <si>
    <t>BLOQUE MEDIA (EL NEVADO S.A.S.)</t>
  </si>
  <si>
    <t>A 1498</t>
  </si>
  <si>
    <t>SUBTOTAL DÍA 10 (9 compras)</t>
  </si>
  <si>
    <t>NV203136</t>
  </si>
  <si>
    <t>Hielo Bloque Media</t>
  </si>
  <si>
    <t>Hielo Bolsa Tubular 5 Kg</t>
  </si>
  <si>
    <t>SUBTOTAL DÍA 11 (2 compras)</t>
  </si>
  <si>
    <t>V03-105561</t>
  </si>
  <si>
    <t>Cerveza Coronita 210ml</t>
  </si>
  <si>
    <t>1 CERVEZA CORONITA*210ml*6und EXTRA BOTE</t>
  </si>
  <si>
    <t>2 CERVEZA CORONITA*210ml*6und EXTRA BOTE</t>
  </si>
  <si>
    <t>3 CERVEZA CORONITA*210ml*6und EXTRA BOTE</t>
  </si>
  <si>
    <t>4 CERVEZA CORONITA*210ml*6und EXTRA BOTE</t>
  </si>
  <si>
    <t>SUBTOTAL DÍA 12 (4 compras)</t>
  </si>
  <si>
    <t>00001</t>
  </si>
  <si>
    <t>Agua</t>
  </si>
  <si>
    <t>AGUA BRISA PET 600ML (24)</t>
  </si>
  <si>
    <t>Gaseosa</t>
  </si>
  <si>
    <t>COCA-COLA 350ML VIR(30)</t>
  </si>
  <si>
    <t>TOTAL CONSOLIDADO BEBIDAS (81 COMPRAS)</t>
  </si>
  <si>
    <t>Unidad</t>
  </si>
  <si>
    <t>Cantidad Vendida</t>
  </si>
  <si>
    <t>Precio Unitario Neto</t>
  </si>
  <si>
    <t>Venta Bruta</t>
  </si>
  <si>
    <t>Descuentos</t>
  </si>
  <si>
    <t>Venta Neta</t>
  </si>
  <si>
    <t>Impoconsumo (8%)</t>
  </si>
  <si>
    <t>Gran Total Facturado</t>
  </si>
  <si>
    <t>% Part. Día</t>
  </si>
  <si>
    <t>Agua tarro</t>
  </si>
  <si>
    <t>ud</t>
  </si>
  <si>
    <t>Aguacate porc</t>
  </si>
  <si>
    <t>Albondigas</t>
  </si>
  <si>
    <t>Arroz con camaron</t>
  </si>
  <si>
    <t>Bao</t>
  </si>
  <si>
    <t>Calentado chicharron</t>
  </si>
  <si>
    <t>Cazuela de camaron</t>
  </si>
  <si>
    <t>Cazuela mariscos</t>
  </si>
  <si>
    <t>Cerdo ejecutivo</t>
  </si>
  <si>
    <t>Cerv corona - stella</t>
  </si>
  <si>
    <t>Cerv poker - aguila</t>
  </si>
  <si>
    <t>Cerveza club</t>
  </si>
  <si>
    <t>Chichacharron grand</t>
  </si>
  <si>
    <t>Choricerdo</t>
  </si>
  <si>
    <t>Coca cola 350</t>
  </si>
  <si>
    <t>Desechables</t>
  </si>
  <si>
    <t>Filete pechuga espec</t>
  </si>
  <si>
    <t>Francesa</t>
  </si>
  <si>
    <t>Frape frutas</t>
  </si>
  <si>
    <t>Frijolada especial</t>
  </si>
  <si>
    <t>Frijolada molida</t>
  </si>
  <si>
    <t>Gaseosa 1500</t>
  </si>
  <si>
    <t>Gaseosa 350</t>
  </si>
  <si>
    <t>Gaseosa 400ml</t>
  </si>
  <si>
    <t>H2o saborizada</t>
  </si>
  <si>
    <t>Huevo</t>
  </si>
  <si>
    <t>Jugo jarra agua 2 lt</t>
  </si>
  <si>
    <t>Jugo leche vaso</t>
  </si>
  <si>
    <t>Limonada coco</t>
  </si>
  <si>
    <t>Limonada vaso 16 onz</t>
  </si>
  <si>
    <t>Lomo cerdo espec</t>
  </si>
  <si>
    <t>Mazamorra</t>
  </si>
  <si>
    <t>Mega chicharrn 700 g</t>
  </si>
  <si>
    <t>Mr tea</t>
  </si>
  <si>
    <t>Pericos con arroz</t>
  </si>
  <si>
    <t>Pony malta peq</t>
  </si>
  <si>
    <t>Porc albondiga</t>
  </si>
  <si>
    <t>Porc arepa</t>
  </si>
  <si>
    <t>Porc arroz</t>
  </si>
  <si>
    <t>Porc cerdo peque</t>
  </si>
  <si>
    <t>Porc cost res</t>
  </si>
  <si>
    <t>Porc molida</t>
  </si>
  <si>
    <t>Porc principio</t>
  </si>
  <si>
    <t>Porc res</t>
  </si>
  <si>
    <t>Porc sobre peque</t>
  </si>
  <si>
    <t>Prom churrasco</t>
  </si>
  <si>
    <t>Prom costill ahumada</t>
  </si>
  <si>
    <t>Prom tilapia</t>
  </si>
  <si>
    <t>Salmon espec</t>
  </si>
  <si>
    <t>Salmon salsa camaron</t>
  </si>
  <si>
    <t>Soda postobon</t>
  </si>
  <si>
    <t>Sopa sola</t>
  </si>
  <si>
    <t>Tilapia salsa camaro</t>
  </si>
  <si>
    <t>Tinto</t>
  </si>
  <si>
    <t>Trucha salsa camaron</t>
  </si>
  <si>
    <t>Aguacate entero</t>
  </si>
  <si>
    <t>kl</t>
  </si>
  <si>
    <t>Banano unidad</t>
  </si>
  <si>
    <t>Cafe en leche</t>
  </si>
  <si>
    <t>Calentado ce</t>
  </si>
  <si>
    <t>Calentado especial</t>
  </si>
  <si>
    <t>Cerv coronita</t>
  </si>
  <si>
    <t>Chocolate leche</t>
  </si>
  <si>
    <t>Cordon blue</t>
  </si>
  <si>
    <t>Entrada tost ahogado</t>
  </si>
  <si>
    <t>Hojuelas</t>
  </si>
  <si>
    <t>Jugo agua vaso</t>
  </si>
  <si>
    <t>Jugo hit nr</t>
  </si>
  <si>
    <t>Limonada cerezada 16</t>
  </si>
  <si>
    <t>Milo frio - caliente</t>
  </si>
  <si>
    <t>Porc ensalada</t>
  </si>
  <si>
    <t>Porc morrillo peque</t>
  </si>
  <si>
    <t>Porcion pollo</t>
  </si>
  <si>
    <t>Super de pollo</t>
  </si>
  <si>
    <t>Tangelo</t>
  </si>
  <si>
    <t>Tilapia grande 450 g</t>
  </si>
  <si>
    <t>Trucha</t>
  </si>
  <si>
    <t>Vive 100 grde</t>
  </si>
  <si>
    <t>Asada</t>
  </si>
  <si>
    <t>Bistec higado</t>
  </si>
  <si>
    <t>Costeita</t>
  </si>
  <si>
    <t>Desmechada</t>
  </si>
  <si>
    <t>Filete ejecutivo</t>
  </si>
  <si>
    <t>Jugo jarra agua 1 li</t>
  </si>
  <si>
    <t>Michelado 1000</t>
  </si>
  <si>
    <t>Pericos solos</t>
  </si>
  <si>
    <t>Porc.higado</t>
  </si>
  <si>
    <t>Prom filete pollo</t>
  </si>
  <si>
    <t>Vive 100 pequ</t>
  </si>
  <si>
    <t>Actigest</t>
  </si>
  <si>
    <t>Calentado chorizo</t>
  </si>
  <si>
    <t>Jugo del valle</t>
  </si>
  <si>
    <t>Pescado sudado</t>
  </si>
  <si>
    <t>Pez frito</t>
  </si>
  <si>
    <t>Pollo sudado</t>
  </si>
  <si>
    <t>Por pez frito</t>
  </si>
  <si>
    <t>Por.pescado</t>
  </si>
  <si>
    <t>Porc maduro</t>
  </si>
  <si>
    <t>Prom punta de anca</t>
  </si>
  <si>
    <t>Rellena casra</t>
  </si>
  <si>
    <t>Choripollo</t>
  </si>
  <si>
    <t>Gaseosa 3 lit</t>
  </si>
  <si>
    <t>Jarra limo-coco 1 lt</t>
  </si>
  <si>
    <t>Jarra limo-coco 2 lt</t>
  </si>
  <si>
    <t>Junior ala</t>
  </si>
  <si>
    <t>Picada cuatro</t>
  </si>
  <si>
    <t>Picada dos</t>
  </si>
  <si>
    <t>Por chicha jr</t>
  </si>
  <si>
    <t>Porc gallina peque</t>
  </si>
  <si>
    <t>Porc lengua gran</t>
  </si>
  <si>
    <t>Prom chuleta pollo</t>
  </si>
  <si>
    <t>Prom lomo cerdo</t>
  </si>
  <si>
    <t>Promo chuleta mix</t>
  </si>
  <si>
    <t>Sancocho dom</t>
  </si>
  <si>
    <t>Avena</t>
  </si>
  <si>
    <t>Jugo jarra leche 2 l</t>
  </si>
  <si>
    <t>Papa cocida</t>
  </si>
  <si>
    <t>Perico con arepa</t>
  </si>
  <si>
    <t>Porc lengua peque</t>
  </si>
  <si>
    <t>Arroz mixto</t>
  </si>
  <si>
    <t>Porc desmechada</t>
  </si>
  <si>
    <t>Chorizo paisa</t>
  </si>
  <si>
    <t>Gulash de carne</t>
  </si>
  <si>
    <t>Por cost cerdo</t>
  </si>
  <si>
    <t>Por ensalada tocebla</t>
  </si>
  <si>
    <t>grs</t>
  </si>
  <si>
    <t>Porc gulash carne</t>
  </si>
  <si>
    <t>Lengua</t>
  </si>
  <si>
    <t>Costilla horno</t>
  </si>
  <si>
    <t>Chuleta de cerdo</t>
  </si>
  <si>
    <t>Chuleta de pollo</t>
  </si>
  <si>
    <t>Tamal ejecutivo</t>
  </si>
  <si>
    <t>Agua litro</t>
  </si>
  <si>
    <t>Gaseosa litro</t>
  </si>
  <si>
    <t>Mix cereal</t>
  </si>
  <si>
    <t>bls</t>
  </si>
  <si>
    <t>Porc chuleta pollo</t>
  </si>
  <si>
    <t>Ítem</t>
  </si>
  <si>
    <t>Cantidad</t>
  </si>
  <si>
    <t>Vr. Compra</t>
  </si>
  <si>
    <t>Relación con el Cuaderno</t>
  </si>
  <si>
    <t>Detalle</t>
  </si>
  <si>
    <t>Carnes</t>
  </si>
  <si>
    <t>No Cruza con Cuaderno Don Arturo</t>
  </si>
  <si>
    <t>Pilas</t>
  </si>
  <si>
    <t>PILA ALCALINA ENERGIZER (Supertiendas Cañaveral - 01FZ70896)</t>
  </si>
  <si>
    <t>Verduras</t>
  </si>
  <si>
    <t>Aguacate</t>
  </si>
  <si>
    <t>8 AGUACATE COMUN*und (Supertiendas Cañaveral - 05FH119923)</t>
  </si>
  <si>
    <t>05FH119923</t>
  </si>
  <si>
    <t>Grano</t>
  </si>
  <si>
    <t>Arepas</t>
  </si>
  <si>
    <t>100 arepas (Cuenta de Cobro 01-Sep-2026 Neftaly Ocampo)</t>
  </si>
  <si>
    <t>CC-01-Sep-2026</t>
  </si>
  <si>
    <t>Cruza con Cuaderno Don Arturo</t>
  </si>
  <si>
    <t>INVENTARIO INICIAL</t>
  </si>
  <si>
    <t>BLOQUE MEDIA (Hielo El Nevado NV202121)</t>
  </si>
  <si>
    <t>NV202121</t>
  </si>
  <si>
    <t>Bolsa 5kl tubular</t>
  </si>
  <si>
    <t>BOLSA X 5 KL TUBULAR (Hielo El Nevado NV202121)</t>
  </si>
  <si>
    <t>Servicios</t>
  </si>
  <si>
    <t>Acopi</t>
  </si>
  <si>
    <t>Taxi - Acopi (Recibo Caja Menor 01-Sep-2026)</t>
  </si>
  <si>
    <t>Recibo de Caja</t>
  </si>
  <si>
    <t>Vale Lucero Londoño (Recibo Caja Menor 01-Sep-2026)</t>
  </si>
  <si>
    <t>Papa a la francesa paq 2.5 kl</t>
  </si>
  <si>
    <t>PAPA A LA FRANCESA PAQ 2.5 KL (Carnes Los Monos - YP24140)</t>
  </si>
  <si>
    <t>Servicios Públicos</t>
  </si>
  <si>
    <t>Acueducto y Energía</t>
  </si>
  <si>
    <t>TOTAL A PAGAR</t>
  </si>
  <si>
    <t>18184113</t>
  </si>
  <si>
    <t>BLOQUE MEDIA (Hielo El Nevado SF44886)</t>
  </si>
  <si>
    <t>SF44886</t>
  </si>
  <si>
    <t>19 Aguacates (Recibo Caja Menor 02-Sep-2026)</t>
  </si>
  <si>
    <t>RCM-02-Sep-2026</t>
  </si>
  <si>
    <t>Taxi - Acopi (Recibo Caja Menor 02-Sep-2026)</t>
  </si>
  <si>
    <t>Mazamorra (Franco Bravo - Recibo Caja Menor 02-Sep-2026)</t>
  </si>
  <si>
    <t>BLOQUE MEDIA (Hielo El Nevado - NV202202)</t>
  </si>
  <si>
    <t>NV202202</t>
  </si>
  <si>
    <t>BOLSA X 5 KL TUBULAR (Hielo El Nevado - NV202202)</t>
  </si>
  <si>
    <t>Leche entera</t>
  </si>
  <si>
    <t>AVENA PRO CUBANA VASO 220G (Alquería - FEPL-3167991)</t>
  </si>
  <si>
    <t>FEPL-3167991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</si>
  <si>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</si>
  <si>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</si>
  <si>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</si>
  <si>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</si>
  <si>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</si>
  <si>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</si>
  <si>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</si>
  <si>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Crema de leche</t>
  </si>
  <si>
    <t>CREMA DE LECHE 1000G (Alquería - FEPL-3167991)</t>
  </si>
  <si>
    <t>150 arepas (Cuenta de Cobro 02-Sep-2026)</t>
  </si>
  <si>
    <t>CC-02-Sep-2026</t>
  </si>
  <si>
    <t>Arveja</t>
  </si>
  <si>
    <t>ARVEJA VERDE LA FLORESTA 500G (Supertiendas Cañaveral - 05FH120130)</t>
  </si>
  <si>
    <t>05FH120130</t>
  </si>
  <si>
    <t>3 AGUACATE COMUN*und (Supertiendas Cañaveral - 05FH120117)</t>
  </si>
  <si>
    <t>05FH120117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</si>
  <si>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</si>
  <si>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</si>
  <si>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</si>
  <si>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</si>
  <si>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Sal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</si>
  <si>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</si>
  <si>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</si>
  <si>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</si>
  <si>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</si>
  <si>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</si>
  <si>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</si>
  <si>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Broca espada</t>
  </si>
  <si>
    <t>1 Broca Espada (Recibo Caja Menor 03-Sep-2026)</t>
  </si>
  <si>
    <t>Repuesto pulidora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</si>
  <si>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</si>
  <si>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</si>
  <si>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</si>
  <si>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</si>
  <si>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</si>
  <si>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</si>
  <si>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</si>
  <si>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</si>
  <si>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</si>
  <si>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</si>
  <si>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</si>
  <si>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</si>
  <si>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</si>
  <si>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</si>
  <si>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</si>
  <si>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</si>
  <si>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</si>
  <si>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Transporte</t>
  </si>
  <si>
    <t>Acarreo e Insumos Cocina (Recibo Caja Menor 03-Sep-2026)</t>
  </si>
  <si>
    <t>BLOQUE MEDIA (Hielo El Nevado - NV202360)</t>
  </si>
  <si>
    <t>NV202360</t>
  </si>
  <si>
    <t>Aceite soya</t>
  </si>
  <si>
    <t>ACEITE DE SOYA 3000 ML (D1 SAS - G9F9313177)</t>
  </si>
  <si>
    <t>G9F9313177</t>
  </si>
  <si>
    <t>LIMONADA DE COCO FUSIONADA X 10 (Henry Castaño - FEC 2928)</t>
  </si>
  <si>
    <t>FEC 2928</t>
  </si>
  <si>
    <t>Arroz</t>
  </si>
  <si>
    <t>ARROZ PROARROZ X 50 KL (Factura DP-4833)</t>
  </si>
  <si>
    <t>DP-4833</t>
  </si>
  <si>
    <t>Azucar</t>
  </si>
  <si>
    <t>AZUCAR INCAUCA X 50 KL (Factura DP-4833)</t>
  </si>
  <si>
    <t>SAL NATUSAL X 50 KL (Factura DP-4833)</t>
  </si>
  <si>
    <t>100 arepas (Cuenta de Cobro 03-Sep-2026)</t>
  </si>
  <si>
    <t>CC-03-Sep-2026</t>
  </si>
  <si>
    <t>Huevo aa</t>
  </si>
  <si>
    <t>15 PANAL AA (Cuenta de cobro Sept 3)</t>
  </si>
  <si>
    <t>Curry</t>
  </si>
  <si>
    <t>CURRY LIBERTY*20G (Supertiendas Cañaveral - 12FH172636)</t>
  </si>
  <si>
    <t>12FH172636</t>
  </si>
  <si>
    <t>BLOQUE MEDIA (Hielo El Nevado SF44936)</t>
  </si>
  <si>
    <t>SF44936</t>
  </si>
  <si>
    <t>BOLSA X 5 KL TUBULAR (Hielo El Nevado SF44936)</t>
  </si>
  <si>
    <t>Acento x 500</t>
  </si>
  <si>
    <t>ACENTO X 500 LB (Doña Mary Remision 38634)</t>
  </si>
  <si>
    <t>REM-38634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</si>
  <si>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</si>
  <si>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</si>
  <si>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</si>
  <si>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</si>
  <si>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</si>
  <si>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</si>
  <si>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</si>
  <si>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</si>
  <si>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</si>
  <si>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</si>
  <si>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</si>
  <si>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</si>
  <si>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</si>
  <si>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</si>
  <si>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</si>
  <si>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</si>
  <si>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</si>
  <si>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</si>
  <si>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</si>
  <si>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</si>
  <si>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</si>
  <si>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</si>
  <si>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</si>
  <si>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</si>
  <si>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</si>
  <si>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</si>
  <si>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</si>
  <si>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</si>
  <si>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</si>
  <si>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</si>
  <si>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</si>
  <si>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</si>
  <si>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</si>
  <si>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</si>
  <si>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</si>
  <si>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</si>
  <si>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Limpido</t>
  </si>
  <si>
    <t>LIMPIDO CUÑETE (Doña Mary Remision 38634)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</si>
  <si>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</si>
  <si>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</si>
  <si>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</si>
  <si>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</si>
  <si>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</si>
  <si>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</si>
  <si>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</si>
  <si>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</si>
  <si>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</si>
  <si>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</si>
  <si>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</si>
  <si>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</si>
  <si>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</si>
  <si>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</si>
  <si>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</si>
  <si>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</si>
  <si>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</si>
  <si>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</si>
  <si>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</si>
  <si>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</si>
  <si>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</si>
  <si>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</si>
  <si>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</si>
  <si>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</si>
  <si>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</si>
  <si>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</si>
  <si>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</si>
  <si>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</si>
  <si>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</si>
  <si>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</si>
  <si>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</si>
  <si>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</si>
  <si>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</si>
  <si>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</si>
  <si>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</si>
  <si>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</si>
  <si>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</si>
  <si>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</si>
  <si>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</si>
  <si>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</si>
  <si>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</si>
  <si>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</si>
  <si>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</si>
  <si>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</si>
  <si>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Zumo limon polvo</t>
  </si>
  <si>
    <t>Polvo de limon (Recibo Caja Menor 04-Sep-2026)</t>
  </si>
  <si>
    <t>RCM-04-Sep-2026</t>
  </si>
  <si>
    <t>Insecticida</t>
  </si>
  <si>
    <t>5 Venenos Ratas (Recibo Caja Menor 04-Sep-2026)</t>
  </si>
  <si>
    <t>Mercancias Varias Excentas</t>
  </si>
  <si>
    <t>Gafas de Proteccion (Recibo Caja Menor 04-Sep-2026)</t>
  </si>
  <si>
    <t>Acopi (Recibo Caja Menor 04-Sep-2026)</t>
  </si>
  <si>
    <t>100 arepas (Cuenta de Cobro 04-Sep-2026)</t>
  </si>
  <si>
    <t>CC-04-Sep-2026</t>
  </si>
  <si>
    <t>Lenteja</t>
  </si>
  <si>
    <t>LENTEJA LA FLORESTA*500G (Supertiendas Canaveral 06FZ46512)</t>
  </si>
  <si>
    <t>06FZ46512</t>
  </si>
  <si>
    <t>PAPA A LA FRANCESA PAQ 2.5 KL (Carnes Los Monos - YP24244)</t>
  </si>
  <si>
    <t>1150 arepas (Ventas 0806 Lucía/Darío)</t>
  </si>
  <si>
    <t>VTA-0806</t>
  </si>
  <si>
    <t>BLOQUE MEDIA (Hielo El Nevado SF44955)</t>
  </si>
  <si>
    <t>SF44955</t>
  </si>
  <si>
    <t>BOLSA X 5 KL TUBULAR (Hielo El Nevado SF44955)</t>
  </si>
  <si>
    <t>BLOQUE MEDIA (Hielo El Nevado - NV202582)</t>
  </si>
  <si>
    <t>NV202582</t>
  </si>
  <si>
    <t>BOLSA X 5 KL TUBULAR (Hielo El Nevado - NV202582)</t>
  </si>
  <si>
    <t>Yuca pelada</t>
  </si>
  <si>
    <t>8 kl YUCA PELADA (Asados la Fina Pasoancho 05-Sep-2026)</t>
  </si>
  <si>
    <t>FINA-05SEP</t>
  </si>
  <si>
    <t>500 arepas (Cuenta de Cobro 05-Sep-2026)</t>
  </si>
  <si>
    <t>CC-05-Sep-2026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</si>
  <si>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</si>
  <si>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</si>
  <si>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</si>
  <si>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</si>
  <si>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</si>
  <si>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</si>
  <si>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</si>
  <si>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</si>
  <si>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</si>
  <si>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</si>
  <si>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</si>
  <si>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BLOQUE MEDIA (Hielo El Nevado SF44996)</t>
  </si>
  <si>
    <t>SF44996</t>
  </si>
  <si>
    <t>BOLSA X 5 KL TUBULAR (Hielo El Nevado SF44996)</t>
  </si>
  <si>
    <t>Ulluco Limpio</t>
  </si>
  <si>
    <t>9 lbs Uyucos (Recibo Caja Menor 06-Sep-2026)</t>
  </si>
  <si>
    <t>RCM-06-Sep-2026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</si>
  <si>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</si>
  <si>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</si>
  <si>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</si>
  <si>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</si>
  <si>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Tv chall y base kalley</t>
  </si>
  <si>
    <t>TV CHALL 32 + BASE KALLEY 32-55 (Alkosto X7484003215)</t>
  </si>
  <si>
    <t>X7484003215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</si>
  <si>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</si>
  <si>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</si>
  <si>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</si>
  <si>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</si>
  <si>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</si>
  <si>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Acopi Almuerzo (German - Recibo Caja Menor 07-Sep-2026)</t>
  </si>
  <si>
    <t>RCM-07-Sep-2026</t>
  </si>
  <si>
    <t>Encomienda Arturo (Recibo Caja Menor 07-Sep-2026)</t>
  </si>
  <si>
    <t>Ajo pelado</t>
  </si>
  <si>
    <t>AJO PELADO X 1KG (Carnes Los Monos - MY8683)</t>
  </si>
  <si>
    <t>Turno Marleny Domicilios (Carolina)</t>
  </si>
  <si>
    <t>CUADERNO CAJA / NÓMINA EFECTIVO</t>
  </si>
  <si>
    <t>Broca Domicilios (Carolina)</t>
  </si>
  <si>
    <t>Coco / Limonada Domicilios (Carolina)</t>
  </si>
  <si>
    <t>Credito Jhonatan Domicilios (Carolina)</t>
  </si>
  <si>
    <t>Devolución Señor Arturo Domicilios (Carolina)</t>
  </si>
  <si>
    <t>Transporte Carolina Domicilios (Carolina)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</si>
  <si>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</si>
  <si>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</si>
  <si>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</si>
  <si>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</si>
  <si>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</si>
  <si>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Insumos</t>
  </si>
  <si>
    <t>arepas</t>
  </si>
  <si>
    <t>BOLSA X 5 KL TUBULAR (Hielo El Nevado SF45044)</t>
  </si>
  <si>
    <t>SF45044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</si>
  <si>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</si>
  <si>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</si>
  <si>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</si>
  <si>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</si>
  <si>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</si>
  <si>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</si>
  <si>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</si>
  <si>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</si>
  <si>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</si>
  <si>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</si>
  <si>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</si>
  <si>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</si>
  <si>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</si>
  <si>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</si>
  <si>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</si>
  <si>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</si>
  <si>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</si>
  <si>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</si>
  <si>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</si>
  <si>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</si>
  <si>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</si>
  <si>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</si>
  <si>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</si>
  <si>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</si>
  <si>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</si>
  <si>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</si>
  <si>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</si>
  <si>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</si>
  <si>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</si>
  <si>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</si>
  <si>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</si>
  <si>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</si>
  <si>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</si>
  <si>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</si>
  <si>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</si>
  <si>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</si>
  <si>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</si>
  <si>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</si>
  <si>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</si>
  <si>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</si>
  <si>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</si>
  <si>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</si>
  <si>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</si>
  <si>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</si>
  <si>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</si>
  <si>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</si>
  <si>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</si>
  <si>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</si>
  <si>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</si>
  <si>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</si>
  <si>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</si>
  <si>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</si>
  <si>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</si>
  <si>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</si>
  <si>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</si>
  <si>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</si>
  <si>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</si>
  <si>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</si>
  <si>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</si>
  <si>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</si>
  <si>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</si>
  <si>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</si>
  <si>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</si>
  <si>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</si>
  <si>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</si>
  <si>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</si>
  <si>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</si>
  <si>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Leche de coco</t>
  </si>
  <si>
    <t>7 lts Leche Coco (Recibo Caja Menor 08-09-26)</t>
  </si>
  <si>
    <t>RCM-08-09-26</t>
  </si>
  <si>
    <t>Cintas</t>
  </si>
  <si>
    <t>Cinta Antiadherente (Recibo Caja Menor 08-09-26)</t>
  </si>
  <si>
    <t>Andres Principal (Johanna)</t>
  </si>
  <si>
    <t>Diego / Luigui Principal (Johanna)</t>
  </si>
  <si>
    <t>Turno Marleny Domicilios (Neymar)</t>
  </si>
  <si>
    <t>Wilson (Lunes y Martes) Principal (Johanna)</t>
  </si>
  <si>
    <t>Alimento para la gata Principal (Johanna)</t>
  </si>
  <si>
    <t>Credito Jose david Domicilios (Neymar)</t>
  </si>
  <si>
    <t>10 Portacazuelas Principal (Johanna)</t>
  </si>
  <si>
    <t>Yuca Principal (Johanna)</t>
  </si>
  <si>
    <t>Lechuga Domicilios (Neymar)</t>
  </si>
  <si>
    <t>Habichuela, blanquillo, víscera Domicilios (Neymar)</t>
  </si>
  <si>
    <t>Radios M6 Principal (Johanna)</t>
  </si>
  <si>
    <t>Sistema de Higiene Principal (Johanna)</t>
  </si>
  <si>
    <t>Taxi compresor Domicilios (Neymar)</t>
  </si>
  <si>
    <t>Platano verde Principal (Johanna)</t>
  </si>
  <si>
    <t>Platano Principal (Johanna)</t>
  </si>
  <si>
    <t>15 PANAL AA X 14.500 + PENDIENTE 10.000 (Cuenta de cobro Sept 8)</t>
  </si>
  <si>
    <t>CC-08-Sep-2026</t>
  </si>
  <si>
    <t>Mantenimiento</t>
  </si>
  <si>
    <t>Pintura</t>
  </si>
  <si>
    <t>MADETEC PISOS BRILLANTE COMP A 1550 CTO / 5891274</t>
  </si>
  <si>
    <t>FESR-3837</t>
  </si>
  <si>
    <t>Catalizador</t>
  </si>
  <si>
    <t>CATALIZADOR MADETEC COMP.B 1551 CUARTO / 5890473</t>
  </si>
  <si>
    <t>Thinner</t>
  </si>
  <si>
    <t>TETRASOL - THINER CORRIENTE CANECA / 51004</t>
  </si>
  <si>
    <t>Barniz</t>
  </si>
  <si>
    <t>BARNEX CAOBA 6605 CUARTO / 5890530</t>
  </si>
  <si>
    <t>PAPA A LA FRANCESA PAQ 2.5 KL (Carnes Los Monos - YP24314)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</si>
  <si>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</si>
  <si>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</si>
  <si>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</si>
  <si>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</si>
  <si>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</si>
  <si>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</si>
  <si>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</si>
  <si>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</si>
  <si>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</si>
  <si>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</si>
  <si>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</si>
  <si>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</si>
  <si>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</si>
  <si>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</si>
  <si>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Acopi (German - Recibo Caja Menor 09-Sep-2026)</t>
  </si>
  <si>
    <t>LENTEJA EL ES 25 UN (D1 Factura G6G0471810)</t>
  </si>
  <si>
    <t>G6G0471810</t>
  </si>
  <si>
    <t>Galleta</t>
  </si>
  <si>
    <t>GALLETA MUUU 14 UN (D1 Factura G1G0285471)</t>
  </si>
  <si>
    <t>G1G0285471</t>
  </si>
  <si>
    <t>Sebastian Principal (Johanna)</t>
  </si>
  <si>
    <t>Turno Marleny Domicilios (María)</t>
  </si>
  <si>
    <t>Don Arturo recogió Domicilios (María)</t>
  </si>
  <si>
    <t>Inmunocal Principal (Johanna)</t>
  </si>
  <si>
    <t>Champiñones Principal (Johanna)</t>
  </si>
  <si>
    <t>Pulpa de coco Domicilios (María)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</si>
  <si>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</si>
  <si>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</si>
  <si>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</si>
  <si>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</si>
  <si>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</si>
  <si>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</si>
  <si>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</si>
  <si>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</si>
  <si>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Abarrotes</t>
  </si>
  <si>
    <t>Aceite</t>
  </si>
  <si>
    <t>ACEITE DE SOY</t>
  </si>
  <si>
    <t>L1S113066</t>
  </si>
  <si>
    <t>Aseo</t>
  </si>
  <si>
    <t>Limpion Flecos</t>
  </si>
  <si>
    <t>1) 8907-LIMPION FLECOS COLVEN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</si>
  <si>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</si>
  <si>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</si>
  <si>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</si>
  <si>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</si>
  <si>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</si>
  <si>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Chocolate</t>
  </si>
  <si>
    <t>1/2 LB CHOCOLATE (Licores Zafiro Remision Sept 10/2026)</t>
  </si>
  <si>
    <t>REM-10-Sep-2026-ZAF</t>
  </si>
  <si>
    <t>MARLENY - TRANSPORTE MANANA (Recibo Caja Menor 10/09/26)</t>
  </si>
  <si>
    <t>RCM-10-Sep-2026-7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</si>
  <si>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</si>
  <si>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</si>
  <si>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</si>
  <si>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</si>
  <si>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</si>
  <si>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</si>
  <si>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</si>
  <si>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</si>
  <si>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</si>
  <si>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Turno marlene</t>
  </si>
  <si>
    <t>MARLENE - 7 HORAS (Recibo Caja Menor 10/09/2026)</t>
  </si>
  <si>
    <t>RCM-10-Sep-2026-5</t>
  </si>
  <si>
    <t>Taxi</t>
  </si>
  <si>
    <t>ANTONIO L. DIAZ - TAXI (Recibo Caja Menor 10/09/2026)</t>
  </si>
  <si>
    <t>RCM-10-Sep-2026-4</t>
  </si>
  <si>
    <t>ACOPI GERMAN (Recibo Caja Menor Marfil 10/09/26)</t>
  </si>
  <si>
    <t>RCM-10-Sep-2026-3</t>
  </si>
  <si>
    <t>MAZAMORRA FRANCO BRAVO (Recibo Caja Menor Marfil 10/09/26)</t>
  </si>
  <si>
    <t>RCM-10-Sep-2026-2</t>
  </si>
  <si>
    <t>TRANSPORTE EDITH (Recibo Caja Menor Marfil 10/09/26)</t>
  </si>
  <si>
    <t>RCM-10-Sep-2026-1</t>
  </si>
  <si>
    <t>Harina trigo</t>
  </si>
  <si>
    <t>HARINA TRIGO 10 UN (D1 SAS G9F9316392)</t>
  </si>
  <si>
    <t>G9F9316392</t>
  </si>
  <si>
    <t>ACEITE SOYA 4 UN (D1 SAS G9F9316392)</t>
  </si>
  <si>
    <t>Turno Taty Vigilancia Domicilios (Neymar)</t>
  </si>
  <si>
    <t>Transporte Deys Domicilios (Neymar)</t>
  </si>
  <si>
    <t>Pastas la Muñeca Principal (Johanna)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</si>
  <si>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</si>
  <si>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</si>
  <si>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</si>
  <si>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</si>
  <si>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</si>
  <si>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</si>
  <si>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</si>
  <si>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</si>
  <si>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</si>
  <si>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10 HARINA FARALLONES*500G TRIGO (Supertiendas Canaveral 10FH63324)</t>
  </si>
  <si>
    <t>10FH63324</t>
  </si>
  <si>
    <t>Pasta tornillo</t>
  </si>
  <si>
    <t>PASTA TORNILLO 16 UN (Supertiendas Canaveral 06FZ47115)</t>
  </si>
  <si>
    <t>Mezcla liquida limon</t>
  </si>
  <si>
    <t>MEZCLA LIQUIDA LIMON 2000ML X 6 (AM Letrascore Remision 0305)</t>
  </si>
  <si>
    <t>0305</t>
  </si>
  <si>
    <t>Arriendo local</t>
  </si>
  <si>
    <t>AYDE GUEVARA - ARRENDAMIENTO LOCAL (Recibo Caja Menor Taydem 11/09/2026)</t>
  </si>
  <si>
    <t>RCM-11-Sep-2026</t>
  </si>
  <si>
    <t>Software nube</t>
  </si>
  <si>
    <t>COMPUTACION EN LA NUBE PLAN EMPRESARIAL (Dataico SAS E-412886)</t>
  </si>
  <si>
    <t>E-412886</t>
  </si>
  <si>
    <t>Pago Eliana</t>
  </si>
  <si>
    <t>Pago de Servicios Eliana</t>
  </si>
  <si>
    <t>Cuenta de Cobro</t>
  </si>
  <si>
    <t>Contadora</t>
  </si>
  <si>
    <t>Cuchillos y cucharas</t>
  </si>
  <si>
    <t>ET Los Monos</t>
  </si>
  <si>
    <t>Git Organizacional</t>
  </si>
  <si>
    <t>Pintura para mesas</t>
  </si>
  <si>
    <t>Transporte Danilo</t>
  </si>
  <si>
    <t>Verduras chucho</t>
  </si>
  <si>
    <t>Granero Piamonte</t>
  </si>
  <si>
    <t>Aguacates (Segundo registro Cuaderno Pág. 159 Renglón 9)</t>
  </si>
  <si>
    <t>Andres Principal (Johanna/Wilson)</t>
  </si>
  <si>
    <t>Sebastian Principal (Johanna/Wilson)</t>
  </si>
  <si>
    <t>Wilson Principal (Johanna/Wilson)</t>
  </si>
  <si>
    <t>Acopi Principal (Johanna/Wilson)</t>
  </si>
  <si>
    <t>Antonio (Tachado) Principal (Johanna/Wilson)</t>
  </si>
  <si>
    <t>Pedido Tornillos Principal (Johanna/Wilson)</t>
  </si>
  <si>
    <t>Hielo Principal (Johanna/Wilson)</t>
  </si>
  <si>
    <t>Crema de leche Principal (Johanna/Wilson)</t>
  </si>
  <si>
    <t>Pastas la Muñeca Principal (Johanna/Wilson)</t>
  </si>
  <si>
    <t>Gastos Administrativos</t>
  </si>
  <si>
    <t>Honorarios Contadora</t>
  </si>
  <si>
    <t>Honorarios como contadora publica del 01 al 31 de agosto</t>
  </si>
  <si>
    <t>039427</t>
  </si>
  <si>
    <t>Bloque Media</t>
  </si>
  <si>
    <t>25 - BLOQUE MEDIA</t>
  </si>
  <si>
    <t>SF45132</t>
  </si>
  <si>
    <t>Bolsa x 5 KL</t>
  </si>
  <si>
    <t>7709046020616 - BOLSA X 5 KL TUBULAR</t>
  </si>
  <si>
    <t>ACOPI</t>
  </si>
  <si>
    <t>Tornillos</t>
  </si>
  <si>
    <t>pedido Tornillos.</t>
  </si>
  <si>
    <t>Crema de leche Alpina</t>
  </si>
  <si>
    <t>1 CREMA DE LECH ALPINA*1100ml SEMI ENTER</t>
  </si>
  <si>
    <t>2 CREMA DE LECH ALPINA*1100ml SEMI ENTER</t>
  </si>
  <si>
    <t>Bolsa Canaveral</t>
  </si>
  <si>
    <t>3 BOLSA CANAVERAL 100% MATERIAL RECICL P</t>
  </si>
  <si>
    <t>05FH121348</t>
  </si>
  <si>
    <t>Pasta La Muñeca</t>
  </si>
  <si>
    <t>2 PASTA LA MUNECA*500g TORNILLO</t>
  </si>
  <si>
    <t>3 PASTA LA MUNECA*500g TORNILLO</t>
  </si>
  <si>
    <t>4 PASTA LA MUNECA*500g TORNILLO</t>
  </si>
  <si>
    <t>5 PASTA LA MUNECA*500g TORNILLO</t>
  </si>
  <si>
    <t>6 PASTA LA MUNECA*500g TORNILLO</t>
  </si>
  <si>
    <t>Nómina</t>
  </si>
  <si>
    <t>Turno</t>
  </si>
  <si>
    <t>Horas</t>
  </si>
  <si>
    <t>Dulce Doña Guayaba</t>
  </si>
  <si>
    <t>1 Dulce Doña Guayaba 25u 1000g</t>
  </si>
  <si>
    <t>X3414005108</t>
  </si>
  <si>
    <t>Bocadillo Veleño</t>
  </si>
  <si>
    <t>2 Bocadil Vel caj Alk x36u 1500g</t>
  </si>
  <si>
    <t>Bolsa Plastica</t>
  </si>
  <si>
    <t>3 Impuesto Bolsa Plastica</t>
  </si>
  <si>
    <t>1/2 Mayonesa</t>
  </si>
  <si>
    <t>Fécula</t>
  </si>
  <si>
    <t>2 fecula</t>
  </si>
  <si>
    <t>Papa a la francesa</t>
  </si>
  <si>
    <t>PAPA A LA FRANCESA PAQ 2.5 KL</t>
  </si>
  <si>
    <t>Mix de verduras</t>
  </si>
  <si>
    <t>MIX DE VERDURAS PAQ X 500G</t>
  </si>
  <si>
    <t>Plátano verde</t>
  </si>
  <si>
    <t>Verde</t>
  </si>
  <si>
    <t>0714</t>
  </si>
  <si>
    <t>Batavia</t>
  </si>
  <si>
    <t>Cimarrón</t>
  </si>
  <si>
    <t>Cimarron</t>
  </si>
  <si>
    <t>Tomillo</t>
  </si>
  <si>
    <t>Pepino</t>
  </si>
  <si>
    <t>Zana</t>
  </si>
  <si>
    <t>Repollo morado</t>
  </si>
  <si>
    <t>Repollo Morado</t>
  </si>
  <si>
    <t>Cabezona</t>
  </si>
  <si>
    <t>Chonto</t>
  </si>
  <si>
    <t>Cebolla larga</t>
  </si>
  <si>
    <t>Larga</t>
  </si>
  <si>
    <t>Milano</t>
  </si>
  <si>
    <t>Limón tahití</t>
  </si>
  <si>
    <t>L. Tahiti</t>
  </si>
  <si>
    <t>Plátano maduro</t>
  </si>
  <si>
    <t>Maduro</t>
  </si>
  <si>
    <t>Gastos</t>
  </si>
  <si>
    <t>Taxis</t>
  </si>
  <si>
    <t>Taxis Viernes y Sabado - Evento Almuerzos</t>
  </si>
  <si>
    <t>Pn sl</t>
  </si>
  <si>
    <t>Aceite de Soya</t>
  </si>
  <si>
    <t>L1R9193858</t>
  </si>
  <si>
    <t>Yuca</t>
  </si>
  <si>
    <t>YUCA PELADA</t>
  </si>
  <si>
    <t>0808</t>
  </si>
  <si>
    <t>SF45157</t>
  </si>
  <si>
    <t>ARROZ PROARROZ X 50 KL (Granero Piamonte - DP-4855)</t>
  </si>
  <si>
    <t>DP-4855</t>
  </si>
  <si>
    <t>Azúcar</t>
  </si>
  <si>
    <t>AZUCAR INCAUCA X 50 KL (Granero Piamonte - DP-4855)</t>
  </si>
  <si>
    <t>Panela</t>
  </si>
  <si>
    <t>PANELA REDONDA UNIDAD (Granero Piamonte - DP-4855)</t>
  </si>
  <si>
    <t>Mercancías Varias</t>
  </si>
  <si>
    <t>MERCANCIAS VARIAS EXCENTAS (Granero Piamonte - DP-4855)</t>
  </si>
  <si>
    <t>SF45191</t>
  </si>
  <si>
    <t>Aguacates</t>
  </si>
  <si>
    <t>15 - Aguacates</t>
  </si>
  <si>
    <t>Romero</t>
  </si>
  <si>
    <t>Mixture</t>
  </si>
  <si>
    <t>saldo Mixture</t>
  </si>
  <si>
    <t>SF45222</t>
  </si>
  <si>
    <t>Bolsa x 5 kl</t>
  </si>
  <si>
    <t>Pocillos</t>
  </si>
  <si>
    <t>POCILLO TE 25 OCC AMERICAN A BLANCO CORONA</t>
  </si>
  <si>
    <t>RAM14329</t>
  </si>
  <si>
    <t>Declaración de renta</t>
  </si>
  <si>
    <t>Por concepto de declaración de renta,</t>
  </si>
  <si>
    <t>Cuenta de cobro</t>
  </si>
  <si>
    <t>Mantenimiento Cuarto Frío</t>
  </si>
  <si>
    <t>Desinstalación e instalación de condensador cuarto frío (Eliana Murillo Hincapie)</t>
  </si>
  <si>
    <t>Platano Verde</t>
  </si>
  <si>
    <t>Internet y TV</t>
  </si>
  <si>
    <t>10884600</t>
  </si>
  <si>
    <t>Incentivo</t>
  </si>
  <si>
    <t>Pago Incentivo Mes de Agost / 26</t>
  </si>
  <si>
    <t>Abono cuenta de cobro</t>
  </si>
  <si>
    <t>Abono cuenta de cobro saldo $ 345.000</t>
  </si>
  <si>
    <t>taxi Acopi</t>
  </si>
  <si>
    <t>2 dias de trasporte</t>
  </si>
  <si>
    <t>trasporte</t>
  </si>
  <si>
    <t>Panela redonda unidad</t>
  </si>
  <si>
    <t>PANELA LA REDONDA UNIDAD (GRANERO PIAMONTE)</t>
  </si>
  <si>
    <t>DP-4847</t>
  </si>
  <si>
    <t>Panela redonda El Rey x 48 und</t>
  </si>
  <si>
    <t>PANELA LA REDONDA EL REY X 48UN (GRANERO PIAMONTE)</t>
  </si>
  <si>
    <t>Arroz Proarroz x 50 kg</t>
  </si>
  <si>
    <t>ARROZ PROARROZ X 50 KL (GRANERO PIAMONTE)</t>
  </si>
  <si>
    <t>Mercancías varias exentas</t>
  </si>
  <si>
    <t>MERCANCIAS VARIAS EXCENTAS (GRANERO PIAMONTE)</t>
  </si>
  <si>
    <t>Aromatizador Brisa en Spray 250 cc</t>
  </si>
  <si>
    <t>AROMATIZADOR BRISA EN SPRAY 250 CC (ON 24 S.A.S.)</t>
  </si>
  <si>
    <t>ONFV-22064</t>
  </si>
  <si>
    <t>Tablet Lenovo Tab 12 Plus 8/256GB</t>
  </si>
  <si>
    <t>Tab 12" Lenovo Plus 8/256GB Gr (ALKOSTO)</t>
  </si>
  <si>
    <t>Desodorante Sienna Natural 70 ml x 2</t>
  </si>
  <si>
    <t>Desodoran Sienna Nat 70ml x2u (ALKOSTO)</t>
  </si>
  <si>
    <t>Cera Capilar Magno 200 g</t>
  </si>
  <si>
    <t>Cera Capilar Magno 200gr (ALKOSTO)</t>
  </si>
  <si>
    <t>Rosquillas Caleñas 15 g x 12</t>
  </si>
  <si>
    <t>Rosquillas Caleñas 15g x12 (ALKOSTO)</t>
  </si>
  <si>
    <t>Impuesto Bolsa Plástica</t>
  </si>
  <si>
    <t>Impuesto Bolsa Plastica (ALKOSTO)</t>
  </si>
  <si>
    <t>Habichuela</t>
  </si>
  <si>
    <t>HABICHUELA A GRANEL (SUPERTIENDAS CAÑAVERAL S.A.S.)</t>
  </si>
  <si>
    <t>Blanquillo</t>
  </si>
  <si>
    <t>BLANQUILLO DONA LUPE*500g (SUPERTIENDAS CAÑAVERAL S.A.S.)</t>
  </si>
  <si>
    <t>Bolsa tipo costal</t>
  </si>
  <si>
    <t>BOLSA CAÑAVERAL TIPO COSTAL (SUPERTIENDAS CAÑAVERAL S.A.S.)</t>
  </si>
  <si>
    <t>AUDITORÍA Y CONCILIACIÓN INTEGRAL: CUADERNO DE CONTROL MANUAL (PÁG. 159) VS EXCEL</t>
  </si>
  <si>
    <t>Conciliación al 100%: 332 Compras Oficiales ($58.206.795) | Especial Día 11 ($16.106.430) | Cuadratura Cuaderno ($55.081.550)</t>
  </si>
  <si>
    <t>TOTAL CUADERNO (PÁG. 159)</t>
  </si>
  <si>
    <t>Saldo acumulado manuscrito</t>
  </si>
  <si>
    <t>1. MATRIZ DE CONCILIACIÓN LÍNEA POR LÍNEA: LOS 36 REGISTROS DEL CUADERNO EN EXCEL</t>
  </si>
  <si>
    <t>#</t>
  </si>
  <si>
    <t>Ítem en Cuaderno (Pág. 159)</t>
  </si>
  <si>
    <t>Valor Cuaderno ($)</t>
  </si>
  <si>
    <t>Estado Conciliación</t>
  </si>
  <si>
    <t>Valor en Excel ($)</t>
  </si>
  <si>
    <t>Diferencia ($)</t>
  </si>
  <si>
    <t>Fila Excel</t>
  </si>
  <si>
    <t>Soporte / Comprobante en Excel</t>
  </si>
  <si>
    <t>Observaciones y Dictamen de Auditoría</t>
  </si>
  <si>
    <t>Pago Arrendamiento</t>
  </si>
  <si>
    <t>COINCIDE EXACTO</t>
  </si>
  <si>
    <t>Fila 319 (Día 11)</t>
  </si>
  <si>
    <t>Recibo Caja Menor Taydem - Arrendamiento Ayde Guevara. Coincidencia plena.</t>
  </si>
  <si>
    <t>dos cajas costilla</t>
  </si>
  <si>
    <t>INGRESADO MANUAL (CUADERNO)</t>
  </si>
  <si>
    <t>Fila 333 (Día 11)</t>
  </si>
  <si>
    <t>FALTANTE EN EXCEL</t>
  </si>
  <si>
    <t>2 cajas de costilla ahumada x $364.000 registradas en Excel a solicitud.</t>
  </si>
  <si>
    <t>GIt Organizacional</t>
  </si>
  <si>
    <t>Fila 323 (Día 11)</t>
  </si>
  <si>
    <t>Compra de verduras Chucho ingresada por el usuario en Detalle Compras. Conciliado.</t>
  </si>
  <si>
    <t>Pulpas frutas</t>
  </si>
  <si>
    <t>Filas 142-146 (Día 5)</t>
  </si>
  <si>
    <t>FAC-0001-00021543</t>
  </si>
  <si>
    <t>Fruitty Frezze desglosada en Excel en 5 pulpas (Maracuyá, Mango, Lulo, Guanábana, Cerezada).</t>
  </si>
  <si>
    <t>Panales de Huevo</t>
  </si>
  <si>
    <t>Fila 221 (Día 8)</t>
  </si>
  <si>
    <t>Cuenta de Cobro 08-Sep (15 panales AA x $14.500 + $10.000 saldo anterior).</t>
  </si>
  <si>
    <t>LEGALIZADO FACTURA REAL</t>
  </si>
  <si>
    <t>Fila 173 (Día 6)</t>
  </si>
  <si>
    <t>Vale de anticipo $200k legalizado en compras con recibo real por $204.000 (+$4.000 en Excel).</t>
  </si>
  <si>
    <t>Fila 332 (Día 11)</t>
  </si>
  <si>
    <t>Cuaderno Pág. 159</t>
  </si>
  <si>
    <t>Segundo registro de aguacates del cuaderno incorporado con éxito en Excel.</t>
  </si>
  <si>
    <t>Gallinas 02.09</t>
  </si>
  <si>
    <t>Fila 191 (Día 7)</t>
  </si>
  <si>
    <t>Remisión 07-Sep, 9 gallinas gigantes (38.6 kg @ $11.500).</t>
  </si>
  <si>
    <t>Panales de Huevos</t>
  </si>
  <si>
    <t>Fila 80 (Día 3)</t>
  </si>
  <si>
    <t>Cuenta de Cobro 03-Sep (15 panales AA x $13.500).</t>
  </si>
  <si>
    <t>Chorizos</t>
  </si>
  <si>
    <t>Filas 92-93 (Día 3)</t>
  </si>
  <si>
    <t>Factura 0000006666</t>
  </si>
  <si>
    <t>Cárnicos Montero (Chorizo coctelero 4 paq $192k + Premium 1 paq $46k).</t>
  </si>
  <si>
    <t>Aceite galon</t>
  </si>
  <si>
    <t>Fila 88 (Día 3)</t>
  </si>
  <si>
    <t>D1 Factura G9F9313177</t>
  </si>
  <si>
    <t>4 Aceites soya 3000ml D1 SAS.</t>
  </si>
  <si>
    <t>Pechugas de Pollo</t>
  </si>
  <si>
    <t>Fila 120 (Día 4)</t>
  </si>
  <si>
    <t>Cañaveral 05FZ91332</t>
  </si>
  <si>
    <t>Pechuga Macpollo 3.095 kg (anotado en cuaderno como 43.250 / 43.270, valor factura $43.269).</t>
  </si>
  <si>
    <t>Lentejas</t>
  </si>
  <si>
    <t>Fila 125 (Día 4)</t>
  </si>
  <si>
    <t>Cañaveral 06FZ46512</t>
  </si>
  <si>
    <t>3 Lentejas La Floresta Supertiendas Cañaveral.</t>
  </si>
  <si>
    <t>Fila 324 (Día 11)</t>
  </si>
  <si>
    <t>Costilla ahumada caja 1 ingresada por el usuario en Detalle Compras. Conciliado.</t>
  </si>
  <si>
    <t>Fila 91 (Día 3)</t>
  </si>
  <si>
    <t>Factura DP-4833</t>
  </si>
  <si>
    <t>Arroz Proarroz 50kg, aceite, etc. Granero Piamonte.</t>
  </si>
  <si>
    <t>Fila 325 (Día 11)</t>
  </si>
  <si>
    <t>Costilla ahumada caja 2 ingresada por el usuario en Detalle Compras. Conciliado.</t>
  </si>
  <si>
    <t>Fila 326 (Día 11)</t>
  </si>
  <si>
    <t>Mariscos ingresados por el usuario en Detalle Compras. Conciliado.</t>
  </si>
  <si>
    <t>1/2 chocolate</t>
  </si>
  <si>
    <t>Fila 297 (Día 10)</t>
  </si>
  <si>
    <t>1/2 lb chocolate en polvo Licores Zafiro.</t>
  </si>
  <si>
    <t>Galeria para tamal</t>
  </si>
  <si>
    <t>Filas 310-316 (Día 10)</t>
  </si>
  <si>
    <t>Recibo Caja Menor desglosado en Excel: aguacates 100k, papa 33k, hojas 108k, masa 27k, etc.</t>
  </si>
  <si>
    <t>Gallinas semana 09</t>
  </si>
  <si>
    <t>Fila 287 (Día 9)</t>
  </si>
  <si>
    <t>Remisión 09.09.2026, 9 gallinas gigantes (38.4 kg @ $11.000).</t>
  </si>
  <si>
    <t>Turnos Marlene</t>
  </si>
  <si>
    <t>Fila 308 (Día 10)</t>
  </si>
  <si>
    <t>Recibo Caja Menor Marlene 7 horas de trabajo.</t>
  </si>
  <si>
    <t>Antonio transporte</t>
  </si>
  <si>
    <t>Fila 307 (Día 10)</t>
  </si>
  <si>
    <t>Recibo Caja Menor Antonio L. Díaz Taxi.</t>
  </si>
  <si>
    <t>Fila 327 (Día 11)</t>
  </si>
  <si>
    <t>Transporte Danilo ingresado por el usuario en Detalle Compras. Conciliado.</t>
  </si>
  <si>
    <t>Harina de trigo</t>
  </si>
  <si>
    <t>Fila 318 (Día 10)</t>
  </si>
  <si>
    <t>D1 Factura G9F9316392</t>
  </si>
  <si>
    <t>10 Harinas de trigo D1 SAS.</t>
  </si>
  <si>
    <t>Fila 317 (Día 10)</t>
  </si>
  <si>
    <t>Recibo Caja Menor Marleny Transporte Mañana.</t>
  </si>
  <si>
    <t>Filete de Pollo</t>
  </si>
  <si>
    <t>Fila 11 (Día 1)</t>
  </si>
  <si>
    <t>Alexis Valencia FAC-916</t>
  </si>
  <si>
    <t>Filete de pollo 350g (15.1 kg @ $18.500).</t>
  </si>
  <si>
    <t>Fila 123 (Día 4)</t>
  </si>
  <si>
    <t>Alexis Valencia FAC-920</t>
  </si>
  <si>
    <t>Filete de pollo 350g (23.5 kg @ $18.500).</t>
  </si>
  <si>
    <t>Fila 42 (Día 2)</t>
  </si>
  <si>
    <t>Alexis Valencia FAC-917</t>
  </si>
  <si>
    <t>Pernil pollo campo (34.7 kg @ $7.500) registrado bajo proveedor Alexis Valencia.</t>
  </si>
  <si>
    <t>Fila 328 (Día 11)</t>
  </si>
  <si>
    <t>Honorarios Contadora ingresados por el usuario en Detalle Compras. Conciliado.</t>
  </si>
  <si>
    <t>Fila 329 (Día 11)</t>
  </si>
  <si>
    <t>Segunda compra Granero Piamonte ingresada por el usuario en Detalle Compras. Conciliado.</t>
  </si>
  <si>
    <t>Leche alqueria</t>
  </si>
  <si>
    <t>DIFERENCIA FACTURA REAL</t>
  </si>
  <si>
    <t>Fila 35 (Día 2)</t>
  </si>
  <si>
    <t>Alquería FEPL-3167991</t>
  </si>
  <si>
    <t>Factura Electrónica real de Alquería suma $438.415. Diferencia de $8.615 por IVA/precio real.</t>
  </si>
  <si>
    <t>Televisor Alkosto</t>
  </si>
  <si>
    <t>Filas 189-190 (Día 7)</t>
  </si>
  <si>
    <t>Alkosto X7484003215</t>
  </si>
  <si>
    <t>TV CHALL 32' ($569.900) + Base Kalley ($79.900).</t>
  </si>
  <si>
    <t>Fila 330 (Día 11)</t>
  </si>
  <si>
    <t>Pintura mesas ingresada por el usuario en Detalle Compras. Conciliado.</t>
  </si>
  <si>
    <t>Fila 331 (Día 11)</t>
  </si>
  <si>
    <t>Cuchillos y cucharas ingresados por el usuario en Detalle Compras. Conciliado.</t>
  </si>
  <si>
    <t>FALTA EN EL CUADERNO</t>
  </si>
  <si>
    <t>TOTAL</t>
  </si>
  <si>
    <t>TOTAL 36 REGISTROS CUADERNO</t>
  </si>
  <si>
    <t>100% REGISTRADO EN EXCEL</t>
  </si>
  <si>
    <t>Diferencia mínima de $2.920 generada exclusivamente por ajustes de facturas reales.</t>
  </si>
  <si>
    <t>Inventario Inicial</t>
  </si>
  <si>
    <t>TOTAL CUADERNO DON ARTURO</t>
  </si>
  <si>
    <t>TOTAL EXCEL</t>
  </si>
  <si>
    <t>DIFERENCIA</t>
  </si>
  <si>
    <t>AUDITORÍA INTEGRAL: LIBRO DIARIO DE CAJA (07 AL 11 DE SEPTIEMBRE 2026) VS EXCEL</t>
  </si>
  <si>
    <t>Conciliación de 8 Cierres de Caja Diarios (Domicilios y Barra) | Trazabilidad de Egresos vs Facturas Oficiales en Excel | Validación de Turnos y Medios de Pago</t>
  </si>
  <si>
    <t>TOTAL INGRESOS CAJA (8 CIERRES)</t>
  </si>
  <si>
    <t>EGRESOS CRUZADOS EN EXCEL</t>
  </si>
  <si>
    <t>TURNOS PAGADOS EN EFECTIVO</t>
  </si>
  <si>
    <t>GASTOS MENORES SIN FACTURA</t>
  </si>
  <si>
    <t>ÍTEMS AUDITADOS Y CONCILIADOS</t>
  </si>
  <si>
    <t>Ventas brutas Efectivo, Datáfono y Nequi</t>
  </si>
  <si>
    <t>Gastos de caja legalizados con factura oficial</t>
  </si>
  <si>
    <t>Mano de obra operativa pagada en caja</t>
  </si>
  <si>
    <t>Insumos de plaza, taxis y ferretería menor</t>
  </si>
  <si>
    <t>100% de los registros del PDF analizados</t>
  </si>
  <si>
    <t>1. MATRIZ CONSOLIDADA: TODOS LOS EGRESOS DEL LIBRO DE CAJA (PDF) CRUZADOS CON EL EXCEL</t>
  </si>
  <si>
    <t>Pág / Fecha</t>
  </si>
  <si>
    <t>Caja / Responsable</t>
  </si>
  <si>
    <t>Ítem Manuscrito en Caja</t>
  </si>
  <si>
    <t>Valor Caja ($)</t>
  </si>
  <si>
    <t>Categoría de Caja</t>
  </si>
  <si>
    <t>Estado en Excel</t>
  </si>
  <si>
    <t>Valor Excel ($)</t>
  </si>
  <si>
    <t>Diagnóstico y Hallazgo de Auditoría</t>
  </si>
  <si>
    <t>Pág. 1 (07/09)</t>
  </si>
  <si>
    <t>Domicilios (Carolina)</t>
  </si>
  <si>
    <t>Broca</t>
  </si>
  <si>
    <t>NO REGISTRADO</t>
  </si>
  <si>
    <t>Sin factura en Excel</t>
  </si>
  <si>
    <t>Herramienta menor para mantenimiento de sede (gasto de caja menor).</t>
  </si>
  <si>
    <t>Coco / Limonada</t>
  </si>
  <si>
    <t>Alimentos / Bebidas</t>
  </si>
  <si>
    <t>Compra en plaza/frutería local sin soporte formal.</t>
  </si>
  <si>
    <t>Turno Marleny</t>
  </si>
  <si>
    <t>Nómina Operativa</t>
  </si>
  <si>
    <t>NÓMINA EFECTIVO</t>
  </si>
  <si>
    <t>Pago operativo directo</t>
  </si>
  <si>
    <t>Turno pagado en efectivo de caja. No aplica en compras de insumos.</t>
  </si>
  <si>
    <t>Credito Jhonatan</t>
  </si>
  <si>
    <t>Préstamo Empleado</t>
  </si>
  <si>
    <t>VALE DE CAJA</t>
  </si>
  <si>
    <t>Anticipo de caja menor</t>
  </si>
  <si>
    <t>Préstamo/vale de caja interno de empleado.</t>
  </si>
  <si>
    <t>Transporte Carolina</t>
  </si>
  <si>
    <t>Transporte Operativo</t>
  </si>
  <si>
    <t>Transporte por diligencia administrativa (caso Daniela).</t>
  </si>
  <si>
    <t>Devolución Señor Arturo</t>
  </si>
  <si>
    <t>Devolución Saldo</t>
  </si>
  <si>
    <t>Salida de caja menor por reintegro/devolución.</t>
  </si>
  <si>
    <t>Pág. 2 (08/09)</t>
  </si>
  <si>
    <t>Principal (Johanna)</t>
  </si>
  <si>
    <t>Wilson (Lunes y Martes)</t>
  </si>
  <si>
    <t>Dos turnos operativos ($66.000 x 2) cancelados en efectivo.</t>
  </si>
  <si>
    <t>Andres</t>
  </si>
  <si>
    <t>Turno operativo cancelado en efectivo de caja.</t>
  </si>
  <si>
    <t>Diego / Luigui</t>
  </si>
  <si>
    <t>Hielo</t>
  </si>
  <si>
    <t>Hielo Principal (Johanna)</t>
  </si>
  <si>
    <t>Insumos Operativos</t>
  </si>
  <si>
    <t>CONCILIADO EXACTO</t>
  </si>
  <si>
    <t>Fila 186 / 219</t>
  </si>
  <si>
    <t>Hielo El Nevado SF45023 / SF45044</t>
  </si>
  <si>
    <t>Coincide exactamente con la remisión oficial de Hielo El Nevado ($10.000).</t>
  </si>
  <si>
    <t>Acopi Principal (Johanna)</t>
  </si>
  <si>
    <t>Gastos Operativos</t>
  </si>
  <si>
    <t>Fila 188</t>
  </si>
  <si>
    <t>RCM-07-Sep-2026 (Acopi Almuerzo German)</t>
  </si>
  <si>
    <t>Coincide exactamente con el Recibo de Caja Menor por almuerzos Acopi.</t>
  </si>
  <si>
    <t>Sistema de Higiene</t>
  </si>
  <si>
    <t>Aseo y Limpieza</t>
  </si>
  <si>
    <t>Insumos de desinfección y bioseguridad pagados en caja menor.</t>
  </si>
  <si>
    <t>RELACIONADO</t>
  </si>
  <si>
    <t>Fila 210</t>
  </si>
  <si>
    <t>REM-A 0672 Fruver Los Monos ($85.400)</t>
  </si>
  <si>
    <t>Plátano verde en fruver (en Excel registrado en remisión por $85.400).</t>
  </si>
  <si>
    <t>Leche de coco Principal (Johanna)</t>
  </si>
  <si>
    <t>Insumos Cocina</t>
  </si>
  <si>
    <t>Fila 215</t>
  </si>
  <si>
    <t>RCM-08-09-26 (7 lts Leche Coco)</t>
  </si>
  <si>
    <t>¡COINCIDENCIA EXACTA AL 100%! Recibo Caja Menor por 7 litros de leche de coco.</t>
  </si>
  <si>
    <t>Cinta</t>
  </si>
  <si>
    <t>Cinta Principal (Johanna)</t>
  </si>
  <si>
    <t>Empaques / Suministros</t>
  </si>
  <si>
    <t>Fila 224</t>
  </si>
  <si>
    <t>RCM-08-09-26 (Cinta Antiadherente)</t>
  </si>
  <si>
    <t>¡COINCIDENCIA EXACTA AL 100%! Recibo Caja Menor cinta antiadherente.</t>
  </si>
  <si>
    <t>Platano</t>
  </si>
  <si>
    <t>Fila 209</t>
  </si>
  <si>
    <t>REM-A 0672 Fruver Los Monos ($74.200)</t>
  </si>
  <si>
    <t>Plátano maduro en fruver Los Monos (en Excel remisión por $74.200).</t>
  </si>
  <si>
    <t>10 Portacazuelas</t>
  </si>
  <si>
    <t>Menaje y Vajilla</t>
  </si>
  <si>
    <t>Adquisición de portacazuelas para servicio del restaurante.</t>
  </si>
  <si>
    <t>Verduras y Tubérculos</t>
  </si>
  <si>
    <t>Compra directa en galería/plaza pagada desde caja menor.</t>
  </si>
  <si>
    <t>Pitaya</t>
  </si>
  <si>
    <t>Pitaya Principal (Johanna)</t>
  </si>
  <si>
    <t>Frutas</t>
  </si>
  <si>
    <t>CONCILIADO AL PESO</t>
  </si>
  <si>
    <t>Fila 183</t>
  </si>
  <si>
    <t>Cañaveral 11FH128831 (Pitahaya 0.505kg)</t>
  </si>
  <si>
    <t>¡COINCIDENCIA EXACTA AL PESO ($5.555)! Factura oficial Cañaveral.</t>
  </si>
  <si>
    <t>Mortadela raices</t>
  </si>
  <si>
    <t>Mortadela raices Principal (Johanna)</t>
  </si>
  <si>
    <t>Filas 174, 178, 184</t>
  </si>
  <si>
    <t>Cañaveral 11FH128829 ($59.325+$21.200+$9.600)</t>
  </si>
  <si>
    <t>¡COINCIDENCIA EXACTA AL PESO ($90.125)! Agrupa Alas, Mortadela Rica y Raíces.</t>
  </si>
  <si>
    <t>Pezunas y espinazo</t>
  </si>
  <si>
    <t>Pezunas y espinazo Principal (Johanna)</t>
  </si>
  <si>
    <t>Filas 175, 179, 187</t>
  </si>
  <si>
    <t>La Sevillana SEV-07SEP ($29.795+$31.377+$433)</t>
  </si>
  <si>
    <t>¡COINCIDENCIA EXACTA AL PESO ($61.606,04)! Factura Agropecuaria La Sevillana.</t>
  </si>
  <si>
    <t>Alimento para la gata</t>
  </si>
  <si>
    <t>Gastos Varios</t>
  </si>
  <si>
    <t>Compra menor de concentrado.</t>
  </si>
  <si>
    <t>Radios M6</t>
  </si>
  <si>
    <t>Dotación / Equipos</t>
  </si>
  <si>
    <t>Radios de comunicación interna para operación de servicio.</t>
  </si>
  <si>
    <t>Pág. 3 (08/09)</t>
  </si>
  <si>
    <t>Domicilios (Neymar)</t>
  </si>
  <si>
    <t>Lechuga</t>
  </si>
  <si>
    <t>Compra menor de lechuga para domicilios.</t>
  </si>
  <si>
    <t>Taxi compresor</t>
  </si>
  <si>
    <t>Transporte para recarga/mantenimiento de compresor.</t>
  </si>
  <si>
    <t>Habichuela, blanquillo, víscera</t>
  </si>
  <si>
    <t>Compra mixta de galería para menú.</t>
  </si>
  <si>
    <t>Credito Jose david</t>
  </si>
  <si>
    <t>Vale de anticipo empleado descontable.</t>
  </si>
  <si>
    <t>Visceras</t>
  </si>
  <si>
    <t>Carnes Menores</t>
  </si>
  <si>
    <t>Compra adicional de vísceras para cocina.</t>
  </si>
  <si>
    <t>Pág. 4 (09/09)</t>
  </si>
  <si>
    <t>Sebastian</t>
  </si>
  <si>
    <t>Fila 301</t>
  </si>
  <si>
    <t>Hielo El Nevado SF45104 (Bloque media)</t>
  </si>
  <si>
    <t>Coincide con remisión oficial de Hielo El Nevado (bloque media $19.000).</t>
  </si>
  <si>
    <t>Champiñones</t>
  </si>
  <si>
    <t>Compra en efectivo para cocina.</t>
  </si>
  <si>
    <t>Espinazo, Cuchuco, Salchicha</t>
  </si>
  <si>
    <t>Carnes y Granos</t>
  </si>
  <si>
    <t>Combo de ingredientes para sopa/menú del día.</t>
  </si>
  <si>
    <t>Inmunocal</t>
  </si>
  <si>
    <t>Botiquín / Salud</t>
  </si>
  <si>
    <t>Gasto menor de farmacia / salud.</t>
  </si>
  <si>
    <t>Fila 268</t>
  </si>
  <si>
    <t>RCM-09-Sep-2026 (Acopi German)</t>
  </si>
  <si>
    <t>¡COINCIDENCIA EXACTA! Recibo de Caja Menor Acopi German.</t>
  </si>
  <si>
    <t>Mazamorra Principal (Johanna)</t>
  </si>
  <si>
    <t>Alimentos</t>
  </si>
  <si>
    <t>Fila 264</t>
  </si>
  <si>
    <t>RCM-09-Sep-2026 (Mazamorra Franco Bravo)</t>
  </si>
  <si>
    <t>¡COINCIDENCIA EXACTA AL 100%! Recibo de Franco Bravo.</t>
  </si>
  <si>
    <t>Pág. 5 (09/09)</t>
  </si>
  <si>
    <t>Domicilios (María)</t>
  </si>
  <si>
    <t>Lenteja Domicilios (María)</t>
  </si>
  <si>
    <t>Granos / Abarrotes</t>
  </si>
  <si>
    <t>Fila 255</t>
  </si>
  <si>
    <t>D1 SAS G6G0471810 (25 un Lenteja $47.250)</t>
  </si>
  <si>
    <t>¡COINCIDENCIA EXACTA! Factura D1 por $47.250 (redondeado en caja a $47.300).</t>
  </si>
  <si>
    <t>Galleta Domicilios (María)</t>
  </si>
  <si>
    <t>Abarrotes / Confitería</t>
  </si>
  <si>
    <t>Fila 254</t>
  </si>
  <si>
    <t>D1 SAS G1G0285471 (14 un Galleta $76.860)</t>
  </si>
  <si>
    <t>¡COINCIDENCIA EXACTA! Factura D1 por $76.860 (redondeado en caja a $76.900).</t>
  </si>
  <si>
    <t>Liga / Lija</t>
  </si>
  <si>
    <t>Liga / Lija Domicilios (María)</t>
  </si>
  <si>
    <t>Ferretería</t>
  </si>
  <si>
    <t>Fila 263</t>
  </si>
  <si>
    <t>REM-09-Sep-2026 (1 Disco Flaper $4.500)</t>
  </si>
  <si>
    <t>¡COINCIDENCIA EXACTA AL PESO ($4.500)! Ferretería disco lija/flapper.</t>
  </si>
  <si>
    <t>Pulpa de coco</t>
  </si>
  <si>
    <t>Pulpas de Fruta</t>
  </si>
  <si>
    <t>Compra en efectivo para preparación de cocina.</t>
  </si>
  <si>
    <t>Don Arturo recogió</t>
  </si>
  <si>
    <t>Retiro de Efectivo Socio</t>
  </si>
  <si>
    <t>RETIRO SOCIO</t>
  </si>
  <si>
    <t>Retiro de caja utilidad</t>
  </si>
  <si>
    <t>Salida de utilidad a socio propietario. No es costo operativo.</t>
  </si>
  <si>
    <t>Pág. 6 (10/09)</t>
  </si>
  <si>
    <t>Filas 301, 302</t>
  </si>
  <si>
    <t>Hielo El Nevado SF45104 ($19.000 + $15.000)</t>
  </si>
  <si>
    <t>¡COINCIDENCIA EXACTA ($34.000)! Bloque media ($19k) + Bolsa tubular ($15k).</t>
  </si>
  <si>
    <t>Fila 303</t>
  </si>
  <si>
    <t>RCM-10-Sep-2026-2 (Mazamorra Franco Bravo)</t>
  </si>
  <si>
    <t>¡COINCIDENCIA EXACTA AL 100%! Recibo de Caja Menor Franco Bravo.</t>
  </si>
  <si>
    <t>Fila 304</t>
  </si>
  <si>
    <t>RCM-10-Sep-2026-3 (Acopi German)</t>
  </si>
  <si>
    <t>¡COINCIDENCIA EXACTA AL 100%! Recibo de Caja Menor Acopi German.</t>
  </si>
  <si>
    <t>Pastas la Muñeca</t>
  </si>
  <si>
    <t>Fila 305</t>
  </si>
  <si>
    <t>Cañaveral 06FZ47115 (Pasta tornillo $66.400)</t>
  </si>
  <si>
    <t>Compra en supermercado de pastas para servicio.</t>
  </si>
  <si>
    <t>Pulpas</t>
  </si>
  <si>
    <t>Pulpas Principal (Johanna)</t>
  </si>
  <si>
    <t>Filas 269-274</t>
  </si>
  <si>
    <t>Fruitty Freeze FAC-A 0001-00021624</t>
  </si>
  <si>
    <t>¡COINCIDENCIA EXACTA AL PESO ($352.450)! Factura electrónica oficial Fruitty.</t>
  </si>
  <si>
    <t>Postobón</t>
  </si>
  <si>
    <t>Postobón Principal (Johanna)</t>
  </si>
  <si>
    <t>Bebidas Comerciales</t>
  </si>
  <si>
    <t>CONCILIADO FACTURA</t>
  </si>
  <si>
    <t>Filas 276-289</t>
  </si>
  <si>
    <t>Postobon S.A. JM071024895 ($621.140)</t>
  </si>
  <si>
    <t>Factura oficial Postobón pagada en efectivo de caja (diferencia menor de $6.840).</t>
  </si>
  <si>
    <t>Pág. 7 (10/09)</t>
  </si>
  <si>
    <t>Turno Taty Vigilancia</t>
  </si>
  <si>
    <t>Nómina / Seguridad</t>
  </si>
  <si>
    <t>Turno de seguridad nocturna pagado en efectivo.</t>
  </si>
  <si>
    <t>Fila 309</t>
  </si>
  <si>
    <t>RCM-10-Sep-2026-5 (Marlene 7 hrs $58.000)</t>
  </si>
  <si>
    <t>En Excel se legalizó recibo por $58.000 (diferencia de $8.000 por horas).</t>
  </si>
  <si>
    <t>Harina y Aceite</t>
  </si>
  <si>
    <t>Harina y Aceite Domicilios (Neymar)</t>
  </si>
  <si>
    <t>Granos / Cocina</t>
  </si>
  <si>
    <t>Filas 297, 298</t>
  </si>
  <si>
    <t>D1 G9F9316392 ($17.000 + $91.950 = $108.950)</t>
  </si>
  <si>
    <t>¡COINCIDENCIA EXACTA CON D1 ($108.950)! Redondeado en caja a $109.000.</t>
  </si>
  <si>
    <t>Transporte Deys</t>
  </si>
  <si>
    <t>Transporte para diligencia operativa en moto/taxi.</t>
  </si>
  <si>
    <t>Transporte Enith</t>
  </si>
  <si>
    <t>Transporte Enith Domicilios (Neymar)</t>
  </si>
  <si>
    <t>Fila 299</t>
  </si>
  <si>
    <t>RCM-10-Sep-2026-1 (Transporte Edith $50.000)</t>
  </si>
  <si>
    <t>¡COINCIDENCIA EXACTA AL 100%! Recibo Caja Menor Transporte Edith/Enith.</t>
  </si>
  <si>
    <t>Zumo de limón</t>
  </si>
  <si>
    <t>Zumo de limón Domicilios (Neymar)</t>
  </si>
  <si>
    <t>Insumos Bebidas</t>
  </si>
  <si>
    <t>Fila 300</t>
  </si>
  <si>
    <t>AM Letrascore Remisión 0305 ($75.000)</t>
  </si>
  <si>
    <t>¡COINCIDENCIA EXACTA AL 100%! Soporte Remisión oficial 6 und x 2000ml.</t>
  </si>
  <si>
    <t>Coca-Cola</t>
  </si>
  <si>
    <t>Surtido de bebidas Coca-Cola pagado de caja sin factura radicada.</t>
  </si>
  <si>
    <t>Pág. 8 (11/09)</t>
  </si>
  <si>
    <t>Principal (Johanna/Wilson)</t>
  </si>
  <si>
    <t>Wilson</t>
  </si>
  <si>
    <t>Compra de hielo del día 11.</t>
  </si>
  <si>
    <t>Almuerzo Acopi día 11.</t>
  </si>
  <si>
    <t>Antonio (Tachado)</t>
  </si>
  <si>
    <t>Anulado</t>
  </si>
  <si>
    <t>ANULADO EN HOJA</t>
  </si>
  <si>
    <t>Registro tachado en el cuaderno</t>
  </si>
  <si>
    <t>Partida tachada por el cajero; no representó salida real de caja.</t>
  </si>
  <si>
    <t>Pedido Tornillos</t>
  </si>
  <si>
    <t>Mantenimiento / Ferretería</t>
  </si>
  <si>
    <t>Compra de tornillos/herrajes para mantenimiento.</t>
  </si>
  <si>
    <t>Lácteos / Cocina</t>
  </si>
  <si>
    <t>Compra para preparación de salsas/cocina.</t>
  </si>
  <si>
    <t>Compra de pastas para abastecimiento.</t>
  </si>
  <si>
    <t>Tilapia</t>
  </si>
  <si>
    <t>Carnes y Pescados</t>
  </si>
  <si>
    <t>Compra de pescado fresco para menú especial en plaza.</t>
  </si>
  <si>
    <t>Software Dataico (Nota al pie)</t>
  </si>
  <si>
    <t>Software Dataico (Nota al pie) Principal (Johanna/Wilson)</t>
  </si>
  <si>
    <t>Software y Sistemas</t>
  </si>
  <si>
    <t>Fila 320</t>
  </si>
  <si>
    <t>Dataico SAS Factura E-412886 ($72.000)</t>
  </si>
  <si>
    <t>¡HALLAZGO CLAVE! Nota al pie: "Se pago el dataico x nequi = $72.000". Concilia exacto con Fila 320.</t>
  </si>
  <si>
    <t>TOTAL EGRESOS DEL LIBRO DE CAJA</t>
  </si>
  <si>
    <t>69 REGISTROS</t>
  </si>
  <si>
    <t>CONCILIACIÓN 100%</t>
  </si>
  <si>
    <t>TOTAL SOPORTADO EN EXCEL</t>
  </si>
  <si>
    <t>Total cruzado con facturas electrónicas y recibos oficiales en Excel</t>
  </si>
  <si>
    <t>2. ARQUEO Y CIERRES DE CAJA POR PÁGINA (VENTAS, MEDIOS DE PAGO Y CUADRE DIARIO)</t>
  </si>
  <si>
    <t>Caja y Responsable</t>
  </si>
  <si>
    <t>Datáfonos ($)</t>
  </si>
  <si>
    <t>Nequi ($)</t>
  </si>
  <si>
    <t>Efectivo en Caja ($)</t>
  </si>
  <si>
    <t>Total Ventas Caja ($)</t>
  </si>
  <si>
    <t>Total Egresos Caja ($)</t>
  </si>
  <si>
    <t>Reporte X / Z ($)</t>
  </si>
  <si>
    <t>Diferencia Arqueo ($)</t>
  </si>
  <si>
    <t>Observaciones de Cuadre y Notas del Cajero</t>
  </si>
  <si>
    <t>Consumo: $117.800 | Reforma: $15.000 | Z1: $1.756.800 | Z2: $3.199.700</t>
  </si>
  <si>
    <t>Efectivo acumulado turnos $5.720.000 | Cuadre exacto con diferencia de -$3.014</t>
  </si>
  <si>
    <t>Consumo: $82.600 | Reforma: $20.000 | Cuadre con diferencia de -$700</t>
  </si>
  <si>
    <t>Sobrante en caja de $2.800 frente a reporte X</t>
  </si>
  <si>
    <t>Sobrante $10.000 (abono clienta del 8/09 + yogurt) | Retiro Don Arturo $500k</t>
  </si>
  <si>
    <t>Efectivo corregido de $987k a $837k tras pago a Postobón ($614k) y pulpas ($352k)</t>
  </si>
  <si>
    <t>Consumo: $81.000 | Reforma: $19.000 | Créditos empleados: $114.300 | Sobrante: $900</t>
  </si>
  <si>
    <t>Nota clave: Se pagó Dataico x Nequi = $72.000 | Antonio tachado $300k</t>
  </si>
  <si>
    <t>CONSOLIDADO 8 PLANILLAS</t>
  </si>
  <si>
    <t>Auditoría de medios de pago y arqueo de turnos</t>
  </si>
  <si>
    <t>3. CONCLUSIONES Y HALLAZGOS ESTRATÉGICOS DE AUDITORÍA</t>
  </si>
  <si>
    <t>1. TRAZABILIDAD EXACTA AL PESO DE FACTURAS EN EXCEL</t>
  </si>
  <si>
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</si>
  <si>
    <t>2. EXPLICACIÓN DEL SOFTWARE DATAICO ($72.000) EN EL DÍA 11</t>
  </si>
  <si>
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</si>
  <si>
    <t>3. TURNOS DE PERSONAL PAGADOS EN EFECTIVO ($868.000)</t>
  </si>
  <si>
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</si>
  <si>
    <t>4. GASTOS DE CAJA MENOR PENDIENTES DE SOPORTE TRIBUTARIO</t>
  </si>
  <si>
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</si>
  <si>
    <t>DIA</t>
  </si>
  <si>
    <t>TOTAL SUMATORIA</t>
  </si>
  <si>
    <t>DESP-0493</t>
  </si>
  <si>
    <t>FAC-2860</t>
  </si>
  <si>
    <t>0515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</si>
  <si>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</si>
  <si>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</si>
  <si>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</si>
  <si>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</si>
  <si>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</si>
  <si>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</si>
  <si>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</si>
  <si>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</si>
  <si>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</si>
  <si>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</si>
  <si>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</si>
  <si>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</si>
  <si>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</si>
  <si>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</si>
  <si>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</si>
  <si>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</si>
  <si>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</si>
  <si>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</si>
  <si>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</si>
  <si>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</si>
  <si>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</si>
  <si>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</si>
  <si>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</si>
  <si>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</si>
  <si>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</si>
  <si>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</si>
  <si>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</si>
  <si>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</si>
  <si>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</si>
  <si>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</si>
  <si>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</si>
  <si>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</si>
  <si>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</si>
  <si>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</si>
  <si>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</si>
  <si>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</si>
  <si>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</si>
  <si>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</si>
  <si>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</si>
  <si>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</si>
  <si>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</si>
  <si>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</si>
  <si>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</si>
  <si>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</si>
  <si>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</si>
  <si>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</si>
  <si>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</si>
  <si>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</si>
  <si>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</si>
  <si>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</si>
  <si>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</si>
  <si>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</si>
  <si>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</si>
  <si>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</si>
  <si>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</si>
  <si>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</si>
  <si>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</si>
  <si>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</si>
  <si>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</si>
  <si>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</si>
  <si>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</si>
  <si>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</si>
  <si>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</si>
  <si>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</si>
  <si>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</si>
  <si>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</si>
  <si>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</si>
  <si>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</si>
  <si>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</si>
  <si>
    <t>[REPETIDA - Factura 925 es copia de REM-08-09-2026 ya en fila 242] FILETE DE POLLO X 350G</t>
  </si>
  <si>
    <t>925</t>
  </si>
  <si>
    <t>[REPETIDA - Factura 925 es copia de REM-08-09-2026 ya en fila 244] PERNIL DE POLLO CAMPO</t>
  </si>
  <si>
    <t>[REPETIDA - Factura 926 es copia de REM-09-09-2026 ya en fila 285] FILETE DE POLLO X 350G</t>
  </si>
  <si>
    <t>926</t>
  </si>
  <si>
    <t>[REPETIDA - Factura 926 es copia de REM-09-09-2026 ya en fila 286] PERNIL DE POLLO CAMPO</t>
  </si>
  <si>
    <t>[REPETIDA - Factura 927 es copia de REM-10-Sep-2026 ya en fila 324] PERNIL DE POLLO CAMPO</t>
  </si>
  <si>
    <t>927</t>
  </si>
  <si>
    <t>Carne de Res</t>
  </si>
  <si>
    <t>[REPETIDA - Factura MY8828 ya ingresada el 16/09 en fila 396] SOBACO</t>
  </si>
  <si>
    <t>[REPETIDA - Factura MY8828 ya ingresada el 16/09 en fila 397] MUCHACHO DE RES</t>
  </si>
  <si>
    <t>[REPETIDA - Factura RAM14329 ya ingresada el 16/09 en fila 420] POCILLO TE 250 CC</t>
  </si>
  <si>
    <t>Bolsa Plástica</t>
  </si>
  <si>
    <t>[REPETIDA - Factura RAM14329 ya ingresada el 16/09 en fila 420] BOLSA PLASTICA T40</t>
  </si>
  <si>
    <t>[REPETIDA - Remisión NV203424 corresponde a factura SF45157 ya en filas 445-446] BLOQUE MEDIA</t>
  </si>
  <si>
    <t>NV203424</t>
  </si>
  <si>
    <t>[REPETIDA - Remisión NV203424 corresponde a factura SF45157 ya en filas 445-446] BOLSA X 5 KL</t>
  </si>
  <si>
    <t>[REPETIDA - Remisión NV203461 corresponde a factura SF45191 ya en fila 453] BOLSA X 5 KL</t>
  </si>
  <si>
    <t>NV203461</t>
  </si>
  <si>
    <t>[REPETIDA - Factura Electrónica FE01608 es soporte de remisión 2909 en fila 392] SOBREBARRIGA DELGADA</t>
  </si>
  <si>
    <t>FE01608</t>
  </si>
  <si>
    <t>[REPETIDA - Factura Electrónica FE01608 es soporte de remisión 2909 en fila 393] CALLO DE RES</t>
  </si>
  <si>
    <t>[REPETIDA - Factura Electrónica FE01609 es soporte de remisión 2914 en fila 391] CALLO DE RES</t>
  </si>
  <si>
    <t>FE01609</t>
  </si>
  <si>
    <t>Cadera de Res</t>
  </si>
  <si>
    <t>[REPETIDA - Factura Electrónica FE01610 es soporte de remisión 2925 en fila 394] CADERITA DE RES</t>
  </si>
  <si>
    <t>FE01610</t>
  </si>
  <si>
    <t>Costilla de Res</t>
  </si>
  <si>
    <t>[REPETIDA - Factura Electrónica FE01610 es soporte de remisión 2925 en fila 395] COSTILLA ESPECIAL DE RES</t>
  </si>
  <si>
    <t>[ANULADA - Factura FEBF-35 anulada con Nota Crédito NC1 y reemplazada por FEBF-36] LOMO DE CERDO</t>
  </si>
  <si>
    <t>FEBF-35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</si>
</sst>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\ * #,##0.00_-;\-&quot;$&quot;\ * #,##0.00_-;_-&quot;$&quot;\ * &quot;-&quot;??_-;_-@_-"/>
    <numFmt numFmtId="164" formatCode="#,##0.##"/>
    <numFmt numFmtId="165" formatCode="\$#,##0"/>
    <numFmt numFmtId="166" formatCode="0.0%"/>
    <numFmt numFmtId="167" formatCode="#,##0.0"/>
    <numFmt numFmtId="168" formatCode="_-&quot;$&quot;* #,##0_-;\-&quot;$&quot;* #,##0_-;_-&quot;$&quot;* &quot;-&quot;??_-;_-@_-"/>
    <numFmt numFmtId="169" formatCode="0\ &quot;Reg&quot;"/>
    <numFmt numFmtId="170" formatCode="_-&quot;$&quot;\ * #,##0_-;\-&quot;$&quot;\ * #,##0_-;_-&quot;$&quot;\ * &quot;-&quot;??_-;_-@_-"/>
    <numFmt numFmtId="171" formatCode="#,##0.00\ &quot;Kg&quot;"/>
    <numFmt numFmtId="172" formatCode="#,##0\ &quot;Und/Caj&quot;"/>
  </numFmts>
  <fonts count="8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9"/>
      <color rgb="FF595959"/>
      <name val="Calibri"/>
    </font>
    <font>
      <b/>
      <sz val="11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10"/>
      <color rgb="FF1F4E78"/>
      <name val="Calibri"/>
    </font>
    <font>
      <b/>
      <sz val="9"/>
      <color rgb="FFFFFFFF"/>
      <name val="Calibri"/>
    </font>
    <font>
      <b/>
      <sz val="14"/>
      <color rgb="FFFFFFFF"/>
      <name val="Calibri"/>
    </font>
    <font>
      <b/>
      <sz val="13"/>
      <color rgb="FF1F4E78"/>
      <name val="Calibri"/>
    </font>
    <font>
      <i/>
      <sz val="8"/>
      <color rgb="FF7F7F7F"/>
      <name val="Calibri"/>
    </font>
    <font>
      <b/>
      <sz val="13"/>
      <color rgb="FF2F5597"/>
      <name val="Calibri"/>
    </font>
    <font>
      <b/>
      <sz val="13"/>
      <color rgb="FF1E4E79"/>
      <name val="Calibri"/>
    </font>
    <font>
      <b/>
      <sz val="13"/>
      <color rgb="FF375623"/>
      <name val="Calibri"/>
    </font>
    <font>
      <b/>
      <sz val="9"/>
      <color rgb="FF375623"/>
      <name val="Calibri"/>
    </font>
    <font>
      <b/>
      <sz val="9"/>
      <color rgb="FF7F6000"/>
      <name val="Calibri"/>
    </font>
    <font>
      <b/>
      <sz val="9"/>
      <color rgb="FF1F4E78"/>
      <name val="Calibri"/>
    </font>
    <font>
      <b/>
      <sz val="13"/>
      <color rgb="FF7F6000"/>
      <name val="Calibri"/>
    </font>
    <font>
      <b/>
      <sz val="15"/>
      <color rgb="FFFFFFFF"/>
      <name val="Calibri"/>
    </font>
    <font>
      <i/>
      <sz val="10"/>
      <color rgb="FFE0E8F5"/>
      <name val="Calibri"/>
    </font>
    <font>
      <b/>
      <sz val="8"/>
      <color rgb="FF595959"/>
      <name val="Calibri"/>
    </font>
    <font>
      <b/>
      <sz val="13"/>
      <color rgb="FF1B365D"/>
      <name val="Calibri"/>
    </font>
    <font>
      <i/>
      <sz val="9"/>
      <color rgb="FF595959"/>
      <name val="Calibri"/>
    </font>
    <font>
      <b/>
      <sz val="11"/>
      <color rgb="FF1B365D"/>
      <name val="Calibri"/>
    </font>
    <font>
      <b/>
      <sz val="10"/>
      <color rgb="FFFFFFFF"/>
      <name val="Calibri"/>
    </font>
    <font>
      <sz val="9"/>
      <color rgb="FF5F6368"/>
      <name val="Calibri"/>
    </font>
    <font>
      <b/>
      <sz val="9"/>
      <color rgb="FF1967D2"/>
      <name val="Calibri"/>
    </font>
    <font>
      <b/>
      <sz val="9"/>
      <color rgb="FF276A3C"/>
      <name val="Calibri"/>
    </font>
    <font>
      <b/>
      <sz val="9"/>
      <color rgb="FF8C6B00"/>
      <name val="Calibri"/>
    </font>
    <font>
      <b/>
      <sz val="9"/>
      <color rgb="FFC5221F"/>
      <name val="Calibri"/>
    </font>
    <font>
      <b/>
      <sz val="10"/>
      <color rgb="FF1B365D"/>
      <name val="Calibri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9C0006"/>
      <name val="Calibri"/>
      <family val="2"/>
      <scheme val="minor"/>
    </font>
    <font>
      <b/>
      <sz val="10"/>
      <color rgb="FFC65911"/>
      <name val="Calibri"/>
      <family val="2"/>
    </font>
    <font>
      <b/>
      <sz val="10"/>
      <color rgb="FF1967D2"/>
      <name val="Calibri"/>
      <family val="2"/>
    </font>
    <font>
      <sz val="10"/>
      <color theme="1"/>
      <name val="Calibri"/>
      <family val="2"/>
    </font>
    <font>
      <sz val="9"/>
      <name val="Calibri"/>
      <family val="2"/>
    </font>
    <font>
      <sz val="10"/>
      <color rgb="FF595959"/>
      <name val="Calibri"/>
    </font>
    <font>
      <b/>
      <sz val="10"/>
      <color rgb="FF276A3C"/>
      <name val="Calibri"/>
    </font>
    <font>
      <b/>
      <u/>
      <sz val="11"/>
      <color rgb="FFFFFFFF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4"/>
      <color rgb="FF1F4E78"/>
      <name val="Calibr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sz val="8"/>
      <name val="Segoe U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b/>
      <sz val="9"/>
      <color rgb="FFFFFFFF"/>
      <name val="Segoe UI"/>
    </font>
    <font>
      <b/>
      <sz val="8"/>
      <color rgb="FFFFFFFF"/>
      <name val="Segoe UI"/>
    </font>
    <font>
      <b/>
      <sz val="8"/>
      <color rgb="FF000000"/>
      <name val="Segoe UI"/>
    </font>
    <font>
      <sz val="8"/>
      <color rgb="FF000000"/>
      <name val="Segoe UI"/>
    </font>
    <font>
      <b/>
      <sz val="9"/>
      <name val="Calibri"/>
    </font>
    <font>
      <b/>
      <sz val="11"/>
      <color rgb="FFFFFFFF"/>
      <name val="Calibri"/>
    </font>
  </fonts>
  <fills count="58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305496"/>
        <bgColor rgb="FF30549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</fills>
  <borders count="31">
    <border>
      <left/>
      <right/>
      <top/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double">
        <color rgb="FF00206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/>
      <diagonal/>
    </border>
  </borders>
  <cellStyleXfs count="4">
    <xf numFmtId="0" fontId="0" fillId="0" borderId="22"/>
    <xf numFmtId="44" fontId="1" fillId="0" borderId="22"/>
    <xf numFmtId="0" fontId="50" fillId="37" borderId="22"/>
    <xf numFmtId="0" fontId="51" fillId="38" borderId="22"/>
  </cellStyleXfs>
  <cellXfs count="390">
    <xf numFmtId="0" fontId="0" fillId="0" borderId="0" xfId="0" applyBorder="1"/>
    <xf numFmtId="0" fontId="10" fillId="8" borderId="0" xfId="0" applyFont="1" applyFill="1" applyBorder="1" applyAlignment="1">
      <alignment horizontal="center" vertical="center"/>
    </xf>
    <xf numFmtId="2" fontId="10" fillId="8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5" fillId="8" borderId="0" xfId="0" applyFont="1" applyFill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4" fontId="7" fillId="0" borderId="2" xfId="0" applyNumberFormat="1" applyFont="1" applyBorder="1"/>
    <xf numFmtId="1" fontId="7" fillId="0" borderId="2" xfId="0" applyNumberFormat="1" applyFont="1" applyBorder="1" applyAlignment="1">
      <alignment horizontal="center"/>
    </xf>
    <xf numFmtId="0" fontId="7" fillId="11" borderId="2" xfId="0" applyFont="1" applyFill="1" applyBorder="1" applyAlignment="1">
      <alignment horizontal="center"/>
    </xf>
    <xf numFmtId="4" fontId="7" fillId="11" borderId="2" xfId="0" applyNumberFormat="1" applyFont="1" applyFill="1" applyBorder="1"/>
    <xf numFmtId="1" fontId="7" fillId="11" borderId="2" xfId="0" applyNumberFormat="1" applyFont="1" applyFill="1" applyBorder="1" applyAlignment="1">
      <alignment horizontal="center"/>
    </xf>
    <xf numFmtId="4" fontId="8" fillId="12" borderId="3" xfId="0" applyNumberFormat="1" applyFont="1" applyFill="1" applyBorder="1"/>
    <xf numFmtId="1" fontId="8" fillId="12" borderId="3" xfId="0" applyNumberFormat="1" applyFont="1" applyFill="1" applyBorder="1" applyAlignment="1">
      <alignment horizontal="center"/>
    </xf>
    <xf numFmtId="0" fontId="16" fillId="13" borderId="2" xfId="0" applyFont="1" applyFill="1" applyBorder="1" applyAlignment="1">
      <alignment horizontal="center" vertical="center"/>
    </xf>
    <xf numFmtId="3" fontId="7" fillId="0" borderId="2" xfId="0" applyNumberFormat="1" applyFont="1" applyBorder="1" applyAlignment="1">
      <alignment horizontal="center"/>
    </xf>
    <xf numFmtId="0" fontId="7" fillId="15" borderId="2" xfId="0" applyFont="1" applyFill="1" applyBorder="1" applyAlignment="1">
      <alignment horizontal="center"/>
    </xf>
    <xf numFmtId="3" fontId="7" fillId="15" borderId="2" xfId="0" applyNumberFormat="1" applyFont="1" applyFill="1" applyBorder="1" applyAlignment="1">
      <alignment horizontal="center"/>
    </xf>
    <xf numFmtId="1" fontId="7" fillId="15" borderId="2" xfId="0" applyNumberFormat="1" applyFont="1" applyFill="1" applyBorder="1" applyAlignment="1">
      <alignment horizontal="center"/>
    </xf>
    <xf numFmtId="3" fontId="8" fillId="16" borderId="3" xfId="0" applyNumberFormat="1" applyFont="1" applyFill="1" applyBorder="1" applyAlignment="1">
      <alignment horizontal="center"/>
    </xf>
    <xf numFmtId="1" fontId="8" fillId="16" borderId="3" xfId="0" applyNumberFormat="1" applyFont="1" applyFill="1" applyBorder="1" applyAlignment="1">
      <alignment horizontal="center"/>
    </xf>
    <xf numFmtId="0" fontId="8" fillId="12" borderId="3" xfId="0" applyFont="1" applyFill="1" applyBorder="1" applyAlignment="1">
      <alignment horizontal="center"/>
    </xf>
    <xf numFmtId="0" fontId="8" fillId="16" borderId="3" xfId="0" applyFont="1" applyFill="1" applyBorder="1" applyAlignment="1">
      <alignment horizontal="center"/>
    </xf>
    <xf numFmtId="0" fontId="0" fillId="0" borderId="6" xfId="0" applyBorder="1"/>
    <xf numFmtId="0" fontId="22" fillId="0" borderId="6" xfId="0" applyFont="1" applyBorder="1" applyAlignment="1">
      <alignment horizontal="left" vertical="center"/>
    </xf>
    <xf numFmtId="0" fontId="20" fillId="18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7" fillId="0" borderId="5" xfId="0" applyFont="1" applyBorder="1" applyAlignment="1">
      <alignment horizontal="left"/>
    </xf>
    <xf numFmtId="4" fontId="7" fillId="0" borderId="5" xfId="0" applyNumberFormat="1" applyFont="1" applyBorder="1" applyAlignment="1">
      <alignment horizontal="right"/>
    </xf>
    <xf numFmtId="0" fontId="20" fillId="19" borderId="5" xfId="0" applyFont="1" applyFill="1" applyBorder="1" applyAlignment="1">
      <alignment horizontal="center" vertical="center" wrapText="1"/>
    </xf>
    <xf numFmtId="3" fontId="7" fillId="0" borderId="5" xfId="0" applyNumberFormat="1" applyFont="1" applyBorder="1" applyAlignment="1">
      <alignment horizontal="right"/>
    </xf>
    <xf numFmtId="0" fontId="20" fillId="17" borderId="5" xfId="0" applyFont="1" applyFill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/>
    </xf>
    <xf numFmtId="0" fontId="20" fillId="20" borderId="5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left" vertical="center" indent="1"/>
    </xf>
    <xf numFmtId="0" fontId="20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/>
    </xf>
    <xf numFmtId="0" fontId="7" fillId="0" borderId="6" xfId="0" applyFont="1" applyBorder="1" applyAlignment="1">
      <alignment horizontal="left"/>
    </xf>
    <xf numFmtId="4" fontId="7" fillId="0" borderId="6" xfId="0" applyNumberFormat="1" applyFont="1" applyBorder="1" applyAlignment="1">
      <alignment horizontal="right"/>
    </xf>
    <xf numFmtId="0" fontId="8" fillId="0" borderId="6" xfId="0" applyFont="1" applyBorder="1" applyAlignment="1">
      <alignment horizontal="right" vertical="center"/>
    </xf>
    <xf numFmtId="4" fontId="8" fillId="0" borderId="6" xfId="0" applyNumberFormat="1" applyFont="1" applyBorder="1" applyAlignment="1">
      <alignment horizontal="right"/>
    </xf>
    <xf numFmtId="0" fontId="24" fillId="0" borderId="8" xfId="0" applyFont="1" applyBorder="1" applyAlignment="1">
      <alignment horizontal="center"/>
    </xf>
    <xf numFmtId="0" fontId="24" fillId="0" borderId="8" xfId="0" applyFont="1" applyBorder="1" applyAlignment="1">
      <alignment horizontal="left"/>
    </xf>
    <xf numFmtId="2" fontId="24" fillId="0" borderId="8" xfId="0" applyNumberFormat="1" applyFont="1" applyBorder="1" applyAlignment="1">
      <alignment horizontal="right"/>
    </xf>
    <xf numFmtId="1" fontId="24" fillId="0" borderId="8" xfId="0" applyNumberFormat="1" applyFont="1" applyBorder="1" applyAlignment="1">
      <alignment horizontal="center"/>
    </xf>
    <xf numFmtId="0" fontId="24" fillId="0" borderId="8" xfId="0" applyFont="1" applyBorder="1"/>
    <xf numFmtId="1" fontId="24" fillId="0" borderId="0" xfId="0" applyNumberFormat="1" applyFont="1" applyBorder="1" applyAlignment="1">
      <alignment horizontal="center"/>
    </xf>
    <xf numFmtId="0" fontId="24" fillId="0" borderId="0" xfId="0" applyFont="1" applyBorder="1" applyAlignment="1">
      <alignment horizontal="left"/>
    </xf>
    <xf numFmtId="2" fontId="24" fillId="0" borderId="0" xfId="0" applyNumberFormat="1" applyFont="1" applyBorder="1" applyAlignment="1">
      <alignment horizontal="right"/>
    </xf>
    <xf numFmtId="1" fontId="7" fillId="0" borderId="0" xfId="0" applyNumberFormat="1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0" xfId="0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0" fontId="24" fillId="0" borderId="10" xfId="0" applyFont="1" applyBorder="1" applyAlignment="1">
      <alignment horizontal="left"/>
    </xf>
    <xf numFmtId="0" fontId="24" fillId="0" borderId="11" xfId="0" applyFont="1" applyBorder="1" applyAlignment="1">
      <alignment horizontal="left"/>
    </xf>
    <xf numFmtId="1" fontId="24" fillId="0" borderId="11" xfId="0" applyNumberFormat="1" applyFont="1" applyBorder="1" applyAlignment="1">
      <alignment horizontal="center"/>
    </xf>
    <xf numFmtId="2" fontId="24" fillId="0" borderId="11" xfId="0" applyNumberFormat="1" applyFont="1" applyBorder="1" applyAlignment="1">
      <alignment horizontal="right"/>
    </xf>
    <xf numFmtId="0" fontId="24" fillId="0" borderId="11" xfId="0" applyFont="1" applyBorder="1"/>
    <xf numFmtId="0" fontId="26" fillId="23" borderId="12" xfId="0" applyFont="1" applyFill="1" applyBorder="1" applyAlignment="1">
      <alignment horizontal="center" vertical="center" wrapText="1"/>
    </xf>
    <xf numFmtId="0" fontId="26" fillId="23" borderId="12" xfId="0" applyFont="1" applyFill="1" applyBorder="1" applyAlignment="1">
      <alignment horizontal="left" vertical="center" wrapText="1"/>
    </xf>
    <xf numFmtId="0" fontId="26" fillId="23" borderId="12" xfId="0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24" fillId="0" borderId="12" xfId="0" applyFont="1" applyBorder="1" applyAlignment="1">
      <alignment horizontal="left"/>
    </xf>
    <xf numFmtId="0" fontId="33" fillId="24" borderId="12" xfId="0" applyFont="1" applyFill="1" applyBorder="1" applyAlignment="1">
      <alignment horizontal="center"/>
    </xf>
    <xf numFmtId="0" fontId="35" fillId="5" borderId="12" xfId="0" applyFont="1" applyFill="1" applyBorder="1" applyAlignment="1">
      <alignment horizontal="center"/>
    </xf>
    <xf numFmtId="0" fontId="34" fillId="25" borderId="12" xfId="0" applyFont="1" applyFill="1" applyBorder="1" applyAlignment="1">
      <alignment horizontal="center"/>
    </xf>
    <xf numFmtId="0" fontId="25" fillId="21" borderId="13" xfId="0" applyFont="1" applyFill="1" applyBorder="1" applyAlignment="1">
      <alignment horizontal="center"/>
    </xf>
    <xf numFmtId="0" fontId="25" fillId="21" borderId="13" xfId="0" applyFont="1" applyFill="1" applyBorder="1" applyAlignment="1">
      <alignment horizontal="left"/>
    </xf>
    <xf numFmtId="1" fontId="24" fillId="0" borderId="12" xfId="0" applyNumberFormat="1" applyFont="1" applyBorder="1" applyAlignment="1">
      <alignment horizontal="center"/>
    </xf>
    <xf numFmtId="2" fontId="24" fillId="0" borderId="12" xfId="0" applyNumberFormat="1" applyFont="1" applyBorder="1" applyAlignment="1">
      <alignment horizontal="right"/>
    </xf>
    <xf numFmtId="0" fontId="24" fillId="0" borderId="12" xfId="0" applyFont="1" applyBorder="1"/>
    <xf numFmtId="0" fontId="43" fillId="26" borderId="15" xfId="0" applyFont="1" applyFill="1" applyBorder="1" applyAlignment="1">
      <alignment horizontal="center" vertical="center"/>
    </xf>
    <xf numFmtId="0" fontId="43" fillId="26" borderId="15" xfId="0" applyFont="1" applyFill="1" applyBorder="1" applyAlignment="1">
      <alignment horizontal="left" vertical="center"/>
    </xf>
    <xf numFmtId="0" fontId="43" fillId="26" borderId="15" xfId="0" applyFont="1" applyFill="1" applyBorder="1" applyAlignment="1">
      <alignment horizontal="right" vertical="center"/>
    </xf>
    <xf numFmtId="0" fontId="7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/>
    </xf>
    <xf numFmtId="0" fontId="44" fillId="31" borderId="14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right" vertical="center"/>
    </xf>
    <xf numFmtId="0" fontId="7" fillId="32" borderId="14" xfId="0" applyFont="1" applyFill="1" applyBorder="1" applyAlignment="1">
      <alignment horizontal="center" vertical="center"/>
    </xf>
    <xf numFmtId="0" fontId="7" fillId="32" borderId="14" xfId="0" applyFont="1" applyFill="1" applyBorder="1" applyAlignment="1">
      <alignment horizontal="left" vertical="center"/>
    </xf>
    <xf numFmtId="0" fontId="7" fillId="32" borderId="14" xfId="0" applyFont="1" applyFill="1" applyBorder="1" applyAlignment="1">
      <alignment horizontal="right" vertical="center"/>
    </xf>
    <xf numFmtId="0" fontId="45" fillId="33" borderId="14" xfId="0" applyFont="1" applyFill="1" applyBorder="1" applyAlignment="1">
      <alignment horizontal="center" vertical="center"/>
    </xf>
    <xf numFmtId="0" fontId="46" fillId="34" borderId="14" xfId="0" applyFont="1" applyFill="1" applyBorder="1" applyAlignment="1">
      <alignment horizontal="center" vertical="center"/>
    </xf>
    <xf numFmtId="0" fontId="47" fillId="35" borderId="14" xfId="0" applyFont="1" applyFill="1" applyBorder="1" applyAlignment="1">
      <alignment horizontal="center" vertical="center"/>
    </xf>
    <xf numFmtId="0" fontId="48" fillId="36" borderId="14" xfId="0" applyFont="1" applyFill="1" applyBorder="1" applyAlignment="1">
      <alignment horizontal="center" vertical="center"/>
    </xf>
    <xf numFmtId="0" fontId="8" fillId="30" borderId="16" xfId="0" applyFont="1" applyFill="1" applyBorder="1"/>
    <xf numFmtId="0" fontId="50" fillId="37" borderId="9" xfId="2" applyBorder="1" applyAlignment="1">
      <alignment horizontal="center"/>
    </xf>
    <xf numFmtId="0" fontId="24" fillId="0" borderId="9" xfId="0" applyFont="1" applyBorder="1" applyAlignment="1">
      <alignment horizontal="left"/>
    </xf>
    <xf numFmtId="0" fontId="0" fillId="0" borderId="17" xfId="0" applyBorder="1" applyAlignment="1">
      <alignment horizontal="left"/>
    </xf>
    <xf numFmtId="0" fontId="24" fillId="0" borderId="19" xfId="0" applyFont="1" applyBorder="1" applyAlignment="1">
      <alignment horizontal="left"/>
    </xf>
    <xf numFmtId="0" fontId="24" fillId="0" borderId="14" xfId="0" applyFont="1" applyBorder="1" applyAlignment="1">
      <alignment horizontal="left"/>
    </xf>
    <xf numFmtId="0" fontId="52" fillId="17" borderId="5" xfId="0" applyFont="1" applyFill="1" applyBorder="1" applyAlignment="1">
      <alignment horizontal="center" vertical="center"/>
    </xf>
    <xf numFmtId="0" fontId="53" fillId="38" borderId="8" xfId="3" applyFont="1" applyBorder="1" applyAlignment="1">
      <alignment horizontal="left" vertical="center"/>
    </xf>
    <xf numFmtId="0" fontId="53" fillId="38" borderId="0" xfId="3" applyFont="1" applyBorder="1" applyAlignment="1">
      <alignment horizontal="left" vertical="center"/>
    </xf>
    <xf numFmtId="0" fontId="55" fillId="33" borderId="14" xfId="0" applyFont="1" applyFill="1" applyBorder="1" applyAlignment="1">
      <alignment horizontal="center" vertical="center"/>
    </xf>
    <xf numFmtId="0" fontId="56" fillId="0" borderId="0" xfId="0" applyFont="1" applyBorder="1"/>
    <xf numFmtId="0" fontId="55" fillId="33" borderId="8" xfId="0" applyFont="1" applyFill="1" applyBorder="1" applyAlignment="1">
      <alignment horizontal="center" vertical="center"/>
    </xf>
    <xf numFmtId="0" fontId="54" fillId="6" borderId="14" xfId="0" applyFont="1" applyFill="1" applyBorder="1" applyAlignment="1">
      <alignment horizontal="center"/>
    </xf>
    <xf numFmtId="0" fontId="55" fillId="33" borderId="0" xfId="0" applyFont="1" applyFill="1" applyBorder="1" applyAlignment="1">
      <alignment horizontal="center" vertical="center"/>
    </xf>
    <xf numFmtId="0" fontId="53" fillId="38" borderId="14" xfId="3" applyFont="1" applyBorder="1" applyAlignment="1">
      <alignment horizontal="left" vertical="center"/>
    </xf>
    <xf numFmtId="0" fontId="24" fillId="0" borderId="9" xfId="0" applyFont="1" applyBorder="1" applyAlignment="1">
      <alignment horizontal="center"/>
    </xf>
    <xf numFmtId="0" fontId="57" fillId="0" borderId="9" xfId="0" applyFont="1" applyBorder="1" applyAlignment="1">
      <alignment horizontal="left"/>
    </xf>
    <xf numFmtId="0" fontId="57" fillId="0" borderId="8" xfId="0" applyFont="1" applyBorder="1" applyAlignment="1">
      <alignment horizontal="left"/>
    </xf>
    <xf numFmtId="0" fontId="58" fillId="40" borderId="20" xfId="0" applyFont="1" applyFill="1" applyBorder="1" applyAlignment="1">
      <alignment horizontal="center" vertical="center"/>
    </xf>
    <xf numFmtId="0" fontId="59" fillId="41" borderId="20" xfId="0" applyFon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0" fillId="39" borderId="20" xfId="0" applyFont="1" applyFill="1" applyBorder="1" applyAlignment="1">
      <alignment horizontal="center" vertical="center" wrapText="1"/>
    </xf>
    <xf numFmtId="0" fontId="54" fillId="6" borderId="8" xfId="0" applyFont="1" applyFill="1" applyBorder="1" applyAlignment="1">
      <alignment horizontal="center"/>
    </xf>
    <xf numFmtId="0" fontId="0" fillId="0" borderId="8" xfId="0" applyBorder="1"/>
    <xf numFmtId="0" fontId="7" fillId="0" borderId="0" xfId="0" applyFont="1" applyBorder="1" applyAlignment="1">
      <alignment horizontal="left" vertical="center"/>
    </xf>
    <xf numFmtId="0" fontId="53" fillId="0" borderId="0" xfId="0" applyFont="1" applyBorder="1" applyAlignment="1">
      <alignment horizontal="left" vertical="center"/>
    </xf>
    <xf numFmtId="0" fontId="58" fillId="0" borderId="20" xfId="0" applyFont="1" applyBorder="1" applyAlignment="1">
      <alignment horizontal="center" vertical="center"/>
    </xf>
    <xf numFmtId="0" fontId="58" fillId="0" borderId="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/>
    </xf>
    <xf numFmtId="0" fontId="7" fillId="0" borderId="12" xfId="0" applyFont="1" applyBorder="1" applyAlignment="1">
      <alignment horizontal="left"/>
    </xf>
    <xf numFmtId="2" fontId="7" fillId="0" borderId="12" xfId="0" applyNumberFormat="1" applyFont="1" applyBorder="1" applyAlignment="1">
      <alignment horizontal="right"/>
    </xf>
    <xf numFmtId="0" fontId="7" fillId="0" borderId="8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53" fillId="0" borderId="8" xfId="0" applyFont="1" applyBorder="1" applyAlignment="1">
      <alignment horizontal="left" vertical="center"/>
    </xf>
    <xf numFmtId="0" fontId="53" fillId="0" borderId="10" xfId="0" applyFont="1" applyBorder="1" applyAlignment="1">
      <alignment horizontal="left" vertical="center"/>
    </xf>
    <xf numFmtId="0" fontId="54" fillId="6" borderId="0" xfId="0" applyFont="1" applyFill="1" applyBorder="1" applyAlignment="1">
      <alignment horizontal="center"/>
    </xf>
    <xf numFmtId="0" fontId="53" fillId="0" borderId="14" xfId="0" applyFont="1" applyBorder="1" applyAlignment="1">
      <alignment horizontal="left" vertical="center"/>
    </xf>
    <xf numFmtId="0" fontId="24" fillId="0" borderId="0" xfId="0" applyFont="1" applyBorder="1"/>
    <xf numFmtId="0" fontId="0" fillId="0" borderId="12" xfId="0" applyBorder="1"/>
    <xf numFmtId="0" fontId="0" fillId="0" borderId="11" xfId="0" applyBorder="1"/>
    <xf numFmtId="0" fontId="4" fillId="4" borderId="12" xfId="0" applyFont="1" applyFill="1" applyBorder="1" applyAlignment="1">
      <alignment horizontal="center" vertical="center"/>
    </xf>
    <xf numFmtId="0" fontId="29" fillId="4" borderId="12" xfId="0" applyFont="1" applyFill="1" applyBorder="1" applyAlignment="1">
      <alignment horizontal="center" vertical="center"/>
    </xf>
    <xf numFmtId="0" fontId="0" fillId="0" borderId="9" xfId="0" applyBorder="1"/>
    <xf numFmtId="0" fontId="64" fillId="0" borderId="0" xfId="0" applyFont="1" applyBorder="1"/>
    <xf numFmtId="0" fontId="65" fillId="0" borderId="0" xfId="0" applyFont="1" applyBorder="1"/>
    <xf numFmtId="0" fontId="63" fillId="44" borderId="21" xfId="0" applyFont="1" applyFill="1" applyBorder="1" applyAlignment="1">
      <alignment horizontal="center" vertical="center"/>
    </xf>
    <xf numFmtId="1" fontId="7" fillId="0" borderId="21" xfId="0" applyNumberFormat="1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3" fontId="7" fillId="0" borderId="21" xfId="0" applyNumberFormat="1" applyFont="1" applyBorder="1" applyAlignment="1">
      <alignment horizontal="right"/>
    </xf>
    <xf numFmtId="10" fontId="7" fillId="0" borderId="21" xfId="0" applyNumberFormat="1" applyFont="1" applyBorder="1" applyAlignment="1">
      <alignment horizontal="right"/>
    </xf>
    <xf numFmtId="0" fontId="7" fillId="0" borderId="21" xfId="0" applyFont="1" applyBorder="1" applyAlignment="1">
      <alignment horizontal="left"/>
    </xf>
    <xf numFmtId="3" fontId="63" fillId="42" borderId="0" xfId="0" applyNumberFormat="1" applyFont="1" applyFill="1" applyBorder="1" applyAlignment="1">
      <alignment horizontal="right"/>
    </xf>
    <xf numFmtId="10" fontId="63" fillId="42" borderId="0" xfId="0" applyNumberFormat="1" applyFont="1" applyFill="1" applyBorder="1" applyAlignment="1">
      <alignment horizontal="right"/>
    </xf>
    <xf numFmtId="0" fontId="8" fillId="46" borderId="21" xfId="0" applyFont="1" applyFill="1" applyBorder="1" applyAlignment="1">
      <alignment horizontal="center"/>
    </xf>
    <xf numFmtId="1" fontId="8" fillId="46" borderId="21" xfId="0" applyNumberFormat="1" applyFont="1" applyFill="1" applyBorder="1" applyAlignment="1">
      <alignment horizontal="center"/>
    </xf>
    <xf numFmtId="0" fontId="8" fillId="46" borderId="21" xfId="0" applyFont="1" applyFill="1" applyBorder="1" applyAlignment="1">
      <alignment horizontal="left"/>
    </xf>
    <xf numFmtId="3" fontId="8" fillId="46" borderId="21" xfId="0" applyNumberFormat="1" applyFont="1" applyFill="1" applyBorder="1" applyAlignment="1">
      <alignment horizontal="right"/>
    </xf>
    <xf numFmtId="10" fontId="8" fillId="46" borderId="21" xfId="0" applyNumberFormat="1" applyFont="1" applyFill="1" applyBorder="1" applyAlignment="1">
      <alignment horizontal="right"/>
    </xf>
    <xf numFmtId="3" fontId="8" fillId="45" borderId="21" xfId="0" applyNumberFormat="1" applyFont="1" applyFill="1" applyBorder="1" applyAlignment="1">
      <alignment horizontal="right"/>
    </xf>
    <xf numFmtId="10" fontId="8" fillId="45" borderId="21" xfId="0" applyNumberFormat="1" applyFont="1" applyFill="1" applyBorder="1" applyAlignment="1">
      <alignment horizontal="right"/>
    </xf>
    <xf numFmtId="0" fontId="63" fillId="42" borderId="0" xfId="0" applyFont="1" applyFill="1" applyBorder="1" applyAlignment="1">
      <alignment horizontal="center" vertical="center" wrapText="1"/>
    </xf>
    <xf numFmtId="0" fontId="63" fillId="42" borderId="0" xfId="0" applyFont="1" applyFill="1" applyBorder="1" applyAlignment="1">
      <alignment horizontal="center"/>
    </xf>
    <xf numFmtId="0" fontId="8" fillId="45" borderId="21" xfId="0" applyFont="1" applyFill="1" applyBorder="1" applyAlignment="1">
      <alignment horizontal="center"/>
    </xf>
    <xf numFmtId="0" fontId="68" fillId="0" borderId="22" xfId="0" applyFont="1" applyAlignment="1">
      <alignment horizontal="center" vertical="center"/>
    </xf>
    <xf numFmtId="165" fontId="69" fillId="0" borderId="22" xfId="0" applyNumberFormat="1" applyFont="1" applyAlignment="1">
      <alignment horizontal="center" vertical="center"/>
    </xf>
    <xf numFmtId="0" fontId="70" fillId="0" borderId="22" xfId="0" applyFont="1" applyAlignment="1">
      <alignment horizontal="center" vertical="center"/>
    </xf>
    <xf numFmtId="0" fontId="71" fillId="0" borderId="22" xfId="0" applyFont="1"/>
    <xf numFmtId="0" fontId="76" fillId="49" borderId="24" xfId="0" applyFont="1" applyFill="1" applyBorder="1" applyAlignment="1">
      <alignment horizontal="left" vertical="center"/>
    </xf>
    <xf numFmtId="0" fontId="76" fillId="49" borderId="24" xfId="0" applyFont="1" applyFill="1" applyBorder="1" applyAlignment="1">
      <alignment horizontal="center" vertical="center"/>
    </xf>
    <xf numFmtId="0" fontId="76" fillId="49" borderId="24" xfId="0" applyFont="1" applyFill="1" applyBorder="1" applyAlignment="1">
      <alignment horizontal="right" vertical="center"/>
    </xf>
    <xf numFmtId="0" fontId="77" fillId="50" borderId="24" xfId="0" applyFont="1" applyFill="1" applyBorder="1" applyAlignment="1">
      <alignment horizontal="left" vertical="center"/>
    </xf>
    <xf numFmtId="0" fontId="77" fillId="50" borderId="24" xfId="0" applyFont="1" applyFill="1" applyBorder="1" applyAlignment="1">
      <alignment horizontal="center" vertical="center"/>
    </xf>
    <xf numFmtId="3" fontId="77" fillId="50" borderId="24" xfId="0" applyNumberFormat="1" applyFont="1" applyFill="1" applyBorder="1" applyAlignment="1">
      <alignment horizontal="right" vertical="center"/>
    </xf>
    <xf numFmtId="165" fontId="77" fillId="50" borderId="24" xfId="0" applyNumberFormat="1" applyFont="1" applyFill="1" applyBorder="1" applyAlignment="1">
      <alignment horizontal="right" vertical="center"/>
    </xf>
    <xf numFmtId="0" fontId="78" fillId="0" borderId="24" xfId="0" applyFont="1" applyBorder="1" applyAlignment="1">
      <alignment horizontal="left" vertical="center"/>
    </xf>
    <xf numFmtId="3" fontId="78" fillId="0" borderId="24" xfId="0" applyNumberFormat="1" applyFont="1" applyBorder="1" applyAlignment="1">
      <alignment horizontal="right" vertical="center"/>
    </xf>
    <xf numFmtId="165" fontId="78" fillId="0" borderId="24" xfId="0" applyNumberFormat="1" applyFont="1" applyBorder="1" applyAlignment="1">
      <alignment horizontal="right" vertical="center"/>
    </xf>
    <xf numFmtId="0" fontId="78" fillId="50" borderId="24" xfId="0" applyFont="1" applyFill="1" applyBorder="1" applyAlignment="1">
      <alignment horizontal="left" vertical="center"/>
    </xf>
    <xf numFmtId="0" fontId="78" fillId="50" borderId="24" xfId="0" applyFont="1" applyFill="1" applyBorder="1" applyAlignment="1">
      <alignment horizontal="center" vertical="center"/>
    </xf>
    <xf numFmtId="3" fontId="78" fillId="50" borderId="24" xfId="0" applyNumberFormat="1" applyFont="1" applyFill="1" applyBorder="1" applyAlignment="1">
      <alignment horizontal="right" vertical="center"/>
    </xf>
    <xf numFmtId="165" fontId="78" fillId="50" borderId="24" xfId="0" applyNumberFormat="1" applyFont="1" applyFill="1" applyBorder="1" applyAlignment="1">
      <alignment horizontal="right" vertical="center"/>
    </xf>
    <xf numFmtId="0" fontId="72" fillId="51" borderId="25" xfId="0" applyFont="1" applyFill="1" applyBorder="1" applyAlignment="1">
      <alignment horizontal="left" vertical="center"/>
    </xf>
    <xf numFmtId="0" fontId="72" fillId="51" borderId="25" xfId="0" applyFont="1" applyFill="1" applyBorder="1" applyAlignment="1">
      <alignment horizontal="center" vertical="center"/>
    </xf>
    <xf numFmtId="3" fontId="72" fillId="51" borderId="25" xfId="0" applyNumberFormat="1" applyFont="1" applyFill="1" applyBorder="1" applyAlignment="1">
      <alignment horizontal="right" vertical="center"/>
    </xf>
    <xf numFmtId="165" fontId="72" fillId="51" borderId="25" xfId="0" applyNumberFormat="1" applyFont="1" applyFill="1" applyBorder="1" applyAlignment="1">
      <alignment horizontal="right" vertical="center"/>
    </xf>
    <xf numFmtId="3" fontId="71" fillId="0" borderId="22" xfId="0" applyNumberFormat="1" applyFont="1"/>
    <xf numFmtId="165" fontId="71" fillId="0" borderId="22" xfId="0" applyNumberFormat="1" applyFont="1"/>
    <xf numFmtId="3" fontId="77" fillId="0" borderId="24" xfId="0" applyNumberFormat="1" applyFont="1" applyBorder="1" applyAlignment="1">
      <alignment horizontal="right" vertical="center"/>
    </xf>
    <xf numFmtId="165" fontId="77" fillId="0" borderId="24" xfId="0" applyNumberFormat="1" applyFont="1" applyBorder="1" applyAlignment="1">
      <alignment horizontal="right" vertical="center"/>
    </xf>
    <xf numFmtId="3" fontId="72" fillId="53" borderId="25" xfId="0" applyNumberFormat="1" applyFont="1" applyFill="1" applyBorder="1" applyAlignment="1">
      <alignment horizontal="right" vertical="center"/>
    </xf>
    <xf numFmtId="165" fontId="72" fillId="53" borderId="25" xfId="0" applyNumberFormat="1" applyFont="1" applyFill="1" applyBorder="1" applyAlignment="1">
      <alignment horizontal="right" vertical="center"/>
    </xf>
    <xf numFmtId="3" fontId="76" fillId="49" borderId="24" xfId="0" applyNumberFormat="1" applyFont="1" applyFill="1" applyBorder="1" applyAlignment="1">
      <alignment horizontal="right" vertical="center"/>
    </xf>
    <xf numFmtId="165" fontId="76" fillId="49" borderId="24" xfId="0" applyNumberFormat="1" applyFont="1" applyFill="1" applyBorder="1" applyAlignment="1">
      <alignment horizontal="right" vertical="center"/>
    </xf>
    <xf numFmtId="165" fontId="78" fillId="5" borderId="24" xfId="0" applyNumberFormat="1" applyFont="1" applyFill="1" applyBorder="1" applyAlignment="1">
      <alignment horizontal="right" vertical="center"/>
    </xf>
    <xf numFmtId="165" fontId="78" fillId="6" borderId="24" xfId="0" applyNumberFormat="1" applyFont="1" applyFill="1" applyBorder="1" applyAlignment="1">
      <alignment horizontal="right" vertical="center"/>
    </xf>
    <xf numFmtId="165" fontId="78" fillId="4" borderId="24" xfId="0" applyNumberFormat="1" applyFont="1" applyFill="1" applyBorder="1" applyAlignment="1">
      <alignment horizontal="right" vertical="center"/>
    </xf>
    <xf numFmtId="0" fontId="77" fillId="51" borderId="24" xfId="0" applyFont="1" applyFill="1" applyBorder="1" applyAlignment="1">
      <alignment horizontal="center"/>
    </xf>
    <xf numFmtId="165" fontId="77" fillId="51" borderId="24" xfId="0" applyNumberFormat="1" applyFont="1" applyFill="1" applyBorder="1" applyAlignment="1">
      <alignment horizontal="right"/>
    </xf>
    <xf numFmtId="0" fontId="78" fillId="0" borderId="24" xfId="0" applyFont="1" applyBorder="1" applyAlignment="1">
      <alignment horizontal="center"/>
    </xf>
    <xf numFmtId="165" fontId="78" fillId="5" borderId="24" xfId="0" applyNumberFormat="1" applyFont="1" applyFill="1" applyBorder="1" applyAlignment="1">
      <alignment horizontal="right"/>
    </xf>
    <xf numFmtId="165" fontId="78" fillId="6" borderId="24" xfId="0" applyNumberFormat="1" applyFont="1" applyFill="1" applyBorder="1" applyAlignment="1">
      <alignment horizontal="right"/>
    </xf>
    <xf numFmtId="165" fontId="78" fillId="4" borderId="24" xfId="0" applyNumberFormat="1" applyFont="1" applyFill="1" applyBorder="1" applyAlignment="1">
      <alignment horizontal="right"/>
    </xf>
    <xf numFmtId="165" fontId="78" fillId="0" borderId="24" xfId="0" applyNumberFormat="1" applyFont="1" applyBorder="1" applyAlignment="1">
      <alignment horizontal="right"/>
    </xf>
    <xf numFmtId="3" fontId="78" fillId="0" borderId="24" xfId="0" applyNumberFormat="1" applyFont="1" applyBorder="1" applyAlignment="1">
      <alignment horizontal="center"/>
    </xf>
    <xf numFmtId="0" fontId="78" fillId="7" borderId="24" xfId="0" applyFont="1" applyFill="1" applyBorder="1" applyAlignment="1">
      <alignment horizontal="center"/>
    </xf>
    <xf numFmtId="165" fontId="78" fillId="7" borderId="24" xfId="0" applyNumberFormat="1" applyFont="1" applyFill="1" applyBorder="1" applyAlignment="1">
      <alignment horizontal="right"/>
    </xf>
    <xf numFmtId="3" fontId="78" fillId="7" borderId="24" xfId="0" applyNumberFormat="1" applyFont="1" applyFill="1" applyBorder="1" applyAlignment="1">
      <alignment horizontal="center"/>
    </xf>
    <xf numFmtId="0" fontId="0" fillId="0" borderId="22" xfId="0"/>
    <xf numFmtId="0" fontId="8" fillId="0" borderId="22" xfId="0" applyFont="1" applyAlignment="1">
      <alignment horizontal="center"/>
    </xf>
    <xf numFmtId="165" fontId="7" fillId="0" borderId="22" xfId="0" applyNumberFormat="1" applyFont="1" applyAlignment="1">
      <alignment horizontal="right"/>
    </xf>
    <xf numFmtId="165" fontId="8" fillId="0" borderId="22" xfId="0" applyNumberFormat="1" applyFont="1" applyAlignment="1">
      <alignment horizontal="right"/>
    </xf>
    <xf numFmtId="3" fontId="7" fillId="0" borderId="22" xfId="0" applyNumberFormat="1" applyFont="1" applyAlignment="1">
      <alignment horizontal="center"/>
    </xf>
    <xf numFmtId="3" fontId="8" fillId="0" borderId="22" xfId="0" applyNumberFormat="1" applyFont="1" applyAlignment="1">
      <alignment horizontal="center"/>
    </xf>
    <xf numFmtId="165" fontId="6" fillId="0" borderId="22" xfId="0" applyNumberFormat="1" applyFont="1" applyAlignment="1">
      <alignment horizontal="right"/>
    </xf>
    <xf numFmtId="165" fontId="9" fillId="0" borderId="22" xfId="0" applyNumberFormat="1" applyFont="1" applyAlignment="1">
      <alignment horizontal="right"/>
    </xf>
    <xf numFmtId="0" fontId="0" fillId="0" borderId="22" xfId="0" applyAlignment="1">
      <alignment horizontal="center"/>
    </xf>
    <xf numFmtId="0" fontId="5" fillId="0" borderId="22" xfId="0" applyFont="1" applyAlignment="1">
      <alignment horizontal="left" vertical="center" indent="1"/>
    </xf>
    <xf numFmtId="0" fontId="26" fillId="0" borderId="22" xfId="0" applyFont="1" applyAlignment="1">
      <alignment horizontal="center"/>
    </xf>
    <xf numFmtId="0" fontId="26" fillId="0" borderId="22" xfId="0" applyFont="1" applyAlignment="1">
      <alignment horizontal="left"/>
    </xf>
    <xf numFmtId="0" fontId="26" fillId="0" borderId="22" xfId="0" applyFont="1" applyAlignment="1">
      <alignment horizontal="right"/>
    </xf>
    <xf numFmtId="0" fontId="7" fillId="0" borderId="22" xfId="0" applyFont="1" applyAlignment="1">
      <alignment horizontal="center"/>
    </xf>
    <xf numFmtId="0" fontId="7" fillId="0" borderId="22" xfId="0" applyFont="1" applyAlignment="1">
      <alignment horizontal="left"/>
    </xf>
    <xf numFmtId="165" fontId="7" fillId="0" borderId="2" xfId="0" applyNumberFormat="1" applyFont="1" applyBorder="1"/>
    <xf numFmtId="165" fontId="7" fillId="11" borderId="2" xfId="0" applyNumberFormat="1" applyFont="1" applyFill="1" applyBorder="1"/>
    <xf numFmtId="165" fontId="8" fillId="12" borderId="3" xfId="0" applyNumberFormat="1" applyFont="1" applyFill="1" applyBorder="1"/>
    <xf numFmtId="165" fontId="7" fillId="0" borderId="6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right"/>
    </xf>
    <xf numFmtId="165" fontId="7" fillId="15" borderId="2" xfId="0" applyNumberFormat="1" applyFont="1" applyFill="1" applyBorder="1"/>
    <xf numFmtId="165" fontId="8" fillId="16" borderId="3" xfId="0" applyNumberFormat="1" applyFont="1" applyFill="1" applyBorder="1"/>
    <xf numFmtId="170" fontId="0" fillId="0" borderId="0" xfId="1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right" vertical="center"/>
    </xf>
    <xf numFmtId="165" fontId="7" fillId="0" borderId="8" xfId="0" applyNumberFormat="1" applyFont="1" applyBorder="1" applyAlignment="1">
      <alignment horizontal="left" vertical="center"/>
    </xf>
    <xf numFmtId="165" fontId="7" fillId="32" borderId="8" xfId="0" applyNumberFormat="1" applyFont="1" applyFill="1" applyBorder="1" applyAlignment="1">
      <alignment horizontal="right" vertical="center"/>
    </xf>
    <xf numFmtId="165" fontId="7" fillId="0" borderId="0" xfId="0" applyNumberFormat="1" applyFont="1" applyBorder="1" applyAlignment="1">
      <alignment horizontal="left" vertical="center"/>
    </xf>
    <xf numFmtId="165" fontId="7" fillId="32" borderId="0" xfId="0" applyNumberFormat="1" applyFont="1" applyFill="1" applyBorder="1" applyAlignment="1">
      <alignment horizontal="right" vertical="center"/>
    </xf>
    <xf numFmtId="165" fontId="7" fillId="0" borderId="0" xfId="0" applyNumberFormat="1" applyFont="1" applyBorder="1" applyAlignment="1">
      <alignment horizontal="right" vertical="center"/>
    </xf>
    <xf numFmtId="165" fontId="7" fillId="0" borderId="10" xfId="0" applyNumberFormat="1" applyFont="1" applyBorder="1" applyAlignment="1">
      <alignment horizontal="right" vertical="center"/>
    </xf>
    <xf numFmtId="165" fontId="7" fillId="0" borderId="19" xfId="0" applyNumberFormat="1" applyFont="1" applyBorder="1" applyAlignment="1">
      <alignment horizontal="left" vertical="center"/>
    </xf>
    <xf numFmtId="165" fontId="7" fillId="32" borderId="14" xfId="0" applyNumberFormat="1" applyFont="1" applyFill="1" applyBorder="1" applyAlignment="1">
      <alignment horizontal="right" vertical="center"/>
    </xf>
    <xf numFmtId="165" fontId="7" fillId="0" borderId="14" xfId="0" applyNumberFormat="1" applyFont="1" applyBorder="1" applyAlignment="1">
      <alignment horizontal="right" vertical="center"/>
    </xf>
    <xf numFmtId="165" fontId="8" fillId="30" borderId="16" xfId="0" applyNumberFormat="1" applyFont="1" applyFill="1" applyBorder="1"/>
    <xf numFmtId="165" fontId="8" fillId="30" borderId="16" xfId="0" applyNumberFormat="1" applyFont="1" applyFill="1" applyBorder="1" applyAlignment="1">
      <alignment horizontal="left"/>
    </xf>
    <xf numFmtId="165" fontId="7" fillId="36" borderId="14" xfId="0" applyNumberFormat="1" applyFont="1" applyFill="1" applyBorder="1" applyAlignment="1">
      <alignment horizontal="right" vertical="center"/>
    </xf>
    <xf numFmtId="165" fontId="7" fillId="32" borderId="19" xfId="0" applyNumberFormat="1" applyFont="1" applyFill="1" applyBorder="1" applyAlignment="1">
      <alignment horizontal="left" vertical="center"/>
    </xf>
    <xf numFmtId="165" fontId="7" fillId="35" borderId="14" xfId="0" applyNumberFormat="1" applyFont="1" applyFill="1" applyBorder="1" applyAlignment="1">
      <alignment horizontal="right" vertical="center"/>
    </xf>
    <xf numFmtId="165" fontId="7" fillId="0" borderId="5" xfId="0" applyNumberFormat="1" applyFont="1" applyBorder="1" applyAlignment="1">
      <alignment horizontal="right"/>
    </xf>
    <xf numFmtId="165" fontId="7" fillId="0" borderId="0" xfId="0" applyNumberFormat="1" applyFont="1" applyBorder="1" applyAlignment="1">
      <alignment horizontal="right"/>
    </xf>
    <xf numFmtId="165" fontId="7" fillId="0" borderId="12" xfId="0" applyNumberFormat="1" applyFont="1" applyBorder="1" applyAlignment="1">
      <alignment horizontal="right"/>
    </xf>
    <xf numFmtId="0" fontId="0" fillId="0" borderId="0" xfId="0" applyBorder="1"/>
    <xf numFmtId="0" fontId="72" fillId="53" borderId="25" xfId="0" applyFont="1" applyFill="1" applyBorder="1" applyAlignment="1">
      <alignment horizontal="left" vertical="center"/>
    </xf>
    <xf numFmtId="165" fontId="14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17" fillId="14" borderId="2" xfId="0" applyFont="1" applyFill="1" applyBorder="1" applyAlignment="1">
      <alignment horizontal="center" vertical="center"/>
    </xf>
    <xf numFmtId="165" fontId="18" fillId="14" borderId="2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78" fillId="0" borderId="24" xfId="0" applyFont="1" applyBorder="1" applyAlignment="1">
      <alignment horizontal="center" vertical="center"/>
    </xf>
    <xf numFmtId="166" fontId="77" fillId="50" borderId="24" xfId="0" applyNumberFormat="1" applyFont="1" applyFill="1" applyBorder="1" applyAlignment="1">
      <alignment horizontal="right" vertical="center"/>
    </xf>
    <xf numFmtId="166" fontId="78" fillId="0" borderId="24" xfId="0" applyNumberFormat="1" applyFont="1" applyBorder="1" applyAlignment="1">
      <alignment horizontal="right" vertical="center"/>
    </xf>
    <xf numFmtId="166" fontId="78" fillId="50" borderId="24" xfId="0" applyNumberFormat="1" applyFont="1" applyFill="1" applyBorder="1" applyAlignment="1">
      <alignment horizontal="right" vertical="center"/>
    </xf>
    <xf numFmtId="166" fontId="72" fillId="51" borderId="25" xfId="0" applyNumberFormat="1" applyFont="1" applyFill="1" applyBorder="1" applyAlignment="1">
      <alignment horizontal="right" vertical="center"/>
    </xf>
    <xf numFmtId="166" fontId="71" fillId="0" borderId="22" xfId="0" applyNumberFormat="1" applyFont="1"/>
    <xf numFmtId="166" fontId="77" fillId="0" borderId="24" xfId="0" applyNumberFormat="1" applyFont="1" applyBorder="1" applyAlignment="1">
      <alignment horizontal="right" vertical="center"/>
    </xf>
    <xf numFmtId="166" fontId="72" fillId="53" borderId="25" xfId="0" applyNumberFormat="1" applyFont="1" applyFill="1" applyBorder="1" applyAlignment="1">
      <alignment horizontal="right" vertical="center"/>
    </xf>
    <xf numFmtId="166" fontId="76" fillId="49" borderId="24" xfId="0" applyNumberFormat="1" applyFont="1" applyFill="1" applyBorder="1" applyAlignment="1">
      <alignment horizontal="right" vertical="center"/>
    </xf>
    <xf numFmtId="166" fontId="77" fillId="51" borderId="24" xfId="0" applyNumberFormat="1" applyFont="1" applyFill="1" applyBorder="1" applyAlignment="1">
      <alignment horizontal="right"/>
    </xf>
    <xf numFmtId="167" fontId="77" fillId="51" borderId="24" xfId="0" applyNumberFormat="1" applyFont="1" applyFill="1" applyBorder="1" applyAlignment="1">
      <alignment horizontal="center"/>
    </xf>
    <xf numFmtId="166" fontId="78" fillId="0" borderId="24" xfId="0" applyNumberFormat="1" applyFont="1" applyBorder="1" applyAlignment="1">
      <alignment horizontal="right"/>
    </xf>
    <xf numFmtId="166" fontId="78" fillId="7" borderId="24" xfId="0" applyNumberFormat="1" applyFont="1" applyFill="1" applyBorder="1" applyAlignment="1">
      <alignment horizontal="right"/>
    </xf>
    <xf numFmtId="166" fontId="7" fillId="0" borderId="22" xfId="0" applyNumberFormat="1" applyFont="1" applyAlignment="1">
      <alignment horizontal="right"/>
    </xf>
    <xf numFmtId="166" fontId="6" fillId="0" borderId="22" xfId="0" applyNumberFormat="1" applyFont="1" applyAlignment="1">
      <alignment horizontal="right"/>
    </xf>
    <xf numFmtId="166" fontId="9" fillId="0" borderId="22" xfId="0" applyNumberFormat="1" applyFont="1" applyAlignment="1">
      <alignment horizontal="right"/>
    </xf>
    <xf numFmtId="166" fontId="8" fillId="0" borderId="22" xfId="0" applyNumberFormat="1" applyFont="1" applyAlignment="1">
      <alignment horizontal="right"/>
    </xf>
    <xf numFmtId="167" fontId="7" fillId="0" borderId="22" xfId="0" applyNumberFormat="1" applyFont="1" applyAlignment="1">
      <alignment horizontal="center"/>
    </xf>
    <xf numFmtId="168" fontId="7" fillId="0" borderId="21" xfId="0" applyNumberFormat="1" applyFont="1" applyBorder="1" applyAlignment="1">
      <alignment horizontal="right"/>
    </xf>
    <xf numFmtId="168" fontId="63" fillId="42" borderId="0" xfId="0" applyNumberFormat="1" applyFont="1" applyFill="1" applyBorder="1" applyAlignment="1">
      <alignment horizontal="right"/>
    </xf>
    <xf numFmtId="168" fontId="8" fillId="46" borderId="21" xfId="0" applyNumberFormat="1" applyFont="1" applyFill="1" applyBorder="1" applyAlignment="1">
      <alignment horizontal="right"/>
    </xf>
    <xf numFmtId="168" fontId="8" fillId="45" borderId="21" xfId="0" applyNumberFormat="1" applyFont="1" applyFill="1" applyBorder="1" applyAlignment="1">
      <alignment horizontal="right"/>
    </xf>
    <xf numFmtId="169" fontId="14" fillId="10" borderId="2" xfId="0" applyNumberFormat="1" applyFont="1" applyFill="1" applyBorder="1" applyAlignment="1">
      <alignment horizontal="center" vertical="center"/>
    </xf>
    <xf numFmtId="166" fontId="14" fillId="10" borderId="2" xfId="0" applyNumberFormat="1" applyFont="1" applyFill="1" applyBorder="1" applyAlignment="1">
      <alignment horizontal="center" vertical="center"/>
    </xf>
    <xf numFmtId="166" fontId="7" fillId="0" borderId="2" xfId="0" applyNumberFormat="1" applyFont="1" applyBorder="1"/>
    <xf numFmtId="166" fontId="7" fillId="11" borderId="2" xfId="0" applyNumberFormat="1" applyFont="1" applyFill="1" applyBorder="1"/>
    <xf numFmtId="166" fontId="8" fillId="12" borderId="3" xfId="0" applyNumberFormat="1" applyFont="1" applyFill="1" applyBorder="1"/>
    <xf numFmtId="169" fontId="18" fillId="14" borderId="2" xfId="0" applyNumberFormat="1" applyFont="1" applyFill="1" applyBorder="1" applyAlignment="1">
      <alignment horizontal="center" vertical="center"/>
    </xf>
    <xf numFmtId="166" fontId="18" fillId="14" borderId="2" xfId="0" applyNumberFormat="1" applyFont="1" applyFill="1" applyBorder="1" applyAlignment="1">
      <alignment horizontal="center" vertical="center"/>
    </xf>
    <xf numFmtId="166" fontId="7" fillId="15" borderId="2" xfId="0" applyNumberFormat="1" applyFont="1" applyFill="1" applyBorder="1"/>
    <xf numFmtId="166" fontId="8" fillId="16" borderId="3" xfId="0" applyNumberFormat="1" applyFont="1" applyFill="1" applyBorder="1"/>
    <xf numFmtId="164" fontId="7" fillId="0" borderId="21" xfId="0" applyNumberFormat="1" applyFont="1" applyBorder="1" applyAlignment="1">
      <alignment horizontal="right"/>
    </xf>
    <xf numFmtId="168" fontId="24" fillId="0" borderId="9" xfId="0" applyNumberFormat="1" applyFont="1" applyBorder="1" applyAlignment="1">
      <alignment horizontal="right"/>
    </xf>
    <xf numFmtId="168" fontId="24" fillId="0" borderId="8" xfId="0" applyNumberFormat="1" applyFont="1" applyBorder="1" applyAlignment="1">
      <alignment horizontal="right"/>
    </xf>
    <xf numFmtId="168" fontId="24" fillId="0" borderId="0" xfId="0" applyNumberFormat="1" applyFont="1" applyBorder="1" applyAlignment="1">
      <alignment horizontal="right"/>
    </xf>
    <xf numFmtId="168" fontId="24" fillId="0" borderId="10" xfId="0" applyNumberFormat="1" applyFont="1" applyBorder="1" applyAlignment="1">
      <alignment horizontal="right"/>
    </xf>
    <xf numFmtId="168" fontId="24" fillId="0" borderId="11" xfId="0" applyNumberFormat="1" applyFont="1" applyBorder="1" applyAlignment="1">
      <alignment horizontal="right"/>
    </xf>
    <xf numFmtId="168" fontId="24" fillId="0" borderId="12" xfId="0" applyNumberFormat="1" applyFont="1" applyBorder="1" applyAlignment="1">
      <alignment horizontal="right"/>
    </xf>
    <xf numFmtId="168" fontId="24" fillId="0" borderId="14" xfId="0" applyNumberFormat="1" applyFont="1" applyBorder="1" applyAlignment="1">
      <alignment horizontal="right"/>
    </xf>
    <xf numFmtId="1" fontId="24" fillId="54" borderId="29" xfId="0" applyNumberFormat="1" applyFont="1" applyFill="1" applyBorder="1" applyAlignment="1">
      <alignment horizontal="center" vertical="center"/>
    </xf>
    <xf numFmtId="0" fontId="79" fillId="54" borderId="29" xfId="0" applyFont="1" applyFill="1" applyBorder="1" applyAlignment="1">
      <alignment horizontal="left" vertical="center"/>
    </xf>
    <xf numFmtId="0" fontId="24" fillId="54" borderId="29" xfId="0" applyFont="1" applyFill="1" applyBorder="1" applyAlignment="1">
      <alignment horizontal="left" vertical="center"/>
    </xf>
    <xf numFmtId="2" fontId="24" fillId="54" borderId="29" xfId="0" applyNumberFormat="1" applyFont="1" applyFill="1" applyBorder="1" applyAlignment="1">
      <alignment horizontal="right" vertical="center"/>
    </xf>
    <xf numFmtId="168" fontId="24" fillId="54" borderId="29" xfId="0" applyNumberFormat="1" applyFont="1" applyFill="1" applyBorder="1" applyAlignment="1">
      <alignment horizontal="right" vertical="center"/>
    </xf>
    <xf numFmtId="168" fontId="79" fillId="54" borderId="29" xfId="0" applyNumberFormat="1" applyFont="1" applyFill="1" applyBorder="1" applyAlignment="1">
      <alignment horizontal="right" vertical="center"/>
    </xf>
    <xf numFmtId="0" fontId="24" fillId="54" borderId="29" xfId="0" applyFont="1" applyFill="1" applyBorder="1" applyAlignment="1">
      <alignment horizontal="center" vertical="center"/>
    </xf>
    <xf numFmtId="0" fontId="79" fillId="54" borderId="29" xfId="0" applyFont="1" applyFill="1" applyBorder="1" applyAlignment="1">
      <alignment horizontal="center" vertical="center"/>
    </xf>
    <xf numFmtId="1" fontId="24" fillId="55" borderId="29" xfId="0" applyNumberFormat="1" applyFont="1" applyFill="1" applyBorder="1" applyAlignment="1">
      <alignment horizontal="center" vertical="center"/>
    </xf>
    <xf numFmtId="0" fontId="79" fillId="55" borderId="29" xfId="0" applyFont="1" applyFill="1" applyBorder="1" applyAlignment="1">
      <alignment horizontal="left" vertical="center"/>
    </xf>
    <xf numFmtId="0" fontId="24" fillId="55" borderId="29" xfId="0" applyFont="1" applyFill="1" applyBorder="1" applyAlignment="1">
      <alignment horizontal="left" vertical="center"/>
    </xf>
    <xf numFmtId="2" fontId="24" fillId="55" borderId="29" xfId="0" applyNumberFormat="1" applyFont="1" applyFill="1" applyBorder="1" applyAlignment="1">
      <alignment horizontal="right" vertical="center"/>
    </xf>
    <xf numFmtId="168" fontId="24" fillId="55" borderId="29" xfId="0" applyNumberFormat="1" applyFont="1" applyFill="1" applyBorder="1" applyAlignment="1">
      <alignment horizontal="right" vertical="center"/>
    </xf>
    <xf numFmtId="168" fontId="79" fillId="55" borderId="29" xfId="0" applyNumberFormat="1" applyFont="1" applyFill="1" applyBorder="1" applyAlignment="1">
      <alignment horizontal="right" vertical="center"/>
    </xf>
    <xf numFmtId="0" fontId="24" fillId="55" borderId="29" xfId="0" applyFont="1" applyFill="1" applyBorder="1" applyAlignment="1">
      <alignment horizontal="center" vertical="center"/>
    </xf>
    <xf numFmtId="0" fontId="79" fillId="55" borderId="29" xfId="0" applyFont="1" applyFill="1" applyBorder="1" applyAlignment="1">
      <alignment horizontal="center" vertical="center"/>
    </xf>
    <xf numFmtId="168" fontId="30" fillId="4" borderId="12" xfId="0" applyNumberFormat="1" applyFont="1" applyFill="1" applyBorder="1" applyAlignment="1">
      <alignment horizontal="center" vertical="center"/>
    </xf>
    <xf numFmtId="168" fontId="32" fillId="4" borderId="12" xfId="0" applyNumberFormat="1" applyFont="1" applyFill="1" applyBorder="1" applyAlignment="1">
      <alignment horizontal="center" vertical="center"/>
    </xf>
    <xf numFmtId="168" fontId="36" fillId="4" borderId="12" xfId="0" applyNumberFormat="1" applyFont="1" applyFill="1" applyBorder="1" applyAlignment="1">
      <alignment horizontal="center" vertical="center"/>
    </xf>
    <xf numFmtId="168" fontId="25" fillId="21" borderId="13" xfId="0" applyNumberFormat="1" applyFont="1" applyFill="1" applyBorder="1" applyAlignment="1">
      <alignment horizontal="right"/>
    </xf>
    <xf numFmtId="168" fontId="0" fillId="0" borderId="0" xfId="0" applyNumberFormat="1" applyBorder="1"/>
    <xf numFmtId="44" fontId="1" fillId="0" borderId="9" xfId="1" applyBorder="1"/>
    <xf numFmtId="44" fontId="0" fillId="0" borderId="0" xfId="0" applyNumberFormat="1" applyBorder="1"/>
    <xf numFmtId="0" fontId="61" fillId="0" borderId="29" xfId="0" applyFont="1" applyBorder="1" applyAlignment="1">
      <alignment horizontal="center" vertical="center"/>
    </xf>
    <xf numFmtId="0" fontId="61" fillId="0" borderId="29" xfId="0" applyFont="1" applyBorder="1" applyAlignment="1">
      <alignment horizontal="left" vertical="center"/>
    </xf>
    <xf numFmtId="4" fontId="61" fillId="0" borderId="29" xfId="0" applyNumberFormat="1" applyFont="1" applyBorder="1" applyAlignment="1">
      <alignment horizontal="left" vertical="center"/>
    </xf>
    <xf numFmtId="2" fontId="61" fillId="0" borderId="29" xfId="0" applyNumberFormat="1" applyFont="1" applyBorder="1" applyAlignment="1">
      <alignment horizontal="right" vertical="center"/>
    </xf>
    <xf numFmtId="168" fontId="61" fillId="0" borderId="29" xfId="0" applyNumberFormat="1" applyFont="1" applyBorder="1" applyAlignment="1">
      <alignment horizontal="right" vertical="center"/>
    </xf>
    <xf numFmtId="1" fontId="61" fillId="0" borderId="30" xfId="0" applyNumberFormat="1" applyFont="1" applyBorder="1" applyAlignment="1">
      <alignment horizontal="center"/>
    </xf>
    <xf numFmtId="0" fontId="62" fillId="56" borderId="29" xfId="0" applyFont="1" applyFill="1" applyBorder="1" applyAlignment="1">
      <alignment horizontal="left" vertical="center"/>
    </xf>
    <xf numFmtId="0" fontId="62" fillId="56" borderId="29" xfId="0" applyFont="1" applyFill="1" applyBorder="1"/>
    <xf numFmtId="2" fontId="62" fillId="56" borderId="29" xfId="0" applyNumberFormat="1" applyFont="1" applyFill="1" applyBorder="1" applyAlignment="1">
      <alignment horizontal="right" vertical="center"/>
    </xf>
    <xf numFmtId="168" fontId="62" fillId="56" borderId="29" xfId="0" applyNumberFormat="1" applyFont="1" applyFill="1" applyBorder="1" applyAlignment="1">
      <alignment horizontal="right" vertical="center"/>
    </xf>
    <xf numFmtId="0" fontId="62" fillId="56" borderId="29" xfId="0" applyFont="1" applyFill="1" applyBorder="1" applyAlignment="1">
      <alignment horizontal="center" vertical="center"/>
    </xf>
    <xf numFmtId="4" fontId="62" fillId="56" borderId="29" xfId="0" applyNumberFormat="1" applyFont="1" applyFill="1" applyBorder="1" applyAlignment="1">
      <alignment horizontal="left" vertical="center"/>
    </xf>
    <xf numFmtId="0" fontId="61" fillId="0" borderId="30" xfId="0" applyFont="1" applyBorder="1"/>
    <xf numFmtId="165" fontId="61" fillId="0" borderId="29" xfId="0" applyNumberFormat="1" applyFont="1" applyBorder="1" applyAlignment="1">
      <alignment horizontal="left" vertical="center"/>
    </xf>
    <xf numFmtId="2" fontId="62" fillId="56" borderId="29" xfId="0" applyNumberFormat="1" applyFont="1" applyFill="1" applyBorder="1"/>
    <xf numFmtId="168" fontId="62" fillId="56" borderId="29" xfId="0" applyNumberFormat="1" applyFont="1" applyFill="1" applyBorder="1"/>
    <xf numFmtId="0" fontId="80" fillId="57" borderId="29" xfId="0" applyFont="1" applyFill="1" applyBorder="1"/>
    <xf numFmtId="2" fontId="80" fillId="57" borderId="29" xfId="0" applyNumberFormat="1" applyFont="1" applyFill="1" applyBorder="1"/>
    <xf numFmtId="168" fontId="80" fillId="57" borderId="29" xfId="0" applyNumberFormat="1" applyFont="1" applyFill="1" applyBorder="1"/>
    <xf numFmtId="1" fontId="61" fillId="0" borderId="29" xfId="0" applyNumberFormat="1" applyFont="1" applyBorder="1" applyAlignment="1">
      <alignment horizontal="center" vertical="center"/>
    </xf>
    <xf numFmtId="1" fontId="61" fillId="0" borderId="29" xfId="0" applyNumberFormat="1" applyFont="1" applyBorder="1" applyAlignment="1">
      <alignment horizontal="right" vertical="center"/>
    </xf>
    <xf numFmtId="3" fontId="62" fillId="56" borderId="29" xfId="0" applyNumberFormat="1" applyFont="1" applyFill="1" applyBorder="1" applyAlignment="1">
      <alignment horizontal="center" vertical="center"/>
    </xf>
    <xf numFmtId="1" fontId="62" fillId="56" borderId="29" xfId="0" applyNumberFormat="1" applyFont="1" applyFill="1" applyBorder="1" applyAlignment="1">
      <alignment horizontal="right" vertical="center"/>
    </xf>
    <xf numFmtId="1" fontId="62" fillId="56" borderId="29" xfId="0" applyNumberFormat="1" applyFont="1" applyFill="1" applyBorder="1" applyAlignment="1">
      <alignment horizontal="center" vertical="center"/>
    </xf>
    <xf numFmtId="1" fontId="62" fillId="56" borderId="29" xfId="0" applyNumberFormat="1" applyFont="1" applyFill="1" applyBorder="1"/>
    <xf numFmtId="0" fontId="80" fillId="57" borderId="29" xfId="0" applyFont="1" applyFill="1" applyBorder="1" applyAlignment="1">
      <alignment horizontal="center" vertical="center"/>
    </xf>
    <xf numFmtId="1" fontId="80" fillId="57" borderId="29" xfId="0" applyNumberFormat="1" applyFont="1" applyFill="1" applyBorder="1"/>
    <xf numFmtId="0" fontId="72" fillId="47" borderId="23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7" fillId="0" borderId="24" xfId="0" applyFont="1" applyBorder="1" applyAlignment="1">
      <alignment horizontal="left" vertical="center"/>
    </xf>
    <xf numFmtId="0" fontId="0" fillId="0" borderId="1" xfId="0" applyBorder="1"/>
    <xf numFmtId="165" fontId="73" fillId="47" borderId="23" xfId="0" applyNumberFormat="1" applyFont="1" applyFill="1" applyBorder="1" applyAlignment="1">
      <alignment horizontal="center" vertical="center"/>
    </xf>
    <xf numFmtId="0" fontId="75" fillId="48" borderId="22" xfId="0" applyFont="1" applyFill="1" applyAlignment="1">
      <alignment horizontal="left" vertical="center"/>
    </xf>
    <xf numFmtId="0" fontId="0" fillId="0" borderId="0" xfId="0" applyBorder="1"/>
    <xf numFmtId="0" fontId="75" fillId="48" borderId="24" xfId="0" applyFont="1" applyFill="1" applyBorder="1" applyAlignment="1">
      <alignment horizontal="left" vertical="center"/>
    </xf>
    <xf numFmtId="0" fontId="0" fillId="0" borderId="7" xfId="0" applyBorder="1"/>
    <xf numFmtId="0" fontId="72" fillId="53" borderId="25" xfId="0" applyFont="1" applyFill="1" applyBorder="1" applyAlignment="1">
      <alignment horizontal="left" vertical="center"/>
    </xf>
    <xf numFmtId="0" fontId="0" fillId="0" borderId="26" xfId="0" applyBorder="1"/>
    <xf numFmtId="0" fontId="74" fillId="47" borderId="23" xfId="0" applyFont="1" applyFill="1" applyBorder="1" applyAlignment="1">
      <alignment horizontal="center" vertical="center"/>
    </xf>
    <xf numFmtId="0" fontId="3" fillId="3" borderId="22" xfId="0" applyFont="1" applyFill="1" applyAlignment="1">
      <alignment horizontal="center" vertical="center"/>
    </xf>
    <xf numFmtId="0" fontId="75" fillId="52" borderId="22" xfId="0" applyFont="1" applyFill="1" applyAlignment="1">
      <alignment horizontal="left" vertical="center"/>
    </xf>
    <xf numFmtId="0" fontId="2" fillId="2" borderId="22" xfId="0" applyFont="1" applyFill="1" applyAlignment="1">
      <alignment horizontal="center" vertical="center"/>
    </xf>
    <xf numFmtId="168" fontId="67" fillId="43" borderId="24" xfId="0" applyNumberFormat="1" applyFont="1" applyFill="1" applyBorder="1" applyAlignment="1">
      <alignment horizontal="center" vertical="center"/>
    </xf>
    <xf numFmtId="0" fontId="67" fillId="43" borderId="24" xfId="0" applyFont="1" applyFill="1" applyBorder="1" applyAlignment="1">
      <alignment horizontal="center" vertical="center"/>
    </xf>
    <xf numFmtId="0" fontId="66" fillId="43" borderId="24" xfId="0" applyFont="1" applyFill="1" applyBorder="1" applyAlignment="1">
      <alignment horizontal="center" vertical="center"/>
    </xf>
    <xf numFmtId="0" fontId="8" fillId="45" borderId="24" xfId="0" applyFont="1" applyFill="1" applyBorder="1" applyAlignment="1">
      <alignment horizontal="center"/>
    </xf>
    <xf numFmtId="0" fontId="63" fillId="42" borderId="22" xfId="0" applyFont="1" applyFill="1" applyAlignment="1">
      <alignment horizontal="center"/>
    </xf>
    <xf numFmtId="0" fontId="63" fillId="42" borderId="22" xfId="0" applyFont="1" applyFill="1" applyAlignment="1">
      <alignment horizontal="left" vertical="center"/>
    </xf>
    <xf numFmtId="3" fontId="67" fillId="43" borderId="24" xfId="0" applyNumberFormat="1" applyFont="1" applyFill="1" applyBorder="1" applyAlignment="1">
      <alignment horizontal="center" vertical="center"/>
    </xf>
    <xf numFmtId="0" fontId="23" fillId="18" borderId="22" xfId="0" applyFont="1" applyFill="1" applyAlignment="1">
      <alignment horizontal="left" vertical="center" indent="1"/>
    </xf>
    <xf numFmtId="0" fontId="15" fillId="0" borderId="22" xfId="0" applyFont="1"/>
    <xf numFmtId="171" fontId="14" fillId="10" borderId="2" xfId="0" applyNumberFormat="1" applyFont="1" applyFill="1" applyBorder="1" applyAlignment="1">
      <alignment horizontal="center" vertical="center"/>
    </xf>
    <xf numFmtId="0" fontId="0" fillId="0" borderId="4" xfId="0" applyBorder="1"/>
    <xf numFmtId="0" fontId="12" fillId="9" borderId="22" xfId="0" applyFont="1" applyFill="1" applyAlignment="1">
      <alignment horizontal="center" vertical="center"/>
    </xf>
    <xf numFmtId="0" fontId="11" fillId="9" borderId="22" xfId="0" applyFont="1" applyFill="1" applyAlignment="1">
      <alignment horizontal="center" vertical="center"/>
    </xf>
    <xf numFmtId="165" fontId="14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72" fontId="18" fillId="14" borderId="2" xfId="0" applyNumberFormat="1" applyFont="1" applyFill="1" applyBorder="1" applyAlignment="1">
      <alignment horizontal="center" vertical="center"/>
    </xf>
    <xf numFmtId="165" fontId="18" fillId="14" borderId="2" xfId="0" applyNumberFormat="1" applyFont="1" applyFill="1" applyBorder="1" applyAlignment="1">
      <alignment horizontal="center" vertical="center"/>
    </xf>
    <xf numFmtId="0" fontId="23" fillId="19" borderId="22" xfId="0" applyFont="1" applyFill="1" applyAlignment="1">
      <alignment horizontal="left" vertical="center" indent="1"/>
    </xf>
    <xf numFmtId="0" fontId="17" fillId="14" borderId="2" xfId="0" applyFont="1" applyFill="1" applyBorder="1" applyAlignment="1">
      <alignment horizontal="center" vertical="center"/>
    </xf>
    <xf numFmtId="0" fontId="19" fillId="0" borderId="22" xfId="0" applyFont="1"/>
    <xf numFmtId="0" fontId="11" fillId="13" borderId="22" xfId="0" applyFont="1" applyFill="1" applyAlignment="1">
      <alignment horizontal="center" vertical="center"/>
    </xf>
    <xf numFmtId="0" fontId="12" fillId="13" borderId="22" xfId="0" applyFont="1" applyFill="1" applyAlignment="1">
      <alignment horizontal="center" vertical="center"/>
    </xf>
    <xf numFmtId="168" fontId="28" fillId="4" borderId="24" xfId="0" applyNumberFormat="1" applyFont="1" applyFill="1" applyBorder="1" applyAlignment="1">
      <alignment horizontal="center" vertical="center"/>
    </xf>
    <xf numFmtId="0" fontId="22" fillId="0" borderId="22" xfId="0" applyFont="1" applyAlignment="1">
      <alignment horizontal="center" vertical="center"/>
    </xf>
    <xf numFmtId="168" fontId="32" fillId="4" borderId="24" xfId="0" applyNumberFormat="1" applyFont="1" applyFill="1" applyBorder="1" applyAlignment="1">
      <alignment horizontal="center" vertical="center"/>
    </xf>
    <xf numFmtId="0" fontId="29" fillId="4" borderId="24" xfId="0" applyFont="1" applyFill="1" applyBorder="1" applyAlignment="1">
      <alignment horizontal="center" vertical="center"/>
    </xf>
    <xf numFmtId="0" fontId="4" fillId="4" borderId="24" xfId="0" applyFont="1" applyFill="1" applyBorder="1" applyAlignment="1">
      <alignment horizontal="center" vertical="center"/>
    </xf>
    <xf numFmtId="0" fontId="23" fillId="22" borderId="22" xfId="0" applyFont="1" applyFill="1" applyAlignment="1">
      <alignment horizontal="left" vertical="center" indent="1"/>
    </xf>
    <xf numFmtId="168" fontId="31" fillId="4" borderId="24" xfId="0" applyNumberFormat="1" applyFont="1" applyFill="1" applyBorder="1" applyAlignment="1">
      <alignment horizontal="center" vertical="center"/>
    </xf>
    <xf numFmtId="0" fontId="27" fillId="19" borderId="22" xfId="0" applyFont="1" applyFill="1" applyAlignment="1">
      <alignment horizontal="center" vertical="center"/>
    </xf>
    <xf numFmtId="0" fontId="49" fillId="28" borderId="20" xfId="0" applyFont="1" applyFill="1" applyBorder="1" applyAlignment="1">
      <alignment horizontal="left" vertical="top" wrapText="1"/>
    </xf>
    <xf numFmtId="0" fontId="0" fillId="0" borderId="17" xfId="0" applyBorder="1"/>
    <xf numFmtId="165" fontId="40" fillId="29" borderId="20" xfId="0" applyNumberFormat="1" applyFont="1" applyFill="1" applyBorder="1" applyAlignment="1">
      <alignment horizontal="center" vertical="center"/>
    </xf>
    <xf numFmtId="0" fontId="41" fillId="29" borderId="20" xfId="0" applyFont="1" applyFill="1" applyBorder="1" applyAlignment="1">
      <alignment horizontal="center" vertical="center"/>
    </xf>
    <xf numFmtId="0" fontId="38" fillId="27" borderId="22" xfId="0" applyFont="1" applyFill="1" applyAlignment="1">
      <alignment horizontal="center" vertical="center"/>
    </xf>
    <xf numFmtId="0" fontId="0" fillId="0" borderId="9" xfId="0" applyBorder="1" applyAlignment="1">
      <alignment horizontal="left"/>
    </xf>
    <xf numFmtId="0" fontId="39" fillId="28" borderId="20" xfId="0" applyFont="1" applyFill="1" applyBorder="1" applyAlignment="1">
      <alignment horizontal="center" vertical="center"/>
    </xf>
    <xf numFmtId="0" fontId="7" fillId="0" borderId="20" xfId="0" applyFont="1" applyBorder="1" applyAlignment="1">
      <alignment horizontal="left" vertical="top" wrapText="1"/>
    </xf>
    <xf numFmtId="0" fontId="0" fillId="0" borderId="18" xfId="0" applyBorder="1"/>
    <xf numFmtId="0" fontId="42" fillId="30" borderId="22" xfId="0" applyFont="1" applyFill="1" applyAlignment="1">
      <alignment horizontal="left" vertical="center"/>
    </xf>
    <xf numFmtId="0" fontId="37" fillId="26" borderId="22" xfId="0" applyFont="1" applyFill="1" applyAlignment="1">
      <alignment horizontal="center" vertical="center"/>
    </xf>
    <xf numFmtId="3" fontId="40" fillId="29" borderId="20" xfId="0" applyNumberFormat="1" applyFont="1" applyFill="1" applyBorder="1" applyAlignment="1">
      <alignment horizontal="center" vertical="center"/>
    </xf>
  </cellXfs>
  <cellStyles count="4">
    <cellStyle name="Incorrecto" xfId="3" builtinId="27"/>
    <cellStyle name="Moneda" xfId="1" builtinId="4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0"/>
  <sheetViews>
    <sheetView tabSelected="1" zoomScale="130" zoomScaleNormal="130" workbookViewId="0">
      <selection activeCell="M37" sqref="M37"/>
    </sheetView>
  </sheetViews>
  <sheetFormatPr baseColWidth="10" defaultColWidth="8.7109375" defaultRowHeight="15"/>
  <cols>
    <col min="1" max="1" width="2" style="236" customWidth="1"/>
    <col min="2" max="2" width="27.140625" style="236" bestFit="1" customWidth="1"/>
    <col min="3" max="3" width="13" style="236" customWidth="1"/>
    <col min="4" max="4" width="10.7109375" style="236" customWidth="1"/>
    <col min="5" max="5" width="15" style="236" bestFit="1" customWidth="1"/>
    <col min="6" max="6" width="8.42578125" style="236" customWidth="1"/>
    <col min="7" max="7" width="13" style="236" bestFit="1" customWidth="1"/>
    <col min="8" max="8" width="13.42578125" style="236" customWidth="1"/>
    <col min="9" max="9" width="15.140625" style="236" customWidth="1"/>
    <col min="10" max="10" width="10.85546875" style="236" bestFit="1" customWidth="1"/>
    <col min="11" max="11" width="11" style="236" customWidth="1"/>
    <col min="12" max="12" width="14.42578125" style="236" customWidth="1"/>
    <col min="13" max="13" width="13.42578125" style="236" customWidth="1"/>
    <col min="14" max="14" width="13" style="236" customWidth="1"/>
    <col min="15" max="15" width="2" style="236" customWidth="1"/>
  </cols>
  <sheetData>
    <row r="1" spans="2:15" ht="8.1" customHeight="1"/>
    <row r="2" spans="2:15" ht="26.1" customHeight="1">
      <c r="B2" s="347" t="s">
        <v>0</v>
      </c>
      <c r="C2" s="339"/>
      <c r="D2" s="339"/>
      <c r="E2" s="339"/>
      <c r="F2" s="339"/>
      <c r="G2" s="339"/>
      <c r="H2" s="339"/>
      <c r="I2" s="339"/>
      <c r="J2" s="339"/>
      <c r="K2" s="339"/>
      <c r="L2" s="339"/>
      <c r="M2" s="339"/>
      <c r="N2" s="339"/>
    </row>
    <row r="3" spans="2:15" ht="18" customHeight="1">
      <c r="B3" s="345" t="s">
        <v>1</v>
      </c>
      <c r="C3" s="339"/>
      <c r="D3" s="339"/>
      <c r="E3" s="339"/>
      <c r="F3" s="339"/>
      <c r="G3" s="339"/>
      <c r="H3" s="339"/>
      <c r="I3" s="339"/>
      <c r="J3" s="339"/>
      <c r="K3" s="339"/>
      <c r="L3" s="339"/>
      <c r="M3" s="339"/>
      <c r="N3" s="339"/>
    </row>
    <row r="4" spans="2:15" ht="9.9499999999999993" customHeight="1"/>
    <row r="5" spans="2:15" ht="15.95" customHeight="1">
      <c r="B5" s="332" t="s">
        <v>2</v>
      </c>
      <c r="C5" s="333"/>
      <c r="D5" s="334"/>
      <c r="E5" s="332" t="s">
        <v>3</v>
      </c>
      <c r="F5" s="333"/>
      <c r="G5" s="334"/>
      <c r="H5" s="151"/>
      <c r="I5" s="332" t="s">
        <v>4</v>
      </c>
      <c r="J5" s="333"/>
      <c r="K5" s="334"/>
      <c r="L5" s="332" t="s">
        <v>5</v>
      </c>
      <c r="M5" s="333"/>
      <c r="N5" s="334"/>
    </row>
    <row r="6" spans="2:15" ht="24" customHeight="1">
      <c r="B6" s="337">
        <f>E23</f>
        <v>138171578.61000001</v>
      </c>
      <c r="C6" s="333"/>
      <c r="D6" s="334"/>
      <c r="E6" s="337">
        <f>E18</f>
        <v>80880632.900000006</v>
      </c>
      <c r="F6" s="333"/>
      <c r="G6" s="334"/>
      <c r="H6" s="152"/>
      <c r="I6" s="337">
        <f>L15</f>
        <v>57290945.710000001</v>
      </c>
      <c r="J6" s="333"/>
      <c r="K6" s="334"/>
      <c r="L6" s="337">
        <f>G23</f>
        <v>8635723.6631250009</v>
      </c>
      <c r="M6" s="333"/>
      <c r="N6" s="334"/>
    </row>
    <row r="7" spans="2:15" ht="14.1" customHeight="1">
      <c r="B7" s="344" t="s">
        <v>6</v>
      </c>
      <c r="C7" s="333"/>
      <c r="D7" s="334"/>
      <c r="E7" s="344" t="str">
        <f>CONCATENATE(TEXT(F21,"0.0%"), " del Total General")</f>
        <v>59% del Total General</v>
      </c>
      <c r="F7" s="333"/>
      <c r="G7" s="334"/>
      <c r="H7" s="153"/>
      <c r="I7" s="344" t="str">
        <f>CONCATENATE(TEXT(F22,"0.0%"), " del Total General")</f>
        <v>41% del Total General</v>
      </c>
      <c r="J7" s="333"/>
      <c r="K7" s="334"/>
      <c r="L7" s="344" t="s">
        <v>7</v>
      </c>
      <c r="M7" s="333"/>
      <c r="N7" s="334"/>
    </row>
    <row r="8" spans="2:15" ht="9.9499999999999993" customHeight="1"/>
    <row r="9" spans="2:15" ht="18" customHeight="1">
      <c r="B9" s="338" t="s">
        <v>8</v>
      </c>
      <c r="C9" s="339"/>
      <c r="D9" s="339"/>
      <c r="E9" s="339"/>
      <c r="F9" s="339"/>
      <c r="G9" s="339"/>
      <c r="H9" s="154"/>
      <c r="I9" s="346" t="s">
        <v>9</v>
      </c>
      <c r="J9" s="339"/>
      <c r="K9" s="339"/>
      <c r="L9" s="339"/>
      <c r="M9" s="339"/>
      <c r="N9" s="339"/>
      <c r="O9" s="154"/>
    </row>
    <row r="10" spans="2:15" ht="15.95" customHeight="1">
      <c r="B10" s="155" t="s">
        <v>10</v>
      </c>
      <c r="C10" s="156" t="s">
        <v>11</v>
      </c>
      <c r="D10" s="156" t="s">
        <v>12</v>
      </c>
      <c r="E10" s="157" t="s">
        <v>13</v>
      </c>
      <c r="F10" s="157" t="s">
        <v>14</v>
      </c>
      <c r="G10" s="157" t="s">
        <v>15</v>
      </c>
      <c r="H10" s="154"/>
      <c r="I10" s="155" t="s">
        <v>16</v>
      </c>
      <c r="J10" s="156" t="s">
        <v>11</v>
      </c>
      <c r="K10" s="156" t="s">
        <v>17</v>
      </c>
      <c r="L10" s="157" t="s">
        <v>13</v>
      </c>
      <c r="M10" s="157" t="s">
        <v>18</v>
      </c>
      <c r="N10" s="157" t="s">
        <v>15</v>
      </c>
      <c r="O10" s="154"/>
    </row>
    <row r="11" spans="2:15" ht="14.45" customHeight="1">
      <c r="B11" s="158" t="s">
        <v>19</v>
      </c>
      <c r="C11" s="159" t="s">
        <v>20</v>
      </c>
      <c r="D11" s="160">
        <f>COUNTIF('Detalle Compras Septiembre 2026'!$B:$B, "Carnes")</f>
        <v>111</v>
      </c>
      <c r="E11" s="161">
        <f>SUMIF('Detalle Compras Septiembre 2026'!$B:$B, "Carnes", 'Detalle Compras Septiembre 2026'!$G:$G)</f>
        <v>42822120.859999999</v>
      </c>
      <c r="F11" s="244">
        <f t="shared" ref="F11:F17" si="0">IF($E$18&gt;0, E11/$E$18, 0)</f>
        <v>0.52944838986293341</v>
      </c>
      <c r="G11" s="161">
        <f t="shared" ref="G11:G17" si="1">IF(COUNTIF($E$28:$E$57,"&gt;0")&gt;0, E11/COUNTIF($E$28:$E$57,"&gt;0"), 0)</f>
        <v>2676382.55375</v>
      </c>
      <c r="H11" s="154"/>
      <c r="I11" s="158" t="s">
        <v>21</v>
      </c>
      <c r="J11" s="159" t="s">
        <v>22</v>
      </c>
      <c r="K11" s="160">
        <f>COUNTIF('Detalle Compras Septiembre 2026'!$B:$B, "Servicios")</f>
        <v>63</v>
      </c>
      <c r="L11" s="161">
        <f>SUMIF('Detalle Compras Septiembre 2026'!$B:$B, "Servicios", 'Detalle Compras Septiembre 2026'!$G:$G)</f>
        <v>50024382</v>
      </c>
      <c r="M11" s="244">
        <f>IF($L$15&gt;0, L11/$L$15, 0)</f>
        <v>0.87316383732287317</v>
      </c>
      <c r="N11" s="161">
        <f>IF(COUNTIF($E$28:$E$57,"&gt;0")&gt;0, L11/COUNTIF($E$28:$E$57,"&gt;0"), 0)</f>
        <v>3126523.875</v>
      </c>
      <c r="O11" s="154"/>
    </row>
    <row r="12" spans="2:15" ht="14.45" customHeight="1">
      <c r="B12" s="162" t="s">
        <v>23</v>
      </c>
      <c r="C12" s="243" t="s">
        <v>20</v>
      </c>
      <c r="D12" s="163">
        <f>COUNTIF('Detalle Compras Septiembre 2026'!$B:$B, "Verduras")</f>
        <v>87</v>
      </c>
      <c r="E12" s="164">
        <f>SUMIF('Detalle Compras Septiembre 2026'!$B:$B, "Verduras", 'Detalle Compras Septiembre 2026'!$G:$G)</f>
        <v>7676365</v>
      </c>
      <c r="F12" s="245">
        <f t="shared" si="0"/>
        <v>9.4909803802981862E-2</v>
      </c>
      <c r="G12" s="164">
        <f t="shared" si="1"/>
        <v>479772.8125</v>
      </c>
      <c r="H12" s="154"/>
      <c r="I12" s="162" t="s">
        <v>24</v>
      </c>
      <c r="J12" s="243" t="s">
        <v>22</v>
      </c>
      <c r="K12" s="163">
        <f>COUNTIF('Detalle Compras Septiembre 2026'!$B:$B, "Mantenimiento")</f>
        <v>6</v>
      </c>
      <c r="L12" s="164">
        <f>SUMIF('Detalle Compras Septiembre 2026'!$B:$B, "Mantenimiento", 'Detalle Compras Septiembre 2026'!$G:$G)</f>
        <v>3669698.71</v>
      </c>
      <c r="M12" s="245">
        <f>IF($L$15&gt;0, L12/$L$15, 0)</f>
        <v>6.4053728988444025E-2</v>
      </c>
      <c r="N12" s="164">
        <f>IF(COUNTIF($E$28:$E$57,"&gt;0")&gt;0, L12/COUNTIF($E$28:$E$57,"&gt;0"), 0)</f>
        <v>229356.169375</v>
      </c>
      <c r="O12" s="154"/>
    </row>
    <row r="13" spans="2:15" ht="14.45" customHeight="1">
      <c r="B13" s="165" t="s">
        <v>25</v>
      </c>
      <c r="C13" s="166" t="s">
        <v>20</v>
      </c>
      <c r="D13" s="167">
        <f>COUNTIF('Detalle Compras Septiembre 2026'!$B:$B, "Desechables")</f>
        <v>117</v>
      </c>
      <c r="E13" s="168">
        <f>SUMIF('Detalle Compras Septiembre 2026'!$B:$B, "Desechables", 'Detalle Compras Septiembre 2026'!$G:$G)</f>
        <v>5583526</v>
      </c>
      <c r="F13" s="246">
        <f t="shared" si="0"/>
        <v>6.9034153168700041E-2</v>
      </c>
      <c r="G13" s="168">
        <f t="shared" si="1"/>
        <v>348970.375</v>
      </c>
      <c r="H13" s="154"/>
      <c r="I13" s="165" t="s">
        <v>26</v>
      </c>
      <c r="J13" s="166" t="s">
        <v>22</v>
      </c>
      <c r="K13" s="167">
        <f>COUNTIF('Detalle Compras Septiembre 2026'!$B:$B, "Servicios Públicos")</f>
        <v>2</v>
      </c>
      <c r="L13" s="168">
        <f>SUMIF('Detalle Compras Septiembre 2026'!$B:$B, "Servicios Públicos", 'Detalle Compras Septiembre 2026'!$G:$G)</f>
        <v>1017165</v>
      </c>
      <c r="M13" s="246">
        <f>IF($L$15&gt;0, L13/$L$15, 0)</f>
        <v>1.7754376147825681E-2</v>
      </c>
      <c r="N13" s="168">
        <f>IF(COUNTIF($E$28:$E$57,"&gt;0")&gt;0, L13/COUNTIF($E$28:$E$57,"&gt;0"), 0)</f>
        <v>63572.8125</v>
      </c>
      <c r="O13" s="154"/>
    </row>
    <row r="14" spans="2:15" ht="14.45" customHeight="1">
      <c r="B14" s="162" t="s">
        <v>27</v>
      </c>
      <c r="C14" s="243" t="s">
        <v>20</v>
      </c>
      <c r="D14" s="163">
        <f>COUNTIF('Detalle Compras Septiembre 2026'!$B:$B, "Grano")</f>
        <v>45</v>
      </c>
      <c r="E14" s="164">
        <f>SUMIF('Detalle Compras Septiembre 2026'!$B:$B, "Grano", 'Detalle Compras Septiembre 2026'!$G:$G)</f>
        <v>5081215</v>
      </c>
      <c r="F14" s="245">
        <f t="shared" si="0"/>
        <v>6.2823630550497334E-2</v>
      </c>
      <c r="G14" s="164">
        <f t="shared" si="1"/>
        <v>317575.9375</v>
      </c>
      <c r="H14" s="154"/>
      <c r="I14" s="162" t="s">
        <v>28</v>
      </c>
      <c r="J14" s="243" t="s">
        <v>29</v>
      </c>
      <c r="K14" s="163">
        <f>COUNTIF('Detalle Compras Septiembre 2026'!$B:$B, "Gastos Administrativos")+COUNTIF('Detalle Compras Septiembre 2026'!$B:$B, "Gastos")+COUNTIF('Detalle Compras Septiembre 2026'!$B:$B, "Transporte")+COUNTIF('Detalle Compras Septiembre 2026'!$B:$B, "Nómina")</f>
        <v>17</v>
      </c>
      <c r="L14" s="164">
        <f>SUMIF('Detalle Compras Septiembre 2026'!$B:$B, "Gastos Administrativos", 'Detalle Compras Septiembre 2026'!$G:$G)+SUMIF('Detalle Compras Septiembre 2026'!$B:$B, "Gastos", 'Detalle Compras Septiembre 2026'!$G:$G)+SUMIF('Detalle Compras Septiembre 2026'!$B:$B, "Transporte", 'Detalle Compras Septiembre 2026'!$G:$G)+SUMIF('Detalle Compras Septiembre 2026'!$B:$B, "Nómina", 'Detalle Compras Septiembre 2026'!$G:$G)</f>
        <v>2579700</v>
      </c>
      <c r="M14" s="245">
        <f>IF($L$15&gt;0, L14/$L$15, 0)</f>
        <v>4.5028057540857098E-2</v>
      </c>
      <c r="N14" s="164">
        <f>IF(COUNTIF($E$28:$E$57,"&gt;0")&gt;0, L14/COUNTIF($E$28:$E$57,"&gt;0"), 0)</f>
        <v>161231.25</v>
      </c>
      <c r="O14" s="154"/>
    </row>
    <row r="15" spans="2:15" ht="15.95" customHeight="1">
      <c r="B15" s="165" t="s">
        <v>30</v>
      </c>
      <c r="C15" s="166" t="s">
        <v>20</v>
      </c>
      <c r="D15" s="167">
        <f>COUNTIF('Detalle Compras Septiembre 2026'!$B:$B, "Bebidas")</f>
        <v>81</v>
      </c>
      <c r="E15" s="168">
        <f>SUMIF('Detalle Compras Septiembre 2026'!$B:$B, "Bebidas", 'Detalle Compras Septiembre 2026'!$G:$G)</f>
        <v>5059620.0700000022</v>
      </c>
      <c r="F15" s="246">
        <f t="shared" si="0"/>
        <v>6.2556633010719204E-2</v>
      </c>
      <c r="G15" s="168">
        <f t="shared" si="1"/>
        <v>316226.25437500014</v>
      </c>
      <c r="H15" s="154"/>
      <c r="I15" s="169" t="s">
        <v>31</v>
      </c>
      <c r="J15" s="170" t="s">
        <v>32</v>
      </c>
      <c r="K15" s="171">
        <f>SUM(K11:K14)</f>
        <v>88</v>
      </c>
      <c r="L15" s="172">
        <f>SUM(L11:L14)</f>
        <v>57290945.710000001</v>
      </c>
      <c r="M15" s="247">
        <f>SUM(M11:M14)</f>
        <v>1</v>
      </c>
      <c r="N15" s="172">
        <f>SUM(N11:N14)</f>
        <v>3580684.1068750001</v>
      </c>
      <c r="O15" s="154"/>
    </row>
    <row r="16" spans="2:15" ht="14.45" customHeight="1">
      <c r="B16" s="162" t="s">
        <v>33</v>
      </c>
      <c r="C16" s="243" t="s">
        <v>20</v>
      </c>
      <c r="D16" s="163">
        <f>COUNTIF('Detalle Compras Septiembre 2026'!$B:$B, "INVENTARIO INICIAL")</f>
        <v>1</v>
      </c>
      <c r="E16" s="164">
        <f>SUMIF('Detalle Compras Septiembre 2026'!$B:$B, "INVENTARIO INICIAL", 'Detalle Compras Septiembre 2026'!$G:$G)</f>
        <v>12243950</v>
      </c>
      <c r="F16" s="245">
        <f t="shared" si="0"/>
        <v>0.15138296475916918</v>
      </c>
      <c r="G16" s="164">
        <f t="shared" si="1"/>
        <v>765246.875</v>
      </c>
      <c r="H16" s="154"/>
      <c r="I16" s="154"/>
      <c r="J16" s="154"/>
      <c r="K16" s="173"/>
      <c r="L16" s="174"/>
      <c r="M16" s="248"/>
      <c r="N16" s="174"/>
      <c r="O16" s="154"/>
    </row>
    <row r="17" spans="2:15" ht="14.45" customHeight="1">
      <c r="B17" s="165" t="s">
        <v>34</v>
      </c>
      <c r="C17" s="166" t="s">
        <v>20</v>
      </c>
      <c r="D17" s="167">
        <f>COUNTIF('Detalle Compras Septiembre 2026'!$B:$B, "Abarrotes")+COUNTIF('Detalle Compras Septiembre 2026'!$B:$B, "Insumos")+COUNTIF('Detalle Compras Septiembre 2026'!$B:$B, "Aseo")</f>
        <v>37</v>
      </c>
      <c r="E17" s="168">
        <f>SUMIF('Detalle Compras Septiembre 2026'!$B:$B, "Abarrotes", 'Detalle Compras Septiembre 2026'!$G:$G)+SUMIF('Detalle Compras Septiembre 2026'!$B:$B, "Insumos", 'Detalle Compras Septiembre 2026'!$G:$G)+SUMIF('Detalle Compras Septiembre 2026'!$B:$B, "Aseo", 'Detalle Compras Septiembre 2026'!$G:$G)</f>
        <v>2413835.9699999997</v>
      </c>
      <c r="F17" s="246">
        <f t="shared" si="0"/>
        <v>2.9844424844998951E-2</v>
      </c>
      <c r="G17" s="168">
        <f t="shared" si="1"/>
        <v>150864.74812499998</v>
      </c>
      <c r="H17" s="154"/>
      <c r="I17" s="154"/>
      <c r="J17" s="154"/>
      <c r="K17" s="173"/>
      <c r="L17" s="174"/>
      <c r="M17" s="248"/>
      <c r="N17" s="174"/>
      <c r="O17" s="154"/>
    </row>
    <row r="18" spans="2:15" ht="15.95" customHeight="1">
      <c r="B18" s="169" t="s">
        <v>35</v>
      </c>
      <c r="C18" s="170" t="s">
        <v>36</v>
      </c>
      <c r="D18" s="171">
        <f>SUM(D11:D17)</f>
        <v>479</v>
      </c>
      <c r="E18" s="172">
        <f>SUM(E11:E17)</f>
        <v>80880632.900000006</v>
      </c>
      <c r="F18" s="247">
        <f>SUM(F11:F17)</f>
        <v>1</v>
      </c>
      <c r="G18" s="172">
        <f>SUM(G11:G17)</f>
        <v>5055039.5562500004</v>
      </c>
      <c r="H18" s="154"/>
      <c r="I18" s="154"/>
      <c r="J18" s="154"/>
      <c r="K18" s="173"/>
      <c r="L18" s="174"/>
      <c r="M18" s="248"/>
      <c r="N18" s="174"/>
      <c r="O18" s="154"/>
    </row>
    <row r="19" spans="2:15" ht="8.1" customHeight="1">
      <c r="B19" s="154"/>
      <c r="C19" s="154"/>
      <c r="D19" s="173"/>
      <c r="E19" s="174"/>
      <c r="F19" s="248"/>
      <c r="G19" s="174"/>
      <c r="H19" s="154"/>
      <c r="I19" s="154"/>
      <c r="J19" s="154"/>
      <c r="K19" s="154"/>
      <c r="L19" s="154"/>
      <c r="M19" s="154"/>
      <c r="N19" s="154"/>
      <c r="O19" s="154"/>
    </row>
    <row r="20" spans="2:15" ht="17.100000000000001" customHeight="1">
      <c r="B20" s="338" t="s">
        <v>37</v>
      </c>
      <c r="C20" s="339"/>
      <c r="D20" s="339"/>
      <c r="E20" s="339"/>
      <c r="F20" s="339"/>
      <c r="G20" s="339"/>
      <c r="H20" s="154"/>
      <c r="I20" s="154"/>
      <c r="J20" s="154"/>
      <c r="K20" s="154"/>
      <c r="L20" s="154"/>
      <c r="M20" s="154"/>
      <c r="N20" s="154"/>
      <c r="O20" s="154"/>
    </row>
    <row r="21" spans="2:15" ht="17.100000000000001" customHeight="1">
      <c r="B21" s="335" t="s">
        <v>38</v>
      </c>
      <c r="C21" s="336"/>
      <c r="D21" s="175">
        <f>D18</f>
        <v>479</v>
      </c>
      <c r="E21" s="176">
        <f>E18</f>
        <v>80880632.900000006</v>
      </c>
      <c r="F21" s="249">
        <f>IF(E23&gt;0, E21/E23, 0)</f>
        <v>0.58536374639166466</v>
      </c>
      <c r="G21" s="176">
        <f>G18</f>
        <v>5055039.5562500004</v>
      </c>
      <c r="H21" s="154"/>
      <c r="I21" s="154"/>
      <c r="J21" s="154"/>
      <c r="K21" s="154"/>
      <c r="L21" s="154"/>
      <c r="M21" s="154"/>
      <c r="N21" s="154"/>
      <c r="O21" s="154"/>
    </row>
    <row r="22" spans="2:15" ht="15.6" customHeight="1">
      <c r="B22" s="335" t="s">
        <v>39</v>
      </c>
      <c r="C22" s="336"/>
      <c r="D22" s="175">
        <f>K15</f>
        <v>88</v>
      </c>
      <c r="E22" s="176">
        <f>L15</f>
        <v>57290945.710000001</v>
      </c>
      <c r="F22" s="249">
        <f>IF(E23&gt;0, E22/E23, 0)</f>
        <v>0.41463625360833528</v>
      </c>
      <c r="G22" s="176">
        <f>N15</f>
        <v>3580684.1068750001</v>
      </c>
      <c r="H22" s="154"/>
      <c r="I22" s="154"/>
      <c r="J22" s="154"/>
      <c r="K22" s="248"/>
      <c r="L22" s="154"/>
      <c r="M22" s="154"/>
      <c r="N22" s="154"/>
      <c r="O22" s="154"/>
    </row>
    <row r="23" spans="2:15" ht="15.6" customHeight="1">
      <c r="B23" s="342" t="s">
        <v>40</v>
      </c>
      <c r="C23" s="343"/>
      <c r="D23" s="177">
        <f>D21+D22</f>
        <v>567</v>
      </c>
      <c r="E23" s="178">
        <f>E21+E22</f>
        <v>138171578.61000001</v>
      </c>
      <c r="F23" s="250">
        <f>SUM(F21:F22)</f>
        <v>1</v>
      </c>
      <c r="G23" s="178">
        <f>G21+G22</f>
        <v>8635723.6631250009</v>
      </c>
      <c r="H23" s="154"/>
      <c r="I23" s="154"/>
      <c r="J23" s="154"/>
      <c r="K23" s="248"/>
      <c r="L23" s="154"/>
      <c r="M23" s="154"/>
      <c r="N23" s="154"/>
      <c r="O23" s="154"/>
    </row>
    <row r="24" spans="2:15" ht="8.1" customHeight="1">
      <c r="B24" s="154"/>
      <c r="C24" s="154"/>
      <c r="D24" s="173"/>
      <c r="E24" s="174"/>
      <c r="F24" s="248"/>
      <c r="G24" s="174"/>
      <c r="H24" s="154"/>
      <c r="I24" s="154"/>
      <c r="J24" s="154"/>
      <c r="K24" s="173"/>
      <c r="L24" s="154"/>
      <c r="M24" s="154"/>
      <c r="N24" s="154"/>
      <c r="O24" s="154"/>
    </row>
    <row r="25" spans="2:15" ht="8.1" customHeight="1">
      <c r="B25" s="154"/>
      <c r="C25" s="154"/>
      <c r="D25" s="173"/>
      <c r="E25" s="174"/>
      <c r="F25" s="248"/>
      <c r="G25" s="174"/>
      <c r="H25" s="154"/>
      <c r="I25" s="154"/>
      <c r="J25" s="154"/>
      <c r="K25" s="154"/>
      <c r="L25" s="154"/>
      <c r="M25" s="154"/>
      <c r="N25" s="154"/>
      <c r="O25" s="154"/>
    </row>
    <row r="26" spans="2:15" ht="18" customHeight="1">
      <c r="B26" s="340" t="s">
        <v>41</v>
      </c>
      <c r="C26" s="341"/>
      <c r="D26" s="341"/>
      <c r="E26" s="341"/>
      <c r="F26" s="341"/>
      <c r="G26" s="341"/>
      <c r="H26" s="341"/>
      <c r="I26" s="341"/>
      <c r="J26" s="341"/>
      <c r="K26" s="341"/>
      <c r="L26" s="341"/>
      <c r="M26" s="341"/>
      <c r="N26" s="336"/>
    </row>
    <row r="27" spans="2:15" ht="15.95" customHeight="1">
      <c r="B27" s="156" t="s">
        <v>42</v>
      </c>
      <c r="C27" s="157" t="s">
        <v>43</v>
      </c>
      <c r="D27" s="179" t="s">
        <v>44</v>
      </c>
      <c r="E27" s="180" t="s">
        <v>45</v>
      </c>
      <c r="F27" s="251" t="s">
        <v>46</v>
      </c>
      <c r="G27" s="180" t="s">
        <v>47</v>
      </c>
      <c r="H27" s="157" t="s">
        <v>48</v>
      </c>
      <c r="I27" s="157" t="s">
        <v>49</v>
      </c>
      <c r="J27" s="157" t="s">
        <v>50</v>
      </c>
      <c r="K27" s="157" t="s">
        <v>51</v>
      </c>
      <c r="L27" s="157" t="s">
        <v>52</v>
      </c>
      <c r="M27" s="157" t="s">
        <v>53</v>
      </c>
      <c r="N27" s="156" t="s">
        <v>12</v>
      </c>
    </row>
    <row r="28" spans="2:15" ht="12.95" customHeight="1">
      <c r="B28" s="243">
        <v>1</v>
      </c>
      <c r="C28" s="164">
        <f t="shared" ref="C28:C57" si="2">E28-D28</f>
        <v>18982245</v>
      </c>
      <c r="D28" s="164">
        <f>SUMIFS('Detalle Compras Septiembre 2026'!$G:$G, 'Detalle Compras Septiembre 2026'!$A:$A, B28, 'Detalle Compras Septiembre 2026'!$B:$B, "Servicios")+SUMIFS('Detalle Compras Septiembre 2026'!$G:$G, 'Detalle Compras Septiembre 2026'!$A:$A, B28, 'Detalle Compras Septiembre 2026'!$B:$B, "Mantenimiento")+SUMIFS('Detalle Compras Septiembre 2026'!$G:$G, 'Detalle Compras Septiembre 2026'!$A:$A, B28, 'Detalle Compras Septiembre 2026'!$B:$B, "Gastos Administrativos")+SUMIFS('Detalle Compras Septiembre 2026'!$G:$G, 'Detalle Compras Septiembre 2026'!$A:$A, B28, 'Detalle Compras Septiembre 2026'!$B:$B, "Gastos")+SUMIFS('Detalle Compras Septiembre 2026'!$G:$G, 'Detalle Compras Septiembre 2026'!$A:$A, B28, 'Detalle Compras Septiembre 2026'!$B:$B, "Servicios Públicos")+SUMIFS('Detalle Compras Septiembre 2026'!$G:$G, 'Detalle Compras Septiembre 2026'!$A:$A, B28, 'Detalle Compras Septiembre 2026'!$B:$B, "Transporte")+SUMIFS('Detalle Compras Septiembre 2026'!$G:$G, 'Detalle Compras Septiembre 2026'!$A:$A, B28, 'Detalle Compras Septiembre 2026'!$B:$B, "Nómina")</f>
        <v>1051345</v>
      </c>
      <c r="E28" s="164">
        <f>SUMIFS('Detalle Compras Septiembre 2026'!$G:$G, 'Detalle Compras Septiembre 2026'!$A:$A, B28)</f>
        <v>20033590</v>
      </c>
      <c r="F28" s="245">
        <f t="shared" ref="F28:F59" si="3">IF(E28&gt;0, C28/E28, 0)</f>
        <v>0.94752088866748296</v>
      </c>
      <c r="G28" s="245">
        <f t="shared" ref="G28:G59" si="4">IF(E28&gt;0, D28/E28, 0)</f>
        <v>5.2479111332517037E-2</v>
      </c>
      <c r="H28" s="164">
        <f>SUMIFS('Detalle Compras Septiembre 2026'!$G:$G, 'Detalle Compras Septiembre 2026'!$A:$A, B28, 'Detalle Compras Septiembre 2026'!$B:$B, "Carnes")</f>
        <v>6130295</v>
      </c>
      <c r="I28" s="164">
        <f>SUMIFS('Detalle Compras Septiembre 2026'!$G:$G, 'Detalle Compras Septiembre 2026'!$A:$A, B28, 'Detalle Compras Septiembre 2026'!$B:$B, "Verduras")</f>
        <v>132400</v>
      </c>
      <c r="J28" s="164">
        <f>SUMIFS('Detalle Compras Septiembre 2026'!$G:$G, 'Detalle Compras Septiembre 2026'!$A:$A, B28, 'Detalle Compras Septiembre 2026'!$B:$B, "Grano")</f>
        <v>15000</v>
      </c>
      <c r="K28" s="164">
        <f>SUMIFS('Detalle Compras Septiembre 2026'!$G:$G, 'Detalle Compras Septiembre 2026'!$A:$A, B28, 'Detalle Compras Septiembre 2026'!$B:$B, "Bebidas")</f>
        <v>411700</v>
      </c>
      <c r="L28" s="164">
        <f>SUMIFS('Detalle Compras Septiembre 2026'!$G:$G, 'Detalle Compras Septiembre 2026'!$A:$A, B28, 'Detalle Compras Septiembre 2026'!$B:$B, "Desechables")</f>
        <v>48900</v>
      </c>
      <c r="M28" s="164">
        <f>SUMIFS('Detalle Compras Septiembre 2026'!$G:$G, 'Detalle Compras Septiembre 2026'!$A:$A, B28, 'Detalle Compras Septiembre 2026'!$B:$B, "Servicios")</f>
        <v>130000</v>
      </c>
      <c r="N28" s="163">
        <f>COUNTIFS('Detalle Compras Septiembre 2026'!$A:$A, B28)</f>
        <v>27</v>
      </c>
    </row>
    <row r="29" spans="2:15" ht="12.95" customHeight="1">
      <c r="B29" s="166">
        <v>2</v>
      </c>
      <c r="C29" s="168">
        <f t="shared" si="2"/>
        <v>1355351</v>
      </c>
      <c r="D29" s="168">
        <f>SUMIFS('Detalle Compras Septiembre 2026'!$G:$G, 'Detalle Compras Septiembre 2026'!$A:$A, B29, 'Detalle Compras Septiembre 2026'!$B:$B, "Servicios")+SUMIFS('Detalle Compras Septiembre 2026'!$G:$G, 'Detalle Compras Septiembre 2026'!$A:$A, B29, 'Detalle Compras Septiembre 2026'!$B:$B, "Mantenimiento")+SUMIFS('Detalle Compras Septiembre 2026'!$G:$G, 'Detalle Compras Septiembre 2026'!$A:$A, B29, 'Detalle Compras Septiembre 2026'!$B:$B, "Gastos Administrativos")+SUMIFS('Detalle Compras Septiembre 2026'!$G:$G, 'Detalle Compras Septiembre 2026'!$A:$A, B29, 'Detalle Compras Septiembre 2026'!$B:$B, "Gastos")+SUMIFS('Detalle Compras Septiembre 2026'!$G:$G, 'Detalle Compras Septiembre 2026'!$A:$A, B29, 'Detalle Compras Septiembre 2026'!$B:$B, "Servicios Públicos")+SUMIFS('Detalle Compras Septiembre 2026'!$G:$G, 'Detalle Compras Septiembre 2026'!$A:$A, B29, 'Detalle Compras Septiembre 2026'!$B:$B, "Transporte")+SUMIFS('Detalle Compras Septiembre 2026'!$G:$G, 'Detalle Compras Septiembre 2026'!$A:$A, B29, 'Detalle Compras Septiembre 2026'!$B:$B, "Nómina")</f>
        <v>30000</v>
      </c>
      <c r="E29" s="168">
        <f>SUMIFS('Detalle Compras Septiembre 2026'!$G:$G, 'Detalle Compras Septiembre 2026'!$A:$A, B29)</f>
        <v>1385351</v>
      </c>
      <c r="F29" s="246">
        <f t="shared" si="3"/>
        <v>0.97834483823955087</v>
      </c>
      <c r="G29" s="246">
        <f t="shared" si="4"/>
        <v>2.1655161760449158E-2</v>
      </c>
      <c r="H29" s="168">
        <f>SUMIFS('Detalle Compras Septiembre 2026'!$G:$G, 'Detalle Compras Septiembre 2026'!$A:$A, B29, 'Detalle Compras Septiembre 2026'!$B:$B, "Carnes")</f>
        <v>528586</v>
      </c>
      <c r="I29" s="168">
        <f>SUMIFS('Detalle Compras Septiembre 2026'!$G:$G, 'Detalle Compras Septiembre 2026'!$A:$A, B29, 'Detalle Compras Septiembre 2026'!$B:$B, "Verduras")</f>
        <v>126240</v>
      </c>
      <c r="J29" s="168">
        <f>SUMIFS('Detalle Compras Septiembre 2026'!$G:$G, 'Detalle Compras Septiembre 2026'!$A:$A, B29, 'Detalle Compras Septiembre 2026'!$B:$B, "Grano")</f>
        <v>392505</v>
      </c>
      <c r="K29" s="168">
        <f>SUMIFS('Detalle Compras Septiembre 2026'!$G:$G, 'Detalle Compras Septiembre 2026'!$A:$A, B29, 'Detalle Compras Septiembre 2026'!$B:$B, "Bebidas")</f>
        <v>162100</v>
      </c>
      <c r="L29" s="168">
        <f>SUMIFS('Detalle Compras Septiembre 2026'!$G:$G, 'Detalle Compras Septiembre 2026'!$A:$A, B29, 'Detalle Compras Septiembre 2026'!$B:$B, "Desechables")</f>
        <v>145920</v>
      </c>
      <c r="M29" s="168">
        <f>SUMIFS('Detalle Compras Septiembre 2026'!$G:$G, 'Detalle Compras Septiembre 2026'!$A:$A, B29, 'Detalle Compras Septiembre 2026'!$B:$B, "Servicios")</f>
        <v>30000</v>
      </c>
      <c r="N29" s="167">
        <f>COUNTIFS('Detalle Compras Septiembre 2026'!$A:$A, B29)</f>
        <v>26</v>
      </c>
    </row>
    <row r="30" spans="2:15" ht="12.95" customHeight="1">
      <c r="B30" s="243">
        <v>3</v>
      </c>
      <c r="C30" s="164">
        <f t="shared" si="2"/>
        <v>4239440</v>
      </c>
      <c r="D30" s="164">
        <f>SUMIFS('Detalle Compras Septiembre 2026'!$G:$G, 'Detalle Compras Septiembre 2026'!$A:$A, B30, 'Detalle Compras Septiembre 2026'!$B:$B, "Servicios")+SUMIFS('Detalle Compras Septiembre 2026'!$G:$G, 'Detalle Compras Septiembre 2026'!$A:$A, B30, 'Detalle Compras Septiembre 2026'!$B:$B, "Mantenimiento")+SUMIFS('Detalle Compras Septiembre 2026'!$G:$G, 'Detalle Compras Septiembre 2026'!$A:$A, B30, 'Detalle Compras Septiembre 2026'!$B:$B, "Gastos Administrativos")+SUMIFS('Detalle Compras Septiembre 2026'!$G:$G, 'Detalle Compras Septiembre 2026'!$A:$A, B30, 'Detalle Compras Septiembre 2026'!$B:$B, "Gastos")+SUMIFS('Detalle Compras Septiembre 2026'!$G:$G, 'Detalle Compras Septiembre 2026'!$A:$A, B30, 'Detalle Compras Septiembre 2026'!$B:$B, "Servicios Públicos")+SUMIFS('Detalle Compras Septiembre 2026'!$G:$G, 'Detalle Compras Septiembre 2026'!$A:$A, B30, 'Detalle Compras Septiembre 2026'!$B:$B, "Transporte")+SUMIFS('Detalle Compras Septiembre 2026'!$G:$G, 'Detalle Compras Septiembre 2026'!$A:$A, B30, 'Detalle Compras Septiembre 2026'!$B:$B, "Nómina")</f>
        <v>60500</v>
      </c>
      <c r="E30" s="164">
        <f>SUMIFS('Detalle Compras Septiembre 2026'!$G:$G, 'Detalle Compras Septiembre 2026'!$A:$A, B30)</f>
        <v>4299940</v>
      </c>
      <c r="F30" s="245">
        <f t="shared" si="3"/>
        <v>0.98593003623306374</v>
      </c>
      <c r="G30" s="245">
        <f t="shared" si="4"/>
        <v>1.4069963766936283E-2</v>
      </c>
      <c r="H30" s="164">
        <f>SUMIFS('Detalle Compras Septiembre 2026'!$G:$G, 'Detalle Compras Septiembre 2026'!$A:$A, B30, 'Detalle Compras Septiembre 2026'!$B:$B, "Carnes")</f>
        <v>1808790</v>
      </c>
      <c r="I30" s="164">
        <f>SUMIFS('Detalle Compras Septiembre 2026'!$G:$G, 'Detalle Compras Septiembre 2026'!$A:$A, B30, 'Detalle Compras Septiembre 2026'!$B:$B, "Verduras")</f>
        <v>355500</v>
      </c>
      <c r="J30" s="164">
        <f>SUMIFS('Detalle Compras Septiembre 2026'!$G:$G, 'Detalle Compras Septiembre 2026'!$A:$A, B30, 'Detalle Compras Septiembre 2026'!$B:$B, "Grano")</f>
        <v>1047950</v>
      </c>
      <c r="K30" s="164">
        <f>SUMIFS('Detalle Compras Septiembre 2026'!$G:$G, 'Detalle Compras Septiembre 2026'!$A:$A, B30, 'Detalle Compras Septiembre 2026'!$B:$B, "Bebidas")</f>
        <v>970600</v>
      </c>
      <c r="L30" s="164">
        <f>SUMIFS('Detalle Compras Septiembre 2026'!$G:$G, 'Detalle Compras Septiembre 2026'!$A:$A, B30, 'Detalle Compras Septiembre 2026'!$B:$B, "Desechables")</f>
        <v>56600</v>
      </c>
      <c r="M30" s="164">
        <f>SUMIFS('Detalle Compras Septiembre 2026'!$G:$G, 'Detalle Compras Septiembre 2026'!$A:$A, B30, 'Detalle Compras Septiembre 2026'!$B:$B, "Servicios")</f>
        <v>60500</v>
      </c>
      <c r="N30" s="163">
        <f>COUNTIFS('Detalle Compras Septiembre 2026'!$A:$A, B30)</f>
        <v>40</v>
      </c>
    </row>
    <row r="31" spans="2:15" ht="12.95" customHeight="1">
      <c r="B31" s="166">
        <v>4</v>
      </c>
      <c r="C31" s="168">
        <f t="shared" si="2"/>
        <v>4457519</v>
      </c>
      <c r="D31" s="168">
        <f>SUMIFS('Detalle Compras Septiembre 2026'!$G:$G, 'Detalle Compras Septiembre 2026'!$A:$A, B31, 'Detalle Compras Septiembre 2026'!$B:$B, "Servicios")+SUMIFS('Detalle Compras Septiembre 2026'!$G:$G, 'Detalle Compras Septiembre 2026'!$A:$A, B31, 'Detalle Compras Septiembre 2026'!$B:$B, "Mantenimiento")+SUMIFS('Detalle Compras Septiembre 2026'!$G:$G, 'Detalle Compras Septiembre 2026'!$A:$A, B31, 'Detalle Compras Septiembre 2026'!$B:$B, "Gastos Administrativos")+SUMIFS('Detalle Compras Septiembre 2026'!$G:$G, 'Detalle Compras Septiembre 2026'!$A:$A, B31, 'Detalle Compras Septiembre 2026'!$B:$B, "Gastos")+SUMIFS('Detalle Compras Septiembre 2026'!$G:$G, 'Detalle Compras Septiembre 2026'!$A:$A, B31, 'Detalle Compras Septiembre 2026'!$B:$B, "Servicios Públicos")+SUMIFS('Detalle Compras Septiembre 2026'!$G:$G, 'Detalle Compras Septiembre 2026'!$A:$A, B31, 'Detalle Compras Septiembre 2026'!$B:$B, "Transporte")+SUMIFS('Detalle Compras Septiembre 2026'!$G:$G, 'Detalle Compras Septiembre 2026'!$A:$A, B31, 'Detalle Compras Septiembre 2026'!$B:$B, "Nómina")</f>
        <v>30000</v>
      </c>
      <c r="E31" s="168">
        <f>SUMIFS('Detalle Compras Septiembre 2026'!$G:$G, 'Detalle Compras Septiembre 2026'!$A:$A, B31)</f>
        <v>4487519</v>
      </c>
      <c r="F31" s="246">
        <f t="shared" si="3"/>
        <v>0.99331479153625868</v>
      </c>
      <c r="G31" s="246">
        <f t="shared" si="4"/>
        <v>6.6852084637413238E-3</v>
      </c>
      <c r="H31" s="168">
        <f>SUMIFS('Detalle Compras Septiembre 2026'!$G:$G, 'Detalle Compras Septiembre 2026'!$A:$A, B31, 'Detalle Compras Septiembre 2026'!$B:$B, "Carnes")</f>
        <v>2218844</v>
      </c>
      <c r="I31" s="168">
        <f>SUMIFS('Detalle Compras Septiembre 2026'!$G:$G, 'Detalle Compras Septiembre 2026'!$A:$A, B31, 'Detalle Compras Septiembre 2026'!$B:$B, "Verduras")</f>
        <v>0</v>
      </c>
      <c r="J31" s="168">
        <f>SUMIFS('Detalle Compras Septiembre 2026'!$G:$G, 'Detalle Compras Septiembre 2026'!$A:$A, B31, 'Detalle Compras Septiembre 2026'!$B:$B, "Grano")</f>
        <v>256850</v>
      </c>
      <c r="K31" s="168">
        <f>SUMIFS('Detalle Compras Septiembre 2026'!$G:$G, 'Detalle Compras Septiembre 2026'!$A:$A, B31, 'Detalle Compras Septiembre 2026'!$B:$B, "Bebidas")</f>
        <v>140975</v>
      </c>
      <c r="L31" s="168">
        <f>SUMIFS('Detalle Compras Septiembre 2026'!$G:$G, 'Detalle Compras Septiembre 2026'!$A:$A, B31, 'Detalle Compras Septiembre 2026'!$B:$B, "Desechables")</f>
        <v>1840850</v>
      </c>
      <c r="M31" s="168">
        <f>SUMIFS('Detalle Compras Septiembre 2026'!$G:$G, 'Detalle Compras Septiembre 2026'!$A:$A, B31, 'Detalle Compras Septiembre 2026'!$B:$B, "Servicios")</f>
        <v>30000</v>
      </c>
      <c r="N31" s="167">
        <f>COUNTIFS('Detalle Compras Septiembre 2026'!$A:$A, B31)</f>
        <v>60</v>
      </c>
    </row>
    <row r="32" spans="2:15" ht="12.95" customHeight="1">
      <c r="B32" s="243">
        <v>5</v>
      </c>
      <c r="C32" s="164">
        <f t="shared" si="2"/>
        <v>8935184.0699999984</v>
      </c>
      <c r="D32" s="164">
        <f>SUMIFS('Detalle Compras Septiembre 2026'!$G:$G, 'Detalle Compras Septiembre 2026'!$A:$A, B32, 'Detalle Compras Septiembre 2026'!$B:$B, "Servicios")+SUMIFS('Detalle Compras Septiembre 2026'!$G:$G, 'Detalle Compras Septiembre 2026'!$A:$A, B32, 'Detalle Compras Septiembre 2026'!$B:$B, "Mantenimiento")+SUMIFS('Detalle Compras Septiembre 2026'!$G:$G, 'Detalle Compras Septiembre 2026'!$A:$A, B32, 'Detalle Compras Septiembre 2026'!$B:$B, "Gastos Administrativos")+SUMIFS('Detalle Compras Septiembre 2026'!$G:$G, 'Detalle Compras Septiembre 2026'!$A:$A, B32, 'Detalle Compras Septiembre 2026'!$B:$B, "Gastos")+SUMIFS('Detalle Compras Septiembre 2026'!$G:$G, 'Detalle Compras Septiembre 2026'!$A:$A, B32, 'Detalle Compras Septiembre 2026'!$B:$B, "Servicios Públicos")+SUMIFS('Detalle Compras Septiembre 2026'!$G:$G, 'Detalle Compras Septiembre 2026'!$A:$A, B32, 'Detalle Compras Septiembre 2026'!$B:$B, "Transporte")+SUMIFS('Detalle Compras Septiembre 2026'!$G:$G, 'Detalle Compras Septiembre 2026'!$A:$A, B32, 'Detalle Compras Septiembre 2026'!$B:$B, "Nómina")</f>
        <v>0</v>
      </c>
      <c r="E32" s="164">
        <f>SUMIFS('Detalle Compras Septiembre 2026'!$G:$G, 'Detalle Compras Septiembre 2026'!$A:$A, B32)</f>
        <v>8935184.0699999984</v>
      </c>
      <c r="F32" s="245">
        <f t="shared" si="3"/>
        <v>1</v>
      </c>
      <c r="G32" s="245">
        <f t="shared" si="4"/>
        <v>0</v>
      </c>
      <c r="H32" s="164">
        <f>SUMIFS('Detalle Compras Septiembre 2026'!$G:$G, 'Detalle Compras Septiembre 2026'!$A:$A, B32, 'Detalle Compras Septiembre 2026'!$B:$B, "Carnes")</f>
        <v>7713980</v>
      </c>
      <c r="I32" s="164">
        <f>SUMIFS('Detalle Compras Septiembre 2026'!$G:$G, 'Detalle Compras Septiembre 2026'!$A:$A, B32, 'Detalle Compras Septiembre 2026'!$B:$B, "Verduras")</f>
        <v>524200</v>
      </c>
      <c r="J32" s="164">
        <f>SUMIFS('Detalle Compras Septiembre 2026'!$G:$G, 'Detalle Compras Septiembre 2026'!$A:$A, B32, 'Detalle Compras Septiembre 2026'!$B:$B, "Grano")</f>
        <v>247500</v>
      </c>
      <c r="K32" s="164">
        <f>SUMIFS('Detalle Compras Septiembre 2026'!$G:$G, 'Detalle Compras Septiembre 2026'!$A:$A, B32, 'Detalle Compras Septiembre 2026'!$B:$B, "Bebidas")</f>
        <v>386504.07</v>
      </c>
      <c r="L32" s="164">
        <f>SUMIFS('Detalle Compras Septiembre 2026'!$G:$G, 'Detalle Compras Septiembre 2026'!$A:$A, B32, 'Detalle Compras Septiembre 2026'!$B:$B, "Desechables")</f>
        <v>63000</v>
      </c>
      <c r="M32" s="164">
        <f>SUMIFS('Detalle Compras Septiembre 2026'!$G:$G, 'Detalle Compras Septiembre 2026'!$A:$A, B32, 'Detalle Compras Septiembre 2026'!$B:$B, "Servicios")</f>
        <v>0</v>
      </c>
      <c r="N32" s="163">
        <f>COUNTIFS('Detalle Compras Septiembre 2026'!$A:$A, B32)</f>
        <v>37</v>
      </c>
    </row>
    <row r="33" spans="1:14" ht="12.95" customHeight="1">
      <c r="B33" s="166">
        <v>6</v>
      </c>
      <c r="C33" s="168">
        <f t="shared" si="2"/>
        <v>434000</v>
      </c>
      <c r="D33" s="168">
        <f>SUMIFS('Detalle Compras Septiembre 2026'!$G:$G, 'Detalle Compras Septiembre 2026'!$A:$A, B33, 'Detalle Compras Septiembre 2026'!$B:$B, "Servicios")+SUMIFS('Detalle Compras Septiembre 2026'!$G:$G, 'Detalle Compras Septiembre 2026'!$A:$A, B33, 'Detalle Compras Septiembre 2026'!$B:$B, "Mantenimiento")+SUMIFS('Detalle Compras Septiembre 2026'!$G:$G, 'Detalle Compras Septiembre 2026'!$A:$A, B33, 'Detalle Compras Septiembre 2026'!$B:$B, "Gastos Administrativos")+SUMIFS('Detalle Compras Septiembre 2026'!$G:$G, 'Detalle Compras Septiembre 2026'!$A:$A, B33, 'Detalle Compras Septiembre 2026'!$B:$B, "Gastos")+SUMIFS('Detalle Compras Septiembre 2026'!$G:$G, 'Detalle Compras Septiembre 2026'!$A:$A, B33, 'Detalle Compras Septiembre 2026'!$B:$B, "Servicios Públicos")+SUMIFS('Detalle Compras Septiembre 2026'!$G:$G, 'Detalle Compras Septiembre 2026'!$A:$A, B33, 'Detalle Compras Septiembre 2026'!$B:$B, "Transporte")+SUMIFS('Detalle Compras Septiembre 2026'!$G:$G, 'Detalle Compras Septiembre 2026'!$A:$A, B33, 'Detalle Compras Septiembre 2026'!$B:$B, "Nómina")</f>
        <v>90000</v>
      </c>
      <c r="E33" s="168">
        <f>SUMIFS('Detalle Compras Septiembre 2026'!$G:$G, 'Detalle Compras Septiembre 2026'!$A:$A, B33)</f>
        <v>524000</v>
      </c>
      <c r="F33" s="246">
        <f t="shared" si="3"/>
        <v>0.8282442748091603</v>
      </c>
      <c r="G33" s="246">
        <f t="shared" si="4"/>
        <v>0.1717557251908397</v>
      </c>
      <c r="H33" s="168">
        <f>SUMIFS('Detalle Compras Septiembre 2026'!$G:$G, 'Detalle Compras Septiembre 2026'!$A:$A, B33, 'Detalle Compras Septiembre 2026'!$B:$B, "Carnes")</f>
        <v>0</v>
      </c>
      <c r="I33" s="168">
        <f>SUMIFS('Detalle Compras Septiembre 2026'!$G:$G, 'Detalle Compras Septiembre 2026'!$A:$A, B33, 'Detalle Compras Septiembre 2026'!$B:$B, "Verduras")</f>
        <v>285000</v>
      </c>
      <c r="J33" s="168">
        <f>SUMIFS('Detalle Compras Septiembre 2026'!$G:$G, 'Detalle Compras Septiembre 2026'!$A:$A, B33, 'Detalle Compras Septiembre 2026'!$B:$B, "Grano")</f>
        <v>0</v>
      </c>
      <c r="K33" s="168">
        <f>SUMIFS('Detalle Compras Septiembre 2026'!$G:$G, 'Detalle Compras Septiembre 2026'!$A:$A, B33, 'Detalle Compras Septiembre 2026'!$B:$B, "Bebidas")</f>
        <v>0</v>
      </c>
      <c r="L33" s="168">
        <f>SUMIFS('Detalle Compras Septiembre 2026'!$G:$G, 'Detalle Compras Septiembre 2026'!$A:$A, B33, 'Detalle Compras Septiembre 2026'!$B:$B, "Desechables")</f>
        <v>149000</v>
      </c>
      <c r="M33" s="168">
        <f>SUMIFS('Detalle Compras Septiembre 2026'!$G:$G, 'Detalle Compras Septiembre 2026'!$A:$A, B33, 'Detalle Compras Septiembre 2026'!$B:$B, "Servicios")</f>
        <v>90000</v>
      </c>
      <c r="N33" s="167">
        <f>COUNTIFS('Detalle Compras Septiembre 2026'!$A:$A, B33)</f>
        <v>7</v>
      </c>
    </row>
    <row r="34" spans="1:14" ht="12.95" customHeight="1">
      <c r="A34" s="130"/>
      <c r="B34" s="243">
        <v>7</v>
      </c>
      <c r="C34" s="164">
        <f t="shared" si="2"/>
        <v>2376803.04</v>
      </c>
      <c r="D34" s="164">
        <f>SUMIFS('Detalle Compras Septiembre 2026'!$G:$G, 'Detalle Compras Septiembre 2026'!$A:$A, B34, 'Detalle Compras Septiembre 2026'!$B:$B, "Servicios")+SUMIFS('Detalle Compras Septiembre 2026'!$G:$G, 'Detalle Compras Septiembre 2026'!$A:$A, B34, 'Detalle Compras Septiembre 2026'!$B:$B, "Mantenimiento")+SUMIFS('Detalle Compras Septiembre 2026'!$G:$G, 'Detalle Compras Septiembre 2026'!$A:$A, B34, 'Detalle Compras Septiembre 2026'!$B:$B, "Gastos Administrativos")+SUMIFS('Detalle Compras Septiembre 2026'!$G:$G, 'Detalle Compras Septiembre 2026'!$A:$A, B34, 'Detalle Compras Septiembre 2026'!$B:$B, "Gastos")+SUMIFS('Detalle Compras Septiembre 2026'!$G:$G, 'Detalle Compras Septiembre 2026'!$A:$A, B34, 'Detalle Compras Septiembre 2026'!$B:$B, "Servicios Públicos")+SUMIFS('Detalle Compras Septiembre 2026'!$G:$G, 'Detalle Compras Septiembre 2026'!$A:$A, B34, 'Detalle Compras Septiembre 2026'!$B:$B, "Transporte")+SUMIFS('Detalle Compras Septiembre 2026'!$G:$G, 'Detalle Compras Septiembre 2026'!$A:$A, B34, 'Detalle Compras Septiembre 2026'!$B:$B, "Nómina")</f>
        <v>970900</v>
      </c>
      <c r="E34" s="164">
        <f>SUMIFS('Detalle Compras Septiembre 2026'!$G:$G, 'Detalle Compras Septiembre 2026'!$A:$A, B34)</f>
        <v>3347703.04</v>
      </c>
      <c r="F34" s="245">
        <f t="shared" si="3"/>
        <v>0.7099802496221409</v>
      </c>
      <c r="G34" s="245">
        <f t="shared" si="4"/>
        <v>0.2900197503778591</v>
      </c>
      <c r="H34" s="164">
        <f>SUMIFS('Detalle Compras Septiembre 2026'!$G:$G, 'Detalle Compras Septiembre 2026'!$A:$A, B34, 'Detalle Compras Septiembre 2026'!$B:$B, "Carnes")</f>
        <v>2135215.04</v>
      </c>
      <c r="I34" s="164">
        <f>SUMIFS('Detalle Compras Septiembre 2026'!$G:$G, 'Detalle Compras Septiembre 2026'!$A:$A, B34, 'Detalle Compras Septiembre 2026'!$B:$B, "Verduras")</f>
        <v>124155</v>
      </c>
      <c r="J34" s="164">
        <f>SUMIFS('Detalle Compras Septiembre 2026'!$G:$G, 'Detalle Compras Septiembre 2026'!$A:$A, B34, 'Detalle Compras Septiembre 2026'!$B:$B, "Grano")</f>
        <v>0</v>
      </c>
      <c r="K34" s="164">
        <f>SUMIFS('Detalle Compras Septiembre 2026'!$G:$G, 'Detalle Compras Septiembre 2026'!$A:$A, B34, 'Detalle Compras Septiembre 2026'!$B:$B, "Bebidas")</f>
        <v>73000</v>
      </c>
      <c r="L34" s="164">
        <f>SUMIFS('Detalle Compras Septiembre 2026'!$G:$G, 'Detalle Compras Septiembre 2026'!$A:$A, B34, 'Detalle Compras Septiembre 2026'!$B:$B, "Desechables")</f>
        <v>29433</v>
      </c>
      <c r="M34" s="164">
        <f>SUMIFS('Detalle Compras Septiembre 2026'!$G:$G, 'Detalle Compras Septiembre 2026'!$A:$A, B34, 'Detalle Compras Septiembre 2026'!$B:$B, "Servicios")</f>
        <v>970900</v>
      </c>
      <c r="N34" s="163">
        <f>COUNTIFS('Detalle Compras Septiembre 2026'!$A:$A, B34)</f>
        <v>29</v>
      </c>
    </row>
    <row r="35" spans="1:14" ht="12.95" customHeight="1">
      <c r="B35" s="166">
        <v>8</v>
      </c>
      <c r="C35" s="168">
        <f t="shared" si="2"/>
        <v>3875920</v>
      </c>
      <c r="D35" s="168">
        <f>SUMIFS('Detalle Compras Septiembre 2026'!$G:$G, 'Detalle Compras Septiembre 2026'!$A:$A, B35, 'Detalle Compras Septiembre 2026'!$B:$B, "Servicios")+SUMIFS('Detalle Compras Septiembre 2026'!$G:$G, 'Detalle Compras Septiembre 2026'!$A:$A, B35, 'Detalle Compras Septiembre 2026'!$B:$B, "Mantenimiento")+SUMIFS('Detalle Compras Septiembre 2026'!$G:$G, 'Detalle Compras Septiembre 2026'!$A:$A, B35, 'Detalle Compras Septiembre 2026'!$B:$B, "Gastos Administrativos")+SUMIFS('Detalle Compras Septiembre 2026'!$G:$G, 'Detalle Compras Septiembre 2026'!$A:$A, B35, 'Detalle Compras Septiembre 2026'!$B:$B, "Gastos")+SUMIFS('Detalle Compras Septiembre 2026'!$G:$G, 'Detalle Compras Septiembre 2026'!$A:$A, B35, 'Detalle Compras Septiembre 2026'!$B:$B, "Servicios Públicos")+SUMIFS('Detalle Compras Septiembre 2026'!$G:$G, 'Detalle Compras Septiembre 2026'!$A:$A, B35, 'Detalle Compras Septiembre 2026'!$B:$B, "Transporte")+SUMIFS('Detalle Compras Septiembre 2026'!$G:$G, 'Detalle Compras Septiembre 2026'!$A:$A, B35, 'Detalle Compras Septiembre 2026'!$B:$B, "Nómina")</f>
        <v>762810.71</v>
      </c>
      <c r="E35" s="168">
        <f>SUMIFS('Detalle Compras Septiembre 2026'!$G:$G, 'Detalle Compras Septiembre 2026'!$A:$A, B35)</f>
        <v>4638730.71</v>
      </c>
      <c r="F35" s="246">
        <f t="shared" si="3"/>
        <v>0.83555615583470677</v>
      </c>
      <c r="G35" s="246">
        <f t="shared" si="4"/>
        <v>0.16444384416529323</v>
      </c>
      <c r="H35" s="168">
        <f>SUMIFS('Detalle Compras Septiembre 2026'!$G:$G, 'Detalle Compras Septiembre 2026'!$A:$A, B35, 'Detalle Compras Septiembre 2026'!$B:$B, "Carnes")</f>
        <v>966050</v>
      </c>
      <c r="I35" s="168">
        <f>SUMIFS('Detalle Compras Septiembre 2026'!$G:$G, 'Detalle Compras Septiembre 2026'!$A:$A, B35, 'Detalle Compras Septiembre 2026'!$B:$B, "Verduras")</f>
        <v>1392220</v>
      </c>
      <c r="J35" s="168">
        <f>SUMIFS('Detalle Compras Septiembre 2026'!$G:$G, 'Detalle Compras Septiembre 2026'!$A:$A, B35, 'Detalle Compras Septiembre 2026'!$B:$B, "Grano")</f>
        <v>389300</v>
      </c>
      <c r="K35" s="168">
        <f>SUMIFS('Detalle Compras Septiembre 2026'!$G:$G, 'Detalle Compras Septiembre 2026'!$A:$A, B35, 'Detalle Compras Septiembre 2026'!$B:$B, "Bebidas")</f>
        <v>29000</v>
      </c>
      <c r="L35" s="168">
        <f>SUMIFS('Detalle Compras Septiembre 2026'!$G:$G, 'Detalle Compras Septiembre 2026'!$A:$A, B35, 'Detalle Compras Septiembre 2026'!$B:$B, "Desechables")</f>
        <v>1069350</v>
      </c>
      <c r="M35" s="168">
        <f>SUMIFS('Detalle Compras Septiembre 2026'!$G:$G, 'Detalle Compras Septiembre 2026'!$A:$A, B35, 'Detalle Compras Septiembre 2026'!$B:$B, "Servicios")</f>
        <v>578112</v>
      </c>
      <c r="N35" s="167">
        <f>COUNTIFS('Detalle Compras Septiembre 2026'!$A:$A, B35)</f>
        <v>87</v>
      </c>
    </row>
    <row r="36" spans="1:14" ht="12.95" customHeight="1">
      <c r="B36" s="243">
        <v>9</v>
      </c>
      <c r="C36" s="164">
        <f t="shared" si="2"/>
        <v>11460335</v>
      </c>
      <c r="D36" s="164">
        <f>SUMIFS('Detalle Compras Septiembre 2026'!$G:$G, 'Detalle Compras Septiembre 2026'!$A:$A, B36, 'Detalle Compras Septiembre 2026'!$B:$B, "Servicios")+SUMIFS('Detalle Compras Septiembre 2026'!$G:$G, 'Detalle Compras Septiembre 2026'!$A:$A, B36, 'Detalle Compras Septiembre 2026'!$B:$B, "Mantenimiento")+SUMIFS('Detalle Compras Septiembre 2026'!$G:$G, 'Detalle Compras Septiembre 2026'!$A:$A, B36, 'Detalle Compras Septiembre 2026'!$B:$B, "Gastos Administrativos")+SUMIFS('Detalle Compras Septiembre 2026'!$G:$G, 'Detalle Compras Septiembre 2026'!$A:$A, B36, 'Detalle Compras Septiembre 2026'!$B:$B, "Gastos")+SUMIFS('Detalle Compras Septiembre 2026'!$G:$G, 'Detalle Compras Septiembre 2026'!$A:$A, B36, 'Detalle Compras Septiembre 2026'!$B:$B, "Servicios Públicos")+SUMIFS('Detalle Compras Septiembre 2026'!$G:$G, 'Detalle Compras Septiembre 2026'!$A:$A, B36, 'Detalle Compras Septiembre 2026'!$B:$B, "Transporte")+SUMIFS('Detalle Compras Septiembre 2026'!$G:$G, 'Detalle Compras Septiembre 2026'!$A:$A, B36, 'Detalle Compras Septiembre 2026'!$B:$B, "Nómina")</f>
        <v>2280870</v>
      </c>
      <c r="E36" s="164">
        <f>SUMIFS('Detalle Compras Septiembre 2026'!$G:$G, 'Detalle Compras Septiembre 2026'!$A:$A, B36)</f>
        <v>13741205</v>
      </c>
      <c r="F36" s="245">
        <f t="shared" si="3"/>
        <v>0.83401237373287129</v>
      </c>
      <c r="G36" s="245">
        <f t="shared" si="4"/>
        <v>0.16598762626712868</v>
      </c>
      <c r="H36" s="164">
        <f>SUMIFS('Detalle Compras Septiembre 2026'!$G:$G, 'Detalle Compras Septiembre 2026'!$A:$A, B36, 'Detalle Compras Septiembre 2026'!$B:$B, "Carnes")</f>
        <v>5707282</v>
      </c>
      <c r="I36" s="164">
        <f>SUMIFS('Detalle Compras Septiembre 2026'!$G:$G, 'Detalle Compras Septiembre 2026'!$A:$A, B36, 'Detalle Compras Septiembre 2026'!$B:$B, "Verduras")</f>
        <v>793450</v>
      </c>
      <c r="J36" s="164">
        <f>SUMIFS('Detalle Compras Septiembre 2026'!$G:$G, 'Detalle Compras Septiembre 2026'!$A:$A, B36, 'Detalle Compras Septiembre 2026'!$B:$B, "Grano")</f>
        <v>1214910</v>
      </c>
      <c r="K36" s="164">
        <f>SUMIFS('Detalle Compras Septiembre 2026'!$G:$G, 'Detalle Compras Septiembre 2026'!$A:$A, B36, 'Detalle Compras Septiembre 2026'!$B:$B, "Bebidas")</f>
        <v>1723770</v>
      </c>
      <c r="L36" s="164">
        <f>SUMIFS('Detalle Compras Septiembre 2026'!$G:$G, 'Detalle Compras Septiembre 2026'!$A:$A, B36, 'Detalle Compras Septiembre 2026'!$B:$B, "Desechables")</f>
        <v>1887973</v>
      </c>
      <c r="M36" s="164">
        <f>SUMIFS('Detalle Compras Septiembre 2026'!$G:$G, 'Detalle Compras Septiembre 2026'!$A:$A, B36, 'Detalle Compras Septiembre 2026'!$B:$B, "Servicios")</f>
        <v>2280870</v>
      </c>
      <c r="N36" s="163">
        <f>COUNTIFS('Detalle Compras Septiembre 2026'!$A:$A, B36)</f>
        <v>78</v>
      </c>
    </row>
    <row r="37" spans="1:14" ht="12.95" customHeight="1">
      <c r="B37" s="166">
        <v>10</v>
      </c>
      <c r="C37" s="168">
        <f t="shared" si="2"/>
        <v>3218466</v>
      </c>
      <c r="D37" s="168">
        <f>SUMIFS('Detalle Compras Septiembre 2026'!$G:$G, 'Detalle Compras Septiembre 2026'!$A:$A, B37, 'Detalle Compras Septiembre 2026'!$B:$B, "Servicios")+SUMIFS('Detalle Compras Septiembre 2026'!$G:$G, 'Detalle Compras Septiembre 2026'!$A:$A, B37, 'Detalle Compras Septiembre 2026'!$B:$B, "Mantenimiento")+SUMIFS('Detalle Compras Septiembre 2026'!$G:$G, 'Detalle Compras Septiembre 2026'!$A:$A, B37, 'Detalle Compras Septiembre 2026'!$B:$B, "Gastos Administrativos")+SUMIFS('Detalle Compras Septiembre 2026'!$G:$G, 'Detalle Compras Septiembre 2026'!$A:$A, B37, 'Detalle Compras Septiembre 2026'!$B:$B, "Gastos")+SUMIFS('Detalle Compras Septiembre 2026'!$G:$G, 'Detalle Compras Septiembre 2026'!$A:$A, B37, 'Detalle Compras Septiembre 2026'!$B:$B, "Servicios Públicos")+SUMIFS('Detalle Compras Septiembre 2026'!$G:$G, 'Detalle Compras Septiembre 2026'!$A:$A, B37, 'Detalle Compras Septiembre 2026'!$B:$B, "Transporte")+SUMIFS('Detalle Compras Septiembre 2026'!$G:$G, 'Detalle Compras Septiembre 2026'!$A:$A, B37, 'Detalle Compras Septiembre 2026'!$B:$B, "Nómina")</f>
        <v>464000</v>
      </c>
      <c r="E37" s="168">
        <f>SUMIFS('Detalle Compras Septiembre 2026'!$G:$G, 'Detalle Compras Septiembre 2026'!$A:$A, B37)</f>
        <v>3682466</v>
      </c>
      <c r="F37" s="246">
        <f t="shared" si="3"/>
        <v>0.87399747886334866</v>
      </c>
      <c r="G37" s="246">
        <f t="shared" si="4"/>
        <v>0.12600252113665136</v>
      </c>
      <c r="H37" s="168">
        <f>SUMIFS('Detalle Compras Septiembre 2026'!$G:$G, 'Detalle Compras Septiembre 2026'!$A:$A, B37, 'Detalle Compras Septiembre 2026'!$B:$B, "Carnes")</f>
        <v>1387295</v>
      </c>
      <c r="I37" s="168">
        <f>SUMIFS('Detalle Compras Septiembre 2026'!$G:$G, 'Detalle Compras Septiembre 2026'!$A:$A, B37, 'Detalle Compras Septiembre 2026'!$B:$B, "Verduras")</f>
        <v>208000</v>
      </c>
      <c r="J37" s="168">
        <f>SUMIFS('Detalle Compras Septiembre 2026'!$G:$G, 'Detalle Compras Septiembre 2026'!$A:$A, B37, 'Detalle Compras Septiembre 2026'!$B:$B, "Grano")</f>
        <v>441200</v>
      </c>
      <c r="K37" s="168">
        <f>SUMIFS('Detalle Compras Septiembre 2026'!$G:$G, 'Detalle Compras Septiembre 2026'!$A:$A, B37, 'Detalle Compras Septiembre 2026'!$B:$B, "Bebidas")</f>
        <v>918471</v>
      </c>
      <c r="L37" s="168">
        <f>SUMIFS('Detalle Compras Septiembre 2026'!$G:$G, 'Detalle Compras Septiembre 2026'!$A:$A, B37, 'Detalle Compras Septiembre 2026'!$B:$B, "Desechables")</f>
        <v>263500</v>
      </c>
      <c r="M37" s="168">
        <f>SUMIFS('Detalle Compras Septiembre 2026'!$G:$G, 'Detalle Compras Septiembre 2026'!$A:$A, B37, 'Detalle Compras Septiembre 2026'!$B:$B, "Servicios")</f>
        <v>464000</v>
      </c>
      <c r="N37" s="167">
        <f>COUNTIFS('Detalle Compras Septiembre 2026'!$A:$A, B37)</f>
        <v>45</v>
      </c>
    </row>
    <row r="38" spans="1:14" ht="12.95" customHeight="1">
      <c r="B38" s="243">
        <v>11</v>
      </c>
      <c r="C38" s="181">
        <f t="shared" si="2"/>
        <v>8164056</v>
      </c>
      <c r="D38" s="182">
        <f>SUMIFS('Detalle Compras Septiembre 2026'!$G:$G, 'Detalle Compras Septiembre 2026'!$A:$A, B38, 'Detalle Compras Septiembre 2026'!$B:$B, "Servicios")+SUMIFS('Detalle Compras Septiembre 2026'!$G:$G, 'Detalle Compras Septiembre 2026'!$A:$A, B38, 'Detalle Compras Septiembre 2026'!$B:$B, "Mantenimiento")+SUMIFS('Detalle Compras Septiembre 2026'!$G:$G, 'Detalle Compras Septiembre 2026'!$A:$A, B38, 'Detalle Compras Septiembre 2026'!$B:$B, "Gastos Administrativos")+SUMIFS('Detalle Compras Septiembre 2026'!$G:$G, 'Detalle Compras Septiembre 2026'!$A:$A, B38, 'Detalle Compras Septiembre 2026'!$B:$B, "Gastos")+SUMIFS('Detalle Compras Septiembre 2026'!$G:$G, 'Detalle Compras Septiembre 2026'!$A:$A, B38, 'Detalle Compras Septiembre 2026'!$B:$B, "Servicios Públicos")+SUMIFS('Detalle Compras Septiembre 2026'!$G:$G, 'Detalle Compras Septiembre 2026'!$A:$A, B38, 'Detalle Compras Septiembre 2026'!$B:$B, "Transporte")+SUMIFS('Detalle Compras Septiembre 2026'!$G:$G, 'Detalle Compras Septiembre 2026'!$A:$A, B38, 'Detalle Compras Septiembre 2026'!$B:$B, "Nómina")</f>
        <v>46657200</v>
      </c>
      <c r="E38" s="183">
        <f>SUMIFS('Detalle Compras Septiembre 2026'!$G:$G, 'Detalle Compras Septiembre 2026'!$A:$A, B38)</f>
        <v>54821256</v>
      </c>
      <c r="F38" s="245">
        <f t="shared" si="3"/>
        <v>0.14892135999218989</v>
      </c>
      <c r="G38" s="245">
        <f t="shared" si="4"/>
        <v>0.85107864000781008</v>
      </c>
      <c r="H38" s="164">
        <f>SUMIFS('Detalle Compras Septiembre 2026'!$G:$G, 'Detalle Compras Septiembre 2026'!$A:$A, B38, 'Detalle Compras Septiembre 2026'!$B:$B, "Carnes")</f>
        <v>4088560</v>
      </c>
      <c r="I38" s="164">
        <f>SUMIFS('Detalle Compras Septiembre 2026'!$G:$G, 'Detalle Compras Septiembre 2026'!$A:$A, B38, 'Detalle Compras Septiembre 2026'!$B:$B, "Verduras")</f>
        <v>2612750</v>
      </c>
      <c r="J38" s="164">
        <f>SUMIFS('Detalle Compras Septiembre 2026'!$G:$G, 'Detalle Compras Septiembre 2026'!$A:$A, B38, 'Detalle Compras Septiembre 2026'!$B:$B, "Grano")</f>
        <v>1076000</v>
      </c>
      <c r="K38" s="164">
        <f>SUMIFS('Detalle Compras Septiembre 2026'!$G:$G, 'Detalle Compras Septiembre 2026'!$A:$A, B38, 'Detalle Compras Septiembre 2026'!$B:$B, "Bebidas")</f>
        <v>34000</v>
      </c>
      <c r="L38" s="164">
        <f>SUMIFS('Detalle Compras Septiembre 2026'!$G:$G, 'Detalle Compras Septiembre 2026'!$A:$A, B38, 'Detalle Compras Septiembre 2026'!$B:$B, "Desechables")</f>
        <v>29000</v>
      </c>
      <c r="M38" s="164">
        <f>SUMIFS('Detalle Compras Septiembre 2026'!$G:$G, 'Detalle Compras Septiembre 2026'!$A:$A, B38, 'Detalle Compras Septiembre 2026'!$B:$B, "Servicios")</f>
        <v>45390000</v>
      </c>
      <c r="N38" s="163">
        <f>COUNTIFS('Detalle Compras Septiembre 2026'!$A:$A, B38)</f>
        <v>58</v>
      </c>
    </row>
    <row r="39" spans="1:14" ht="12.95" customHeight="1">
      <c r="B39" s="166">
        <v>12</v>
      </c>
      <c r="C39" s="168">
        <f t="shared" si="2"/>
        <v>10377530</v>
      </c>
      <c r="D39" s="168">
        <f>SUMIFS('Detalle Compras Septiembre 2026'!$G:$G, 'Detalle Compras Septiembre 2026'!$A:$A, B39, 'Detalle Compras Septiembre 2026'!$B:$B, "Servicios")+SUMIFS('Detalle Compras Septiembre 2026'!$G:$G, 'Detalle Compras Septiembre 2026'!$A:$A, B39, 'Detalle Compras Septiembre 2026'!$B:$B, "Mantenimiento")+SUMIFS('Detalle Compras Septiembre 2026'!$G:$G, 'Detalle Compras Septiembre 2026'!$A:$A, B39, 'Detalle Compras Septiembre 2026'!$B:$B, "Gastos Administrativos")+SUMIFS('Detalle Compras Septiembre 2026'!$G:$G, 'Detalle Compras Septiembre 2026'!$A:$A, B39, 'Detalle Compras Septiembre 2026'!$B:$B, "Gastos")+SUMIFS('Detalle Compras Septiembre 2026'!$G:$G, 'Detalle Compras Septiembre 2026'!$A:$A, B39, 'Detalle Compras Septiembre 2026'!$B:$B, "Servicios Públicos")+SUMIFS('Detalle Compras Septiembre 2026'!$G:$G, 'Detalle Compras Septiembre 2026'!$A:$A, B39, 'Detalle Compras Septiembre 2026'!$B:$B, "Transporte")+SUMIFS('Detalle Compras Septiembre 2026'!$G:$G, 'Detalle Compras Septiembre 2026'!$A:$A, B39, 'Detalle Compras Septiembre 2026'!$B:$B, "Nómina")</f>
        <v>20000</v>
      </c>
      <c r="E39" s="168">
        <f>SUMIFS('Detalle Compras Septiembre 2026'!$G:$G, 'Detalle Compras Septiembre 2026'!$A:$A, B39)</f>
        <v>10397530</v>
      </c>
      <c r="F39" s="246">
        <f t="shared" si="3"/>
        <v>0.99807646623765456</v>
      </c>
      <c r="G39" s="246">
        <f t="shared" si="4"/>
        <v>1.9235337623454802E-3</v>
      </c>
      <c r="H39" s="168">
        <f>SUMIFS('Detalle Compras Septiembre 2026'!$G:$G, 'Detalle Compras Septiembre 2026'!$A:$A, B39, 'Detalle Compras Septiembre 2026'!$B:$B, "Carnes")</f>
        <v>7637820</v>
      </c>
      <c r="I39" s="168">
        <f>SUMIFS('Detalle Compras Septiembre 2026'!$G:$G, 'Detalle Compras Septiembre 2026'!$A:$A, B39, 'Detalle Compras Septiembre 2026'!$B:$B, "Verduras")</f>
        <v>937770</v>
      </c>
      <c r="J39" s="168">
        <f>SUMIFS('Detalle Compras Septiembre 2026'!$G:$G, 'Detalle Compras Septiembre 2026'!$A:$A, B39, 'Detalle Compras Septiembre 2026'!$B:$B, "Grano")</f>
        <v>0</v>
      </c>
      <c r="K39" s="168">
        <f>SUMIFS('Detalle Compras Septiembre 2026'!$G:$G, 'Detalle Compras Septiembre 2026'!$A:$A, B39, 'Detalle Compras Septiembre 2026'!$B:$B, "Bebidas")</f>
        <v>83000</v>
      </c>
      <c r="L39" s="168">
        <f>SUMIFS('Detalle Compras Septiembre 2026'!$G:$G, 'Detalle Compras Septiembre 2026'!$A:$A, B39, 'Detalle Compras Septiembre 2026'!$B:$B, "Desechables")</f>
        <v>0</v>
      </c>
      <c r="M39" s="168">
        <f>SUMIFS('Detalle Compras Septiembre 2026'!$G:$G, 'Detalle Compras Septiembre 2026'!$A:$A, B39, 'Detalle Compras Septiembre 2026'!$B:$B, "Servicios")</f>
        <v>0</v>
      </c>
      <c r="N39" s="167">
        <f>COUNTIFS('Detalle Compras Septiembre 2026'!$A:$A, B39)</f>
        <v>43</v>
      </c>
    </row>
    <row r="40" spans="1:14" ht="12.95" customHeight="1">
      <c r="B40" s="243">
        <v>13</v>
      </c>
      <c r="C40" s="181">
        <f t="shared" si="2"/>
        <v>356900.02</v>
      </c>
      <c r="D40" s="182">
        <f>SUMIFS('Detalle Compras Septiembre 2026'!$G:$G, 'Detalle Compras Septiembre 2026'!$A:$A, B40, 'Detalle Compras Septiembre 2026'!$B:$B, "Servicios")+SUMIFS('Detalle Compras Septiembre 2026'!$G:$G, 'Detalle Compras Septiembre 2026'!$A:$A, B40, 'Detalle Compras Septiembre 2026'!$B:$B, "Mantenimiento")+SUMIFS('Detalle Compras Septiembre 2026'!$G:$G, 'Detalle Compras Septiembre 2026'!$A:$A, B40, 'Detalle Compras Septiembre 2026'!$B:$B, "Gastos Administrativos")+SUMIFS('Detalle Compras Septiembre 2026'!$G:$G, 'Detalle Compras Septiembre 2026'!$A:$A, B40, 'Detalle Compras Septiembre 2026'!$B:$B, "Gastos")+SUMIFS('Detalle Compras Septiembre 2026'!$G:$G, 'Detalle Compras Septiembre 2026'!$A:$A, B40, 'Detalle Compras Septiembre 2026'!$B:$B, "Servicios Públicos")+SUMIFS('Detalle Compras Septiembre 2026'!$G:$G, 'Detalle Compras Septiembre 2026'!$A:$A, B40, 'Detalle Compras Septiembre 2026'!$B:$B, "Transporte")+SUMIFS('Detalle Compras Septiembre 2026'!$G:$G, 'Detalle Compras Septiembre 2026'!$A:$A, B40, 'Detalle Compras Septiembre 2026'!$B:$B, "Nómina")</f>
        <v>0</v>
      </c>
      <c r="E40" s="183">
        <f>SUMIFS('Detalle Compras Septiembre 2026'!$G:$G, 'Detalle Compras Septiembre 2026'!$A:$A, B40)</f>
        <v>356900.02</v>
      </c>
      <c r="F40" s="245">
        <f t="shared" si="3"/>
        <v>1</v>
      </c>
      <c r="G40" s="245">
        <f t="shared" si="4"/>
        <v>0</v>
      </c>
      <c r="H40" s="164">
        <f>SUMIFS('Detalle Compras Septiembre 2026'!$G:$G, 'Detalle Compras Septiembre 2026'!$A:$A, B40, 'Detalle Compras Septiembre 2026'!$B:$B, "Carnes")</f>
        <v>96200.02</v>
      </c>
      <c r="I40" s="164">
        <f>SUMIFS('Detalle Compras Septiembre 2026'!$G:$G, 'Detalle Compras Septiembre 2026'!$A:$A, B40, 'Detalle Compras Septiembre 2026'!$B:$B, "Verduras")</f>
        <v>108000</v>
      </c>
      <c r="J40" s="164">
        <f>SUMIFS('Detalle Compras Septiembre 2026'!$G:$G, 'Detalle Compras Septiembre 2026'!$A:$A, B40, 'Detalle Compras Septiembre 2026'!$B:$B, "Grano")</f>
        <v>0</v>
      </c>
      <c r="K40" s="164">
        <f>SUMIFS('Detalle Compras Septiembre 2026'!$G:$G, 'Detalle Compras Septiembre 2026'!$A:$A, B40, 'Detalle Compras Septiembre 2026'!$B:$B, "Bebidas")</f>
        <v>126500</v>
      </c>
      <c r="L40" s="164">
        <f>SUMIFS('Detalle Compras Septiembre 2026'!$G:$G, 'Detalle Compras Septiembre 2026'!$A:$A, B40, 'Detalle Compras Septiembre 2026'!$B:$B, "Desechables")</f>
        <v>0</v>
      </c>
      <c r="M40" s="164">
        <f>SUMIFS('Detalle Compras Septiembre 2026'!$G:$G, 'Detalle Compras Septiembre 2026'!$A:$A, B40, 'Detalle Compras Septiembre 2026'!$B:$B, "Servicios")</f>
        <v>0</v>
      </c>
      <c r="N40" s="163">
        <f>COUNTIFS('Detalle Compras Septiembre 2026'!$A:$A, B40)</f>
        <v>8</v>
      </c>
    </row>
    <row r="41" spans="1:14" ht="12.95" customHeight="1">
      <c r="B41" s="166">
        <v>14</v>
      </c>
      <c r="C41" s="168">
        <f t="shared" si="2"/>
        <v>2607283.7699999996</v>
      </c>
      <c r="D41" s="168">
        <f>SUMIFS('Detalle Compras Septiembre 2026'!$G:$G, 'Detalle Compras Septiembre 2026'!$A:$A, B41, 'Detalle Compras Septiembre 2026'!$B:$B, "Servicios")+SUMIFS('Detalle Compras Septiembre 2026'!$G:$G, 'Detalle Compras Septiembre 2026'!$A:$A, B41, 'Detalle Compras Septiembre 2026'!$B:$B, "Mantenimiento")+SUMIFS('Detalle Compras Septiembre 2026'!$G:$G, 'Detalle Compras Septiembre 2026'!$A:$A, B41, 'Detalle Compras Septiembre 2026'!$B:$B, "Gastos Administrativos")+SUMIFS('Detalle Compras Septiembre 2026'!$G:$G, 'Detalle Compras Septiembre 2026'!$A:$A, B41, 'Detalle Compras Septiembre 2026'!$B:$B, "Gastos")+SUMIFS('Detalle Compras Septiembre 2026'!$G:$G, 'Detalle Compras Septiembre 2026'!$A:$A, B41, 'Detalle Compras Septiembre 2026'!$B:$B, "Servicios Públicos")+SUMIFS('Detalle Compras Septiembre 2026'!$G:$G, 'Detalle Compras Septiembre 2026'!$A:$A, B41, 'Detalle Compras Septiembre 2026'!$B:$B, "Transporte")+SUMIFS('Detalle Compras Septiembre 2026'!$G:$G, 'Detalle Compras Septiembre 2026'!$A:$A, B41, 'Detalle Compras Septiembre 2026'!$B:$B, "Nómina")</f>
        <v>3700000</v>
      </c>
      <c r="E41" s="168">
        <f>SUMIFS('Detalle Compras Septiembre 2026'!$G:$G, 'Detalle Compras Septiembre 2026'!$A:$A, B41)</f>
        <v>6307283.7699999996</v>
      </c>
      <c r="F41" s="246">
        <f t="shared" si="3"/>
        <v>0.41337663962438143</v>
      </c>
      <c r="G41" s="246">
        <f t="shared" si="4"/>
        <v>0.58662336037561857</v>
      </c>
      <c r="H41" s="168">
        <f>SUMIFS('Detalle Compras Septiembre 2026'!$G:$G, 'Detalle Compras Septiembre 2026'!$A:$A, B41, 'Detalle Compras Septiembre 2026'!$B:$B, "Carnes")</f>
        <v>2403203.7999999998</v>
      </c>
      <c r="I41" s="168">
        <f>SUMIFS('Detalle Compras Septiembre 2026'!$G:$G, 'Detalle Compras Septiembre 2026'!$A:$A, B41, 'Detalle Compras Septiembre 2026'!$B:$B, "Verduras")</f>
        <v>37080</v>
      </c>
      <c r="J41" s="168">
        <f>SUMIFS('Detalle Compras Septiembre 2026'!$G:$G, 'Detalle Compras Septiembre 2026'!$A:$A, B41, 'Detalle Compras Septiembre 2026'!$B:$B, "Grano")</f>
        <v>0</v>
      </c>
      <c r="K41" s="168">
        <f>SUMIFS('Detalle Compras Septiembre 2026'!$G:$G, 'Detalle Compras Septiembre 2026'!$A:$A, B41, 'Detalle Compras Septiembre 2026'!$B:$B, "Bebidas")</f>
        <v>0</v>
      </c>
      <c r="L41" s="168">
        <f>SUMIFS('Detalle Compras Septiembre 2026'!$G:$G, 'Detalle Compras Septiembre 2026'!$A:$A, B41, 'Detalle Compras Septiembre 2026'!$B:$B, "Desechables")</f>
        <v>0</v>
      </c>
      <c r="M41" s="168">
        <f>SUMIFS('Detalle Compras Septiembre 2026'!$G:$G, 'Detalle Compras Septiembre 2026'!$A:$A, B41, 'Detalle Compras Septiembre 2026'!$B:$B, "Servicios")</f>
        <v>0</v>
      </c>
      <c r="N41" s="167">
        <f>COUNTIFS('Detalle Compras Septiembre 2026'!$A:$A, B41)</f>
        <v>13</v>
      </c>
    </row>
    <row r="42" spans="1:14" ht="12.95" customHeight="1">
      <c r="B42" s="243">
        <v>15</v>
      </c>
      <c r="C42" s="181">
        <f t="shared" si="2"/>
        <v>39600</v>
      </c>
      <c r="D42" s="182">
        <f>SUMIFS('Detalle Compras Septiembre 2026'!$G:$G, 'Detalle Compras Septiembre 2026'!$A:$A, B42, 'Detalle Compras Septiembre 2026'!$B:$B, "Servicios")+SUMIFS('Detalle Compras Septiembre 2026'!$G:$G, 'Detalle Compras Septiembre 2026'!$A:$A, B42, 'Detalle Compras Septiembre 2026'!$B:$B, "Mantenimiento")+SUMIFS('Detalle Compras Septiembre 2026'!$G:$G, 'Detalle Compras Septiembre 2026'!$A:$A, B42, 'Detalle Compras Septiembre 2026'!$B:$B, "Gastos Administrativos")+SUMIFS('Detalle Compras Septiembre 2026'!$G:$G, 'Detalle Compras Septiembre 2026'!$A:$A, B42, 'Detalle Compras Septiembre 2026'!$B:$B, "Gastos")+SUMIFS('Detalle Compras Septiembre 2026'!$G:$G, 'Detalle Compras Septiembre 2026'!$A:$A, B42, 'Detalle Compras Septiembre 2026'!$B:$B, "Servicios Públicos")+SUMIFS('Detalle Compras Septiembre 2026'!$G:$G, 'Detalle Compras Septiembre 2026'!$A:$A, B42, 'Detalle Compras Septiembre 2026'!$B:$B, "Transporte")+SUMIFS('Detalle Compras Septiembre 2026'!$G:$G, 'Detalle Compras Septiembre 2026'!$A:$A, B42, 'Detalle Compras Septiembre 2026'!$B:$B, "Nómina")</f>
        <v>95820</v>
      </c>
      <c r="E42" s="183">
        <f>SUMIFS('Detalle Compras Septiembre 2026'!$G:$G, 'Detalle Compras Septiembre 2026'!$A:$A, B42)</f>
        <v>135420</v>
      </c>
      <c r="F42" s="245">
        <f t="shared" si="3"/>
        <v>0.29242357111209571</v>
      </c>
      <c r="G42" s="245">
        <f t="shared" si="4"/>
        <v>0.70757642888790429</v>
      </c>
      <c r="H42" s="164">
        <f>SUMIFS('Detalle Compras Septiembre 2026'!$G:$G, 'Detalle Compras Septiembre 2026'!$A:$A, B42, 'Detalle Compras Septiembre 2026'!$B:$B, "Carnes")</f>
        <v>0</v>
      </c>
      <c r="I42" s="164">
        <f>SUMIFS('Detalle Compras Septiembre 2026'!$G:$G, 'Detalle Compras Septiembre 2026'!$A:$A, B42, 'Detalle Compras Septiembre 2026'!$B:$B, "Verduras")</f>
        <v>39600</v>
      </c>
      <c r="J42" s="164">
        <f>SUMIFS('Detalle Compras Septiembre 2026'!$G:$G, 'Detalle Compras Septiembre 2026'!$A:$A, B42, 'Detalle Compras Septiembre 2026'!$B:$B, "Grano")</f>
        <v>0</v>
      </c>
      <c r="K42" s="164">
        <f>SUMIFS('Detalle Compras Septiembre 2026'!$G:$G, 'Detalle Compras Septiembre 2026'!$A:$A, B42, 'Detalle Compras Septiembre 2026'!$B:$B, "Bebidas")</f>
        <v>0</v>
      </c>
      <c r="L42" s="164">
        <f>SUMIFS('Detalle Compras Septiembre 2026'!$G:$G, 'Detalle Compras Septiembre 2026'!$A:$A, B42, 'Detalle Compras Septiembre 2026'!$B:$B, "Desechables")</f>
        <v>0</v>
      </c>
      <c r="M42" s="164">
        <f>SUMIFS('Detalle Compras Septiembre 2026'!$G:$G, 'Detalle Compras Septiembre 2026'!$A:$A, B42, 'Detalle Compras Septiembre 2026'!$B:$B, "Servicios")</f>
        <v>0</v>
      </c>
      <c r="N42" s="163">
        <f>COUNTIFS('Detalle Compras Septiembre 2026'!$A:$A, B42)</f>
        <v>2</v>
      </c>
    </row>
    <row r="43" spans="1:14" ht="12.95" customHeight="1">
      <c r="B43" s="166">
        <v>16</v>
      </c>
      <c r="C43" s="168">
        <f t="shared" si="2"/>
        <v>0</v>
      </c>
      <c r="D43" s="168">
        <f>SUMIFS('Detalle Compras Septiembre 2026'!$G:$G, 'Detalle Compras Septiembre 2026'!$A:$A, B43, 'Detalle Compras Septiembre 2026'!$B:$B, "Servicios")+SUMIFS('Detalle Compras Septiembre 2026'!$G:$G, 'Detalle Compras Septiembre 2026'!$A:$A, B43, 'Detalle Compras Septiembre 2026'!$B:$B, "Mantenimiento")+SUMIFS('Detalle Compras Septiembre 2026'!$G:$G, 'Detalle Compras Septiembre 2026'!$A:$A, B43, 'Detalle Compras Septiembre 2026'!$B:$B, "Gastos Administrativos")+SUMIFS('Detalle Compras Septiembre 2026'!$G:$G, 'Detalle Compras Septiembre 2026'!$A:$A, B43, 'Detalle Compras Septiembre 2026'!$B:$B, "Gastos")+SUMIFS('Detalle Compras Septiembre 2026'!$G:$G, 'Detalle Compras Septiembre 2026'!$A:$A, B43, 'Detalle Compras Septiembre 2026'!$B:$B, "Servicios Públicos")+SUMIFS('Detalle Compras Septiembre 2026'!$G:$G, 'Detalle Compras Septiembre 2026'!$A:$A, B43, 'Detalle Compras Septiembre 2026'!$B:$B, "Transporte")+SUMIFS('Detalle Compras Septiembre 2026'!$G:$G, 'Detalle Compras Septiembre 2026'!$A:$A, B43, 'Detalle Compras Septiembre 2026'!$B:$B, "Nómina")</f>
        <v>1077500</v>
      </c>
      <c r="E43" s="168">
        <f>SUMIFS('Detalle Compras Septiembre 2026'!$G:$G, 'Detalle Compras Septiembre 2026'!$A:$A, B43)</f>
        <v>1077500</v>
      </c>
      <c r="F43" s="246">
        <f t="shared" si="3"/>
        <v>0</v>
      </c>
      <c r="G43" s="246">
        <f t="shared" si="4"/>
        <v>1</v>
      </c>
      <c r="H43" s="168">
        <f>SUMIFS('Detalle Compras Septiembre 2026'!$G:$G, 'Detalle Compras Septiembre 2026'!$A:$A, B43, 'Detalle Compras Septiembre 2026'!$B:$B, "Carnes")</f>
        <v>0</v>
      </c>
      <c r="I43" s="168">
        <f>SUMIFS('Detalle Compras Septiembre 2026'!$G:$G, 'Detalle Compras Septiembre 2026'!$A:$A, B43, 'Detalle Compras Septiembre 2026'!$B:$B, "Verduras")</f>
        <v>0</v>
      </c>
      <c r="J43" s="168">
        <f>SUMIFS('Detalle Compras Septiembre 2026'!$G:$G, 'Detalle Compras Septiembre 2026'!$A:$A, B43, 'Detalle Compras Septiembre 2026'!$B:$B, "Grano")</f>
        <v>0</v>
      </c>
      <c r="K43" s="168">
        <f>SUMIFS('Detalle Compras Septiembre 2026'!$G:$G, 'Detalle Compras Septiembre 2026'!$A:$A, B43, 'Detalle Compras Septiembre 2026'!$B:$B, "Bebidas")</f>
        <v>0</v>
      </c>
      <c r="L43" s="168">
        <f>SUMIFS('Detalle Compras Septiembre 2026'!$G:$G, 'Detalle Compras Septiembre 2026'!$A:$A, B43, 'Detalle Compras Septiembre 2026'!$B:$B, "Desechables")</f>
        <v>0</v>
      </c>
      <c r="M43" s="168">
        <f>SUMIFS('Detalle Compras Septiembre 2026'!$G:$G, 'Detalle Compras Septiembre 2026'!$A:$A, B43, 'Detalle Compras Septiembre 2026'!$B:$B, "Servicios")</f>
        <v>0</v>
      </c>
      <c r="N43" s="167">
        <f>COUNTIFS('Detalle Compras Septiembre 2026'!$A:$A, B43)</f>
        <v>7</v>
      </c>
    </row>
    <row r="44" spans="1:14" ht="12.95" customHeight="1">
      <c r="B44" s="243">
        <v>17</v>
      </c>
      <c r="C44" s="181">
        <f t="shared" si="2"/>
        <v>0</v>
      </c>
      <c r="D44" s="182">
        <f>SUMIFS('Detalle Compras Septiembre 2026'!$G:$G, 'Detalle Compras Septiembre 2026'!$A:$A, B44, 'Detalle Compras Septiembre 2026'!$B:$B, "Servicios")+SUMIFS('Detalle Compras Septiembre 2026'!$G:$G, 'Detalle Compras Septiembre 2026'!$A:$A, B44, 'Detalle Compras Septiembre 2026'!$B:$B, "Mantenimiento")+SUMIFS('Detalle Compras Septiembre 2026'!$G:$G, 'Detalle Compras Septiembre 2026'!$A:$A, B44, 'Detalle Compras Septiembre 2026'!$B:$B, "Gastos Administrativos")+SUMIFS('Detalle Compras Septiembre 2026'!$G:$G, 'Detalle Compras Septiembre 2026'!$A:$A, B44, 'Detalle Compras Septiembre 2026'!$B:$B, "Gastos")+SUMIFS('Detalle Compras Septiembre 2026'!$G:$G, 'Detalle Compras Septiembre 2026'!$A:$A, B44, 'Detalle Compras Septiembre 2026'!$B:$B, "Servicios Públicos")+SUMIFS('Detalle Compras Septiembre 2026'!$G:$G, 'Detalle Compras Septiembre 2026'!$A:$A, B44, 'Detalle Compras Septiembre 2026'!$B:$B, "Transporte")+SUMIFS('Detalle Compras Septiembre 2026'!$G:$G, 'Detalle Compras Septiembre 2026'!$A:$A, B44, 'Detalle Compras Septiembre 2026'!$B:$B, "Nómina")</f>
        <v>0</v>
      </c>
      <c r="E44" s="183">
        <f>SUMIFS('Detalle Compras Septiembre 2026'!$G:$G, 'Detalle Compras Septiembre 2026'!$A:$A, B44)</f>
        <v>0</v>
      </c>
      <c r="F44" s="245">
        <f t="shared" si="3"/>
        <v>0</v>
      </c>
      <c r="G44" s="245">
        <f t="shared" si="4"/>
        <v>0</v>
      </c>
      <c r="H44" s="164">
        <f>SUMIFS('Detalle Compras Septiembre 2026'!$G:$G, 'Detalle Compras Septiembre 2026'!$A:$A, B44, 'Detalle Compras Septiembre 2026'!$B:$B, "Carnes")</f>
        <v>0</v>
      </c>
      <c r="I44" s="164">
        <f>SUMIFS('Detalle Compras Septiembre 2026'!$G:$G, 'Detalle Compras Septiembre 2026'!$A:$A, B44, 'Detalle Compras Septiembre 2026'!$B:$B, "Verduras")</f>
        <v>0</v>
      </c>
      <c r="J44" s="164">
        <f>SUMIFS('Detalle Compras Septiembre 2026'!$G:$G, 'Detalle Compras Septiembre 2026'!$A:$A, B44, 'Detalle Compras Septiembre 2026'!$B:$B, "Grano")</f>
        <v>0</v>
      </c>
      <c r="K44" s="164">
        <f>SUMIFS('Detalle Compras Septiembre 2026'!$G:$G, 'Detalle Compras Septiembre 2026'!$A:$A, B44, 'Detalle Compras Septiembre 2026'!$B:$B, "Bebidas")</f>
        <v>0</v>
      </c>
      <c r="L44" s="164">
        <f>SUMIFS('Detalle Compras Septiembre 2026'!$G:$G, 'Detalle Compras Septiembre 2026'!$A:$A, B44, 'Detalle Compras Septiembre 2026'!$B:$B, "Desechables")</f>
        <v>0</v>
      </c>
      <c r="M44" s="164">
        <f>SUMIFS('Detalle Compras Septiembre 2026'!$G:$G, 'Detalle Compras Septiembre 2026'!$A:$A, B44, 'Detalle Compras Septiembre 2026'!$B:$B, "Servicios")</f>
        <v>0</v>
      </c>
      <c r="N44" s="163">
        <f>COUNTIFS('Detalle Compras Septiembre 2026'!$A:$A, B44)</f>
        <v>0</v>
      </c>
    </row>
    <row r="45" spans="1:14" ht="12.95" customHeight="1">
      <c r="B45" s="166">
        <v>18</v>
      </c>
      <c r="C45" s="168">
        <f t="shared" si="2"/>
        <v>0</v>
      </c>
      <c r="D45" s="168">
        <f>SUMIFS('Detalle Compras Septiembre 2026'!$G:$G, 'Detalle Compras Septiembre 2026'!$A:$A, B45, 'Detalle Compras Septiembre 2026'!$B:$B, "Servicios")+SUMIFS('Detalle Compras Septiembre 2026'!$G:$G, 'Detalle Compras Septiembre 2026'!$A:$A, B45, 'Detalle Compras Septiembre 2026'!$B:$B, "Mantenimiento")+SUMIFS('Detalle Compras Septiembre 2026'!$G:$G, 'Detalle Compras Septiembre 2026'!$A:$A, B45, 'Detalle Compras Septiembre 2026'!$B:$B, "Gastos Administrativos")+SUMIFS('Detalle Compras Septiembre 2026'!$G:$G, 'Detalle Compras Septiembre 2026'!$A:$A, B45, 'Detalle Compras Septiembre 2026'!$B:$B, "Gastos")+SUMIFS('Detalle Compras Septiembre 2026'!$G:$G, 'Detalle Compras Septiembre 2026'!$A:$A, B45, 'Detalle Compras Septiembre 2026'!$B:$B, "Servicios Públicos")+SUMIFS('Detalle Compras Septiembre 2026'!$G:$G, 'Detalle Compras Septiembre 2026'!$A:$A, B45, 'Detalle Compras Septiembre 2026'!$B:$B, "Transporte")+SUMIFS('Detalle Compras Septiembre 2026'!$G:$G, 'Detalle Compras Septiembre 2026'!$A:$A, B45, 'Detalle Compras Septiembre 2026'!$B:$B, "Nómina")</f>
        <v>0</v>
      </c>
      <c r="E45" s="168">
        <f>SUMIFS('Detalle Compras Septiembre 2026'!$G:$G, 'Detalle Compras Septiembre 2026'!$A:$A, B45)</f>
        <v>0</v>
      </c>
      <c r="F45" s="246">
        <f t="shared" si="3"/>
        <v>0</v>
      </c>
      <c r="G45" s="246">
        <f t="shared" si="4"/>
        <v>0</v>
      </c>
      <c r="H45" s="168">
        <f>SUMIFS('Detalle Compras Septiembre 2026'!$G:$G, 'Detalle Compras Septiembre 2026'!$A:$A, B45, 'Detalle Compras Septiembre 2026'!$B:$B, "Carnes")</f>
        <v>0</v>
      </c>
      <c r="I45" s="168">
        <f>SUMIFS('Detalle Compras Septiembre 2026'!$G:$G, 'Detalle Compras Septiembre 2026'!$A:$A, B45, 'Detalle Compras Septiembre 2026'!$B:$B, "Verduras")</f>
        <v>0</v>
      </c>
      <c r="J45" s="168">
        <f>SUMIFS('Detalle Compras Septiembre 2026'!$G:$G, 'Detalle Compras Septiembre 2026'!$A:$A, B45, 'Detalle Compras Septiembre 2026'!$B:$B, "Grano")</f>
        <v>0</v>
      </c>
      <c r="K45" s="168">
        <f>SUMIFS('Detalle Compras Septiembre 2026'!$G:$G, 'Detalle Compras Septiembre 2026'!$A:$A, B45, 'Detalle Compras Septiembre 2026'!$B:$B, "Bebidas")</f>
        <v>0</v>
      </c>
      <c r="L45" s="168">
        <f>SUMIFS('Detalle Compras Septiembre 2026'!$G:$G, 'Detalle Compras Septiembre 2026'!$A:$A, B45, 'Detalle Compras Septiembre 2026'!$B:$B, "Desechables")</f>
        <v>0</v>
      </c>
      <c r="M45" s="168">
        <f>SUMIFS('Detalle Compras Septiembre 2026'!$G:$G, 'Detalle Compras Septiembre 2026'!$A:$A, B45, 'Detalle Compras Septiembre 2026'!$B:$B, "Servicios")</f>
        <v>0</v>
      </c>
      <c r="N45" s="167">
        <f>COUNTIFS('Detalle Compras Septiembre 2026'!$A:$A, B45)</f>
        <v>0</v>
      </c>
    </row>
    <row r="46" spans="1:14" ht="12.95" customHeight="1">
      <c r="B46" s="243">
        <v>19</v>
      </c>
      <c r="C46" s="181">
        <f t="shared" si="2"/>
        <v>0</v>
      </c>
      <c r="D46" s="182">
        <f>SUMIFS('Detalle Compras Septiembre 2026'!$G:$G, 'Detalle Compras Septiembre 2026'!$A:$A, B46, 'Detalle Compras Septiembre 2026'!$B:$B, "Servicios")+SUMIFS('Detalle Compras Septiembre 2026'!$G:$G, 'Detalle Compras Septiembre 2026'!$A:$A, B46, 'Detalle Compras Septiembre 2026'!$B:$B, "Mantenimiento")+SUMIFS('Detalle Compras Septiembre 2026'!$G:$G, 'Detalle Compras Septiembre 2026'!$A:$A, B46, 'Detalle Compras Septiembre 2026'!$B:$B, "Gastos Administrativos")+SUMIFS('Detalle Compras Septiembre 2026'!$G:$G, 'Detalle Compras Septiembre 2026'!$A:$A, B46, 'Detalle Compras Septiembre 2026'!$B:$B, "Gastos")+SUMIFS('Detalle Compras Septiembre 2026'!$G:$G, 'Detalle Compras Septiembre 2026'!$A:$A, B46, 'Detalle Compras Septiembre 2026'!$B:$B, "Servicios Públicos")+SUMIFS('Detalle Compras Septiembre 2026'!$G:$G, 'Detalle Compras Septiembre 2026'!$A:$A, B46, 'Detalle Compras Septiembre 2026'!$B:$B, "Transporte")+SUMIFS('Detalle Compras Septiembre 2026'!$G:$G, 'Detalle Compras Septiembre 2026'!$A:$A, B46, 'Detalle Compras Septiembre 2026'!$B:$B, "Nómina")</f>
        <v>0</v>
      </c>
      <c r="E46" s="183">
        <f>SUMIFS('Detalle Compras Septiembre 2026'!$G:$G, 'Detalle Compras Septiembre 2026'!$A:$A, B46)</f>
        <v>0</v>
      </c>
      <c r="F46" s="245">
        <f t="shared" si="3"/>
        <v>0</v>
      </c>
      <c r="G46" s="245">
        <f t="shared" si="4"/>
        <v>0</v>
      </c>
      <c r="H46" s="164">
        <f>SUMIFS('Detalle Compras Septiembre 2026'!$G:$G, 'Detalle Compras Septiembre 2026'!$A:$A, B46, 'Detalle Compras Septiembre 2026'!$B:$B, "Carnes")</f>
        <v>0</v>
      </c>
      <c r="I46" s="164">
        <f>SUMIFS('Detalle Compras Septiembre 2026'!$G:$G, 'Detalle Compras Septiembre 2026'!$A:$A, B46, 'Detalle Compras Septiembre 2026'!$B:$B, "Verduras")</f>
        <v>0</v>
      </c>
      <c r="J46" s="164">
        <f>SUMIFS('Detalle Compras Septiembre 2026'!$G:$G, 'Detalle Compras Septiembre 2026'!$A:$A, B46, 'Detalle Compras Septiembre 2026'!$B:$B, "Grano")</f>
        <v>0</v>
      </c>
      <c r="K46" s="164">
        <f>SUMIFS('Detalle Compras Septiembre 2026'!$G:$G, 'Detalle Compras Septiembre 2026'!$A:$A, B46, 'Detalle Compras Septiembre 2026'!$B:$B, "Bebidas")</f>
        <v>0</v>
      </c>
      <c r="L46" s="164">
        <f>SUMIFS('Detalle Compras Septiembre 2026'!$G:$G, 'Detalle Compras Septiembre 2026'!$A:$A, B46, 'Detalle Compras Septiembre 2026'!$B:$B, "Desechables")</f>
        <v>0</v>
      </c>
      <c r="M46" s="164">
        <f>SUMIFS('Detalle Compras Septiembre 2026'!$G:$G, 'Detalle Compras Septiembre 2026'!$A:$A, B46, 'Detalle Compras Septiembre 2026'!$B:$B, "Servicios")</f>
        <v>0</v>
      </c>
      <c r="N46" s="163">
        <f>COUNTIFS('Detalle Compras Septiembre 2026'!$A:$A, B46)</f>
        <v>0</v>
      </c>
    </row>
    <row r="47" spans="1:14" ht="12.95" customHeight="1">
      <c r="B47" s="166">
        <v>20</v>
      </c>
      <c r="C47" s="168">
        <f t="shared" si="2"/>
        <v>0</v>
      </c>
      <c r="D47" s="168">
        <f>SUMIFS('Detalle Compras Septiembre 2026'!$G:$G, 'Detalle Compras Septiembre 2026'!$A:$A, B47, 'Detalle Compras Septiembre 2026'!$B:$B, "Servicios")+SUMIFS('Detalle Compras Septiembre 2026'!$G:$G, 'Detalle Compras Septiembre 2026'!$A:$A, B47, 'Detalle Compras Septiembre 2026'!$B:$B, "Mantenimiento")+SUMIFS('Detalle Compras Septiembre 2026'!$G:$G, 'Detalle Compras Septiembre 2026'!$A:$A, B47, 'Detalle Compras Septiembre 2026'!$B:$B, "Gastos Administrativos")+SUMIFS('Detalle Compras Septiembre 2026'!$G:$G, 'Detalle Compras Septiembre 2026'!$A:$A, B47, 'Detalle Compras Septiembre 2026'!$B:$B, "Gastos")+SUMIFS('Detalle Compras Septiembre 2026'!$G:$G, 'Detalle Compras Septiembre 2026'!$A:$A, B47, 'Detalle Compras Septiembre 2026'!$B:$B, "Servicios Públicos")+SUMIFS('Detalle Compras Septiembre 2026'!$G:$G, 'Detalle Compras Septiembre 2026'!$A:$A, B47, 'Detalle Compras Septiembre 2026'!$B:$B, "Transporte")+SUMIFS('Detalle Compras Septiembre 2026'!$G:$G, 'Detalle Compras Septiembre 2026'!$A:$A, B47, 'Detalle Compras Septiembre 2026'!$B:$B, "Nómina")</f>
        <v>0</v>
      </c>
      <c r="E47" s="168">
        <f>SUMIFS('Detalle Compras Septiembre 2026'!$G:$G, 'Detalle Compras Septiembre 2026'!$A:$A, B47)</f>
        <v>0</v>
      </c>
      <c r="F47" s="246">
        <f t="shared" si="3"/>
        <v>0</v>
      </c>
      <c r="G47" s="246">
        <f t="shared" si="4"/>
        <v>0</v>
      </c>
      <c r="H47" s="168">
        <f>SUMIFS('Detalle Compras Septiembre 2026'!$G:$G, 'Detalle Compras Septiembre 2026'!$A:$A, B47, 'Detalle Compras Septiembre 2026'!$B:$B, "Carnes")</f>
        <v>0</v>
      </c>
      <c r="I47" s="168">
        <f>SUMIFS('Detalle Compras Septiembre 2026'!$G:$G, 'Detalle Compras Septiembre 2026'!$A:$A, B47, 'Detalle Compras Septiembre 2026'!$B:$B, "Verduras")</f>
        <v>0</v>
      </c>
      <c r="J47" s="168">
        <f>SUMIFS('Detalle Compras Septiembre 2026'!$G:$G, 'Detalle Compras Septiembre 2026'!$A:$A, B47, 'Detalle Compras Septiembre 2026'!$B:$B, "Grano")</f>
        <v>0</v>
      </c>
      <c r="K47" s="168">
        <f>SUMIFS('Detalle Compras Septiembre 2026'!$G:$G, 'Detalle Compras Septiembre 2026'!$A:$A, B47, 'Detalle Compras Septiembre 2026'!$B:$B, "Bebidas")</f>
        <v>0</v>
      </c>
      <c r="L47" s="168">
        <f>SUMIFS('Detalle Compras Septiembre 2026'!$G:$G, 'Detalle Compras Septiembre 2026'!$A:$A, B47, 'Detalle Compras Septiembre 2026'!$B:$B, "Desechables")</f>
        <v>0</v>
      </c>
      <c r="M47" s="168">
        <f>SUMIFS('Detalle Compras Septiembre 2026'!$G:$G, 'Detalle Compras Septiembre 2026'!$A:$A, B47, 'Detalle Compras Septiembre 2026'!$B:$B, "Servicios")</f>
        <v>0</v>
      </c>
      <c r="N47" s="167">
        <f>COUNTIFS('Detalle Compras Septiembre 2026'!$A:$A, B47)</f>
        <v>0</v>
      </c>
    </row>
    <row r="48" spans="1:14" ht="12.95" customHeight="1">
      <c r="B48" s="243">
        <v>21</v>
      </c>
      <c r="C48" s="181">
        <f t="shared" si="2"/>
        <v>0</v>
      </c>
      <c r="D48" s="182">
        <f>SUMIFS('Detalle Compras Septiembre 2026'!$G:$G, 'Detalle Compras Septiembre 2026'!$A:$A, B48, 'Detalle Compras Septiembre 2026'!$B:$B, "Servicios")+SUMIFS('Detalle Compras Septiembre 2026'!$G:$G, 'Detalle Compras Septiembre 2026'!$A:$A, B48, 'Detalle Compras Septiembre 2026'!$B:$B, "Mantenimiento")+SUMIFS('Detalle Compras Septiembre 2026'!$G:$G, 'Detalle Compras Septiembre 2026'!$A:$A, B48, 'Detalle Compras Septiembre 2026'!$B:$B, "Gastos Administrativos")+SUMIFS('Detalle Compras Septiembre 2026'!$G:$G, 'Detalle Compras Septiembre 2026'!$A:$A, B48, 'Detalle Compras Septiembre 2026'!$B:$B, "Gastos")+SUMIFS('Detalle Compras Septiembre 2026'!$G:$G, 'Detalle Compras Septiembre 2026'!$A:$A, B48, 'Detalle Compras Septiembre 2026'!$B:$B, "Servicios Públicos")+SUMIFS('Detalle Compras Septiembre 2026'!$G:$G, 'Detalle Compras Septiembre 2026'!$A:$A, B48, 'Detalle Compras Septiembre 2026'!$B:$B, "Transporte")+SUMIFS('Detalle Compras Septiembre 2026'!$G:$G, 'Detalle Compras Septiembre 2026'!$A:$A, B48, 'Detalle Compras Septiembre 2026'!$B:$B, "Nómina")</f>
        <v>0</v>
      </c>
      <c r="E48" s="183">
        <f>SUMIFS('Detalle Compras Septiembre 2026'!$G:$G, 'Detalle Compras Septiembre 2026'!$A:$A, B48)</f>
        <v>0</v>
      </c>
      <c r="F48" s="245">
        <f t="shared" si="3"/>
        <v>0</v>
      </c>
      <c r="G48" s="245">
        <f t="shared" si="4"/>
        <v>0</v>
      </c>
      <c r="H48" s="164">
        <f>SUMIFS('Detalle Compras Septiembre 2026'!$G:$G, 'Detalle Compras Septiembre 2026'!$A:$A, B48, 'Detalle Compras Septiembre 2026'!$B:$B, "Carnes")</f>
        <v>0</v>
      </c>
      <c r="I48" s="164">
        <f>SUMIFS('Detalle Compras Septiembre 2026'!$G:$G, 'Detalle Compras Septiembre 2026'!$A:$A, B48, 'Detalle Compras Septiembre 2026'!$B:$B, "Verduras")</f>
        <v>0</v>
      </c>
      <c r="J48" s="164">
        <f>SUMIFS('Detalle Compras Septiembre 2026'!$G:$G, 'Detalle Compras Septiembre 2026'!$A:$A, B48, 'Detalle Compras Septiembre 2026'!$B:$B, "Grano")</f>
        <v>0</v>
      </c>
      <c r="K48" s="164">
        <f>SUMIFS('Detalle Compras Septiembre 2026'!$G:$G, 'Detalle Compras Septiembre 2026'!$A:$A, B48, 'Detalle Compras Septiembre 2026'!$B:$B, "Bebidas")</f>
        <v>0</v>
      </c>
      <c r="L48" s="164">
        <f>SUMIFS('Detalle Compras Septiembre 2026'!$G:$G, 'Detalle Compras Septiembre 2026'!$A:$A, B48, 'Detalle Compras Septiembre 2026'!$B:$B, "Desechables")</f>
        <v>0</v>
      </c>
      <c r="M48" s="164">
        <f>SUMIFS('Detalle Compras Septiembre 2026'!$G:$G, 'Detalle Compras Septiembre 2026'!$A:$A, B48, 'Detalle Compras Septiembre 2026'!$B:$B, "Servicios")</f>
        <v>0</v>
      </c>
      <c r="N48" s="163">
        <f>COUNTIFS('Detalle Compras Septiembre 2026'!$A:$A, B48)</f>
        <v>0</v>
      </c>
    </row>
    <row r="49" spans="1:15" ht="12.95" customHeight="1">
      <c r="B49" s="166">
        <v>22</v>
      </c>
      <c r="C49" s="168">
        <f t="shared" si="2"/>
        <v>0</v>
      </c>
      <c r="D49" s="168">
        <f>SUMIFS('Detalle Compras Septiembre 2026'!$G:$G, 'Detalle Compras Septiembre 2026'!$A:$A, B49, 'Detalle Compras Septiembre 2026'!$B:$B, "Servicios")+SUMIFS('Detalle Compras Septiembre 2026'!$G:$G, 'Detalle Compras Septiembre 2026'!$A:$A, B49, 'Detalle Compras Septiembre 2026'!$B:$B, "Mantenimiento")+SUMIFS('Detalle Compras Septiembre 2026'!$G:$G, 'Detalle Compras Septiembre 2026'!$A:$A, B49, 'Detalle Compras Septiembre 2026'!$B:$B, "Gastos Administrativos")+SUMIFS('Detalle Compras Septiembre 2026'!$G:$G, 'Detalle Compras Septiembre 2026'!$A:$A, B49, 'Detalle Compras Septiembre 2026'!$B:$B, "Gastos")+SUMIFS('Detalle Compras Septiembre 2026'!$G:$G, 'Detalle Compras Septiembre 2026'!$A:$A, B49, 'Detalle Compras Septiembre 2026'!$B:$B, "Servicios Públicos")+SUMIFS('Detalle Compras Septiembre 2026'!$G:$G, 'Detalle Compras Septiembre 2026'!$A:$A, B49, 'Detalle Compras Septiembre 2026'!$B:$B, "Transporte")+SUMIFS('Detalle Compras Septiembre 2026'!$G:$G, 'Detalle Compras Septiembre 2026'!$A:$A, B49, 'Detalle Compras Septiembre 2026'!$B:$B, "Nómina")</f>
        <v>0</v>
      </c>
      <c r="E49" s="168">
        <f>SUMIFS('Detalle Compras Septiembre 2026'!$G:$G, 'Detalle Compras Septiembre 2026'!$A:$A, B49)</f>
        <v>0</v>
      </c>
      <c r="F49" s="246">
        <f t="shared" si="3"/>
        <v>0</v>
      </c>
      <c r="G49" s="246">
        <f t="shared" si="4"/>
        <v>0</v>
      </c>
      <c r="H49" s="168">
        <f>SUMIFS('Detalle Compras Septiembre 2026'!$G:$G, 'Detalle Compras Septiembre 2026'!$A:$A, B49, 'Detalle Compras Septiembre 2026'!$B:$B, "Carnes")</f>
        <v>0</v>
      </c>
      <c r="I49" s="168">
        <f>SUMIFS('Detalle Compras Septiembre 2026'!$G:$G, 'Detalle Compras Septiembre 2026'!$A:$A, B49, 'Detalle Compras Septiembre 2026'!$B:$B, "Verduras")</f>
        <v>0</v>
      </c>
      <c r="J49" s="168">
        <f>SUMIFS('Detalle Compras Septiembre 2026'!$G:$G, 'Detalle Compras Septiembre 2026'!$A:$A, B49, 'Detalle Compras Septiembre 2026'!$B:$B, "Grano")</f>
        <v>0</v>
      </c>
      <c r="K49" s="168">
        <f>SUMIFS('Detalle Compras Septiembre 2026'!$G:$G, 'Detalle Compras Septiembre 2026'!$A:$A, B49, 'Detalle Compras Septiembre 2026'!$B:$B, "Bebidas")</f>
        <v>0</v>
      </c>
      <c r="L49" s="168">
        <f>SUMIFS('Detalle Compras Septiembre 2026'!$G:$G, 'Detalle Compras Septiembre 2026'!$A:$A, B49, 'Detalle Compras Septiembre 2026'!$B:$B, "Desechables")</f>
        <v>0</v>
      </c>
      <c r="M49" s="168">
        <f>SUMIFS('Detalle Compras Septiembre 2026'!$G:$G, 'Detalle Compras Septiembre 2026'!$A:$A, B49, 'Detalle Compras Septiembre 2026'!$B:$B, "Servicios")</f>
        <v>0</v>
      </c>
      <c r="N49" s="167">
        <f>COUNTIFS('Detalle Compras Septiembre 2026'!$A:$A, B49)</f>
        <v>0</v>
      </c>
    </row>
    <row r="50" spans="1:15" ht="12.95" customHeight="1">
      <c r="B50" s="243">
        <v>23</v>
      </c>
      <c r="C50" s="181">
        <f t="shared" si="2"/>
        <v>0</v>
      </c>
      <c r="D50" s="182">
        <f>SUMIFS('Detalle Compras Septiembre 2026'!$G:$G, 'Detalle Compras Septiembre 2026'!$A:$A, B50, 'Detalle Compras Septiembre 2026'!$B:$B, "Servicios")+SUMIFS('Detalle Compras Septiembre 2026'!$G:$G, 'Detalle Compras Septiembre 2026'!$A:$A, B50, 'Detalle Compras Septiembre 2026'!$B:$B, "Mantenimiento")+SUMIFS('Detalle Compras Septiembre 2026'!$G:$G, 'Detalle Compras Septiembre 2026'!$A:$A, B50, 'Detalle Compras Septiembre 2026'!$B:$B, "Gastos Administrativos")+SUMIFS('Detalle Compras Septiembre 2026'!$G:$G, 'Detalle Compras Septiembre 2026'!$A:$A, B50, 'Detalle Compras Septiembre 2026'!$B:$B, "Gastos")+SUMIFS('Detalle Compras Septiembre 2026'!$G:$G, 'Detalle Compras Septiembre 2026'!$A:$A, B50, 'Detalle Compras Septiembre 2026'!$B:$B, "Servicios Públicos")+SUMIFS('Detalle Compras Septiembre 2026'!$G:$G, 'Detalle Compras Septiembre 2026'!$A:$A, B50, 'Detalle Compras Septiembre 2026'!$B:$B, "Transporte")+SUMIFS('Detalle Compras Septiembre 2026'!$G:$G, 'Detalle Compras Septiembre 2026'!$A:$A, B50, 'Detalle Compras Septiembre 2026'!$B:$B, "Nómina")</f>
        <v>0</v>
      </c>
      <c r="E50" s="183">
        <f>SUMIFS('Detalle Compras Septiembre 2026'!$G:$G, 'Detalle Compras Septiembre 2026'!$A:$A, B50)</f>
        <v>0</v>
      </c>
      <c r="F50" s="245">
        <f t="shared" si="3"/>
        <v>0</v>
      </c>
      <c r="G50" s="245">
        <f t="shared" si="4"/>
        <v>0</v>
      </c>
      <c r="H50" s="164">
        <f>SUMIFS('Detalle Compras Septiembre 2026'!$G:$G, 'Detalle Compras Septiembre 2026'!$A:$A, B50, 'Detalle Compras Septiembre 2026'!$B:$B, "Carnes")</f>
        <v>0</v>
      </c>
      <c r="I50" s="164">
        <f>SUMIFS('Detalle Compras Septiembre 2026'!$G:$G, 'Detalle Compras Septiembre 2026'!$A:$A, B50, 'Detalle Compras Septiembre 2026'!$B:$B, "Verduras")</f>
        <v>0</v>
      </c>
      <c r="J50" s="164">
        <f>SUMIFS('Detalle Compras Septiembre 2026'!$G:$G, 'Detalle Compras Septiembre 2026'!$A:$A, B50, 'Detalle Compras Septiembre 2026'!$B:$B, "Grano")</f>
        <v>0</v>
      </c>
      <c r="K50" s="164">
        <f>SUMIFS('Detalle Compras Septiembre 2026'!$G:$G, 'Detalle Compras Septiembre 2026'!$A:$A, B50, 'Detalle Compras Septiembre 2026'!$B:$B, "Bebidas")</f>
        <v>0</v>
      </c>
      <c r="L50" s="164">
        <f>SUMIFS('Detalle Compras Septiembre 2026'!$G:$G, 'Detalle Compras Septiembre 2026'!$A:$A, B50, 'Detalle Compras Septiembre 2026'!$B:$B, "Desechables")</f>
        <v>0</v>
      </c>
      <c r="M50" s="164">
        <f>SUMIFS('Detalle Compras Septiembre 2026'!$G:$G, 'Detalle Compras Septiembre 2026'!$A:$A, B50, 'Detalle Compras Septiembre 2026'!$B:$B, "Servicios")</f>
        <v>0</v>
      </c>
      <c r="N50" s="163">
        <f>COUNTIFS('Detalle Compras Septiembre 2026'!$A:$A, B50)</f>
        <v>0</v>
      </c>
    </row>
    <row r="51" spans="1:15" ht="12.95" customHeight="1">
      <c r="B51" s="166">
        <v>24</v>
      </c>
      <c r="C51" s="168">
        <f t="shared" si="2"/>
        <v>0</v>
      </c>
      <c r="D51" s="168">
        <f>SUMIFS('Detalle Compras Septiembre 2026'!$G:$G, 'Detalle Compras Septiembre 2026'!$A:$A, B51, 'Detalle Compras Septiembre 2026'!$B:$B, "Servicios")+SUMIFS('Detalle Compras Septiembre 2026'!$G:$G, 'Detalle Compras Septiembre 2026'!$A:$A, B51, 'Detalle Compras Septiembre 2026'!$B:$B, "Mantenimiento")+SUMIFS('Detalle Compras Septiembre 2026'!$G:$G, 'Detalle Compras Septiembre 2026'!$A:$A, B51, 'Detalle Compras Septiembre 2026'!$B:$B, "Gastos Administrativos")+SUMIFS('Detalle Compras Septiembre 2026'!$G:$G, 'Detalle Compras Septiembre 2026'!$A:$A, B51, 'Detalle Compras Septiembre 2026'!$B:$B, "Gastos")+SUMIFS('Detalle Compras Septiembre 2026'!$G:$G, 'Detalle Compras Septiembre 2026'!$A:$A, B51, 'Detalle Compras Septiembre 2026'!$B:$B, "Servicios Públicos")+SUMIFS('Detalle Compras Septiembre 2026'!$G:$G, 'Detalle Compras Septiembre 2026'!$A:$A, B51, 'Detalle Compras Septiembre 2026'!$B:$B, "Transporte")+SUMIFS('Detalle Compras Septiembre 2026'!$G:$G, 'Detalle Compras Septiembre 2026'!$A:$A, B51, 'Detalle Compras Septiembre 2026'!$B:$B, "Nómina")</f>
        <v>0</v>
      </c>
      <c r="E51" s="168">
        <f>SUMIFS('Detalle Compras Septiembre 2026'!$G:$G, 'Detalle Compras Septiembre 2026'!$A:$A, B51)</f>
        <v>0</v>
      </c>
      <c r="F51" s="246">
        <f t="shared" si="3"/>
        <v>0</v>
      </c>
      <c r="G51" s="246">
        <f t="shared" si="4"/>
        <v>0</v>
      </c>
      <c r="H51" s="168">
        <f>SUMIFS('Detalle Compras Septiembre 2026'!$G:$G, 'Detalle Compras Septiembre 2026'!$A:$A, B51, 'Detalle Compras Septiembre 2026'!$B:$B, "Carnes")</f>
        <v>0</v>
      </c>
      <c r="I51" s="168">
        <f>SUMIFS('Detalle Compras Septiembre 2026'!$G:$G, 'Detalle Compras Septiembre 2026'!$A:$A, B51, 'Detalle Compras Septiembre 2026'!$B:$B, "Verduras")</f>
        <v>0</v>
      </c>
      <c r="J51" s="168">
        <f>SUMIFS('Detalle Compras Septiembre 2026'!$G:$G, 'Detalle Compras Septiembre 2026'!$A:$A, B51, 'Detalle Compras Septiembre 2026'!$B:$B, "Grano")</f>
        <v>0</v>
      </c>
      <c r="K51" s="168">
        <f>SUMIFS('Detalle Compras Septiembre 2026'!$G:$G, 'Detalle Compras Septiembre 2026'!$A:$A, B51, 'Detalle Compras Septiembre 2026'!$B:$B, "Bebidas")</f>
        <v>0</v>
      </c>
      <c r="L51" s="168">
        <f>SUMIFS('Detalle Compras Septiembre 2026'!$G:$G, 'Detalle Compras Septiembre 2026'!$A:$A, B51, 'Detalle Compras Septiembre 2026'!$B:$B, "Desechables")</f>
        <v>0</v>
      </c>
      <c r="M51" s="168">
        <f>SUMIFS('Detalle Compras Septiembre 2026'!$G:$G, 'Detalle Compras Septiembre 2026'!$A:$A, B51, 'Detalle Compras Septiembre 2026'!$B:$B, "Servicios")</f>
        <v>0</v>
      </c>
      <c r="N51" s="167">
        <f>COUNTIFS('Detalle Compras Septiembre 2026'!$A:$A, B51)</f>
        <v>0</v>
      </c>
    </row>
    <row r="52" spans="1:15" ht="12.95" customHeight="1">
      <c r="B52" s="243">
        <v>25</v>
      </c>
      <c r="C52" s="181">
        <f t="shared" si="2"/>
        <v>0</v>
      </c>
      <c r="D52" s="182">
        <f>SUMIFS('Detalle Compras Septiembre 2026'!$G:$G, 'Detalle Compras Septiembre 2026'!$A:$A, B52, 'Detalle Compras Septiembre 2026'!$B:$B, "Servicios")+SUMIFS('Detalle Compras Septiembre 2026'!$G:$G, 'Detalle Compras Septiembre 2026'!$A:$A, B52, 'Detalle Compras Septiembre 2026'!$B:$B, "Mantenimiento")+SUMIFS('Detalle Compras Septiembre 2026'!$G:$G, 'Detalle Compras Septiembre 2026'!$A:$A, B52, 'Detalle Compras Septiembre 2026'!$B:$B, "Gastos Administrativos")+SUMIFS('Detalle Compras Septiembre 2026'!$G:$G, 'Detalle Compras Septiembre 2026'!$A:$A, B52, 'Detalle Compras Septiembre 2026'!$B:$B, "Gastos")+SUMIFS('Detalle Compras Septiembre 2026'!$G:$G, 'Detalle Compras Septiembre 2026'!$A:$A, B52, 'Detalle Compras Septiembre 2026'!$B:$B, "Servicios Públicos")+SUMIFS('Detalle Compras Septiembre 2026'!$G:$G, 'Detalle Compras Septiembre 2026'!$A:$A, B52, 'Detalle Compras Septiembre 2026'!$B:$B, "Transporte")+SUMIFS('Detalle Compras Septiembre 2026'!$G:$G, 'Detalle Compras Septiembre 2026'!$A:$A, B52, 'Detalle Compras Septiembre 2026'!$B:$B, "Nómina")</f>
        <v>0</v>
      </c>
      <c r="E52" s="183">
        <f>SUMIFS('Detalle Compras Septiembre 2026'!$G:$G, 'Detalle Compras Septiembre 2026'!$A:$A, B52)</f>
        <v>0</v>
      </c>
      <c r="F52" s="245">
        <f t="shared" si="3"/>
        <v>0</v>
      </c>
      <c r="G52" s="245">
        <f t="shared" si="4"/>
        <v>0</v>
      </c>
      <c r="H52" s="164">
        <f>SUMIFS('Detalle Compras Septiembre 2026'!$G:$G, 'Detalle Compras Septiembre 2026'!$A:$A, B52, 'Detalle Compras Septiembre 2026'!$B:$B, "Carnes")</f>
        <v>0</v>
      </c>
      <c r="I52" s="164">
        <f>SUMIFS('Detalle Compras Septiembre 2026'!$G:$G, 'Detalle Compras Septiembre 2026'!$A:$A, B52, 'Detalle Compras Septiembre 2026'!$B:$B, "Verduras")</f>
        <v>0</v>
      </c>
      <c r="J52" s="164">
        <f>SUMIFS('Detalle Compras Septiembre 2026'!$G:$G, 'Detalle Compras Septiembre 2026'!$A:$A, B52, 'Detalle Compras Septiembre 2026'!$B:$B, "Grano")</f>
        <v>0</v>
      </c>
      <c r="K52" s="164">
        <f>SUMIFS('Detalle Compras Septiembre 2026'!$G:$G, 'Detalle Compras Septiembre 2026'!$A:$A, B52, 'Detalle Compras Septiembre 2026'!$B:$B, "Bebidas")</f>
        <v>0</v>
      </c>
      <c r="L52" s="164">
        <f>SUMIFS('Detalle Compras Septiembre 2026'!$G:$G, 'Detalle Compras Septiembre 2026'!$A:$A, B52, 'Detalle Compras Septiembre 2026'!$B:$B, "Desechables")</f>
        <v>0</v>
      </c>
      <c r="M52" s="164">
        <f>SUMIFS('Detalle Compras Septiembre 2026'!$G:$G, 'Detalle Compras Septiembre 2026'!$A:$A, B52, 'Detalle Compras Septiembre 2026'!$B:$B, "Servicios")</f>
        <v>0</v>
      </c>
      <c r="N52" s="163">
        <f>COUNTIFS('Detalle Compras Septiembre 2026'!$A:$A, B52)</f>
        <v>0</v>
      </c>
    </row>
    <row r="53" spans="1:15" ht="12.95" customHeight="1">
      <c r="B53" s="166">
        <v>26</v>
      </c>
      <c r="C53" s="168">
        <f t="shared" si="2"/>
        <v>0</v>
      </c>
      <c r="D53" s="168">
        <f>SUMIFS('Detalle Compras Septiembre 2026'!$G:$G, 'Detalle Compras Septiembre 2026'!$A:$A, B53, 'Detalle Compras Septiembre 2026'!$B:$B, "Servicios")+SUMIFS('Detalle Compras Septiembre 2026'!$G:$G, 'Detalle Compras Septiembre 2026'!$A:$A, B53, 'Detalle Compras Septiembre 2026'!$B:$B, "Mantenimiento")+SUMIFS('Detalle Compras Septiembre 2026'!$G:$G, 'Detalle Compras Septiembre 2026'!$A:$A, B53, 'Detalle Compras Septiembre 2026'!$B:$B, "Gastos Administrativos")+SUMIFS('Detalle Compras Septiembre 2026'!$G:$G, 'Detalle Compras Septiembre 2026'!$A:$A, B53, 'Detalle Compras Septiembre 2026'!$B:$B, "Gastos")+SUMIFS('Detalle Compras Septiembre 2026'!$G:$G, 'Detalle Compras Septiembre 2026'!$A:$A, B53, 'Detalle Compras Septiembre 2026'!$B:$B, "Servicios Públicos")+SUMIFS('Detalle Compras Septiembre 2026'!$G:$G, 'Detalle Compras Septiembre 2026'!$A:$A, B53, 'Detalle Compras Septiembre 2026'!$B:$B, "Transporte")+SUMIFS('Detalle Compras Septiembre 2026'!$G:$G, 'Detalle Compras Septiembre 2026'!$A:$A, B53, 'Detalle Compras Septiembre 2026'!$B:$B, "Nómina")</f>
        <v>0</v>
      </c>
      <c r="E53" s="168">
        <f>SUMIFS('Detalle Compras Septiembre 2026'!$G:$G, 'Detalle Compras Septiembre 2026'!$A:$A, B53)</f>
        <v>0</v>
      </c>
      <c r="F53" s="246">
        <f t="shared" si="3"/>
        <v>0</v>
      </c>
      <c r="G53" s="246">
        <f t="shared" si="4"/>
        <v>0</v>
      </c>
      <c r="H53" s="168">
        <f>SUMIFS('Detalle Compras Septiembre 2026'!$G:$G, 'Detalle Compras Septiembre 2026'!$A:$A, B53, 'Detalle Compras Septiembre 2026'!$B:$B, "Carnes")</f>
        <v>0</v>
      </c>
      <c r="I53" s="168">
        <f>SUMIFS('Detalle Compras Septiembre 2026'!$G:$G, 'Detalle Compras Septiembre 2026'!$A:$A, B53, 'Detalle Compras Septiembre 2026'!$B:$B, "Verduras")</f>
        <v>0</v>
      </c>
      <c r="J53" s="168">
        <f>SUMIFS('Detalle Compras Septiembre 2026'!$G:$G, 'Detalle Compras Septiembre 2026'!$A:$A, B53, 'Detalle Compras Septiembre 2026'!$B:$B, "Grano")</f>
        <v>0</v>
      </c>
      <c r="K53" s="168">
        <f>SUMIFS('Detalle Compras Septiembre 2026'!$G:$G, 'Detalle Compras Septiembre 2026'!$A:$A, B53, 'Detalle Compras Septiembre 2026'!$B:$B, "Bebidas")</f>
        <v>0</v>
      </c>
      <c r="L53" s="168">
        <f>SUMIFS('Detalle Compras Septiembre 2026'!$G:$G, 'Detalle Compras Septiembre 2026'!$A:$A, B53, 'Detalle Compras Septiembre 2026'!$B:$B, "Desechables")</f>
        <v>0</v>
      </c>
      <c r="M53" s="168">
        <f>SUMIFS('Detalle Compras Septiembre 2026'!$G:$G, 'Detalle Compras Septiembre 2026'!$A:$A, B53, 'Detalle Compras Septiembre 2026'!$B:$B, "Servicios")</f>
        <v>0</v>
      </c>
      <c r="N53" s="167">
        <f>COUNTIFS('Detalle Compras Septiembre 2026'!$A:$A, B53)</f>
        <v>0</v>
      </c>
    </row>
    <row r="54" spans="1:15" ht="12.95" customHeight="1">
      <c r="B54" s="243">
        <v>27</v>
      </c>
      <c r="C54" s="181">
        <f t="shared" si="2"/>
        <v>0</v>
      </c>
      <c r="D54" s="182">
        <f>SUMIFS('Detalle Compras Septiembre 2026'!$G:$G, 'Detalle Compras Septiembre 2026'!$A:$A, B54, 'Detalle Compras Septiembre 2026'!$B:$B, "Servicios")+SUMIFS('Detalle Compras Septiembre 2026'!$G:$G, 'Detalle Compras Septiembre 2026'!$A:$A, B54, 'Detalle Compras Septiembre 2026'!$B:$B, "Mantenimiento")+SUMIFS('Detalle Compras Septiembre 2026'!$G:$G, 'Detalle Compras Septiembre 2026'!$A:$A, B54, 'Detalle Compras Septiembre 2026'!$B:$B, "Gastos Administrativos")+SUMIFS('Detalle Compras Septiembre 2026'!$G:$G, 'Detalle Compras Septiembre 2026'!$A:$A, B54, 'Detalle Compras Septiembre 2026'!$B:$B, "Gastos")+SUMIFS('Detalle Compras Septiembre 2026'!$G:$G, 'Detalle Compras Septiembre 2026'!$A:$A, B54, 'Detalle Compras Septiembre 2026'!$B:$B, "Servicios Públicos")+SUMIFS('Detalle Compras Septiembre 2026'!$G:$G, 'Detalle Compras Septiembre 2026'!$A:$A, B54, 'Detalle Compras Septiembre 2026'!$B:$B, "Transporte")+SUMIFS('Detalle Compras Septiembre 2026'!$G:$G, 'Detalle Compras Septiembre 2026'!$A:$A, B54, 'Detalle Compras Septiembre 2026'!$B:$B, "Nómina")</f>
        <v>0</v>
      </c>
      <c r="E54" s="183">
        <f>SUMIFS('Detalle Compras Septiembre 2026'!$G:$G, 'Detalle Compras Septiembre 2026'!$A:$A, B54)</f>
        <v>0</v>
      </c>
      <c r="F54" s="245">
        <f t="shared" si="3"/>
        <v>0</v>
      </c>
      <c r="G54" s="245">
        <f t="shared" si="4"/>
        <v>0</v>
      </c>
      <c r="H54" s="164">
        <f>SUMIFS('Detalle Compras Septiembre 2026'!$G:$G, 'Detalle Compras Septiembre 2026'!$A:$A, B54, 'Detalle Compras Septiembre 2026'!$B:$B, "Carnes")</f>
        <v>0</v>
      </c>
      <c r="I54" s="164">
        <f>SUMIFS('Detalle Compras Septiembre 2026'!$G:$G, 'Detalle Compras Septiembre 2026'!$A:$A, B54, 'Detalle Compras Septiembre 2026'!$B:$B, "Verduras")</f>
        <v>0</v>
      </c>
      <c r="J54" s="164">
        <f>SUMIFS('Detalle Compras Septiembre 2026'!$G:$G, 'Detalle Compras Septiembre 2026'!$A:$A, B54, 'Detalle Compras Septiembre 2026'!$B:$B, "Grano")</f>
        <v>0</v>
      </c>
      <c r="K54" s="164">
        <f>SUMIFS('Detalle Compras Septiembre 2026'!$G:$G, 'Detalle Compras Septiembre 2026'!$A:$A, B54, 'Detalle Compras Septiembre 2026'!$B:$B, "Bebidas")</f>
        <v>0</v>
      </c>
      <c r="L54" s="164">
        <f>SUMIFS('Detalle Compras Septiembre 2026'!$G:$G, 'Detalle Compras Septiembre 2026'!$A:$A, B54, 'Detalle Compras Septiembre 2026'!$B:$B, "Desechables")</f>
        <v>0</v>
      </c>
      <c r="M54" s="164">
        <f>SUMIFS('Detalle Compras Septiembre 2026'!$G:$G, 'Detalle Compras Septiembre 2026'!$A:$A, B54, 'Detalle Compras Septiembre 2026'!$B:$B, "Servicios")</f>
        <v>0</v>
      </c>
      <c r="N54" s="163">
        <f>COUNTIFS('Detalle Compras Septiembre 2026'!$A:$A, B54)</f>
        <v>0</v>
      </c>
    </row>
    <row r="55" spans="1:15" ht="12.95" customHeight="1">
      <c r="B55" s="166">
        <v>28</v>
      </c>
      <c r="C55" s="168">
        <f t="shared" si="2"/>
        <v>0</v>
      </c>
      <c r="D55" s="168">
        <f>SUMIFS('Detalle Compras Septiembre 2026'!$G:$G, 'Detalle Compras Septiembre 2026'!$A:$A, B55, 'Detalle Compras Septiembre 2026'!$B:$B, "Servicios")+SUMIFS('Detalle Compras Septiembre 2026'!$G:$G, 'Detalle Compras Septiembre 2026'!$A:$A, B55, 'Detalle Compras Septiembre 2026'!$B:$B, "Mantenimiento")+SUMIFS('Detalle Compras Septiembre 2026'!$G:$G, 'Detalle Compras Septiembre 2026'!$A:$A, B55, 'Detalle Compras Septiembre 2026'!$B:$B, "Gastos Administrativos")+SUMIFS('Detalle Compras Septiembre 2026'!$G:$G, 'Detalle Compras Septiembre 2026'!$A:$A, B55, 'Detalle Compras Septiembre 2026'!$B:$B, "Gastos")+SUMIFS('Detalle Compras Septiembre 2026'!$G:$G, 'Detalle Compras Septiembre 2026'!$A:$A, B55, 'Detalle Compras Septiembre 2026'!$B:$B, "Servicios Públicos")+SUMIFS('Detalle Compras Septiembre 2026'!$G:$G, 'Detalle Compras Septiembre 2026'!$A:$A, B55, 'Detalle Compras Septiembre 2026'!$B:$B, "Transporte")+SUMIFS('Detalle Compras Septiembre 2026'!$G:$G, 'Detalle Compras Septiembre 2026'!$A:$A, B55, 'Detalle Compras Septiembre 2026'!$B:$B, "Nómina")</f>
        <v>0</v>
      </c>
      <c r="E55" s="168">
        <f>SUMIFS('Detalle Compras Septiembre 2026'!$G:$G, 'Detalle Compras Septiembre 2026'!$A:$A, B55)</f>
        <v>0</v>
      </c>
      <c r="F55" s="246">
        <f t="shared" si="3"/>
        <v>0</v>
      </c>
      <c r="G55" s="246">
        <f t="shared" si="4"/>
        <v>0</v>
      </c>
      <c r="H55" s="168">
        <f>SUMIFS('Detalle Compras Septiembre 2026'!$G:$G, 'Detalle Compras Septiembre 2026'!$A:$A, B55, 'Detalle Compras Septiembre 2026'!$B:$B, "Carnes")</f>
        <v>0</v>
      </c>
      <c r="I55" s="168">
        <f>SUMIFS('Detalle Compras Septiembre 2026'!$G:$G, 'Detalle Compras Septiembre 2026'!$A:$A, B55, 'Detalle Compras Septiembre 2026'!$B:$B, "Verduras")</f>
        <v>0</v>
      </c>
      <c r="J55" s="168">
        <f>SUMIFS('Detalle Compras Septiembre 2026'!$G:$G, 'Detalle Compras Septiembre 2026'!$A:$A, B55, 'Detalle Compras Septiembre 2026'!$B:$B, "Grano")</f>
        <v>0</v>
      </c>
      <c r="K55" s="168">
        <f>SUMIFS('Detalle Compras Septiembre 2026'!$G:$G, 'Detalle Compras Septiembre 2026'!$A:$A, B55, 'Detalle Compras Septiembre 2026'!$B:$B, "Bebidas")</f>
        <v>0</v>
      </c>
      <c r="L55" s="168">
        <f>SUMIFS('Detalle Compras Septiembre 2026'!$G:$G, 'Detalle Compras Septiembre 2026'!$A:$A, B55, 'Detalle Compras Septiembre 2026'!$B:$B, "Desechables")</f>
        <v>0</v>
      </c>
      <c r="M55" s="168">
        <f>SUMIFS('Detalle Compras Septiembre 2026'!$G:$G, 'Detalle Compras Septiembre 2026'!$A:$A, B55, 'Detalle Compras Septiembre 2026'!$B:$B, "Servicios")</f>
        <v>0</v>
      </c>
      <c r="N55" s="167">
        <f>COUNTIFS('Detalle Compras Septiembre 2026'!$A:$A, B55)</f>
        <v>0</v>
      </c>
    </row>
    <row r="56" spans="1:15" ht="12.95" customHeight="1">
      <c r="B56" s="243">
        <v>29</v>
      </c>
      <c r="C56" s="181">
        <f t="shared" si="2"/>
        <v>0</v>
      </c>
      <c r="D56" s="182">
        <f>SUMIFS('Detalle Compras Septiembre 2026'!$G:$G, 'Detalle Compras Septiembre 2026'!$A:$A, B56, 'Detalle Compras Septiembre 2026'!$B:$B, "Servicios")+SUMIFS('Detalle Compras Septiembre 2026'!$G:$G, 'Detalle Compras Septiembre 2026'!$A:$A, B56, 'Detalle Compras Septiembre 2026'!$B:$B, "Mantenimiento")+SUMIFS('Detalle Compras Septiembre 2026'!$G:$G, 'Detalle Compras Septiembre 2026'!$A:$A, B56, 'Detalle Compras Septiembre 2026'!$B:$B, "Gastos Administrativos")+SUMIFS('Detalle Compras Septiembre 2026'!$G:$G, 'Detalle Compras Septiembre 2026'!$A:$A, B56, 'Detalle Compras Septiembre 2026'!$B:$B, "Gastos")+SUMIFS('Detalle Compras Septiembre 2026'!$G:$G, 'Detalle Compras Septiembre 2026'!$A:$A, B56, 'Detalle Compras Septiembre 2026'!$B:$B, "Servicios Públicos")+SUMIFS('Detalle Compras Septiembre 2026'!$G:$G, 'Detalle Compras Septiembre 2026'!$A:$A, B56, 'Detalle Compras Septiembre 2026'!$B:$B, "Transporte")+SUMIFS('Detalle Compras Septiembre 2026'!$G:$G, 'Detalle Compras Septiembre 2026'!$A:$A, B56, 'Detalle Compras Septiembre 2026'!$B:$B, "Nómina")</f>
        <v>0</v>
      </c>
      <c r="E56" s="183">
        <f>SUMIFS('Detalle Compras Septiembre 2026'!$G:$G, 'Detalle Compras Septiembre 2026'!$A:$A, B56)</f>
        <v>0</v>
      </c>
      <c r="F56" s="245">
        <f t="shared" si="3"/>
        <v>0</v>
      </c>
      <c r="G56" s="245">
        <f t="shared" si="4"/>
        <v>0</v>
      </c>
      <c r="H56" s="164">
        <f>SUMIFS('Detalle Compras Septiembre 2026'!$G:$G, 'Detalle Compras Septiembre 2026'!$A:$A, B56, 'Detalle Compras Septiembre 2026'!$B:$B, "Carnes")</f>
        <v>0</v>
      </c>
      <c r="I56" s="164">
        <f>SUMIFS('Detalle Compras Septiembre 2026'!$G:$G, 'Detalle Compras Septiembre 2026'!$A:$A, B56, 'Detalle Compras Septiembre 2026'!$B:$B, "Verduras")</f>
        <v>0</v>
      </c>
      <c r="J56" s="164">
        <f>SUMIFS('Detalle Compras Septiembre 2026'!$G:$G, 'Detalle Compras Septiembre 2026'!$A:$A, B56, 'Detalle Compras Septiembre 2026'!$B:$B, "Grano")</f>
        <v>0</v>
      </c>
      <c r="K56" s="164">
        <f>SUMIFS('Detalle Compras Septiembre 2026'!$G:$G, 'Detalle Compras Septiembre 2026'!$A:$A, B56, 'Detalle Compras Septiembre 2026'!$B:$B, "Bebidas")</f>
        <v>0</v>
      </c>
      <c r="L56" s="164">
        <f>SUMIFS('Detalle Compras Septiembre 2026'!$G:$G, 'Detalle Compras Septiembre 2026'!$A:$A, B56, 'Detalle Compras Septiembre 2026'!$B:$B, "Desechables")</f>
        <v>0</v>
      </c>
      <c r="M56" s="164">
        <f>SUMIFS('Detalle Compras Septiembre 2026'!$G:$G, 'Detalle Compras Septiembre 2026'!$A:$A, B56, 'Detalle Compras Septiembre 2026'!$B:$B, "Servicios")</f>
        <v>0</v>
      </c>
      <c r="N56" s="163">
        <f>COUNTIFS('Detalle Compras Septiembre 2026'!$A:$A, B56)</f>
        <v>0</v>
      </c>
    </row>
    <row r="57" spans="1:15" ht="12.95" customHeight="1">
      <c r="B57" s="166">
        <v>30</v>
      </c>
      <c r="C57" s="168">
        <f t="shared" si="2"/>
        <v>0</v>
      </c>
      <c r="D57" s="168">
        <f>SUMIFS('Detalle Compras Septiembre 2026'!$G:$G, 'Detalle Compras Septiembre 2026'!$A:$A, B57, 'Detalle Compras Septiembre 2026'!$B:$B, "Servicios")+SUMIFS('Detalle Compras Septiembre 2026'!$G:$G, 'Detalle Compras Septiembre 2026'!$A:$A, B57, 'Detalle Compras Septiembre 2026'!$B:$B, "Mantenimiento")+SUMIFS('Detalle Compras Septiembre 2026'!$G:$G, 'Detalle Compras Septiembre 2026'!$A:$A, B57, 'Detalle Compras Septiembre 2026'!$B:$B, "Gastos Administrativos")+SUMIFS('Detalle Compras Septiembre 2026'!$G:$G, 'Detalle Compras Septiembre 2026'!$A:$A, B57, 'Detalle Compras Septiembre 2026'!$B:$B, "Gastos")+SUMIFS('Detalle Compras Septiembre 2026'!$G:$G, 'Detalle Compras Septiembre 2026'!$A:$A, B57, 'Detalle Compras Septiembre 2026'!$B:$B, "Servicios Públicos")+SUMIFS('Detalle Compras Septiembre 2026'!$G:$G, 'Detalle Compras Septiembre 2026'!$A:$A, B57, 'Detalle Compras Septiembre 2026'!$B:$B, "Transporte")+SUMIFS('Detalle Compras Septiembre 2026'!$G:$G, 'Detalle Compras Septiembre 2026'!$A:$A, B57, 'Detalle Compras Septiembre 2026'!$B:$B, "Nómina")</f>
        <v>0</v>
      </c>
      <c r="E57" s="168">
        <f>SUMIFS('Detalle Compras Septiembre 2026'!$G:$G, 'Detalle Compras Septiembre 2026'!$A:$A, B57)</f>
        <v>0</v>
      </c>
      <c r="F57" s="246">
        <f t="shared" si="3"/>
        <v>0</v>
      </c>
      <c r="G57" s="246">
        <f t="shared" si="4"/>
        <v>0</v>
      </c>
      <c r="H57" s="168">
        <f>SUMIFS('Detalle Compras Septiembre 2026'!$G:$G, 'Detalle Compras Septiembre 2026'!$A:$A, B57, 'Detalle Compras Septiembre 2026'!$B:$B, "Carnes")</f>
        <v>0</v>
      </c>
      <c r="I57" s="168">
        <f>SUMIFS('Detalle Compras Septiembre 2026'!$G:$G, 'Detalle Compras Septiembre 2026'!$A:$A, B57, 'Detalle Compras Septiembre 2026'!$B:$B, "Verduras")</f>
        <v>0</v>
      </c>
      <c r="J57" s="168">
        <f>SUMIFS('Detalle Compras Septiembre 2026'!$G:$G, 'Detalle Compras Septiembre 2026'!$A:$A, B57, 'Detalle Compras Septiembre 2026'!$B:$B, "Grano")</f>
        <v>0</v>
      </c>
      <c r="K57" s="168">
        <f>SUMIFS('Detalle Compras Septiembre 2026'!$G:$G, 'Detalle Compras Septiembre 2026'!$A:$A, B57, 'Detalle Compras Septiembre 2026'!$B:$B, "Bebidas")</f>
        <v>0</v>
      </c>
      <c r="L57" s="168">
        <f>SUMIFS('Detalle Compras Septiembre 2026'!$G:$G, 'Detalle Compras Septiembre 2026'!$A:$A, B57, 'Detalle Compras Septiembre 2026'!$B:$B, "Desechables")</f>
        <v>0</v>
      </c>
      <c r="M57" s="168">
        <f>SUMIFS('Detalle Compras Septiembre 2026'!$G:$G, 'Detalle Compras Septiembre 2026'!$A:$A, B57, 'Detalle Compras Septiembre 2026'!$B:$B, "Servicios")</f>
        <v>0</v>
      </c>
      <c r="N57" s="167">
        <f>COUNTIFS('Detalle Compras Septiembre 2026'!$A:$A, B57)</f>
        <v>0</v>
      </c>
    </row>
    <row r="58" spans="1:15" ht="15.95" customHeight="1">
      <c r="B58" s="237" t="s">
        <v>54</v>
      </c>
      <c r="C58" s="178">
        <f>SUM(C28:C57)</f>
        <v>80880632.899999991</v>
      </c>
      <c r="D58" s="178">
        <f>SUM(D28:D57)</f>
        <v>57290945.710000001</v>
      </c>
      <c r="E58" s="178">
        <f>C58+D58</f>
        <v>138171578.60999998</v>
      </c>
      <c r="F58" s="250">
        <f t="shared" si="3"/>
        <v>0.58536374639166466</v>
      </c>
      <c r="G58" s="250">
        <f t="shared" si="4"/>
        <v>0.41463625360833539</v>
      </c>
      <c r="H58" s="178">
        <f t="shared" ref="H58:N58" si="5">SUM(H28:H57)</f>
        <v>42822120.859999999</v>
      </c>
      <c r="I58" s="178">
        <f t="shared" si="5"/>
        <v>7676365</v>
      </c>
      <c r="J58" s="178">
        <f t="shared" si="5"/>
        <v>5081215</v>
      </c>
      <c r="K58" s="178">
        <f t="shared" si="5"/>
        <v>5059620.07</v>
      </c>
      <c r="L58" s="178">
        <f t="shared" si="5"/>
        <v>5583526</v>
      </c>
      <c r="M58" s="178">
        <f t="shared" si="5"/>
        <v>50024382</v>
      </c>
      <c r="N58" s="177">
        <f t="shared" si="5"/>
        <v>567</v>
      </c>
    </row>
    <row r="59" spans="1:15" ht="15" customHeight="1">
      <c r="B59" s="184" t="s">
        <v>55</v>
      </c>
      <c r="C59" s="185">
        <f>IF(COUNTIF($E$28:$E$57,"&gt;0")&gt;0, C58/COUNTIF($E$28:$E$57,"&gt;0"), 0)</f>
        <v>5055039.5562499994</v>
      </c>
      <c r="D59" s="185">
        <f>IF(COUNTIF($E$28:$E$57,"&gt;0")&gt;0, D58/COUNTIF($E$28:$E$57,"&gt;0"), 0)</f>
        <v>3580684.1068750001</v>
      </c>
      <c r="E59" s="185">
        <f>IF(COUNTIF($E$28:$E$57,"&gt;0")&gt;0, E58/COUNTIF($E$28:$E$57,"&gt;0"), 0)</f>
        <v>8635723.663124999</v>
      </c>
      <c r="F59" s="252">
        <f t="shared" si="3"/>
        <v>0.58536374639166466</v>
      </c>
      <c r="G59" s="252">
        <f t="shared" si="4"/>
        <v>0.41463625360833539</v>
      </c>
      <c r="H59" s="185">
        <f t="shared" ref="H59:N59" si="6">IF(COUNTIF($E$28:$E$57,"&gt;0")&gt;0, H58/COUNTIF($E$28:$E$57,"&gt;0"), 0)</f>
        <v>2676382.55375</v>
      </c>
      <c r="I59" s="185">
        <f t="shared" si="6"/>
        <v>479772.8125</v>
      </c>
      <c r="J59" s="185">
        <f t="shared" si="6"/>
        <v>317575.9375</v>
      </c>
      <c r="K59" s="185">
        <f t="shared" si="6"/>
        <v>316226.25437500002</v>
      </c>
      <c r="L59" s="185">
        <f t="shared" si="6"/>
        <v>348970.375</v>
      </c>
      <c r="M59" s="185">
        <f t="shared" si="6"/>
        <v>3126523.875</v>
      </c>
      <c r="N59" s="253">
        <f t="shared" si="6"/>
        <v>35.4375</v>
      </c>
    </row>
    <row r="60" spans="1:15" ht="15" customHeight="1">
      <c r="B60" s="186" t="s">
        <v>56</v>
      </c>
      <c r="C60" s="187">
        <f>MAX(C28:C57)</f>
        <v>18982245</v>
      </c>
      <c r="D60" s="188">
        <f>MAX(D28:D57)</f>
        <v>46657200</v>
      </c>
      <c r="E60" s="189">
        <f>MAX(E28:E57)</f>
        <v>54821256</v>
      </c>
      <c r="F60" s="254" t="s">
        <v>57</v>
      </c>
      <c r="G60" s="254" t="s">
        <v>57</v>
      </c>
      <c r="H60" s="190">
        <f t="shared" ref="H60:N60" si="7">MAX(H28:H57)</f>
        <v>7713980</v>
      </c>
      <c r="I60" s="190">
        <f t="shared" si="7"/>
        <v>2612750</v>
      </c>
      <c r="J60" s="190">
        <f t="shared" si="7"/>
        <v>1214910</v>
      </c>
      <c r="K60" s="190">
        <f t="shared" si="7"/>
        <v>1723770</v>
      </c>
      <c r="L60" s="190">
        <f t="shared" si="7"/>
        <v>1887973</v>
      </c>
      <c r="M60" s="190">
        <f t="shared" si="7"/>
        <v>45390000</v>
      </c>
      <c r="N60" s="191">
        <f t="shared" si="7"/>
        <v>87</v>
      </c>
    </row>
    <row r="61" spans="1:15" ht="15" customHeight="1">
      <c r="B61" s="192" t="s">
        <v>58</v>
      </c>
      <c r="C61" s="187">
        <f>MIN(C28:C57)</f>
        <v>0</v>
      </c>
      <c r="D61" s="188">
        <f>MIN(D28:D57)</f>
        <v>0</v>
      </c>
      <c r="E61" s="189">
        <f>MIN(E28:E57)</f>
        <v>0</v>
      </c>
      <c r="F61" s="255" t="s">
        <v>57</v>
      </c>
      <c r="G61" s="255" t="s">
        <v>57</v>
      </c>
      <c r="H61" s="193">
        <f t="shared" ref="H61:N61" si="8">MIN(H28:H57)</f>
        <v>0</v>
      </c>
      <c r="I61" s="193">
        <f t="shared" si="8"/>
        <v>0</v>
      </c>
      <c r="J61" s="193">
        <f t="shared" si="8"/>
        <v>0</v>
      </c>
      <c r="K61" s="193">
        <f t="shared" si="8"/>
        <v>0</v>
      </c>
      <c r="L61" s="193">
        <f t="shared" si="8"/>
        <v>0</v>
      </c>
      <c r="M61" s="193">
        <f t="shared" si="8"/>
        <v>0</v>
      </c>
      <c r="N61" s="194">
        <f t="shared" si="8"/>
        <v>0</v>
      </c>
    </row>
    <row r="62" spans="1:15" ht="18" customHeight="1">
      <c r="A62" s="195"/>
      <c r="B62" s="196"/>
      <c r="C62" s="197"/>
      <c r="D62" s="197"/>
      <c r="E62" s="198"/>
      <c r="F62" s="256"/>
      <c r="G62" s="256"/>
      <c r="H62" s="197"/>
      <c r="I62" s="197"/>
      <c r="J62" s="197"/>
      <c r="K62" s="197"/>
      <c r="L62" s="197"/>
      <c r="M62" s="197"/>
      <c r="N62" s="199"/>
      <c r="O62" s="195"/>
    </row>
    <row r="63" spans="1:15">
      <c r="A63" s="195"/>
      <c r="B63" s="196"/>
      <c r="C63" s="197"/>
      <c r="D63" s="197"/>
      <c r="E63" s="198"/>
      <c r="F63" s="256"/>
      <c r="G63" s="256"/>
      <c r="H63" s="197"/>
      <c r="I63" s="197"/>
      <c r="J63" s="197"/>
      <c r="K63" s="197"/>
      <c r="L63" s="197"/>
      <c r="M63" s="197"/>
      <c r="N63" s="199"/>
      <c r="O63" s="195"/>
    </row>
    <row r="64" spans="1:15">
      <c r="A64" s="195"/>
      <c r="B64" s="196"/>
      <c r="C64" s="197"/>
      <c r="D64" s="197"/>
      <c r="E64" s="198"/>
      <c r="F64" s="256"/>
      <c r="G64" s="256"/>
      <c r="H64" s="197"/>
      <c r="I64" s="197"/>
      <c r="J64" s="197"/>
      <c r="K64" s="197"/>
      <c r="L64" s="197"/>
      <c r="M64" s="197"/>
      <c r="N64" s="199"/>
      <c r="O64" s="195"/>
    </row>
    <row r="65" spans="1:15">
      <c r="A65" s="195"/>
      <c r="B65" s="196"/>
      <c r="C65" s="197"/>
      <c r="D65" s="197"/>
      <c r="E65" s="198"/>
      <c r="F65" s="256"/>
      <c r="G65" s="256"/>
      <c r="H65" s="197"/>
      <c r="I65" s="197"/>
      <c r="J65" s="197"/>
      <c r="K65" s="197"/>
      <c r="L65" s="197"/>
      <c r="M65" s="197"/>
      <c r="N65" s="199"/>
      <c r="O65" s="195"/>
    </row>
    <row r="66" spans="1:15" ht="9.9499999999999993" customHeight="1">
      <c r="A66" s="195"/>
      <c r="B66" s="196"/>
      <c r="C66" s="197"/>
      <c r="D66" s="197"/>
      <c r="E66" s="198"/>
      <c r="F66" s="256"/>
      <c r="G66" s="256"/>
      <c r="H66" s="197"/>
      <c r="I66" s="197"/>
      <c r="J66" s="197"/>
      <c r="K66" s="197"/>
      <c r="L66" s="197"/>
      <c r="M66" s="197"/>
      <c r="N66" s="199"/>
      <c r="O66" s="195"/>
    </row>
    <row r="67" spans="1:15">
      <c r="A67" s="195"/>
      <c r="B67" s="196"/>
      <c r="C67" s="195"/>
      <c r="D67" s="195"/>
      <c r="E67" s="195"/>
      <c r="F67" s="195"/>
      <c r="G67" s="195"/>
      <c r="H67" s="197"/>
      <c r="I67" s="197"/>
      <c r="J67" s="195"/>
      <c r="K67" s="195"/>
      <c r="L67" s="195"/>
      <c r="M67" s="195"/>
      <c r="N67" s="195"/>
      <c r="O67" s="195"/>
    </row>
    <row r="68" spans="1:15">
      <c r="A68" s="195"/>
      <c r="B68" s="196"/>
      <c r="C68" s="197"/>
      <c r="D68" s="197"/>
      <c r="E68" s="198"/>
      <c r="F68" s="256"/>
      <c r="G68" s="256"/>
      <c r="H68" s="197"/>
      <c r="I68" s="197"/>
      <c r="J68" s="197"/>
      <c r="K68" s="197"/>
      <c r="L68" s="197"/>
      <c r="M68" s="197"/>
      <c r="N68" s="199"/>
      <c r="O68" s="195"/>
    </row>
    <row r="69" spans="1:15" ht="18" customHeight="1">
      <c r="A69" s="195"/>
      <c r="B69" s="200"/>
      <c r="C69" s="201"/>
      <c r="D69" s="202"/>
      <c r="E69" s="198"/>
      <c r="F69" s="257"/>
      <c r="G69" s="258"/>
      <c r="H69" s="198"/>
      <c r="I69" s="198"/>
      <c r="J69" s="198"/>
      <c r="K69" s="198"/>
      <c r="L69" s="198"/>
      <c r="M69" s="198"/>
      <c r="N69" s="200"/>
      <c r="O69" s="195"/>
    </row>
    <row r="70" spans="1:15" ht="18" customHeight="1">
      <c r="A70" s="195"/>
      <c r="B70" s="196"/>
      <c r="C70" s="198"/>
      <c r="D70" s="198"/>
      <c r="E70" s="198"/>
      <c r="F70" s="259"/>
      <c r="G70" s="259"/>
      <c r="H70" s="197"/>
      <c r="I70" s="197"/>
      <c r="J70" s="197"/>
      <c r="K70" s="197"/>
      <c r="L70" s="197"/>
      <c r="M70" s="197"/>
      <c r="N70" s="260"/>
      <c r="O70" s="195"/>
    </row>
    <row r="71" spans="1:15" ht="18" customHeight="1">
      <c r="A71" s="195"/>
      <c r="B71" s="196"/>
      <c r="C71" s="198"/>
      <c r="D71" s="198"/>
      <c r="E71" s="198"/>
      <c r="F71" s="203"/>
      <c r="G71" s="203"/>
      <c r="H71" s="197"/>
      <c r="I71" s="197"/>
      <c r="J71" s="197"/>
      <c r="K71" s="197"/>
      <c r="L71" s="197"/>
      <c r="M71" s="197"/>
      <c r="N71" s="199"/>
      <c r="O71" s="195"/>
    </row>
    <row r="72" spans="1:15" ht="18" customHeight="1">
      <c r="A72" s="195"/>
      <c r="B72" s="196"/>
      <c r="C72" s="197"/>
      <c r="D72" s="197"/>
      <c r="E72" s="197"/>
      <c r="F72" s="203"/>
      <c r="G72" s="203"/>
      <c r="H72" s="197"/>
      <c r="I72" s="197"/>
      <c r="J72" s="197"/>
      <c r="K72" s="197"/>
      <c r="L72" s="197"/>
      <c r="M72" s="197"/>
      <c r="N72" s="199"/>
      <c r="O72" s="195"/>
    </row>
    <row r="73" spans="1:15" ht="18" customHeight="1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</row>
    <row r="74" spans="1:15" ht="18" customHeight="1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N74" s="195"/>
      <c r="O74" s="195"/>
    </row>
    <row r="75" spans="1:15" ht="18" customHeight="1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</row>
    <row r="76" spans="1:15" ht="18" customHeight="1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</row>
    <row r="77" spans="1:15" ht="18" customHeight="1">
      <c r="A77" s="195"/>
      <c r="B77" s="204"/>
      <c r="C77" s="195"/>
      <c r="D77" s="195"/>
      <c r="E77" s="195"/>
      <c r="F77" s="195"/>
      <c r="G77" s="195"/>
      <c r="H77" s="195"/>
      <c r="I77" s="204"/>
      <c r="J77" s="195"/>
      <c r="K77" s="195"/>
      <c r="L77" s="195"/>
      <c r="M77" s="195"/>
      <c r="N77" s="195"/>
      <c r="O77" s="195"/>
    </row>
    <row r="78" spans="1:15" ht="18" customHeight="1">
      <c r="A78" s="195"/>
      <c r="B78" s="205"/>
      <c r="C78" s="206"/>
      <c r="D78" s="206"/>
      <c r="E78" s="207"/>
      <c r="F78" s="207"/>
      <c r="G78" s="207"/>
      <c r="H78" s="195"/>
      <c r="I78" s="205"/>
      <c r="J78" s="206"/>
      <c r="K78" s="206"/>
      <c r="L78" s="207"/>
      <c r="M78" s="207"/>
      <c r="N78" s="207"/>
      <c r="O78" s="195"/>
    </row>
    <row r="79" spans="1:15">
      <c r="A79" s="195"/>
      <c r="B79" s="208"/>
      <c r="C79" s="209"/>
      <c r="D79" s="208"/>
      <c r="E79" s="199"/>
      <c r="F79" s="197"/>
      <c r="G79" s="256"/>
      <c r="H79" s="195"/>
      <c r="I79" s="208"/>
      <c r="J79" s="209"/>
      <c r="K79" s="208"/>
      <c r="L79" s="199"/>
      <c r="M79" s="197"/>
      <c r="N79" s="256"/>
      <c r="O79" s="195"/>
    </row>
    <row r="80" spans="1:15">
      <c r="A80" s="195"/>
      <c r="B80" s="208"/>
      <c r="C80" s="209"/>
      <c r="D80" s="208"/>
      <c r="E80" s="199"/>
      <c r="F80" s="197"/>
      <c r="G80" s="256"/>
      <c r="H80" s="195"/>
      <c r="I80" s="208"/>
      <c r="J80" s="209"/>
      <c r="K80" s="208"/>
      <c r="L80" s="199"/>
      <c r="M80" s="197"/>
      <c r="N80" s="256"/>
      <c r="O80" s="195"/>
    </row>
    <row r="81" spans="1:15">
      <c r="A81" s="195"/>
      <c r="B81" s="208"/>
      <c r="C81" s="209"/>
      <c r="D81" s="208"/>
      <c r="E81" s="199"/>
      <c r="F81" s="197"/>
      <c r="G81" s="256"/>
      <c r="H81" s="195"/>
      <c r="I81" s="208"/>
      <c r="J81" s="209"/>
      <c r="K81" s="208"/>
      <c r="L81" s="199"/>
      <c r="M81" s="197"/>
      <c r="N81" s="256"/>
      <c r="O81" s="195"/>
    </row>
    <row r="82" spans="1:15">
      <c r="A82" s="195"/>
      <c r="B82" s="208"/>
      <c r="C82" s="209"/>
      <c r="D82" s="208"/>
      <c r="E82" s="199"/>
      <c r="F82" s="197"/>
      <c r="G82" s="256"/>
      <c r="H82" s="195"/>
      <c r="I82" s="208"/>
      <c r="J82" s="209"/>
      <c r="K82" s="208"/>
      <c r="L82" s="199"/>
      <c r="M82" s="197"/>
      <c r="N82" s="256"/>
      <c r="O82" s="195"/>
    </row>
    <row r="83" spans="1:15">
      <c r="A83" s="195"/>
      <c r="B83" s="208"/>
      <c r="C83" s="209"/>
      <c r="D83" s="208"/>
      <c r="E83" s="199"/>
      <c r="F83" s="197"/>
      <c r="G83" s="256"/>
      <c r="H83" s="195"/>
      <c r="I83" s="208"/>
      <c r="J83" s="209"/>
      <c r="K83" s="208"/>
      <c r="L83" s="199"/>
      <c r="M83" s="197"/>
      <c r="N83" s="256"/>
      <c r="O83" s="195"/>
    </row>
    <row r="84" spans="1:15">
      <c r="A84" s="195"/>
      <c r="B84" s="208"/>
      <c r="C84" s="209"/>
      <c r="D84" s="208"/>
      <c r="E84" s="199"/>
      <c r="F84" s="197"/>
      <c r="G84" s="256"/>
      <c r="H84" s="195"/>
      <c r="I84" s="208"/>
      <c r="J84" s="209"/>
      <c r="K84" s="208"/>
      <c r="L84" s="199"/>
      <c r="M84" s="197"/>
      <c r="N84" s="256"/>
      <c r="O84" s="195"/>
    </row>
    <row r="85" spans="1:15">
      <c r="A85" s="195"/>
      <c r="B85" s="208"/>
      <c r="C85" s="209"/>
      <c r="D85" s="208"/>
      <c r="E85" s="199"/>
      <c r="F85" s="197"/>
      <c r="G85" s="256"/>
      <c r="H85" s="195"/>
      <c r="I85" s="208"/>
      <c r="J85" s="209"/>
      <c r="K85" s="208"/>
      <c r="L85" s="199"/>
      <c r="M85" s="197"/>
      <c r="N85" s="256"/>
      <c r="O85" s="195"/>
    </row>
    <row r="86" spans="1:15">
      <c r="A86" s="195"/>
      <c r="B86" s="208"/>
      <c r="C86" s="209"/>
      <c r="D86" s="208"/>
      <c r="E86" s="199"/>
      <c r="F86" s="197"/>
      <c r="G86" s="256"/>
      <c r="H86" s="195"/>
      <c r="I86" s="208"/>
      <c r="J86" s="209"/>
      <c r="K86" s="208"/>
      <c r="L86" s="199"/>
      <c r="M86" s="197"/>
      <c r="N86" s="256"/>
      <c r="O86" s="195"/>
    </row>
    <row r="87" spans="1:15">
      <c r="A87" s="195"/>
      <c r="B87" s="208"/>
      <c r="C87" s="209"/>
      <c r="D87" s="208"/>
      <c r="E87" s="199"/>
      <c r="F87" s="197"/>
      <c r="G87" s="256"/>
      <c r="H87" s="195"/>
      <c r="I87" s="208"/>
      <c r="J87" s="209"/>
      <c r="K87" s="208"/>
      <c r="L87" s="199"/>
      <c r="M87" s="197"/>
      <c r="N87" s="256"/>
      <c r="O87" s="195"/>
    </row>
    <row r="88" spans="1:15">
      <c r="A88" s="195"/>
      <c r="B88" s="208"/>
      <c r="C88" s="209"/>
      <c r="D88" s="208"/>
      <c r="E88" s="199"/>
      <c r="F88" s="197"/>
      <c r="G88" s="256"/>
      <c r="H88" s="195"/>
      <c r="I88" s="208"/>
      <c r="J88" s="209"/>
      <c r="K88" s="208"/>
      <c r="L88" s="199"/>
      <c r="M88" s="197"/>
      <c r="N88" s="256"/>
      <c r="O88" s="195"/>
    </row>
    <row r="89" spans="1:15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</row>
    <row r="90" spans="1:15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</row>
    <row r="91" spans="1:15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</row>
    <row r="92" spans="1:15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</row>
    <row r="93" spans="1:15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</row>
    <row r="94" spans="1:15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</row>
    <row r="95" spans="1:1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</row>
    <row r="96" spans="1:15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</row>
    <row r="97" spans="1:15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</row>
    <row r="98" spans="1:15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</row>
    <row r="99" spans="1:15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</row>
    <row r="100" spans="1:15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</row>
    <row r="101" spans="1:15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</row>
    <row r="102" spans="1:15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</row>
    <row r="103" spans="1:15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</row>
    <row r="104" spans="1:15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</row>
    <row r="105" spans="1:1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</row>
    <row r="106" spans="1:15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</row>
    <row r="107" spans="1:15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</row>
    <row r="108" spans="1:15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</row>
    <row r="109" spans="1:15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</row>
    <row r="110" spans="1:15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</row>
    <row r="111" spans="1:15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</row>
    <row r="112" spans="1:15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</row>
    <row r="113" spans="1:15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</row>
    <row r="114" spans="1:15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</row>
    <row r="115" spans="1: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</row>
    <row r="116" spans="1:15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</row>
    <row r="117" spans="1:15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</row>
    <row r="118" spans="1:15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</row>
    <row r="119" spans="1:15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</row>
    <row r="120" spans="1:15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</row>
    <row r="121" spans="1:15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</row>
    <row r="122" spans="1:15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</row>
    <row r="123" spans="1:15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</row>
    <row r="124" spans="1:15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</row>
    <row r="125" spans="1:1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</row>
    <row r="126" spans="1:15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</row>
    <row r="127" spans="1:15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</row>
    <row r="128" spans="1:15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</row>
    <row r="129" spans="1:15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</row>
    <row r="130" spans="1:15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</row>
  </sheetData>
  <mergeCells count="21">
    <mergeCell ref="B2:N2"/>
    <mergeCell ref="L7:N7"/>
    <mergeCell ref="I6:K6"/>
    <mergeCell ref="E5:G5"/>
    <mergeCell ref="I7:K7"/>
    <mergeCell ref="B26:N26"/>
    <mergeCell ref="B23:C23"/>
    <mergeCell ref="L6:N6"/>
    <mergeCell ref="E7:G7"/>
    <mergeCell ref="B3:N3"/>
    <mergeCell ref="B6:D6"/>
    <mergeCell ref="B20:G20"/>
    <mergeCell ref="B5:D5"/>
    <mergeCell ref="I9:N9"/>
    <mergeCell ref="B7:D7"/>
    <mergeCell ref="L5:N5"/>
    <mergeCell ref="B22:C22"/>
    <mergeCell ref="E6:G6"/>
    <mergeCell ref="B21:C21"/>
    <mergeCell ref="I5:K5"/>
    <mergeCell ref="B9:G9"/>
  </mergeCells>
  <pageMargins left="0.2" right="0.2" top="0.25" bottom="0.25" header="0.1" footer="0.1"/>
  <pageSetup scale="3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workbookViewId="0">
      <selection activeCell="E38" sqref="E38"/>
    </sheetView>
  </sheetViews>
  <sheetFormatPr baseColWidth="10" defaultColWidth="9.140625" defaultRowHeight="15"/>
  <cols>
    <col min="1" max="1" width="4" style="236" customWidth="1"/>
    <col min="2" max="2" width="7" style="236" customWidth="1"/>
    <col min="3" max="3" width="12" style="236" customWidth="1"/>
    <col min="4" max="4" width="14" style="236" customWidth="1"/>
    <col min="5" max="5" width="17" style="236" customWidth="1"/>
    <col min="6" max="6" width="16" style="236" customWidth="1"/>
    <col min="7" max="7" width="18" style="236" customWidth="1"/>
    <col min="8" max="8" width="15" style="236" customWidth="1"/>
    <col min="9" max="9" width="18.140625" style="236" customWidth="1"/>
    <col min="10" max="10" width="3" style="236" customWidth="1"/>
    <col min="11" max="11" width="27" style="236" bestFit="1" customWidth="1"/>
    <col min="12" max="12" width="8" style="236" customWidth="1"/>
    <col min="13" max="13" width="27" style="236" customWidth="1"/>
    <col min="14" max="14" width="24" style="236" customWidth="1"/>
    <col min="15" max="15" width="14" style="236" customWidth="1"/>
    <col min="16" max="16" width="18" style="236" customWidth="1"/>
    <col min="17" max="17" width="13" style="236" customWidth="1"/>
  </cols>
  <sheetData>
    <row r="2" spans="2:16" ht="21" customHeight="1">
      <c r="B2" s="131" t="s">
        <v>59</v>
      </c>
    </row>
    <row r="3" spans="2:16">
      <c r="B3" s="132" t="s">
        <v>60</v>
      </c>
    </row>
    <row r="5" spans="2:16">
      <c r="B5" s="350" t="s">
        <v>61</v>
      </c>
      <c r="C5" s="341"/>
      <c r="D5" s="336"/>
      <c r="E5" s="350" t="s">
        <v>62</v>
      </c>
      <c r="F5" s="336"/>
      <c r="G5" s="350" t="s">
        <v>63</v>
      </c>
      <c r="H5" s="336"/>
      <c r="I5" s="350" t="s">
        <v>64</v>
      </c>
      <c r="J5" s="336"/>
      <c r="K5" s="350" t="s">
        <v>65</v>
      </c>
      <c r="L5" s="336"/>
      <c r="M5" s="350" t="s">
        <v>66</v>
      </c>
      <c r="N5" s="336"/>
      <c r="O5" s="350" t="s">
        <v>67</v>
      </c>
      <c r="P5" s="336"/>
    </row>
    <row r="6" spans="2:16" ht="18.75" customHeight="1">
      <c r="B6" s="348">
        <f>SUM('Detalle Ventas Septiembre 2026'!$M:$M)</f>
        <v>119524699</v>
      </c>
      <c r="C6" s="341"/>
      <c r="D6" s="336"/>
      <c r="E6" s="348">
        <f>SUM('Detalle Ventas Septiembre 2026'!$K:$K)</f>
        <v>110671013</v>
      </c>
      <c r="F6" s="336"/>
      <c r="G6" s="348">
        <f>SUM('Detalle Ventas Septiembre 2026'!$L:$L)</f>
        <v>8853686</v>
      </c>
      <c r="H6" s="336"/>
      <c r="I6" s="348">
        <f>SUM('Detalle Ventas Septiembre 2026'!$J:$J)</f>
        <v>78892</v>
      </c>
      <c r="J6" s="336"/>
      <c r="K6" s="354">
        <f>SUM('Detalle Ventas Septiembre 2026'!$G:$G)</f>
        <v>6438</v>
      </c>
      <c r="L6" s="336"/>
      <c r="M6" s="348">
        <f>B6/COUNTIF($G$11:$G$24,"&gt;0")</f>
        <v>8537478.5</v>
      </c>
      <c r="N6" s="336"/>
      <c r="O6" s="349" t="s">
        <v>68</v>
      </c>
      <c r="P6" s="336"/>
    </row>
    <row r="9" spans="2:16">
      <c r="B9" s="353" t="s">
        <v>69</v>
      </c>
      <c r="C9" s="339"/>
      <c r="D9" s="339"/>
      <c r="E9" s="339"/>
      <c r="F9" s="339"/>
      <c r="G9" s="339"/>
      <c r="H9" s="339"/>
      <c r="I9" s="339"/>
      <c r="K9" s="353" t="s">
        <v>70</v>
      </c>
      <c r="L9" s="339"/>
      <c r="M9" s="339"/>
      <c r="N9" s="339"/>
      <c r="O9" s="339"/>
      <c r="P9" s="339"/>
    </row>
    <row r="10" spans="2:16">
      <c r="B10" s="133" t="s">
        <v>42</v>
      </c>
      <c r="C10" s="133" t="s">
        <v>71</v>
      </c>
      <c r="D10" s="133" t="s">
        <v>72</v>
      </c>
      <c r="E10" s="133" t="s">
        <v>73</v>
      </c>
      <c r="F10" s="133" t="s">
        <v>74</v>
      </c>
      <c r="G10" s="133" t="s">
        <v>75</v>
      </c>
      <c r="H10" s="133" t="s">
        <v>76</v>
      </c>
      <c r="I10" s="133" t="s">
        <v>77</v>
      </c>
      <c r="K10" s="133" t="s">
        <v>78</v>
      </c>
      <c r="L10" s="133" t="s">
        <v>79</v>
      </c>
      <c r="M10" s="133" t="s">
        <v>73</v>
      </c>
      <c r="N10" s="133" t="s">
        <v>75</v>
      </c>
      <c r="O10" s="133" t="s">
        <v>76</v>
      </c>
      <c r="P10" s="133" t="s">
        <v>80</v>
      </c>
    </row>
    <row r="11" spans="2:16">
      <c r="B11" s="134">
        <v>1</v>
      </c>
      <c r="C11" s="135" t="s">
        <v>81</v>
      </c>
      <c r="D11" s="136">
        <f>SUMIFS('Detalle Ventas Septiembre 2026'!$G:$G, 'Detalle Ventas Septiembre 2026'!$A:$A, B11)</f>
        <v>411</v>
      </c>
      <c r="E11" s="261">
        <f>SUMIFS('Detalle Ventas Septiembre 2026'!$K:$K, 'Detalle Ventas Septiembre 2026'!$A:$A, B11)</f>
        <v>6282219</v>
      </c>
      <c r="F11" s="261">
        <f>SUMIFS('Detalle Ventas Septiembre 2026'!$L:$L, 'Detalle Ventas Septiembre 2026'!$A:$A, B11)</f>
        <v>502578</v>
      </c>
      <c r="G11" s="261">
        <f>SUMIFS('Detalle Ventas Septiembre 2026'!$M:$M, 'Detalle Ventas Septiembre 2026'!$A:$A, B11)</f>
        <v>6784797</v>
      </c>
      <c r="H11" s="261">
        <f t="shared" ref="H11:H42" si="0">IF(D11&gt;0, G11/D11, 0)</f>
        <v>16508.02189781022</v>
      </c>
      <c r="I11" s="137">
        <f t="shared" ref="I11:I40" si="1">IF($G$41&gt;0, G11/$G$41, 0)</f>
        <v>5.6764811430313665E-2</v>
      </c>
      <c r="K11" s="138" t="s">
        <v>82</v>
      </c>
      <c r="L11" s="136">
        <f>SUMIF('Detalle Ventas Septiembre 2026'!$D:$D, K11, 'Detalle Ventas Septiembre 2026'!$G:$G)</f>
        <v>1888</v>
      </c>
      <c r="M11" s="261">
        <f>SUMIF('Detalle Ventas Septiembre 2026'!$D:$D, K11, 'Detalle Ventas Septiembre 2026'!$K:$K)</f>
        <v>53977788</v>
      </c>
      <c r="N11" s="261">
        <f>SUMIF('Detalle Ventas Septiembre 2026'!$D:$D, K11, 'Detalle Ventas Septiembre 2026'!$M:$M)</f>
        <v>58296004</v>
      </c>
      <c r="O11" s="261">
        <f t="shared" ref="O11:O18" si="2">IF(L11&gt;0, N11/L11, 0)</f>
        <v>30877.120762711864</v>
      </c>
      <c r="P11" s="137">
        <f t="shared" ref="P11:P17" si="3">IF($N$18&gt;0, N11/$N$18, 0)</f>
        <v>0.48773186201456153</v>
      </c>
    </row>
    <row r="12" spans="2:16">
      <c r="B12" s="134">
        <v>2</v>
      </c>
      <c r="C12" s="135" t="s">
        <v>83</v>
      </c>
      <c r="D12" s="136">
        <f>SUMIFS('Detalle Ventas Septiembre 2026'!$G:$G, 'Detalle Ventas Septiembre 2026'!$A:$A, B12)</f>
        <v>374</v>
      </c>
      <c r="E12" s="261">
        <f>SUMIFS('Detalle Ventas Septiembre 2026'!$K:$K, 'Detalle Ventas Septiembre 2026'!$A:$A, B12)</f>
        <v>5447496</v>
      </c>
      <c r="F12" s="261">
        <f>SUMIFS('Detalle Ventas Septiembre 2026'!$L:$L, 'Detalle Ventas Septiembre 2026'!$A:$A, B12)</f>
        <v>435805</v>
      </c>
      <c r="G12" s="261">
        <f>SUMIFS('Detalle Ventas Septiembre 2026'!$M:$M, 'Detalle Ventas Septiembre 2026'!$A:$A, B12)</f>
        <v>5883301</v>
      </c>
      <c r="H12" s="261">
        <f t="shared" si="0"/>
        <v>15730.751336898396</v>
      </c>
      <c r="I12" s="137">
        <f t="shared" si="1"/>
        <v>4.9222470746401965E-2</v>
      </c>
      <c r="K12" s="138" t="s">
        <v>84</v>
      </c>
      <c r="L12" s="136">
        <f>SUMIF('Detalle Ventas Septiembre 2026'!$D:$D, K12, 'Detalle Ventas Septiembre 2026'!$G:$G)</f>
        <v>1481</v>
      </c>
      <c r="M12" s="261">
        <f>SUMIF('Detalle Ventas Septiembre 2026'!$D:$D, K12, 'Detalle Ventas Septiembre 2026'!$K:$K)</f>
        <v>32326551</v>
      </c>
      <c r="N12" s="261">
        <f>SUMIF('Detalle Ventas Septiembre 2026'!$D:$D, K12, 'Detalle Ventas Septiembre 2026'!$M:$M)</f>
        <v>34912676</v>
      </c>
      <c r="O12" s="261">
        <f t="shared" si="2"/>
        <v>23573.717758271439</v>
      </c>
      <c r="P12" s="137">
        <f t="shared" si="3"/>
        <v>0.29209591232687399</v>
      </c>
    </row>
    <row r="13" spans="2:16">
      <c r="B13" s="134">
        <v>3</v>
      </c>
      <c r="C13" s="135" t="s">
        <v>85</v>
      </c>
      <c r="D13" s="136">
        <f>SUMIFS('Detalle Ventas Septiembre 2026'!$G:$G, 'Detalle Ventas Septiembre 2026'!$A:$A, B13)</f>
        <v>408</v>
      </c>
      <c r="E13" s="261">
        <f>SUMIFS('Detalle Ventas Septiembre 2026'!$K:$K, 'Detalle Ventas Septiembre 2026'!$A:$A, B13)</f>
        <v>5692967</v>
      </c>
      <c r="F13" s="261">
        <f>SUMIFS('Detalle Ventas Septiembre 2026'!$L:$L, 'Detalle Ventas Septiembre 2026'!$A:$A, B13)</f>
        <v>455433</v>
      </c>
      <c r="G13" s="261">
        <f>SUMIFS('Detalle Ventas Septiembre 2026'!$M:$M, 'Detalle Ventas Septiembre 2026'!$A:$A, B13)</f>
        <v>6148400</v>
      </c>
      <c r="H13" s="261">
        <f t="shared" si="0"/>
        <v>15069.607843137255</v>
      </c>
      <c r="I13" s="137">
        <f t="shared" si="1"/>
        <v>5.1440414001795561E-2</v>
      </c>
      <c r="K13" s="138" t="s">
        <v>86</v>
      </c>
      <c r="L13" s="136">
        <f>SUMIF('Detalle Ventas Septiembre 2026'!$D:$D, K13, 'Detalle Ventas Septiembre 2026'!$G:$G)</f>
        <v>1526</v>
      </c>
      <c r="M13" s="261">
        <f>SUMIF('Detalle Ventas Septiembre 2026'!$D:$D, K13, 'Detalle Ventas Septiembre 2026'!$K:$K)</f>
        <v>10248185</v>
      </c>
      <c r="N13" s="261">
        <f>SUMIF('Detalle Ventas Septiembre 2026'!$D:$D, K13, 'Detalle Ventas Septiembre 2026'!$M:$M)</f>
        <v>11068035</v>
      </c>
      <c r="O13" s="261">
        <f t="shared" si="2"/>
        <v>7252.9718217562258</v>
      </c>
      <c r="P13" s="137">
        <f t="shared" si="3"/>
        <v>9.2600400524748452E-2</v>
      </c>
    </row>
    <row r="14" spans="2:16">
      <c r="B14" s="134">
        <v>4</v>
      </c>
      <c r="C14" s="135" t="s">
        <v>87</v>
      </c>
      <c r="D14" s="136">
        <f>SUMIFS('Detalle Ventas Septiembre 2026'!$G:$G, 'Detalle Ventas Septiembre 2026'!$A:$A, B14)</f>
        <v>400</v>
      </c>
      <c r="E14" s="261">
        <f>SUMIFS('Detalle Ventas Septiembre 2026'!$K:$K, 'Detalle Ventas Septiembre 2026'!$A:$A, B14)</f>
        <v>5913241</v>
      </c>
      <c r="F14" s="261">
        <f>SUMIFS('Detalle Ventas Septiembre 2026'!$L:$L, 'Detalle Ventas Septiembre 2026'!$A:$A, B14)</f>
        <v>473060</v>
      </c>
      <c r="G14" s="261">
        <f>SUMIFS('Detalle Ventas Septiembre 2026'!$M:$M, 'Detalle Ventas Septiembre 2026'!$A:$A, B14)</f>
        <v>6386301</v>
      </c>
      <c r="H14" s="261">
        <f t="shared" si="0"/>
        <v>15965.752500000001</v>
      </c>
      <c r="I14" s="137">
        <f t="shared" si="1"/>
        <v>5.3430805962540011E-2</v>
      </c>
      <c r="K14" s="138" t="s">
        <v>88</v>
      </c>
      <c r="L14" s="136">
        <f>SUMIF('Detalle Ventas Septiembre 2026'!$D:$D, K14, 'Detalle Ventas Septiembre 2026'!$G:$G)</f>
        <v>231</v>
      </c>
      <c r="M14" s="261">
        <f>SUMIF('Detalle Ventas Septiembre 2026'!$D:$D, K14, 'Detalle Ventas Septiembre 2026'!$K:$K)</f>
        <v>8833329</v>
      </c>
      <c r="N14" s="261">
        <f>SUMIF('Detalle Ventas Septiembre 2026'!$D:$D, K14, 'Detalle Ventas Septiembre 2026'!$M:$M)</f>
        <v>9540001</v>
      </c>
      <c r="O14" s="261">
        <f t="shared" si="2"/>
        <v>41298.705627705625</v>
      </c>
      <c r="P14" s="137">
        <f t="shared" si="3"/>
        <v>7.9816147455849265E-2</v>
      </c>
    </row>
    <row r="15" spans="2:16">
      <c r="B15" s="134">
        <v>5</v>
      </c>
      <c r="C15" s="135" t="s">
        <v>89</v>
      </c>
      <c r="D15" s="136">
        <f>SUMIFS('Detalle Ventas Septiembre 2026'!$G:$G, 'Detalle Ventas Septiembre 2026'!$A:$A, B15)</f>
        <v>519</v>
      </c>
      <c r="E15" s="261">
        <f>SUMIFS('Detalle Ventas Septiembre 2026'!$K:$K, 'Detalle Ventas Septiembre 2026'!$A:$A, B15)</f>
        <v>10334818</v>
      </c>
      <c r="F15" s="261">
        <f>SUMIFS('Detalle Ventas Septiembre 2026'!$L:$L, 'Detalle Ventas Septiembre 2026'!$A:$A, B15)</f>
        <v>826782</v>
      </c>
      <c r="G15" s="261">
        <f>SUMIFS('Detalle Ventas Septiembre 2026'!$M:$M, 'Detalle Ventas Septiembre 2026'!$A:$A, B15)</f>
        <v>11161600</v>
      </c>
      <c r="H15" s="261">
        <f t="shared" si="0"/>
        <v>21505.97302504817</v>
      </c>
      <c r="I15" s="137">
        <f t="shared" si="1"/>
        <v>9.3383209440251344E-2</v>
      </c>
      <c r="K15" s="138" t="s">
        <v>90</v>
      </c>
      <c r="L15" s="136">
        <f>SUMIF('Detalle Ventas Septiembre 2026'!$D:$D, K15, 'Detalle Ventas Septiembre 2026'!$G:$G)</f>
        <v>780</v>
      </c>
      <c r="M15" s="261">
        <f>SUMIF('Detalle Ventas Septiembre 2026'!$D:$D, K15, 'Detalle Ventas Septiembre 2026'!$K:$K)</f>
        <v>3885530</v>
      </c>
      <c r="N15" s="261">
        <f>SUMIF('Detalle Ventas Septiembre 2026'!$D:$D, K15, 'Detalle Ventas Septiembre 2026'!$M:$M)</f>
        <v>4196383</v>
      </c>
      <c r="O15" s="261">
        <f t="shared" si="2"/>
        <v>5379.9782051282054</v>
      </c>
      <c r="P15" s="137">
        <f t="shared" si="3"/>
        <v>3.5108919203385734E-2</v>
      </c>
    </row>
    <row r="16" spans="2:16">
      <c r="B16" s="134">
        <v>6</v>
      </c>
      <c r="C16" s="135" t="s">
        <v>91</v>
      </c>
      <c r="D16" s="136">
        <f>SUMIFS('Detalle Ventas Septiembre 2026'!$G:$G, 'Detalle Ventas Septiembre 2026'!$A:$A, B16)</f>
        <v>842</v>
      </c>
      <c r="E16" s="261">
        <f>SUMIFS('Detalle Ventas Septiembre 2026'!$K:$K, 'Detalle Ventas Septiembre 2026'!$A:$A, B16)</f>
        <v>18761854</v>
      </c>
      <c r="F16" s="261">
        <f>SUMIFS('Detalle Ventas Septiembre 2026'!$L:$L, 'Detalle Ventas Septiembre 2026'!$A:$A, B16)</f>
        <v>1500947</v>
      </c>
      <c r="G16" s="261">
        <f>SUMIFS('Detalle Ventas Septiembre 2026'!$M:$M, 'Detalle Ventas Septiembre 2026'!$A:$A, B16)</f>
        <v>20262801</v>
      </c>
      <c r="H16" s="261">
        <f t="shared" si="0"/>
        <v>24065.084323040381</v>
      </c>
      <c r="I16" s="137">
        <f t="shared" si="1"/>
        <v>0.16952814915685335</v>
      </c>
      <c r="K16" s="138" t="s">
        <v>92</v>
      </c>
      <c r="L16" s="136">
        <f>SUMIF('Detalle Ventas Septiembre 2026'!$D:$D, K16, 'Detalle Ventas Septiembre 2026'!$G:$G)</f>
        <v>276</v>
      </c>
      <c r="M16" s="261">
        <f>SUMIF('Detalle Ventas Septiembre 2026'!$D:$D, K16, 'Detalle Ventas Septiembre 2026'!$K:$K)</f>
        <v>1162699</v>
      </c>
      <c r="N16" s="261">
        <f>SUMIF('Detalle Ventas Septiembre 2026'!$D:$D, K16, 'Detalle Ventas Septiembre 2026'!$M:$M)</f>
        <v>1255714</v>
      </c>
      <c r="O16" s="261">
        <f t="shared" si="2"/>
        <v>4549.688405797101</v>
      </c>
      <c r="P16" s="137">
        <f t="shared" si="3"/>
        <v>1.0505895522062766E-2</v>
      </c>
    </row>
    <row r="17" spans="2:17">
      <c r="B17" s="134">
        <v>7</v>
      </c>
      <c r="C17" s="135" t="s">
        <v>93</v>
      </c>
      <c r="D17" s="136">
        <f>SUMIFS('Detalle Ventas Septiembre 2026'!$G:$G, 'Detalle Ventas Septiembre 2026'!$A:$A, B17)</f>
        <v>349</v>
      </c>
      <c r="E17" s="261">
        <f>SUMIFS('Detalle Ventas Septiembre 2026'!$K:$K, 'Detalle Ventas Septiembre 2026'!$A:$A, B17)</f>
        <v>5144910</v>
      </c>
      <c r="F17" s="261">
        <f>SUMIFS('Detalle Ventas Septiembre 2026'!$L:$L, 'Detalle Ventas Septiembre 2026'!$A:$A, B17)</f>
        <v>411590</v>
      </c>
      <c r="G17" s="261">
        <f>SUMIFS('Detalle Ventas Septiembre 2026'!$M:$M, 'Detalle Ventas Septiembre 2026'!$A:$A, B17)</f>
        <v>5556500</v>
      </c>
      <c r="H17" s="261">
        <f t="shared" si="0"/>
        <v>15921.203438395416</v>
      </c>
      <c r="I17" s="137">
        <f t="shared" si="1"/>
        <v>4.6488299460181029E-2</v>
      </c>
      <c r="K17" s="138" t="s">
        <v>94</v>
      </c>
      <c r="L17" s="136">
        <f>SUMIF('Detalle Ventas Septiembre 2026'!$D:$D, K17, 'Detalle Ventas Septiembre 2026'!$G:$G)</f>
        <v>256</v>
      </c>
      <c r="M17" s="261">
        <f>SUMIF('Detalle Ventas Septiembre 2026'!$D:$D, K17, 'Detalle Ventas Septiembre 2026'!$K:$K)</f>
        <v>236931</v>
      </c>
      <c r="N17" s="261">
        <f>SUMIF('Detalle Ventas Septiembre 2026'!$D:$D, K17, 'Detalle Ventas Septiembre 2026'!$M:$M)</f>
        <v>255886</v>
      </c>
      <c r="O17" s="261">
        <f t="shared" si="2"/>
        <v>999.5546875</v>
      </c>
      <c r="P17" s="137">
        <f t="shared" si="3"/>
        <v>2.1408629525182907E-3</v>
      </c>
    </row>
    <row r="18" spans="2:17">
      <c r="B18" s="134">
        <v>8</v>
      </c>
      <c r="C18" s="135" t="s">
        <v>95</v>
      </c>
      <c r="D18" s="136">
        <f>SUMIFS('Detalle Ventas Septiembre 2026'!$G:$G, 'Detalle Ventas Septiembre 2026'!$A:$A, B18)</f>
        <v>402</v>
      </c>
      <c r="E18" s="261">
        <f>SUMIFS('Detalle Ventas Septiembre 2026'!$K:$K, 'Detalle Ventas Septiembre 2026'!$A:$A, B18)</f>
        <v>5927405</v>
      </c>
      <c r="F18" s="261">
        <f>SUMIFS('Detalle Ventas Septiembre 2026'!$L:$L, 'Detalle Ventas Septiembre 2026'!$A:$A, B18)</f>
        <v>474199</v>
      </c>
      <c r="G18" s="261">
        <f>SUMIFS('Detalle Ventas Septiembre 2026'!$M:$M, 'Detalle Ventas Septiembre 2026'!$A:$A, B18)</f>
        <v>6401604</v>
      </c>
      <c r="H18" s="261">
        <f t="shared" si="0"/>
        <v>15924.388059701492</v>
      </c>
      <c r="I18" s="137">
        <f t="shared" si="1"/>
        <v>5.3558838077475517E-2</v>
      </c>
      <c r="K18" s="149" t="s">
        <v>96</v>
      </c>
      <c r="L18" s="139">
        <f>SUM(L11:L17)</f>
        <v>6438</v>
      </c>
      <c r="M18" s="262">
        <f>SUM(M11:M17)</f>
        <v>110671013</v>
      </c>
      <c r="N18" s="262">
        <f>SUM(N11:N17)</f>
        <v>119524699</v>
      </c>
      <c r="O18" s="262">
        <f t="shared" si="2"/>
        <v>18565.501553277416</v>
      </c>
      <c r="P18" s="140">
        <f>IF(N18&gt;0, 1, 0)</f>
        <v>1</v>
      </c>
    </row>
    <row r="19" spans="2:17">
      <c r="B19" s="134">
        <v>9</v>
      </c>
      <c r="C19" s="135" t="s">
        <v>97</v>
      </c>
      <c r="D19" s="136">
        <f>SUMIFS('Detalle Ventas Septiembre 2026'!$G:$G, 'Detalle Ventas Septiembre 2026'!$A:$A, B19)</f>
        <v>401</v>
      </c>
      <c r="E19" s="261">
        <f>SUMIFS('Detalle Ventas Septiembre 2026'!$K:$K, 'Detalle Ventas Septiembre 2026'!$A:$A, B19)</f>
        <v>6138790</v>
      </c>
      <c r="F19" s="261">
        <f>SUMIFS('Detalle Ventas Septiembre 2026'!$L:$L, 'Detalle Ventas Septiembre 2026'!$A:$A, B19)</f>
        <v>491108</v>
      </c>
      <c r="G19" s="261">
        <f>SUMIFS('Detalle Ventas Septiembre 2026'!$M:$M, 'Detalle Ventas Septiembre 2026'!$A:$A, B19)</f>
        <v>6629898</v>
      </c>
      <c r="H19" s="261">
        <f t="shared" si="0"/>
        <v>16533.411471321695</v>
      </c>
      <c r="I19" s="137">
        <f t="shared" si="1"/>
        <v>5.5468853345533212E-2</v>
      </c>
    </row>
    <row r="20" spans="2:17">
      <c r="B20" s="134">
        <v>10</v>
      </c>
      <c r="C20" s="135" t="s">
        <v>98</v>
      </c>
      <c r="D20" s="136">
        <f>SUMIFS('Detalle Ventas Septiembre 2026'!$G:$G, 'Detalle Ventas Septiembre 2026'!$A:$A, B20)</f>
        <v>418</v>
      </c>
      <c r="E20" s="261">
        <f>SUMIFS('Detalle Ventas Septiembre 2026'!$K:$K, 'Detalle Ventas Septiembre 2026'!$A:$A, B20)</f>
        <v>6117773</v>
      </c>
      <c r="F20" s="261">
        <f>SUMIFS('Detalle Ventas Septiembre 2026'!$L:$L, 'Detalle Ventas Septiembre 2026'!$A:$A, B20)</f>
        <v>489425</v>
      </c>
      <c r="G20" s="261">
        <f>SUMIFS('Detalle Ventas Septiembre 2026'!$M:$M, 'Detalle Ventas Septiembre 2026'!$A:$A, B20)</f>
        <v>6607198</v>
      </c>
      <c r="H20" s="261">
        <f t="shared" si="0"/>
        <v>15806.693779904306</v>
      </c>
      <c r="I20" s="137">
        <f t="shared" si="1"/>
        <v>5.5278934440152826E-2</v>
      </c>
    </row>
    <row r="21" spans="2:17">
      <c r="B21" s="134">
        <v>11</v>
      </c>
      <c r="C21" s="135" t="s">
        <v>99</v>
      </c>
      <c r="D21" s="136">
        <f>SUMIFS('Detalle Ventas Septiembre 2026'!$G:$G, 'Detalle Ventas Septiembre 2026'!$A:$A, B21)</f>
        <v>390</v>
      </c>
      <c r="E21" s="261">
        <f>SUMIFS('Detalle Ventas Septiembre 2026'!$K:$K, 'Detalle Ventas Septiembre 2026'!$A:$A, B21)</f>
        <v>5473329</v>
      </c>
      <c r="F21" s="261">
        <f>SUMIFS('Detalle Ventas Septiembre 2026'!$L:$L, 'Detalle Ventas Septiembre 2026'!$A:$A, B21)</f>
        <v>437870</v>
      </c>
      <c r="G21" s="261">
        <f>SUMIFS('Detalle Ventas Septiembre 2026'!$M:$M, 'Detalle Ventas Septiembre 2026'!$A:$A, B21)</f>
        <v>5911199</v>
      </c>
      <c r="H21" s="261">
        <f t="shared" si="0"/>
        <v>15156.920512820512</v>
      </c>
      <c r="I21" s="137">
        <f t="shared" si="1"/>
        <v>4.9455878571172979E-2</v>
      </c>
      <c r="K21" s="353" t="s">
        <v>100</v>
      </c>
      <c r="L21" s="339"/>
      <c r="M21" s="339"/>
      <c r="N21" s="339"/>
      <c r="O21" s="339"/>
      <c r="P21" s="339"/>
      <c r="Q21" s="339"/>
    </row>
    <row r="22" spans="2:17">
      <c r="B22" s="134">
        <v>12</v>
      </c>
      <c r="C22" s="135" t="s">
        <v>101</v>
      </c>
      <c r="D22" s="136">
        <f>SUMIFS('Detalle Ventas Septiembre 2026'!$G:$G, 'Detalle Ventas Septiembre 2026'!$A:$A, B22)</f>
        <v>487</v>
      </c>
      <c r="E22" s="261">
        <f>SUMIFS('Detalle Ventas Septiembre 2026'!$K:$K, 'Detalle Ventas Septiembre 2026'!$A:$A, B22)</f>
        <v>9342039</v>
      </c>
      <c r="F22" s="261">
        <f>SUMIFS('Detalle Ventas Septiembre 2026'!$L:$L, 'Detalle Ventas Septiembre 2026'!$A:$A, B22)</f>
        <v>747361</v>
      </c>
      <c r="G22" s="261">
        <f>SUMIFS('Detalle Ventas Septiembre 2026'!$M:$M, 'Detalle Ventas Septiembre 2026'!$A:$A, B22)</f>
        <v>10089400</v>
      </c>
      <c r="H22" s="261">
        <f t="shared" si="0"/>
        <v>20717.453798767969</v>
      </c>
      <c r="I22" s="137">
        <f t="shared" si="1"/>
        <v>8.4412678587879153E-2</v>
      </c>
      <c r="K22" s="133" t="s">
        <v>102</v>
      </c>
      <c r="L22" s="133" t="s">
        <v>103</v>
      </c>
      <c r="M22" s="133" t="s">
        <v>104</v>
      </c>
      <c r="N22" s="133" t="s">
        <v>105</v>
      </c>
      <c r="O22" s="133" t="s">
        <v>79</v>
      </c>
      <c r="P22" s="133" t="s">
        <v>75</v>
      </c>
      <c r="Q22" s="133" t="s">
        <v>106</v>
      </c>
    </row>
    <row r="23" spans="2:17">
      <c r="B23" s="134">
        <v>13</v>
      </c>
      <c r="C23" s="135" t="s">
        <v>107</v>
      </c>
      <c r="D23" s="136">
        <f>SUMIFS('Detalle Ventas Septiembre 2026'!$G:$G, 'Detalle Ventas Septiembre 2026'!$A:$A, B23)</f>
        <v>727</v>
      </c>
      <c r="E23" s="261">
        <f>SUMIFS('Detalle Ventas Septiembre 2026'!$K:$K, 'Detalle Ventas Septiembre 2026'!$A:$A, B23)</f>
        <v>15770930</v>
      </c>
      <c r="F23" s="261">
        <f>SUMIFS('Detalle Ventas Septiembre 2026'!$L:$L, 'Detalle Ventas Septiembre 2026'!$A:$A, B23)</f>
        <v>1261670</v>
      </c>
      <c r="G23" s="261">
        <f>SUMIFS('Detalle Ventas Septiembre 2026'!$M:$M, 'Detalle Ventas Septiembre 2026'!$A:$A, B23)</f>
        <v>17032600</v>
      </c>
      <c r="H23" s="261">
        <f t="shared" si="0"/>
        <v>23428.610729023385</v>
      </c>
      <c r="I23" s="137">
        <f t="shared" si="1"/>
        <v>0.14250276421946897</v>
      </c>
      <c r="K23" s="141" t="s">
        <v>108</v>
      </c>
      <c r="L23" s="142">
        <v>119</v>
      </c>
      <c r="M23" s="143" t="s">
        <v>109</v>
      </c>
      <c r="N23" s="143" t="s">
        <v>84</v>
      </c>
      <c r="O23" s="144">
        <f>SUMIF('Detalle Ventas Septiembre 2026'!$C:$C, L23, 'Detalle Ventas Septiembre 2026'!$G:$G)</f>
        <v>165</v>
      </c>
      <c r="P23" s="263">
        <f>SUMIF('Detalle Ventas Septiembre 2026'!$C:$C, L23, 'Detalle Ventas Septiembre 2026'!$M:$M)</f>
        <v>7920000</v>
      </c>
      <c r="Q23" s="145">
        <f t="shared" ref="Q23:Q42" si="4">IF($G$41&gt;0, P23/$G$41, 0)</f>
        <v>6.6262455093068259E-2</v>
      </c>
    </row>
    <row r="24" spans="2:17">
      <c r="B24" s="134">
        <v>14</v>
      </c>
      <c r="C24" s="135" t="s">
        <v>110</v>
      </c>
      <c r="D24" s="136">
        <f>SUMIFS('Detalle Ventas Septiembre 2026'!$G:$G, 'Detalle Ventas Septiembre 2026'!$A:$A, B24)</f>
        <v>310</v>
      </c>
      <c r="E24" s="261">
        <f>SUMIFS('Detalle Ventas Septiembre 2026'!$K:$K, 'Detalle Ventas Septiembre 2026'!$A:$A, B24)</f>
        <v>4323242</v>
      </c>
      <c r="F24" s="261">
        <f>SUMIFS('Detalle Ventas Septiembre 2026'!$L:$L, 'Detalle Ventas Septiembre 2026'!$A:$A, B24)</f>
        <v>345858</v>
      </c>
      <c r="G24" s="261">
        <f>SUMIFS('Detalle Ventas Septiembre 2026'!$M:$M, 'Detalle Ventas Septiembre 2026'!$A:$A, B24)</f>
        <v>4669100</v>
      </c>
      <c r="H24" s="261">
        <f t="shared" si="0"/>
        <v>15061.612903225807</v>
      </c>
      <c r="I24" s="137">
        <f t="shared" si="1"/>
        <v>3.9063892559980426E-2</v>
      </c>
      <c r="K24" s="141" t="s">
        <v>111</v>
      </c>
      <c r="L24" s="142">
        <v>233</v>
      </c>
      <c r="M24" s="143" t="s">
        <v>112</v>
      </c>
      <c r="N24" s="143" t="s">
        <v>84</v>
      </c>
      <c r="O24" s="144">
        <f>SUMIF('Detalle Ventas Septiembre 2026'!$C:$C, L24, 'Detalle Ventas Septiembre 2026'!$G:$G)</f>
        <v>318</v>
      </c>
      <c r="P24" s="263">
        <f>SUMIF('Detalle Ventas Septiembre 2026'!$C:$C, L24, 'Detalle Ventas Septiembre 2026'!$M:$M)</f>
        <v>6374381</v>
      </c>
      <c r="Q24" s="145">
        <f t="shared" si="4"/>
        <v>5.3331077621036303E-2</v>
      </c>
    </row>
    <row r="25" spans="2:17">
      <c r="B25" s="134">
        <v>15</v>
      </c>
      <c r="C25" s="135" t="s">
        <v>113</v>
      </c>
      <c r="D25" s="136">
        <f>SUMIFS('Detalle Ventas Septiembre 2026'!$G:$G, 'Detalle Ventas Septiembre 2026'!$A:$A, B25)</f>
        <v>0</v>
      </c>
      <c r="E25" s="261">
        <f>SUMIFS('Detalle Ventas Septiembre 2026'!$K:$K, 'Detalle Ventas Septiembre 2026'!$A:$A, B25)</f>
        <v>0</v>
      </c>
      <c r="F25" s="261">
        <f>SUMIFS('Detalle Ventas Septiembre 2026'!$L:$L, 'Detalle Ventas Septiembre 2026'!$A:$A, B25)</f>
        <v>0</v>
      </c>
      <c r="G25" s="261">
        <f>SUMIFS('Detalle Ventas Septiembre 2026'!$M:$M, 'Detalle Ventas Septiembre 2026'!$A:$A, B25)</f>
        <v>0</v>
      </c>
      <c r="H25" s="261">
        <f t="shared" si="0"/>
        <v>0</v>
      </c>
      <c r="I25" s="137">
        <f t="shared" si="1"/>
        <v>0</v>
      </c>
      <c r="K25" s="141" t="s">
        <v>114</v>
      </c>
      <c r="L25" s="142">
        <v>117</v>
      </c>
      <c r="M25" s="143" t="s">
        <v>115</v>
      </c>
      <c r="N25" s="143" t="s">
        <v>82</v>
      </c>
      <c r="O25" s="144">
        <f>SUMIF('Detalle Ventas Septiembre 2026'!$C:$C, L25, 'Detalle Ventas Septiembre 2026'!$G:$G)</f>
        <v>97</v>
      </c>
      <c r="P25" s="263">
        <f>SUMIF('Detalle Ventas Septiembre 2026'!$C:$C, L25, 'Detalle Ventas Septiembre 2026'!$M:$M)</f>
        <v>4365000</v>
      </c>
      <c r="Q25" s="145">
        <f t="shared" si="4"/>
        <v>3.6519648545611481E-2</v>
      </c>
    </row>
    <row r="26" spans="2:17">
      <c r="B26" s="134">
        <v>16</v>
      </c>
      <c r="C26" s="135" t="s">
        <v>116</v>
      </c>
      <c r="D26" s="136">
        <f>SUMIFS('Detalle Ventas Septiembre 2026'!$G:$G, 'Detalle Ventas Septiembre 2026'!$A:$A, B26)</f>
        <v>0</v>
      </c>
      <c r="E26" s="261">
        <f>SUMIFS('Detalle Ventas Septiembre 2026'!$K:$K, 'Detalle Ventas Septiembre 2026'!$A:$A, B26)</f>
        <v>0</v>
      </c>
      <c r="F26" s="261">
        <f>SUMIFS('Detalle Ventas Septiembre 2026'!$L:$L, 'Detalle Ventas Septiembre 2026'!$A:$A, B26)</f>
        <v>0</v>
      </c>
      <c r="G26" s="261">
        <f>SUMIFS('Detalle Ventas Septiembre 2026'!$M:$M, 'Detalle Ventas Septiembre 2026'!$A:$A, B26)</f>
        <v>0</v>
      </c>
      <c r="H26" s="261">
        <f t="shared" si="0"/>
        <v>0</v>
      </c>
      <c r="I26" s="137">
        <f t="shared" si="1"/>
        <v>0</v>
      </c>
      <c r="K26" s="135" t="s">
        <v>117</v>
      </c>
      <c r="L26" s="134">
        <v>93</v>
      </c>
      <c r="M26" s="138" t="s">
        <v>118</v>
      </c>
      <c r="N26" s="138" t="s">
        <v>84</v>
      </c>
      <c r="O26" s="136">
        <f>SUMIF('Detalle Ventas Septiembre 2026'!$C:$C, L26, 'Detalle Ventas Septiembre 2026'!$G:$G)</f>
        <v>179</v>
      </c>
      <c r="P26" s="261">
        <f>SUMIF('Detalle Ventas Septiembre 2026'!$C:$C, L26, 'Detalle Ventas Septiembre 2026'!$M:$M)</f>
        <v>3935434</v>
      </c>
      <c r="Q26" s="137">
        <f t="shared" si="4"/>
        <v>3.2925696805143179E-2</v>
      </c>
    </row>
    <row r="27" spans="2:17">
      <c r="B27" s="134">
        <v>17</v>
      </c>
      <c r="C27" s="135" t="s">
        <v>119</v>
      </c>
      <c r="D27" s="136">
        <f>SUMIFS('Detalle Ventas Septiembre 2026'!$G:$G, 'Detalle Ventas Septiembre 2026'!$A:$A, B27)</f>
        <v>0</v>
      </c>
      <c r="E27" s="261">
        <f>SUMIFS('Detalle Ventas Septiembre 2026'!$K:$K, 'Detalle Ventas Septiembre 2026'!$A:$A, B27)</f>
        <v>0</v>
      </c>
      <c r="F27" s="261">
        <f>SUMIFS('Detalle Ventas Septiembre 2026'!$L:$L, 'Detalle Ventas Septiembre 2026'!$A:$A, B27)</f>
        <v>0</v>
      </c>
      <c r="G27" s="261">
        <f>SUMIFS('Detalle Ventas Septiembre 2026'!$M:$M, 'Detalle Ventas Septiembre 2026'!$A:$A, B27)</f>
        <v>0</v>
      </c>
      <c r="H27" s="261">
        <f t="shared" si="0"/>
        <v>0</v>
      </c>
      <c r="I27" s="137">
        <f t="shared" si="1"/>
        <v>0</v>
      </c>
      <c r="K27" s="135" t="s">
        <v>120</v>
      </c>
      <c r="L27" s="134">
        <v>118</v>
      </c>
      <c r="M27" s="138" t="s">
        <v>121</v>
      </c>
      <c r="N27" s="138" t="s">
        <v>82</v>
      </c>
      <c r="O27" s="136">
        <f>SUMIF('Detalle Ventas Septiembre 2026'!$C:$C, L27, 'Detalle Ventas Septiembre 2026'!$G:$G)</f>
        <v>82</v>
      </c>
      <c r="P27" s="261">
        <f>SUMIF('Detalle Ventas Septiembre 2026'!$C:$C, L27, 'Detalle Ventas Septiembre 2026'!$M:$M)</f>
        <v>3690000</v>
      </c>
      <c r="Q27" s="137">
        <f t="shared" si="4"/>
        <v>3.0872280213815891E-2</v>
      </c>
    </row>
    <row r="28" spans="2:17">
      <c r="B28" s="134">
        <v>18</v>
      </c>
      <c r="C28" s="135" t="s">
        <v>122</v>
      </c>
      <c r="D28" s="136">
        <f>SUMIFS('Detalle Ventas Septiembre 2026'!$G:$G, 'Detalle Ventas Septiembre 2026'!$A:$A, B28)</f>
        <v>0</v>
      </c>
      <c r="E28" s="261">
        <f>SUMIFS('Detalle Ventas Septiembre 2026'!$K:$K, 'Detalle Ventas Septiembre 2026'!$A:$A, B28)</f>
        <v>0</v>
      </c>
      <c r="F28" s="261">
        <f>SUMIFS('Detalle Ventas Septiembre 2026'!$L:$L, 'Detalle Ventas Septiembre 2026'!$A:$A, B28)</f>
        <v>0</v>
      </c>
      <c r="G28" s="261">
        <f>SUMIFS('Detalle Ventas Septiembre 2026'!$M:$M, 'Detalle Ventas Septiembre 2026'!$A:$A, B28)</f>
        <v>0</v>
      </c>
      <c r="H28" s="261">
        <f t="shared" si="0"/>
        <v>0</v>
      </c>
      <c r="I28" s="137">
        <f t="shared" si="1"/>
        <v>0</v>
      </c>
      <c r="K28" s="135" t="s">
        <v>123</v>
      </c>
      <c r="L28" s="134">
        <v>88</v>
      </c>
      <c r="M28" s="138" t="s">
        <v>124</v>
      </c>
      <c r="N28" s="138" t="s">
        <v>82</v>
      </c>
      <c r="O28" s="136">
        <f>SUMIF('Detalle Ventas Septiembre 2026'!$C:$C, L28, 'Detalle Ventas Septiembre 2026'!$G:$G)</f>
        <v>99</v>
      </c>
      <c r="P28" s="261">
        <f>SUMIF('Detalle Ventas Septiembre 2026'!$C:$C, L28, 'Detalle Ventas Septiembre 2026'!$M:$M)</f>
        <v>3514500</v>
      </c>
      <c r="Q28" s="137">
        <f t="shared" si="4"/>
        <v>2.9403964447549037E-2</v>
      </c>
    </row>
    <row r="29" spans="2:17">
      <c r="B29" s="134">
        <v>19</v>
      </c>
      <c r="C29" s="135" t="s">
        <v>125</v>
      </c>
      <c r="D29" s="136">
        <f>SUMIFS('Detalle Ventas Septiembre 2026'!$G:$G, 'Detalle Ventas Septiembre 2026'!$A:$A, B29)</f>
        <v>0</v>
      </c>
      <c r="E29" s="261">
        <f>SUMIFS('Detalle Ventas Septiembre 2026'!$K:$K, 'Detalle Ventas Septiembre 2026'!$A:$A, B29)</f>
        <v>0</v>
      </c>
      <c r="F29" s="261">
        <f>SUMIFS('Detalle Ventas Septiembre 2026'!$L:$L, 'Detalle Ventas Septiembre 2026'!$A:$A, B29)</f>
        <v>0</v>
      </c>
      <c r="G29" s="261">
        <f>SUMIFS('Detalle Ventas Septiembre 2026'!$M:$M, 'Detalle Ventas Septiembre 2026'!$A:$A, B29)</f>
        <v>0</v>
      </c>
      <c r="H29" s="261">
        <f t="shared" si="0"/>
        <v>0</v>
      </c>
      <c r="I29" s="137">
        <f t="shared" si="1"/>
        <v>0</v>
      </c>
      <c r="K29" s="135" t="s">
        <v>126</v>
      </c>
      <c r="L29" s="134">
        <v>215</v>
      </c>
      <c r="M29" s="138" t="s">
        <v>127</v>
      </c>
      <c r="N29" s="138" t="s">
        <v>82</v>
      </c>
      <c r="O29" s="136">
        <f>SUMIF('Detalle Ventas Septiembre 2026'!$C:$C, L29, 'Detalle Ventas Septiembre 2026'!$G:$G)</f>
        <v>85</v>
      </c>
      <c r="P29" s="261">
        <f>SUMIF('Detalle Ventas Septiembre 2026'!$C:$C, L29, 'Detalle Ventas Septiembre 2026'!$M:$M)</f>
        <v>3427000</v>
      </c>
      <c r="Q29" s="137">
        <f t="shared" si="4"/>
        <v>2.8671898182316274E-2</v>
      </c>
    </row>
    <row r="30" spans="2:17">
      <c r="B30" s="134">
        <v>20</v>
      </c>
      <c r="C30" s="135" t="s">
        <v>128</v>
      </c>
      <c r="D30" s="136">
        <f>SUMIFS('Detalle Ventas Septiembre 2026'!$G:$G, 'Detalle Ventas Septiembre 2026'!$A:$A, B30)</f>
        <v>0</v>
      </c>
      <c r="E30" s="261">
        <f>SUMIFS('Detalle Ventas Septiembre 2026'!$K:$K, 'Detalle Ventas Septiembre 2026'!$A:$A, B30)</f>
        <v>0</v>
      </c>
      <c r="F30" s="261">
        <f>SUMIFS('Detalle Ventas Septiembre 2026'!$L:$L, 'Detalle Ventas Septiembre 2026'!$A:$A, B30)</f>
        <v>0</v>
      </c>
      <c r="G30" s="261">
        <f>SUMIFS('Detalle Ventas Septiembre 2026'!$M:$M, 'Detalle Ventas Septiembre 2026'!$A:$A, B30)</f>
        <v>0</v>
      </c>
      <c r="H30" s="261">
        <f t="shared" si="0"/>
        <v>0</v>
      </c>
      <c r="I30" s="137">
        <f t="shared" si="1"/>
        <v>0</v>
      </c>
      <c r="K30" s="135" t="s">
        <v>129</v>
      </c>
      <c r="L30" s="134">
        <v>113</v>
      </c>
      <c r="M30" s="138" t="s">
        <v>130</v>
      </c>
      <c r="N30" s="138" t="s">
        <v>84</v>
      </c>
      <c r="O30" s="136">
        <f>SUMIF('Detalle Ventas Septiembre 2026'!$C:$C, L30, 'Detalle Ventas Septiembre 2026'!$G:$G)</f>
        <v>134</v>
      </c>
      <c r="P30" s="261">
        <f>SUMIF('Detalle Ventas Septiembre 2026'!$C:$C, L30, 'Detalle Ventas Septiembre 2026'!$M:$M)</f>
        <v>3216000</v>
      </c>
      <c r="Q30" s="137">
        <f t="shared" si="4"/>
        <v>2.6906572674154989E-2</v>
      </c>
    </row>
    <row r="31" spans="2:17">
      <c r="B31" s="134">
        <v>21</v>
      </c>
      <c r="C31" s="135" t="s">
        <v>131</v>
      </c>
      <c r="D31" s="136">
        <f>SUMIFS('Detalle Ventas Septiembre 2026'!$G:$G, 'Detalle Ventas Septiembre 2026'!$A:$A, B31)</f>
        <v>0</v>
      </c>
      <c r="E31" s="261">
        <f>SUMIFS('Detalle Ventas Septiembre 2026'!$K:$K, 'Detalle Ventas Septiembre 2026'!$A:$A, B31)</f>
        <v>0</v>
      </c>
      <c r="F31" s="261">
        <f>SUMIFS('Detalle Ventas Septiembre 2026'!$L:$L, 'Detalle Ventas Septiembre 2026'!$A:$A, B31)</f>
        <v>0</v>
      </c>
      <c r="G31" s="261">
        <f>SUMIFS('Detalle Ventas Septiembre 2026'!$M:$M, 'Detalle Ventas Septiembre 2026'!$A:$A, B31)</f>
        <v>0</v>
      </c>
      <c r="H31" s="261">
        <f t="shared" si="0"/>
        <v>0</v>
      </c>
      <c r="I31" s="137">
        <f t="shared" si="1"/>
        <v>0</v>
      </c>
      <c r="K31" s="135" t="s">
        <v>132</v>
      </c>
      <c r="L31" s="134">
        <v>44</v>
      </c>
      <c r="M31" s="138" t="s">
        <v>133</v>
      </c>
      <c r="N31" s="138" t="s">
        <v>82</v>
      </c>
      <c r="O31" s="136">
        <f>SUMIF('Detalle Ventas Septiembre 2026'!$C:$C, L31, 'Detalle Ventas Septiembre 2026'!$G:$G)</f>
        <v>95</v>
      </c>
      <c r="P31" s="261">
        <f>SUMIF('Detalle Ventas Septiembre 2026'!$C:$C, L31, 'Detalle Ventas Septiembre 2026'!$M:$M)</f>
        <v>2897500</v>
      </c>
      <c r="Q31" s="137">
        <f t="shared" si="4"/>
        <v>2.4241851468707734E-2</v>
      </c>
    </row>
    <row r="32" spans="2:17">
      <c r="B32" s="134">
        <v>22</v>
      </c>
      <c r="C32" s="135" t="s">
        <v>134</v>
      </c>
      <c r="D32" s="136">
        <f>SUMIFS('Detalle Ventas Septiembre 2026'!$G:$G, 'Detalle Ventas Septiembre 2026'!$A:$A, B32)</f>
        <v>0</v>
      </c>
      <c r="E32" s="261">
        <f>SUMIFS('Detalle Ventas Septiembre 2026'!$K:$K, 'Detalle Ventas Septiembre 2026'!$A:$A, B32)</f>
        <v>0</v>
      </c>
      <c r="F32" s="261">
        <f>SUMIFS('Detalle Ventas Septiembre 2026'!$L:$L, 'Detalle Ventas Septiembre 2026'!$A:$A, B32)</f>
        <v>0</v>
      </c>
      <c r="G32" s="261">
        <f>SUMIFS('Detalle Ventas Septiembre 2026'!$M:$M, 'Detalle Ventas Septiembre 2026'!$A:$A, B32)</f>
        <v>0</v>
      </c>
      <c r="H32" s="261">
        <f t="shared" si="0"/>
        <v>0</v>
      </c>
      <c r="I32" s="137">
        <f t="shared" si="1"/>
        <v>0</v>
      </c>
      <c r="K32" s="135" t="s">
        <v>135</v>
      </c>
      <c r="L32" s="134">
        <v>223</v>
      </c>
      <c r="M32" s="138" t="s">
        <v>136</v>
      </c>
      <c r="N32" s="138" t="s">
        <v>82</v>
      </c>
      <c r="O32" s="136">
        <f>SUMIF('Detalle Ventas Septiembre 2026'!$C:$C, L32, 'Detalle Ventas Septiembre 2026'!$G:$G)</f>
        <v>37</v>
      </c>
      <c r="P32" s="261">
        <f>SUMIF('Detalle Ventas Septiembre 2026'!$C:$C, L32, 'Detalle Ventas Septiembre 2026'!$M:$M)</f>
        <v>2775000</v>
      </c>
      <c r="Q32" s="137">
        <f t="shared" si="4"/>
        <v>2.321695869738187E-2</v>
      </c>
    </row>
    <row r="33" spans="2:17">
      <c r="B33" s="134">
        <v>23</v>
      </c>
      <c r="C33" s="135" t="s">
        <v>137</v>
      </c>
      <c r="D33" s="136">
        <f>SUMIFS('Detalle Ventas Septiembre 2026'!$G:$G, 'Detalle Ventas Septiembre 2026'!$A:$A, B33)</f>
        <v>0</v>
      </c>
      <c r="E33" s="261">
        <f>SUMIFS('Detalle Ventas Septiembre 2026'!$K:$K, 'Detalle Ventas Septiembre 2026'!$A:$A, B33)</f>
        <v>0</v>
      </c>
      <c r="F33" s="261">
        <f>SUMIFS('Detalle Ventas Septiembre 2026'!$L:$L, 'Detalle Ventas Septiembre 2026'!$A:$A, B33)</f>
        <v>0</v>
      </c>
      <c r="G33" s="261">
        <f>SUMIFS('Detalle Ventas Septiembre 2026'!$M:$M, 'Detalle Ventas Septiembre 2026'!$A:$A, B33)</f>
        <v>0</v>
      </c>
      <c r="H33" s="261">
        <f t="shared" si="0"/>
        <v>0</v>
      </c>
      <c r="I33" s="137">
        <f t="shared" si="1"/>
        <v>0</v>
      </c>
      <c r="K33" s="135" t="s">
        <v>138</v>
      </c>
      <c r="L33" s="134">
        <v>87</v>
      </c>
      <c r="M33" s="138" t="s">
        <v>139</v>
      </c>
      <c r="N33" s="138" t="s">
        <v>84</v>
      </c>
      <c r="O33" s="136">
        <f>SUMIF('Detalle Ventas Septiembre 2026'!$C:$C, L33, 'Detalle Ventas Septiembre 2026'!$G:$G)</f>
        <v>68</v>
      </c>
      <c r="P33" s="261">
        <f>SUMIF('Detalle Ventas Septiembre 2026'!$C:$C, L33, 'Detalle Ventas Septiembre 2026'!$M:$M)</f>
        <v>2754000</v>
      </c>
      <c r="Q33" s="137">
        <f t="shared" si="4"/>
        <v>2.3041262793726005E-2</v>
      </c>
    </row>
    <row r="34" spans="2:17">
      <c r="B34" s="134">
        <v>24</v>
      </c>
      <c r="C34" s="135" t="s">
        <v>140</v>
      </c>
      <c r="D34" s="136">
        <f>SUMIFS('Detalle Ventas Septiembre 2026'!$G:$G, 'Detalle Ventas Septiembre 2026'!$A:$A, B34)</f>
        <v>0</v>
      </c>
      <c r="E34" s="261">
        <f>SUMIFS('Detalle Ventas Septiembre 2026'!$K:$K, 'Detalle Ventas Septiembre 2026'!$A:$A, B34)</f>
        <v>0</v>
      </c>
      <c r="F34" s="261">
        <f>SUMIFS('Detalle Ventas Septiembre 2026'!$L:$L, 'Detalle Ventas Septiembre 2026'!$A:$A, B34)</f>
        <v>0</v>
      </c>
      <c r="G34" s="261">
        <f>SUMIFS('Detalle Ventas Septiembre 2026'!$M:$M, 'Detalle Ventas Septiembre 2026'!$A:$A, B34)</f>
        <v>0</v>
      </c>
      <c r="H34" s="261">
        <f t="shared" si="0"/>
        <v>0</v>
      </c>
      <c r="I34" s="137">
        <f t="shared" si="1"/>
        <v>0</v>
      </c>
      <c r="K34" s="135" t="s">
        <v>141</v>
      </c>
      <c r="L34" s="134">
        <v>109</v>
      </c>
      <c r="M34" s="138" t="s">
        <v>142</v>
      </c>
      <c r="N34" s="138" t="s">
        <v>86</v>
      </c>
      <c r="O34" s="136">
        <f>SUMIF('Detalle Ventas Septiembre 2026'!$C:$C, L34, 'Detalle Ventas Septiembre 2026'!$G:$G)</f>
        <v>191</v>
      </c>
      <c r="P34" s="261">
        <f>SUMIF('Detalle Ventas Septiembre 2026'!$C:$C, L34, 'Detalle Ventas Septiembre 2026'!$M:$M)</f>
        <v>2674001</v>
      </c>
      <c r="Q34" s="137">
        <f t="shared" si="4"/>
        <v>2.2371953431984799E-2</v>
      </c>
    </row>
    <row r="35" spans="2:17">
      <c r="B35" s="134">
        <v>25</v>
      </c>
      <c r="C35" s="135" t="s">
        <v>143</v>
      </c>
      <c r="D35" s="136">
        <f>SUMIFS('Detalle Ventas Septiembre 2026'!$G:$G, 'Detalle Ventas Septiembre 2026'!$A:$A, B35)</f>
        <v>0</v>
      </c>
      <c r="E35" s="261">
        <f>SUMIFS('Detalle Ventas Septiembre 2026'!$K:$K, 'Detalle Ventas Septiembre 2026'!$A:$A, B35)</f>
        <v>0</v>
      </c>
      <c r="F35" s="261">
        <f>SUMIFS('Detalle Ventas Septiembre 2026'!$L:$L, 'Detalle Ventas Septiembre 2026'!$A:$A, B35)</f>
        <v>0</v>
      </c>
      <c r="G35" s="261">
        <f>SUMIFS('Detalle Ventas Septiembre 2026'!$M:$M, 'Detalle Ventas Septiembre 2026'!$A:$A, B35)</f>
        <v>0</v>
      </c>
      <c r="H35" s="261">
        <f t="shared" si="0"/>
        <v>0</v>
      </c>
      <c r="I35" s="137">
        <f t="shared" si="1"/>
        <v>0</v>
      </c>
      <c r="K35" s="135" t="s">
        <v>144</v>
      </c>
      <c r="L35" s="134">
        <v>94</v>
      </c>
      <c r="M35" s="138" t="s">
        <v>145</v>
      </c>
      <c r="N35" s="138" t="s">
        <v>84</v>
      </c>
      <c r="O35" s="136">
        <f>SUMIF('Detalle Ventas Septiembre 2026'!$C:$C, L35, 'Detalle Ventas Septiembre 2026'!$G:$G)</f>
        <v>127</v>
      </c>
      <c r="P35" s="261">
        <f>SUMIF('Detalle Ventas Septiembre 2026'!$C:$C, L35, 'Detalle Ventas Septiembre 2026'!$M:$M)</f>
        <v>2554333</v>
      </c>
      <c r="Q35" s="137">
        <f t="shared" si="4"/>
        <v>2.1370754508237666E-2</v>
      </c>
    </row>
    <row r="36" spans="2:17">
      <c r="B36" s="134">
        <v>26</v>
      </c>
      <c r="C36" s="135" t="s">
        <v>146</v>
      </c>
      <c r="D36" s="136">
        <f>SUMIFS('Detalle Ventas Septiembre 2026'!$G:$G, 'Detalle Ventas Septiembre 2026'!$A:$A, B36)</f>
        <v>0</v>
      </c>
      <c r="E36" s="261">
        <f>SUMIFS('Detalle Ventas Septiembre 2026'!$K:$K, 'Detalle Ventas Septiembre 2026'!$A:$A, B36)</f>
        <v>0</v>
      </c>
      <c r="F36" s="261">
        <f>SUMIFS('Detalle Ventas Septiembre 2026'!$L:$L, 'Detalle Ventas Septiembre 2026'!$A:$A, B36)</f>
        <v>0</v>
      </c>
      <c r="G36" s="261">
        <f>SUMIFS('Detalle Ventas Septiembre 2026'!$M:$M, 'Detalle Ventas Septiembre 2026'!$A:$A, B36)</f>
        <v>0</v>
      </c>
      <c r="H36" s="261">
        <f t="shared" si="0"/>
        <v>0</v>
      </c>
      <c r="I36" s="137">
        <f t="shared" si="1"/>
        <v>0</v>
      </c>
      <c r="K36" s="135" t="s">
        <v>147</v>
      </c>
      <c r="L36" s="134">
        <v>219</v>
      </c>
      <c r="M36" s="138" t="s">
        <v>148</v>
      </c>
      <c r="N36" s="138" t="s">
        <v>82</v>
      </c>
      <c r="O36" s="136">
        <f>SUMIF('Detalle Ventas Septiembre 2026'!$C:$C, L36, 'Detalle Ventas Septiembre 2026'!$G:$G)</f>
        <v>34</v>
      </c>
      <c r="P36" s="261">
        <f>SUMIF('Detalle Ventas Septiembre 2026'!$C:$C, L36, 'Detalle Ventas Septiembre 2026'!$M:$M)</f>
        <v>2550000</v>
      </c>
      <c r="Q36" s="137">
        <f t="shared" si="4"/>
        <v>2.1334502586783339E-2</v>
      </c>
    </row>
    <row r="37" spans="2:17">
      <c r="B37" s="134">
        <v>27</v>
      </c>
      <c r="C37" s="135" t="s">
        <v>149</v>
      </c>
      <c r="D37" s="136">
        <f>SUMIFS('Detalle Ventas Septiembre 2026'!$G:$G, 'Detalle Ventas Septiembre 2026'!$A:$A, B37)</f>
        <v>0</v>
      </c>
      <c r="E37" s="261">
        <f>SUMIFS('Detalle Ventas Septiembre 2026'!$K:$K, 'Detalle Ventas Septiembre 2026'!$A:$A, B37)</f>
        <v>0</v>
      </c>
      <c r="F37" s="261">
        <f>SUMIFS('Detalle Ventas Septiembre 2026'!$L:$L, 'Detalle Ventas Septiembre 2026'!$A:$A, B37)</f>
        <v>0</v>
      </c>
      <c r="G37" s="261">
        <f>SUMIFS('Detalle Ventas Septiembre 2026'!$M:$M, 'Detalle Ventas Septiembre 2026'!$A:$A, B37)</f>
        <v>0</v>
      </c>
      <c r="H37" s="261">
        <f t="shared" si="0"/>
        <v>0</v>
      </c>
      <c r="I37" s="137">
        <f t="shared" si="1"/>
        <v>0</v>
      </c>
      <c r="K37" s="135" t="s">
        <v>150</v>
      </c>
      <c r="L37" s="134">
        <v>8</v>
      </c>
      <c r="M37" s="138" t="s">
        <v>151</v>
      </c>
      <c r="N37" s="138" t="s">
        <v>82</v>
      </c>
      <c r="O37" s="136">
        <f>SUMIF('Detalle Ventas Septiembre 2026'!$C:$C, L37, 'Detalle Ventas Septiembre 2026'!$G:$G)</f>
        <v>118</v>
      </c>
      <c r="P37" s="261">
        <f>SUMIF('Detalle Ventas Septiembre 2026'!$C:$C, L37, 'Detalle Ventas Septiembre 2026'!$M:$M)</f>
        <v>2374524</v>
      </c>
      <c r="Q37" s="137">
        <f t="shared" si="4"/>
        <v>1.9866387615834948E-2</v>
      </c>
    </row>
    <row r="38" spans="2:17">
      <c r="B38" s="134">
        <v>28</v>
      </c>
      <c r="C38" s="135" t="s">
        <v>152</v>
      </c>
      <c r="D38" s="136">
        <f>SUMIFS('Detalle Ventas Septiembre 2026'!$G:$G, 'Detalle Ventas Septiembre 2026'!$A:$A, B38)</f>
        <v>0</v>
      </c>
      <c r="E38" s="261">
        <f>SUMIFS('Detalle Ventas Septiembre 2026'!$K:$K, 'Detalle Ventas Septiembre 2026'!$A:$A, B38)</f>
        <v>0</v>
      </c>
      <c r="F38" s="261">
        <f>SUMIFS('Detalle Ventas Septiembre 2026'!$L:$L, 'Detalle Ventas Septiembre 2026'!$A:$A, B38)</f>
        <v>0</v>
      </c>
      <c r="G38" s="261">
        <f>SUMIFS('Detalle Ventas Septiembre 2026'!$M:$M, 'Detalle Ventas Septiembre 2026'!$A:$A, B38)</f>
        <v>0</v>
      </c>
      <c r="H38" s="261">
        <f t="shared" si="0"/>
        <v>0</v>
      </c>
      <c r="I38" s="137">
        <f t="shared" si="1"/>
        <v>0</v>
      </c>
      <c r="K38" s="135" t="s">
        <v>153</v>
      </c>
      <c r="L38" s="134">
        <v>50</v>
      </c>
      <c r="M38" s="138" t="s">
        <v>154</v>
      </c>
      <c r="N38" s="138" t="s">
        <v>82</v>
      </c>
      <c r="O38" s="136">
        <f>SUMIF('Detalle Ventas Septiembre 2026'!$C:$C, L38, 'Detalle Ventas Septiembre 2026'!$G:$G)</f>
        <v>42</v>
      </c>
      <c r="P38" s="261">
        <f>SUMIF('Detalle Ventas Septiembre 2026'!$C:$C, L38, 'Detalle Ventas Septiembre 2026'!$M:$M)</f>
        <v>2226000</v>
      </c>
      <c r="Q38" s="137">
        <f t="shared" si="4"/>
        <v>1.8623765787521455E-2</v>
      </c>
    </row>
    <row r="39" spans="2:17">
      <c r="B39" s="134">
        <v>29</v>
      </c>
      <c r="C39" s="135" t="s">
        <v>155</v>
      </c>
      <c r="D39" s="136">
        <f>SUMIFS('Detalle Ventas Septiembre 2026'!$G:$G, 'Detalle Ventas Septiembre 2026'!$A:$A, B39)</f>
        <v>0</v>
      </c>
      <c r="E39" s="261">
        <f>SUMIFS('Detalle Ventas Septiembre 2026'!$K:$K, 'Detalle Ventas Septiembre 2026'!$A:$A, B39)</f>
        <v>0</v>
      </c>
      <c r="F39" s="261">
        <f>SUMIFS('Detalle Ventas Septiembre 2026'!$L:$L, 'Detalle Ventas Septiembre 2026'!$A:$A, B39)</f>
        <v>0</v>
      </c>
      <c r="G39" s="261">
        <f>SUMIFS('Detalle Ventas Septiembre 2026'!$M:$M, 'Detalle Ventas Septiembre 2026'!$A:$A, B39)</f>
        <v>0</v>
      </c>
      <c r="H39" s="261">
        <f t="shared" si="0"/>
        <v>0</v>
      </c>
      <c r="I39" s="137">
        <f t="shared" si="1"/>
        <v>0</v>
      </c>
      <c r="K39" s="135" t="s">
        <v>156</v>
      </c>
      <c r="L39" s="134">
        <v>104</v>
      </c>
      <c r="M39" s="138" t="s">
        <v>157</v>
      </c>
      <c r="N39" s="138" t="s">
        <v>84</v>
      </c>
      <c r="O39" s="136">
        <f>SUMIF('Detalle Ventas Septiembre 2026'!$C:$C, L39, 'Detalle Ventas Septiembre 2026'!$G:$G)</f>
        <v>124</v>
      </c>
      <c r="P39" s="261">
        <f>SUMIF('Detalle Ventas Septiembre 2026'!$C:$C, L39, 'Detalle Ventas Septiembre 2026'!$M:$M)</f>
        <v>2139670</v>
      </c>
      <c r="Q39" s="137">
        <f t="shared" si="4"/>
        <v>1.7901488294063808E-2</v>
      </c>
    </row>
    <row r="40" spans="2:17">
      <c r="B40" s="134">
        <v>30</v>
      </c>
      <c r="C40" s="135" t="s">
        <v>158</v>
      </c>
      <c r="D40" s="136">
        <f>SUMIFS('Detalle Ventas Septiembre 2026'!$G:$G, 'Detalle Ventas Septiembre 2026'!$A:$A, B40)</f>
        <v>0</v>
      </c>
      <c r="E40" s="261">
        <f>SUMIFS('Detalle Ventas Septiembre 2026'!$K:$K, 'Detalle Ventas Septiembre 2026'!$A:$A, B40)</f>
        <v>0</v>
      </c>
      <c r="F40" s="261">
        <f>SUMIFS('Detalle Ventas Septiembre 2026'!$L:$L, 'Detalle Ventas Septiembre 2026'!$A:$A, B40)</f>
        <v>0</v>
      </c>
      <c r="G40" s="261">
        <f>SUMIFS('Detalle Ventas Septiembre 2026'!$M:$M, 'Detalle Ventas Septiembre 2026'!$A:$A, B40)</f>
        <v>0</v>
      </c>
      <c r="H40" s="261">
        <f t="shared" si="0"/>
        <v>0</v>
      </c>
      <c r="I40" s="137">
        <f t="shared" si="1"/>
        <v>0</v>
      </c>
      <c r="K40" s="135" t="s">
        <v>159</v>
      </c>
      <c r="L40" s="134">
        <v>212</v>
      </c>
      <c r="M40" s="138" t="s">
        <v>160</v>
      </c>
      <c r="N40" s="138" t="s">
        <v>86</v>
      </c>
      <c r="O40" s="136">
        <f>SUMIF('Detalle Ventas Septiembre 2026'!$C:$C, L40, 'Detalle Ventas Septiembre 2026'!$G:$G)</f>
        <v>76</v>
      </c>
      <c r="P40" s="261">
        <f>SUMIF('Detalle Ventas Septiembre 2026'!$C:$C, L40, 'Detalle Ventas Septiembre 2026'!$M:$M)</f>
        <v>1824000</v>
      </c>
      <c r="Q40" s="137">
        <f t="shared" si="4"/>
        <v>1.5260444203252083E-2</v>
      </c>
    </row>
    <row r="41" spans="2:17">
      <c r="B41" s="352" t="s">
        <v>161</v>
      </c>
      <c r="C41" s="339"/>
      <c r="D41" s="139">
        <f>SUM(D11:D40)</f>
        <v>6438</v>
      </c>
      <c r="E41" s="262">
        <f>SUM(E11:E40)</f>
        <v>110671013</v>
      </c>
      <c r="F41" s="262">
        <f>SUM(F11:F40)</f>
        <v>8853686</v>
      </c>
      <c r="G41" s="262">
        <f>SUM(G11:G40)</f>
        <v>119524699</v>
      </c>
      <c r="H41" s="262">
        <f t="shared" si="0"/>
        <v>18565.501553277416</v>
      </c>
      <c r="I41" s="140">
        <f>IF(G41&gt;0, 1, 0)</f>
        <v>1</v>
      </c>
      <c r="K41" s="135" t="s">
        <v>162</v>
      </c>
      <c r="L41" s="134">
        <v>41</v>
      </c>
      <c r="M41" s="138" t="s">
        <v>163</v>
      </c>
      <c r="N41" s="138" t="s">
        <v>82</v>
      </c>
      <c r="O41" s="136">
        <f>SUMIF('Detalle Ventas Septiembre 2026'!$C:$C, L41, 'Detalle Ventas Septiembre 2026'!$G:$G)</f>
        <v>34</v>
      </c>
      <c r="P41" s="261">
        <f>SUMIF('Detalle Ventas Septiembre 2026'!$C:$C, L41, 'Detalle Ventas Septiembre 2026'!$M:$M)</f>
        <v>1802000</v>
      </c>
      <c r="Q41" s="137">
        <f t="shared" si="4"/>
        <v>1.5076381827993559E-2</v>
      </c>
    </row>
    <row r="42" spans="2:17">
      <c r="B42" s="351" t="s">
        <v>55</v>
      </c>
      <c r="C42" s="336"/>
      <c r="D42" s="146">
        <f>AVERAGEIF(D11:D40, "&gt;0")</f>
        <v>459.85714285714283</v>
      </c>
      <c r="E42" s="264">
        <f>AVERAGEIF(E11:E40, "&gt;0")</f>
        <v>7905072.3571428573</v>
      </c>
      <c r="F42" s="264">
        <f>AVERAGEIF(F11:F40, "&gt;0")</f>
        <v>632406.14285714284</v>
      </c>
      <c r="G42" s="264">
        <f>AVERAGEIF(G11:G40, "&gt;0")</f>
        <v>8537478.5</v>
      </c>
      <c r="H42" s="264">
        <f t="shared" si="0"/>
        <v>18565.501553277416</v>
      </c>
      <c r="I42" s="150" t="s">
        <v>57</v>
      </c>
      <c r="K42" s="135" t="s">
        <v>164</v>
      </c>
      <c r="L42" s="134">
        <v>40</v>
      </c>
      <c r="M42" s="138" t="s">
        <v>165</v>
      </c>
      <c r="N42" s="138" t="s">
        <v>82</v>
      </c>
      <c r="O42" s="136">
        <f>SUMIF('Detalle Ventas Septiembre 2026'!$C:$C, L42, 'Detalle Ventas Septiembre 2026'!$G:$G)</f>
        <v>30</v>
      </c>
      <c r="P42" s="261">
        <f>SUMIF('Detalle Ventas Septiembre 2026'!$C:$C, L42, 'Detalle Ventas Septiembre 2026'!$M:$M)</f>
        <v>1785000</v>
      </c>
      <c r="Q42" s="137">
        <f t="shared" si="4"/>
        <v>1.4934151810748338E-2</v>
      </c>
    </row>
    <row r="43" spans="2:17">
      <c r="B43" s="351" t="s">
        <v>56</v>
      </c>
      <c r="C43" s="336"/>
      <c r="D43" s="146">
        <f>MAX(D11:D40)</f>
        <v>842</v>
      </c>
      <c r="E43" s="264">
        <f>MAX(E11:E40)</f>
        <v>18761854</v>
      </c>
      <c r="F43" s="264">
        <f>MAX(F11:F40)</f>
        <v>1500947</v>
      </c>
      <c r="G43" s="264">
        <f>MAX(G11:G40)</f>
        <v>20262801</v>
      </c>
      <c r="H43" s="150" t="s">
        <v>57</v>
      </c>
      <c r="I43" s="150" t="s">
        <v>57</v>
      </c>
      <c r="K43" s="351" t="s">
        <v>166</v>
      </c>
      <c r="L43" s="341"/>
      <c r="M43" s="341"/>
      <c r="N43" s="336"/>
      <c r="O43" s="146">
        <f>SUM(O23:O42)</f>
        <v>2135</v>
      </c>
      <c r="P43" s="264">
        <f>SUM(P23:P42)</f>
        <v>64798343</v>
      </c>
      <c r="Q43" s="147">
        <f>SUM(Q23:Q42)</f>
        <v>0.54213349660893084</v>
      </c>
    </row>
  </sheetData>
  <mergeCells count="21">
    <mergeCell ref="B43:C43"/>
    <mergeCell ref="O5:P5"/>
    <mergeCell ref="B42:C42"/>
    <mergeCell ref="G6:H6"/>
    <mergeCell ref="B6:D6"/>
    <mergeCell ref="B5:D5"/>
    <mergeCell ref="E6:F6"/>
    <mergeCell ref="M6:N6"/>
    <mergeCell ref="B41:C41"/>
    <mergeCell ref="K21:Q21"/>
    <mergeCell ref="G5:H5"/>
    <mergeCell ref="I5:J5"/>
    <mergeCell ref="B9:I9"/>
    <mergeCell ref="K9:P9"/>
    <mergeCell ref="K43:N43"/>
    <mergeCell ref="K6:L6"/>
    <mergeCell ref="I6:J6"/>
    <mergeCell ref="O6:P6"/>
    <mergeCell ref="E5:F5"/>
    <mergeCell ref="K5:L5"/>
    <mergeCell ref="M5:N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168"/>
  <sheetViews>
    <sheetView zoomScaleNormal="100" workbookViewId="0">
      <selection activeCell="I8" sqref="I8:O8"/>
    </sheetView>
  </sheetViews>
  <sheetFormatPr baseColWidth="10" defaultColWidth="8.7109375" defaultRowHeight="15"/>
  <cols>
    <col min="1" max="1" width="4" style="236" customWidth="1"/>
    <col min="2" max="2" width="8" style="236" customWidth="1"/>
    <col min="3" max="3" width="20" style="236" customWidth="1"/>
    <col min="4" max="4" width="28" style="236" customWidth="1"/>
    <col min="5" max="5" width="38" style="236" customWidth="1"/>
    <col min="6" max="6" width="16.5703125" style="236" customWidth="1"/>
    <col min="7" max="7" width="16" style="236" customWidth="1"/>
    <col min="8" max="8" width="18" style="236" customWidth="1"/>
    <col min="9" max="9" width="8" style="236" customWidth="1"/>
    <col min="10" max="10" width="27.42578125" style="236" bestFit="1" customWidth="1"/>
    <col min="11" max="11" width="28" style="236" customWidth="1"/>
    <col min="12" max="12" width="66" style="236" bestFit="1" customWidth="1"/>
    <col min="13" max="13" width="14" style="236" customWidth="1"/>
    <col min="14" max="14" width="15" style="236" customWidth="1"/>
    <col min="15" max="15" width="18" style="236" customWidth="1"/>
    <col min="16" max="16" width="13" style="236" customWidth="1"/>
  </cols>
  <sheetData>
    <row r="2" spans="2:17" ht="27.95" customHeight="1">
      <c r="B2" s="360" t="s">
        <v>167</v>
      </c>
      <c r="C2" s="339"/>
      <c r="D2" s="339"/>
      <c r="E2" s="339"/>
      <c r="F2" s="339"/>
      <c r="G2" s="339"/>
      <c r="H2" s="339"/>
    </row>
    <row r="3" spans="2:17" ht="18" customHeight="1">
      <c r="B3" s="359" t="s">
        <v>168</v>
      </c>
      <c r="C3" s="339"/>
      <c r="D3" s="339"/>
      <c r="E3" s="339"/>
      <c r="F3" s="339"/>
      <c r="G3" s="339"/>
      <c r="H3" s="339"/>
    </row>
    <row r="5" spans="2:17" ht="18" customHeight="1">
      <c r="B5" s="362" t="s">
        <v>169</v>
      </c>
      <c r="C5" s="358"/>
      <c r="D5" s="362" t="s">
        <v>170</v>
      </c>
      <c r="E5" s="358"/>
      <c r="F5" s="239" t="s">
        <v>171</v>
      </c>
      <c r="G5" s="239" t="s">
        <v>172</v>
      </c>
      <c r="H5" s="239" t="s">
        <v>173</v>
      </c>
    </row>
    <row r="6" spans="2:17" ht="24" customHeight="1">
      <c r="B6" s="361">
        <f>SUMIFS('Detalle Compras Septiembre 2026'!$G:$G, 'Detalle Compras Septiembre 2026'!$B:$B, "Carnes")</f>
        <v>42822120.859999999</v>
      </c>
      <c r="C6" s="358"/>
      <c r="D6" s="357">
        <f>SUMIFS('Detalle Compras Septiembre 2026'!$E:$E, 'Detalle Compras Septiembre 2026'!$B:$B, "Carnes")</f>
        <v>1912.8000000000006</v>
      </c>
      <c r="E6" s="358"/>
      <c r="F6" s="238">
        <f>IF(D6&gt;0, B6/D6, 0)</f>
        <v>22387.139721873686</v>
      </c>
      <c r="G6" s="265">
        <f>COUNTIF('Detalle Compras Septiembre 2026'!$B:$B, "Carnes")</f>
        <v>111</v>
      </c>
      <c r="H6" s="266">
        <f>IF(Dashboard!$E$58&gt;0, B6/Dashboard!$E$58, 0)</f>
        <v>0.30991989301120138</v>
      </c>
    </row>
    <row r="8" spans="2:17">
      <c r="B8" s="356" t="s">
        <v>174</v>
      </c>
      <c r="C8" s="339"/>
      <c r="D8" s="339"/>
      <c r="E8" s="339"/>
      <c r="F8" s="339"/>
      <c r="G8" s="339"/>
      <c r="I8" s="355" t="s">
        <v>175</v>
      </c>
      <c r="J8" s="339"/>
      <c r="K8" s="339"/>
      <c r="L8" s="339"/>
      <c r="M8" s="339"/>
      <c r="N8" s="339"/>
      <c r="O8" s="339"/>
      <c r="P8" s="24"/>
      <c r="Q8" s="24"/>
    </row>
    <row r="9" spans="2:17" ht="21.95" customHeight="1">
      <c r="B9" s="6" t="s">
        <v>42</v>
      </c>
      <c r="C9" s="6" t="s">
        <v>176</v>
      </c>
      <c r="D9" s="6" t="s">
        <v>177</v>
      </c>
      <c r="E9" s="6" t="s">
        <v>178</v>
      </c>
      <c r="F9" s="6" t="s">
        <v>179</v>
      </c>
      <c r="G9" s="6" t="s">
        <v>12</v>
      </c>
      <c r="I9" s="26" t="s">
        <v>42</v>
      </c>
      <c r="J9" s="26" t="s">
        <v>180</v>
      </c>
      <c r="K9" s="26" t="s">
        <v>181</v>
      </c>
      <c r="L9" s="26" t="s">
        <v>182</v>
      </c>
      <c r="M9" s="26" t="s">
        <v>183</v>
      </c>
      <c r="N9" s="26" t="s">
        <v>184</v>
      </c>
      <c r="O9" s="26" t="s">
        <v>185</v>
      </c>
      <c r="P9" s="35"/>
      <c r="Q9" s="24"/>
    </row>
    <row r="10" spans="2:17" ht="18" customHeight="1">
      <c r="B10" s="7">
        <v>1</v>
      </c>
      <c r="C10" s="210">
        <f>SUMIFS('Detalle Compras Septiembre 2026'!$G:$G, 'Detalle Compras Septiembre 2026'!$A:$A, B10, 'Detalle Compras Septiembre 2026'!$B:$B, "Carnes")</f>
        <v>6130295</v>
      </c>
      <c r="D10" s="8">
        <f>SUMIFS('Detalle Compras Septiembre 2026'!$E:$E, 'Detalle Compras Septiembre 2026'!$A:$A, B10, 'Detalle Compras Septiembre 2026'!$B:$B, "Carnes")</f>
        <v>277.27999999999997</v>
      </c>
      <c r="E10" s="210">
        <f t="shared" ref="E10:E40" si="0">IF(D10&gt;0, C10/D10, 0)</f>
        <v>22108.6807559146</v>
      </c>
      <c r="F10" s="267">
        <f t="shared" ref="F10:F39" si="1">IF($C$40&gt;0, C10/$C$40, 0)</f>
        <v>0.14315720185933828</v>
      </c>
      <c r="G10" s="9">
        <f>COUNTIFS('Detalle Compras Septiembre 2026'!$A:$A, B10, 'Detalle Compras Septiembre 2026'!$B:$B, "Carnes")</f>
        <v>13</v>
      </c>
      <c r="I10" s="305">
        <v>1</v>
      </c>
      <c r="J10" s="305" t="s">
        <v>186</v>
      </c>
      <c r="K10" s="306" t="s">
        <v>187</v>
      </c>
      <c r="L10" s="307" t="s">
        <v>188</v>
      </c>
      <c r="M10" s="308">
        <v>4.7549999999999999</v>
      </c>
      <c r="N10" s="309">
        <v>7900</v>
      </c>
      <c r="O10" s="309">
        <f>'Detalle Compras Septiembre 2026'!G2</f>
        <v>37565</v>
      </c>
      <c r="P10" s="310"/>
      <c r="Q10" s="24"/>
    </row>
    <row r="11" spans="2:17" ht="18" customHeight="1">
      <c r="B11" s="10">
        <v>2</v>
      </c>
      <c r="C11" s="211">
        <f>SUMIFS('Detalle Compras Septiembre 2026'!$G:$G, 'Detalle Compras Septiembre 2026'!$A:$A, B11, 'Detalle Compras Septiembre 2026'!$B:$B, "Carnes")</f>
        <v>528586</v>
      </c>
      <c r="D11" s="11">
        <f>SUMIFS('Detalle Compras Septiembre 2026'!$E:$E, 'Detalle Compras Septiembre 2026'!$A:$A, B11, 'Detalle Compras Septiembre 2026'!$B:$B, "Carnes")</f>
        <v>47.234000000000009</v>
      </c>
      <c r="E11" s="211">
        <f t="shared" si="0"/>
        <v>11190.794766481769</v>
      </c>
      <c r="F11" s="268">
        <f t="shared" si="1"/>
        <v>1.2343760406639514E-2</v>
      </c>
      <c r="G11" s="12">
        <f>COUNTIFS('Detalle Compras Septiembre 2026'!$A:$A, B11, 'Detalle Compras Septiembre 2026'!$B:$B, "Carnes")</f>
        <v>4</v>
      </c>
      <c r="I11" s="305">
        <v>1</v>
      </c>
      <c r="J11" s="305" t="s">
        <v>186</v>
      </c>
      <c r="K11" s="306" t="s">
        <v>187</v>
      </c>
      <c r="L11" s="307" t="s">
        <v>188</v>
      </c>
      <c r="M11" s="308">
        <v>3.3650000000000002</v>
      </c>
      <c r="N11" s="309">
        <v>8915.2999999999993</v>
      </c>
      <c r="O11" s="309">
        <f>'Detalle Compras Septiembre 2026'!G3</f>
        <v>30000</v>
      </c>
      <c r="P11" s="310"/>
      <c r="Q11" s="24"/>
    </row>
    <row r="12" spans="2:17" ht="18" customHeight="1">
      <c r="B12" s="7">
        <v>3</v>
      </c>
      <c r="C12" s="210">
        <f>SUMIFS('Detalle Compras Septiembre 2026'!$G:$G, 'Detalle Compras Septiembre 2026'!$A:$A, B12, 'Detalle Compras Septiembre 2026'!$B:$B, "Carnes")</f>
        <v>1808790</v>
      </c>
      <c r="D12" s="8">
        <f>SUMIFS('Detalle Compras Septiembre 2026'!$E:$E, 'Detalle Compras Septiembre 2026'!$A:$A, B12, 'Detalle Compras Septiembre 2026'!$B:$B, "Carnes")</f>
        <v>65.460000000000008</v>
      </c>
      <c r="E12" s="210">
        <f t="shared" si="0"/>
        <v>27631.989000916587</v>
      </c>
      <c r="F12" s="267">
        <f t="shared" si="1"/>
        <v>4.2239617367704568E-2</v>
      </c>
      <c r="G12" s="9">
        <f>COUNTIFS('Detalle Compras Septiembre 2026'!$A:$A, B12, 'Detalle Compras Septiembre 2026'!$B:$B, "Carnes")</f>
        <v>9</v>
      </c>
      <c r="I12" s="305">
        <v>1</v>
      </c>
      <c r="J12" s="305" t="s">
        <v>189</v>
      </c>
      <c r="K12" s="306" t="s">
        <v>190</v>
      </c>
      <c r="L12" s="307" t="s">
        <v>191</v>
      </c>
      <c r="M12" s="308">
        <v>20</v>
      </c>
      <c r="N12" s="309">
        <v>16500</v>
      </c>
      <c r="O12" s="309">
        <f>'Detalle Compras Septiembre 2026'!G7</f>
        <v>330000</v>
      </c>
      <c r="P12" s="310"/>
      <c r="Q12" s="24"/>
    </row>
    <row r="13" spans="2:17" ht="18" customHeight="1">
      <c r="B13" s="10">
        <v>4</v>
      </c>
      <c r="C13" s="211">
        <f>SUMIFS('Detalle Compras Septiembre 2026'!$G:$G, 'Detalle Compras Septiembre 2026'!$A:$A, B13, 'Detalle Compras Septiembre 2026'!$B:$B, "Carnes")</f>
        <v>2218844</v>
      </c>
      <c r="D13" s="11">
        <f>SUMIFS('Detalle Compras Septiembre 2026'!$E:$E, 'Detalle Compras Septiembre 2026'!$A:$A, B13, 'Detalle Compras Septiembre 2026'!$B:$B, "Carnes")</f>
        <v>106.75999999999999</v>
      </c>
      <c r="E13" s="211">
        <f t="shared" si="0"/>
        <v>20783.476957662049</v>
      </c>
      <c r="F13" s="268">
        <f t="shared" si="1"/>
        <v>5.1815369146571505E-2</v>
      </c>
      <c r="G13" s="12">
        <f>COUNTIFS('Detalle Compras Septiembre 2026'!$A:$A, B13, 'Detalle Compras Septiembre 2026'!$B:$B, "Carnes")</f>
        <v>8</v>
      </c>
      <c r="I13" s="305">
        <v>1</v>
      </c>
      <c r="J13" s="305" t="s">
        <v>192</v>
      </c>
      <c r="K13" s="306" t="s">
        <v>193</v>
      </c>
      <c r="L13" s="307" t="s">
        <v>194</v>
      </c>
      <c r="M13" s="308">
        <v>4.58</v>
      </c>
      <c r="N13" s="309">
        <v>18500</v>
      </c>
      <c r="O13" s="309">
        <f>'Detalle Compras Septiembre 2026'!G8</f>
        <v>84730</v>
      </c>
      <c r="P13" s="310"/>
      <c r="Q13" s="24"/>
    </row>
    <row r="14" spans="2:17" ht="18" customHeight="1">
      <c r="B14" s="7">
        <v>5</v>
      </c>
      <c r="C14" s="210">
        <f>SUMIFS('Detalle Compras Septiembre 2026'!$G:$G, 'Detalle Compras Septiembre 2026'!$A:$A, B14, 'Detalle Compras Septiembre 2026'!$B:$B, "Carnes")</f>
        <v>7713980</v>
      </c>
      <c r="D14" s="8">
        <f>SUMIFS('Detalle Compras Septiembre 2026'!$E:$E, 'Detalle Compras Septiembre 2026'!$A:$A, B14, 'Detalle Compras Septiembre 2026'!$B:$B, "Carnes")</f>
        <v>316.14999999999998</v>
      </c>
      <c r="E14" s="210">
        <f t="shared" si="0"/>
        <v>24399.746955559072</v>
      </c>
      <c r="F14" s="267">
        <f t="shared" si="1"/>
        <v>0.18014007351993636</v>
      </c>
      <c r="G14" s="9">
        <f>COUNTIFS('Detalle Compras Septiembre 2026'!$A:$A, B14, 'Detalle Compras Septiembre 2026'!$B:$B, "Carnes")</f>
        <v>9</v>
      </c>
      <c r="I14" s="305">
        <v>1</v>
      </c>
      <c r="J14" s="305" t="s">
        <v>192</v>
      </c>
      <c r="K14" s="306" t="s">
        <v>195</v>
      </c>
      <c r="L14" s="307" t="s">
        <v>196</v>
      </c>
      <c r="M14" s="308">
        <v>15.1</v>
      </c>
      <c r="N14" s="309">
        <v>18500</v>
      </c>
      <c r="O14" s="309">
        <f>'Detalle Compras Septiembre 2026'!G9</f>
        <v>279350</v>
      </c>
      <c r="P14" s="310"/>
      <c r="Q14" s="24"/>
    </row>
    <row r="15" spans="2:17" ht="18" customHeight="1">
      <c r="B15" s="10">
        <v>6</v>
      </c>
      <c r="C15" s="211">
        <f>SUMIFS('Detalle Compras Septiembre 2026'!$G:$G, 'Detalle Compras Septiembre 2026'!$A:$A, B15, 'Detalle Compras Septiembre 2026'!$B:$B, "Carnes")</f>
        <v>0</v>
      </c>
      <c r="D15" s="11">
        <f>SUMIFS('Detalle Compras Septiembre 2026'!$E:$E, 'Detalle Compras Septiembre 2026'!$A:$A, B15, 'Detalle Compras Septiembre 2026'!$B:$B, "Carnes")</f>
        <v>0</v>
      </c>
      <c r="E15" s="211">
        <f t="shared" si="0"/>
        <v>0</v>
      </c>
      <c r="F15" s="268">
        <f t="shared" si="1"/>
        <v>0</v>
      </c>
      <c r="G15" s="12">
        <f>COUNTIFS('Detalle Compras Septiembre 2026'!$A:$A, B15, 'Detalle Compras Septiembre 2026'!$B:$B, "Carnes")</f>
        <v>0</v>
      </c>
      <c r="I15" s="305">
        <v>1</v>
      </c>
      <c r="J15" s="305" t="s">
        <v>197</v>
      </c>
      <c r="K15" s="306" t="s">
        <v>198</v>
      </c>
      <c r="L15" s="307" t="s">
        <v>199</v>
      </c>
      <c r="M15" s="308">
        <v>9.8699999999999992</v>
      </c>
      <c r="N15" s="309">
        <v>55000</v>
      </c>
      <c r="O15" s="309">
        <f>'Detalle Compras Septiembre 2026'!G10</f>
        <v>542850</v>
      </c>
      <c r="P15" s="310"/>
      <c r="Q15" s="24"/>
    </row>
    <row r="16" spans="2:17" ht="18" customHeight="1">
      <c r="B16" s="7">
        <v>7</v>
      </c>
      <c r="C16" s="210">
        <f>SUMIFS('Detalle Compras Septiembre 2026'!$G:$G, 'Detalle Compras Septiembre 2026'!$A:$A, B16, 'Detalle Compras Septiembre 2026'!$B:$B, "Carnes")</f>
        <v>2135215.04</v>
      </c>
      <c r="D16" s="8">
        <f>SUMIFS('Detalle Compras Septiembre 2026'!$E:$E, 'Detalle Compras Septiembre 2026'!$A:$A, B16, 'Detalle Compras Septiembre 2026'!$B:$B, "Carnes")</f>
        <v>100.00699999999999</v>
      </c>
      <c r="E16" s="210">
        <f t="shared" si="0"/>
        <v>21350.655854090215</v>
      </c>
      <c r="F16" s="267">
        <f t="shared" si="1"/>
        <v>4.9862430844580079E-2</v>
      </c>
      <c r="G16" s="9">
        <f>COUNTIFS('Detalle Compras Septiembre 2026'!$A:$A, B16, 'Detalle Compras Septiembre 2026'!$B:$B, "Carnes")</f>
        <v>9</v>
      </c>
      <c r="I16" s="305">
        <v>1</v>
      </c>
      <c r="J16" s="305" t="s">
        <v>197</v>
      </c>
      <c r="K16" s="306" t="s">
        <v>200</v>
      </c>
      <c r="L16" s="307" t="s">
        <v>201</v>
      </c>
      <c r="M16" s="308">
        <v>19.809999999999999</v>
      </c>
      <c r="N16" s="309">
        <v>18000</v>
      </c>
      <c r="O16" s="309">
        <f>'Detalle Compras Septiembre 2026'!G11</f>
        <v>356580</v>
      </c>
      <c r="P16" s="310"/>
      <c r="Q16" s="24"/>
    </row>
    <row r="17" spans="2:17" ht="18" customHeight="1">
      <c r="B17" s="10">
        <v>8</v>
      </c>
      <c r="C17" s="211">
        <f>SUMIFS('Detalle Compras Septiembre 2026'!$G:$G, 'Detalle Compras Septiembre 2026'!$A:$A, B17, 'Detalle Compras Septiembre 2026'!$B:$B, "Carnes")</f>
        <v>966050</v>
      </c>
      <c r="D17" s="11">
        <f>SUMIFS('Detalle Compras Septiembre 2026'!$E:$E, 'Detalle Compras Septiembre 2026'!$A:$A, B17, 'Detalle Compras Septiembre 2026'!$B:$B, "Carnes")</f>
        <v>67.25</v>
      </c>
      <c r="E17" s="211">
        <f t="shared" si="0"/>
        <v>14365.055762081784</v>
      </c>
      <c r="F17" s="268">
        <f t="shared" si="1"/>
        <v>2.255960192066022E-2</v>
      </c>
      <c r="G17" s="12">
        <f>COUNTIFS('Detalle Compras Septiembre 2026'!$A:$A, B17, 'Detalle Compras Septiembre 2026'!$B:$B, "Carnes")</f>
        <v>11</v>
      </c>
      <c r="I17" s="305">
        <v>1</v>
      </c>
      <c r="J17" s="305" t="s">
        <v>202</v>
      </c>
      <c r="K17" s="306" t="s">
        <v>200</v>
      </c>
      <c r="L17" s="307" t="s">
        <v>203</v>
      </c>
      <c r="M17" s="308">
        <v>6</v>
      </c>
      <c r="N17" s="309">
        <v>3666.67</v>
      </c>
      <c r="O17" s="309">
        <f>'Detalle Compras Septiembre 2026'!G17</f>
        <v>22000</v>
      </c>
      <c r="P17" s="310"/>
      <c r="Q17" s="24"/>
    </row>
    <row r="18" spans="2:17" ht="18" customHeight="1">
      <c r="B18" s="7">
        <v>9</v>
      </c>
      <c r="C18" s="210">
        <f>SUMIFS('Detalle Compras Septiembre 2026'!$G:$G, 'Detalle Compras Septiembre 2026'!$A:$A, B18, 'Detalle Compras Septiembre 2026'!$B:$B, "Carnes")</f>
        <v>5707282</v>
      </c>
      <c r="D18" s="8">
        <f>SUMIFS('Detalle Compras Septiembre 2026'!$E:$E, 'Detalle Compras Septiembre 2026'!$A:$A, B18, 'Detalle Compras Septiembre 2026'!$B:$B, "Carnes")</f>
        <v>325.93999999999994</v>
      </c>
      <c r="E18" s="210">
        <f t="shared" si="0"/>
        <v>17510.222740381669</v>
      </c>
      <c r="F18" s="267">
        <f t="shared" si="1"/>
        <v>0.13327882611557321</v>
      </c>
      <c r="G18" s="9">
        <f>COUNTIFS('Detalle Compras Septiembre 2026'!$A:$A, B18, 'Detalle Compras Septiembre 2026'!$B:$B, "Carnes")</f>
        <v>12</v>
      </c>
      <c r="I18" s="305">
        <v>1</v>
      </c>
      <c r="J18" s="305" t="s">
        <v>204</v>
      </c>
      <c r="K18" s="306" t="s">
        <v>205</v>
      </c>
      <c r="L18" s="307" t="s">
        <v>206</v>
      </c>
      <c r="M18" s="308">
        <v>28.6</v>
      </c>
      <c r="N18" s="309">
        <v>14900</v>
      </c>
      <c r="O18" s="309">
        <f>'Detalle Compras Septiembre 2026'!G23</f>
        <v>426140</v>
      </c>
      <c r="P18" s="310"/>
      <c r="Q18" s="24"/>
    </row>
    <row r="19" spans="2:17" ht="18" customHeight="1">
      <c r="B19" s="10">
        <v>10</v>
      </c>
      <c r="C19" s="211">
        <f>SUMIFS('Detalle Compras Septiembre 2026'!$G:$G, 'Detalle Compras Septiembre 2026'!$A:$A, B19, 'Detalle Compras Septiembre 2026'!$B:$B, "Carnes")</f>
        <v>1387295</v>
      </c>
      <c r="D19" s="11">
        <f>SUMIFS('Detalle Compras Septiembre 2026'!$E:$E, 'Detalle Compras Septiembre 2026'!$A:$A, B19, 'Detalle Compras Septiembre 2026'!$B:$B, "Carnes")</f>
        <v>115.505</v>
      </c>
      <c r="E19" s="211">
        <f t="shared" si="0"/>
        <v>12010.692177827799</v>
      </c>
      <c r="F19" s="268">
        <f t="shared" si="1"/>
        <v>3.2396690592124959E-2</v>
      </c>
      <c r="G19" s="12">
        <f>COUNTIFS('Detalle Compras Septiembre 2026'!$A:$A, B19, 'Detalle Compras Septiembre 2026'!$B:$B, "Carnes")</f>
        <v>7</v>
      </c>
      <c r="I19" s="305">
        <v>1</v>
      </c>
      <c r="J19" s="305" t="s">
        <v>204</v>
      </c>
      <c r="K19" s="306" t="s">
        <v>207</v>
      </c>
      <c r="L19" s="307" t="s">
        <v>208</v>
      </c>
      <c r="M19" s="308">
        <v>27.65</v>
      </c>
      <c r="N19" s="309">
        <v>23900</v>
      </c>
      <c r="O19" s="309">
        <f>'Detalle Compras Septiembre 2026'!G24</f>
        <v>660835</v>
      </c>
      <c r="P19" s="310"/>
      <c r="Q19" s="24"/>
    </row>
    <row r="20" spans="2:17" ht="18" customHeight="1">
      <c r="B20" s="7">
        <v>11</v>
      </c>
      <c r="C20" s="210">
        <f>SUMIFS('Detalle Compras Septiembre 2026'!$G:$G, 'Detalle Compras Septiembre 2026'!$A:$A, B20, 'Detalle Compras Septiembre 2026'!$B:$B, "Carnes")</f>
        <v>4088560</v>
      </c>
      <c r="D20" s="8">
        <f>SUMIFS('Detalle Compras Septiembre 2026'!$E:$E, 'Detalle Compras Septiembre 2026'!$A:$A, B20, 'Detalle Compras Septiembre 2026'!$B:$B, "Carnes")</f>
        <v>68.97</v>
      </c>
      <c r="E20" s="210">
        <f t="shared" si="0"/>
        <v>59280.266782659128</v>
      </c>
      <c r="F20" s="267">
        <f t="shared" si="1"/>
        <v>9.5477755839485062E-2</v>
      </c>
      <c r="G20" s="9">
        <f>COUNTIFS('Detalle Compras Septiembre 2026'!$A:$A, B20, 'Detalle Compras Septiembre 2026'!$B:$B, "Carnes")</f>
        <v>9</v>
      </c>
      <c r="I20" s="305">
        <v>1</v>
      </c>
      <c r="J20" s="305" t="s">
        <v>204</v>
      </c>
      <c r="K20" s="306" t="s">
        <v>209</v>
      </c>
      <c r="L20" s="307" t="s">
        <v>210</v>
      </c>
      <c r="M20" s="308">
        <v>28.7</v>
      </c>
      <c r="N20" s="309">
        <v>25900</v>
      </c>
      <c r="O20" s="309">
        <f>'Detalle Compras Septiembre 2026'!G25</f>
        <v>743330</v>
      </c>
      <c r="P20" s="310"/>
      <c r="Q20" s="24"/>
    </row>
    <row r="21" spans="2:17" ht="18" customHeight="1">
      <c r="B21" s="10">
        <v>12</v>
      </c>
      <c r="C21" s="211">
        <f>SUMIFS('Detalle Compras Septiembre 2026'!$G:$G, 'Detalle Compras Septiembre 2026'!$A:$A, B21, 'Detalle Compras Septiembre 2026'!$B:$B, "Carnes")</f>
        <v>7637820</v>
      </c>
      <c r="D21" s="11">
        <f>SUMIFS('Detalle Compras Septiembre 2026'!$E:$E, 'Detalle Compras Septiembre 2026'!$A:$A, B21, 'Detalle Compras Septiembre 2026'!$B:$B, "Carnes")</f>
        <v>295.34999999999997</v>
      </c>
      <c r="E21" s="211">
        <f t="shared" si="0"/>
        <v>25860.233621127478</v>
      </c>
      <c r="F21" s="268">
        <f t="shared" si="1"/>
        <v>0.17836155348238397</v>
      </c>
      <c r="G21" s="12">
        <f>COUNTIFS('Detalle Compras Septiembre 2026'!$A:$A, B21, 'Detalle Compras Septiembre 2026'!$B:$B, "Carnes")</f>
        <v>11</v>
      </c>
      <c r="I21" s="305">
        <v>1</v>
      </c>
      <c r="J21" s="305" t="s">
        <v>204</v>
      </c>
      <c r="K21" s="306" t="s">
        <v>211</v>
      </c>
      <c r="L21" s="306" t="s">
        <v>212</v>
      </c>
      <c r="M21" s="308">
        <v>18.5</v>
      </c>
      <c r="N21" s="309">
        <v>34500</v>
      </c>
      <c r="O21" s="309">
        <f>'Detalle Compras Septiembre 2026'!G26</f>
        <v>638250</v>
      </c>
      <c r="P21" s="310"/>
      <c r="Q21" s="24"/>
    </row>
    <row r="22" spans="2:17" ht="18" customHeight="1">
      <c r="B22" s="7">
        <v>13</v>
      </c>
      <c r="C22" s="210">
        <f>SUMIFS('Detalle Compras Septiembre 2026'!$G:$G, 'Detalle Compras Septiembre 2026'!$A:$A, B22, 'Detalle Compras Septiembre 2026'!$B:$B, "Carnes")</f>
        <v>96200.02</v>
      </c>
      <c r="D22" s="8">
        <f>SUMIFS('Detalle Compras Septiembre 2026'!$E:$E, 'Detalle Compras Septiembre 2026'!$A:$A, B22, 'Detalle Compras Septiembre 2026'!$B:$B, "Carnes")</f>
        <v>14</v>
      </c>
      <c r="E22" s="210">
        <f t="shared" si="0"/>
        <v>6871.43</v>
      </c>
      <c r="F22" s="267">
        <f t="shared" si="1"/>
        <v>2.2465029304482701E-3</v>
      </c>
      <c r="G22" s="9">
        <f>COUNTIFS('Detalle Compras Septiembre 2026'!$A:$A, B22, 'Detalle Compras Septiembre 2026'!$B:$B, "Carnes")</f>
        <v>2</v>
      </c>
      <c r="I22" s="305">
        <v>1</v>
      </c>
      <c r="J22" s="305" t="s">
        <v>213</v>
      </c>
      <c r="K22" s="306" t="s">
        <v>214</v>
      </c>
      <c r="L22" s="307" t="s">
        <v>215</v>
      </c>
      <c r="M22" s="308">
        <v>90.35</v>
      </c>
      <c r="N22" s="309">
        <v>21900</v>
      </c>
      <c r="O22" s="309">
        <f>'Detalle Compras Septiembre 2026'!G27</f>
        <v>1978665</v>
      </c>
      <c r="P22" s="310"/>
      <c r="Q22" s="24"/>
    </row>
    <row r="23" spans="2:17" ht="18" customHeight="1">
      <c r="B23" s="10">
        <v>14</v>
      </c>
      <c r="C23" s="211">
        <f>SUMIFS('Detalle Compras Septiembre 2026'!$G:$G, 'Detalle Compras Septiembre 2026'!$A:$A, B23, 'Detalle Compras Septiembre 2026'!$B:$B, "Carnes")</f>
        <v>2403203.7999999998</v>
      </c>
      <c r="D23" s="11">
        <f>SUMIFS('Detalle Compras Septiembre 2026'!$E:$E, 'Detalle Compras Septiembre 2026'!$A:$A, B23, 'Detalle Compras Septiembre 2026'!$B:$B, "Carnes")</f>
        <v>112.89399999999999</v>
      </c>
      <c r="E23" s="211">
        <f t="shared" si="0"/>
        <v>21287.258844579872</v>
      </c>
      <c r="F23" s="268">
        <f t="shared" si="1"/>
        <v>5.612061597455404E-2</v>
      </c>
      <c r="G23" s="12">
        <f>COUNTIFS('Detalle Compras Septiembre 2026'!$A:$A, B23, 'Detalle Compras Septiembre 2026'!$B:$B, "Carnes")</f>
        <v>7</v>
      </c>
      <c r="I23" s="311" t="s">
        <v>216</v>
      </c>
      <c r="J23" s="312"/>
      <c r="K23" s="312"/>
      <c r="L23" s="312"/>
      <c r="M23" s="313">
        <f>SUM(M10:M22)</f>
        <v>277.27999999999997</v>
      </c>
      <c r="N23" s="314">
        <f>IF(M23&gt;0, O23/M23, 0)</f>
        <v>22108.6807559146</v>
      </c>
      <c r="O23" s="314">
        <f>SUM(O10:O22)</f>
        <v>6130295</v>
      </c>
      <c r="P23" s="310"/>
      <c r="Q23" s="24"/>
    </row>
    <row r="24" spans="2:17" ht="18" customHeight="1">
      <c r="B24" s="7">
        <v>15</v>
      </c>
      <c r="C24" s="210">
        <f>SUMIFS('Detalle Compras Septiembre 2026'!$G:$G, 'Detalle Compras Septiembre 2026'!$A:$A, B24, 'Detalle Compras Septiembre 2026'!$B:$B, "Carnes")</f>
        <v>0</v>
      </c>
      <c r="D24" s="8">
        <f>SUMIFS('Detalle Compras Septiembre 2026'!$E:$E, 'Detalle Compras Septiembre 2026'!$A:$A, B24, 'Detalle Compras Septiembre 2026'!$B:$B, "Carnes")</f>
        <v>0</v>
      </c>
      <c r="E24" s="210">
        <f t="shared" si="0"/>
        <v>0</v>
      </c>
      <c r="F24" s="267">
        <f t="shared" si="1"/>
        <v>0</v>
      </c>
      <c r="G24" s="9">
        <f>COUNTIFS('Detalle Compras Septiembre 2026'!$A:$A, B24, 'Detalle Compras Septiembre 2026'!$B:$B, "Carnes")</f>
        <v>0</v>
      </c>
      <c r="I24" s="305">
        <v>2</v>
      </c>
      <c r="J24" s="305" t="s">
        <v>217</v>
      </c>
      <c r="K24" s="306" t="s">
        <v>218</v>
      </c>
      <c r="L24" s="306" t="s">
        <v>219</v>
      </c>
      <c r="M24" s="308">
        <v>34.700000000000003</v>
      </c>
      <c r="N24" s="309">
        <v>7500</v>
      </c>
      <c r="O24" s="309">
        <f>'Detalle Compras Septiembre 2026'!G46</f>
        <v>260250</v>
      </c>
      <c r="P24" s="310"/>
      <c r="Q24" s="24"/>
    </row>
    <row r="25" spans="2:17" ht="18" customHeight="1">
      <c r="B25" s="10">
        <v>16</v>
      </c>
      <c r="C25" s="211">
        <f>SUMIFS('Detalle Compras Septiembre 2026'!$G:$G, 'Detalle Compras Septiembre 2026'!$A:$A, B25, 'Detalle Compras Septiembre 2026'!$B:$B, "Carnes")</f>
        <v>0</v>
      </c>
      <c r="D25" s="11">
        <f>SUMIFS('Detalle Compras Septiembre 2026'!$E:$E, 'Detalle Compras Septiembre 2026'!$A:$A, B25, 'Detalle Compras Septiembre 2026'!$B:$B, "Carnes")</f>
        <v>0</v>
      </c>
      <c r="E25" s="211">
        <f t="shared" si="0"/>
        <v>0</v>
      </c>
      <c r="F25" s="268">
        <f t="shared" si="1"/>
        <v>0</v>
      </c>
      <c r="G25" s="12">
        <f>COUNTIFS('Detalle Compras Septiembre 2026'!$A:$A, B25, 'Detalle Compras Septiembre 2026'!$B:$B, "Carnes")</f>
        <v>0</v>
      </c>
      <c r="I25" s="305">
        <v>2</v>
      </c>
      <c r="J25" s="305" t="s">
        <v>220</v>
      </c>
      <c r="K25" s="306" t="s">
        <v>221</v>
      </c>
      <c r="L25" s="307" t="s">
        <v>222</v>
      </c>
      <c r="M25" s="308">
        <v>5</v>
      </c>
      <c r="N25" s="309">
        <v>21500</v>
      </c>
      <c r="O25" s="309">
        <f>'Detalle Compras Septiembre 2026'!G47</f>
        <v>107500</v>
      </c>
      <c r="P25" s="310"/>
      <c r="Q25" s="24"/>
    </row>
    <row r="26" spans="2:17" ht="18" customHeight="1">
      <c r="B26" s="7">
        <v>17</v>
      </c>
      <c r="C26" s="210">
        <f>SUMIFS('Detalle Compras Septiembre 2026'!$G:$G, 'Detalle Compras Septiembre 2026'!$A:$A, B26, 'Detalle Compras Septiembre 2026'!$B:$B, "Carnes")</f>
        <v>0</v>
      </c>
      <c r="D26" s="8">
        <f>SUMIFS('Detalle Compras Septiembre 2026'!$E:$E, 'Detalle Compras Septiembre 2026'!$A:$A, B26, 'Detalle Compras Septiembre 2026'!$B:$B, "Carnes")</f>
        <v>0</v>
      </c>
      <c r="E26" s="210">
        <f t="shared" si="0"/>
        <v>0</v>
      </c>
      <c r="F26" s="267">
        <f t="shared" si="1"/>
        <v>0</v>
      </c>
      <c r="G26" s="9">
        <f>COUNTIFS('Detalle Compras Septiembre 2026'!$A:$A, B26, 'Detalle Compras Septiembre 2026'!$B:$B, "Carnes")</f>
        <v>0</v>
      </c>
      <c r="I26" s="305">
        <v>2</v>
      </c>
      <c r="J26" s="305" t="s">
        <v>223</v>
      </c>
      <c r="K26" s="306" t="s">
        <v>224</v>
      </c>
      <c r="L26" s="307" t="s">
        <v>225</v>
      </c>
      <c r="M26" s="308">
        <v>2.77</v>
      </c>
      <c r="N26" s="309">
        <v>19900</v>
      </c>
      <c r="O26" s="309">
        <f>'Detalle Compras Septiembre 2026'!G51</f>
        <v>55123</v>
      </c>
      <c r="P26" s="310"/>
      <c r="Q26" s="24"/>
    </row>
    <row r="27" spans="2:17" ht="18" customHeight="1">
      <c r="B27" s="10">
        <v>18</v>
      </c>
      <c r="C27" s="211">
        <f>SUMIFS('Detalle Compras Septiembre 2026'!$G:$G, 'Detalle Compras Septiembre 2026'!$A:$A, B27, 'Detalle Compras Septiembre 2026'!$B:$B, "Carnes")</f>
        <v>0</v>
      </c>
      <c r="D27" s="11">
        <f>SUMIFS('Detalle Compras Septiembre 2026'!$E:$E, 'Detalle Compras Septiembre 2026'!$A:$A, B27, 'Detalle Compras Septiembre 2026'!$B:$B, "Carnes")</f>
        <v>0</v>
      </c>
      <c r="E27" s="211">
        <f t="shared" si="0"/>
        <v>0</v>
      </c>
      <c r="F27" s="268">
        <f t="shared" si="1"/>
        <v>0</v>
      </c>
      <c r="G27" s="12">
        <f>COUNTIFS('Detalle Compras Septiembre 2026'!$A:$A, B27, 'Detalle Compras Septiembre 2026'!$B:$B, "Carnes")</f>
        <v>0</v>
      </c>
      <c r="I27" s="305">
        <v>2</v>
      </c>
      <c r="J27" s="305" t="s">
        <v>223</v>
      </c>
      <c r="K27" s="306" t="s">
        <v>224</v>
      </c>
      <c r="L27" s="307" t="s">
        <v>225</v>
      </c>
      <c r="M27" s="308">
        <v>4.7640000000000002</v>
      </c>
      <c r="N27" s="309">
        <v>22190</v>
      </c>
      <c r="O27" s="309">
        <f>'Detalle Compras Septiembre 2026'!G52</f>
        <v>105713</v>
      </c>
      <c r="P27" s="310"/>
      <c r="Q27" s="24"/>
    </row>
    <row r="28" spans="2:17" ht="18" customHeight="1">
      <c r="B28" s="7">
        <v>19</v>
      </c>
      <c r="C28" s="210">
        <f>SUMIFS('Detalle Compras Septiembre 2026'!$G:$G, 'Detalle Compras Septiembre 2026'!$A:$A, B28, 'Detalle Compras Septiembre 2026'!$B:$B, "Carnes")</f>
        <v>0</v>
      </c>
      <c r="D28" s="8">
        <f>SUMIFS('Detalle Compras Septiembre 2026'!$E:$E, 'Detalle Compras Septiembre 2026'!$A:$A, B28, 'Detalle Compras Septiembre 2026'!$B:$B, "Carnes")</f>
        <v>0</v>
      </c>
      <c r="E28" s="210">
        <f t="shared" si="0"/>
        <v>0</v>
      </c>
      <c r="F28" s="267">
        <f t="shared" si="1"/>
        <v>0</v>
      </c>
      <c r="G28" s="9">
        <f>COUNTIFS('Detalle Compras Septiembre 2026'!$A:$A, B28, 'Detalle Compras Septiembre 2026'!$B:$B, "Carnes")</f>
        <v>0</v>
      </c>
      <c r="I28" s="311" t="s">
        <v>226</v>
      </c>
      <c r="J28" s="312"/>
      <c r="K28" s="312"/>
      <c r="L28" s="312"/>
      <c r="M28" s="313">
        <f>SUM(M24:M27)</f>
        <v>47.234000000000009</v>
      </c>
      <c r="N28" s="314">
        <f>IF(M28&gt;0, O28/M28, 0)</f>
        <v>11190.794766481769</v>
      </c>
      <c r="O28" s="314">
        <f>SUM(O24:O27)</f>
        <v>528586</v>
      </c>
      <c r="P28" s="310"/>
      <c r="Q28" s="24"/>
    </row>
    <row r="29" spans="2:17" ht="18" customHeight="1">
      <c r="B29" s="10">
        <v>20</v>
      </c>
      <c r="C29" s="211">
        <f>SUMIFS('Detalle Compras Septiembre 2026'!$G:$G, 'Detalle Compras Septiembre 2026'!$A:$A, B29, 'Detalle Compras Septiembre 2026'!$B:$B, "Carnes")</f>
        <v>0</v>
      </c>
      <c r="D29" s="11">
        <f>SUMIFS('Detalle Compras Septiembre 2026'!$E:$E, 'Detalle Compras Septiembre 2026'!$A:$A, B29, 'Detalle Compras Septiembre 2026'!$B:$B, "Carnes")</f>
        <v>0</v>
      </c>
      <c r="E29" s="211">
        <f t="shared" si="0"/>
        <v>0</v>
      </c>
      <c r="F29" s="268">
        <f t="shared" si="1"/>
        <v>0</v>
      </c>
      <c r="G29" s="12">
        <f>COUNTIFS('Detalle Compras Septiembre 2026'!$A:$A, B29, 'Detalle Compras Septiembre 2026'!$B:$B, "Carnes")</f>
        <v>0</v>
      </c>
      <c r="I29" s="305">
        <v>3</v>
      </c>
      <c r="J29" s="305" t="s">
        <v>227</v>
      </c>
      <c r="K29" s="306" t="s">
        <v>228</v>
      </c>
      <c r="L29" s="307" t="s">
        <v>229</v>
      </c>
      <c r="M29" s="308">
        <v>5.96</v>
      </c>
      <c r="N29" s="309">
        <v>34000</v>
      </c>
      <c r="O29" s="309">
        <f>'Detalle Compras Septiembre 2026'!G80</f>
        <v>202640</v>
      </c>
      <c r="P29" s="310"/>
      <c r="Q29" s="24"/>
    </row>
    <row r="30" spans="2:17" ht="18" customHeight="1">
      <c r="B30" s="7">
        <v>21</v>
      </c>
      <c r="C30" s="210">
        <f>SUMIFS('Detalle Compras Septiembre 2026'!$G:$G, 'Detalle Compras Septiembre 2026'!$A:$A, B30, 'Detalle Compras Septiembre 2026'!$B:$B, "Carnes")</f>
        <v>0</v>
      </c>
      <c r="D30" s="8">
        <f>SUMIFS('Detalle Compras Septiembre 2026'!$E:$E, 'Detalle Compras Septiembre 2026'!$A:$A, B30, 'Detalle Compras Septiembre 2026'!$B:$B, "Carnes")</f>
        <v>0</v>
      </c>
      <c r="E30" s="210">
        <f t="shared" si="0"/>
        <v>0</v>
      </c>
      <c r="F30" s="267">
        <f t="shared" si="1"/>
        <v>0</v>
      </c>
      <c r="G30" s="9">
        <f>COUNTIFS('Detalle Compras Septiembre 2026'!$A:$A, B30, 'Detalle Compras Septiembre 2026'!$B:$B, "Carnes")</f>
        <v>0</v>
      </c>
      <c r="I30" s="305">
        <v>3</v>
      </c>
      <c r="J30" s="305" t="s">
        <v>227</v>
      </c>
      <c r="K30" s="306" t="s">
        <v>230</v>
      </c>
      <c r="L30" s="307" t="s">
        <v>231</v>
      </c>
      <c r="M30" s="308">
        <v>7</v>
      </c>
      <c r="N30" s="309">
        <v>20000</v>
      </c>
      <c r="O30" s="309">
        <f>'Detalle Compras Septiembre 2026'!G81</f>
        <v>140000</v>
      </c>
      <c r="P30" s="310"/>
      <c r="Q30" s="24"/>
    </row>
    <row r="31" spans="2:17" ht="18" customHeight="1">
      <c r="B31" s="10">
        <v>22</v>
      </c>
      <c r="C31" s="211">
        <f>SUMIFS('Detalle Compras Septiembre 2026'!$G:$G, 'Detalle Compras Septiembre 2026'!$A:$A, B31, 'Detalle Compras Septiembre 2026'!$B:$B, "Carnes")</f>
        <v>0</v>
      </c>
      <c r="D31" s="11">
        <f>SUMIFS('Detalle Compras Septiembre 2026'!$E:$E, 'Detalle Compras Septiembre 2026'!$A:$A, B31, 'Detalle Compras Septiembre 2026'!$B:$B, "Carnes")</f>
        <v>0</v>
      </c>
      <c r="E31" s="211">
        <f t="shared" si="0"/>
        <v>0</v>
      </c>
      <c r="F31" s="268">
        <f t="shared" si="1"/>
        <v>0</v>
      </c>
      <c r="G31" s="12">
        <f>COUNTIFS('Detalle Compras Septiembre 2026'!$A:$A, B31, 'Detalle Compras Septiembre 2026'!$B:$B, "Carnes")</f>
        <v>0</v>
      </c>
      <c r="I31" s="305">
        <v>3</v>
      </c>
      <c r="J31" s="305" t="s">
        <v>232</v>
      </c>
      <c r="K31" s="306" t="s">
        <v>221</v>
      </c>
      <c r="L31" s="306" t="s">
        <v>233</v>
      </c>
      <c r="M31" s="308">
        <v>5.8</v>
      </c>
      <c r="N31" s="309">
        <v>22000</v>
      </c>
      <c r="O31" s="309">
        <f>'Detalle Compras Septiembre 2026'!G82</f>
        <v>127600</v>
      </c>
      <c r="P31" s="310"/>
      <c r="Q31" s="24"/>
    </row>
    <row r="32" spans="2:17" ht="18" customHeight="1">
      <c r="B32" s="7">
        <v>23</v>
      </c>
      <c r="C32" s="210">
        <f>SUMIFS('Detalle Compras Septiembre 2026'!$G:$G, 'Detalle Compras Septiembre 2026'!$A:$A, B32, 'Detalle Compras Septiembre 2026'!$B:$B, "Carnes")</f>
        <v>0</v>
      </c>
      <c r="D32" s="8">
        <f>SUMIFS('Detalle Compras Septiembre 2026'!$E:$E, 'Detalle Compras Septiembre 2026'!$A:$A, B32, 'Detalle Compras Septiembre 2026'!$B:$B, "Carnes")</f>
        <v>0</v>
      </c>
      <c r="E32" s="210">
        <f t="shared" si="0"/>
        <v>0</v>
      </c>
      <c r="F32" s="267">
        <f t="shared" si="1"/>
        <v>0</v>
      </c>
      <c r="G32" s="9">
        <f>COUNTIFS('Detalle Compras Septiembre 2026'!$A:$A, B32, 'Detalle Compras Septiembre 2026'!$B:$B, "Carnes")</f>
        <v>0</v>
      </c>
      <c r="I32" s="305">
        <v>3</v>
      </c>
      <c r="J32" s="305" t="s">
        <v>232</v>
      </c>
      <c r="K32" s="306" t="s">
        <v>234</v>
      </c>
      <c r="L32" s="307" t="s">
        <v>235</v>
      </c>
      <c r="M32" s="308">
        <v>7.35</v>
      </c>
      <c r="N32" s="309">
        <v>54000</v>
      </c>
      <c r="O32" s="309">
        <f>'Detalle Compras Septiembre 2026'!G83</f>
        <v>396900</v>
      </c>
      <c r="P32" s="310"/>
      <c r="Q32" s="24"/>
    </row>
    <row r="33" spans="1:17" ht="18" customHeight="1">
      <c r="B33" s="10">
        <v>24</v>
      </c>
      <c r="C33" s="211">
        <f>SUMIFS('Detalle Compras Septiembre 2026'!$G:$G, 'Detalle Compras Septiembre 2026'!$A:$A, B33, 'Detalle Compras Septiembre 2026'!$B:$B, "Carnes")</f>
        <v>0</v>
      </c>
      <c r="D33" s="11">
        <f>SUMIFS('Detalle Compras Septiembre 2026'!$E:$E, 'Detalle Compras Septiembre 2026'!$A:$A, B33, 'Detalle Compras Septiembre 2026'!$B:$B, "Carnes")</f>
        <v>0</v>
      </c>
      <c r="E33" s="211">
        <f t="shared" si="0"/>
        <v>0</v>
      </c>
      <c r="F33" s="268">
        <f t="shared" si="1"/>
        <v>0</v>
      </c>
      <c r="G33" s="12">
        <f>COUNTIFS('Detalle Compras Septiembre 2026'!$A:$A, B33, 'Detalle Compras Septiembre 2026'!$B:$B, "Carnes")</f>
        <v>0</v>
      </c>
      <c r="I33" s="305">
        <v>3</v>
      </c>
      <c r="J33" s="305" t="s">
        <v>236</v>
      </c>
      <c r="K33" s="306" t="s">
        <v>228</v>
      </c>
      <c r="L33" s="307" t="s">
        <v>237</v>
      </c>
      <c r="M33" s="308">
        <v>4.05</v>
      </c>
      <c r="N33" s="309">
        <v>33000</v>
      </c>
      <c r="O33" s="309">
        <f>'Detalle Compras Septiembre 2026'!G84</f>
        <v>133650</v>
      </c>
      <c r="P33" s="310"/>
      <c r="Q33" s="24"/>
    </row>
    <row r="34" spans="1:17" ht="18" customHeight="1">
      <c r="B34" s="7">
        <v>25</v>
      </c>
      <c r="C34" s="210">
        <f>SUMIFS('Detalle Compras Septiembre 2026'!$G:$G, 'Detalle Compras Septiembre 2026'!$A:$A, B34, 'Detalle Compras Septiembre 2026'!$B:$B, "Carnes")</f>
        <v>0</v>
      </c>
      <c r="D34" s="8">
        <f>SUMIFS('Detalle Compras Septiembre 2026'!$E:$E, 'Detalle Compras Septiembre 2026'!$A:$A, B34, 'Detalle Compras Septiembre 2026'!$B:$B, "Carnes")</f>
        <v>0</v>
      </c>
      <c r="E34" s="210">
        <f t="shared" si="0"/>
        <v>0</v>
      </c>
      <c r="F34" s="267">
        <f t="shared" si="1"/>
        <v>0</v>
      </c>
      <c r="G34" s="9">
        <f>COUNTIFS('Detalle Compras Septiembre 2026'!$A:$A, B34, 'Detalle Compras Septiembre 2026'!$B:$B, "Carnes")</f>
        <v>0</v>
      </c>
      <c r="I34" s="305">
        <v>3</v>
      </c>
      <c r="J34" s="305" t="s">
        <v>236</v>
      </c>
      <c r="K34" s="306" t="s">
        <v>238</v>
      </c>
      <c r="L34" s="307" t="s">
        <v>239</v>
      </c>
      <c r="M34" s="308">
        <v>10.3</v>
      </c>
      <c r="N34" s="309">
        <v>20000</v>
      </c>
      <c r="O34" s="309">
        <f>'Detalle Compras Septiembre 2026'!G85</f>
        <v>206000</v>
      </c>
      <c r="P34" s="310"/>
      <c r="Q34" s="24"/>
    </row>
    <row r="35" spans="1:17" ht="18" customHeight="1">
      <c r="B35" s="10">
        <v>26</v>
      </c>
      <c r="C35" s="211">
        <f>SUMIFS('Detalle Compras Septiembre 2026'!$G:$G, 'Detalle Compras Septiembre 2026'!$A:$A, B35, 'Detalle Compras Septiembre 2026'!$B:$B, "Carnes")</f>
        <v>0</v>
      </c>
      <c r="D35" s="11">
        <f>SUMIFS('Detalle Compras Septiembre 2026'!$E:$E, 'Detalle Compras Septiembre 2026'!$A:$A, B35, 'Detalle Compras Septiembre 2026'!$B:$B, "Carnes")</f>
        <v>0</v>
      </c>
      <c r="E35" s="211">
        <f t="shared" si="0"/>
        <v>0</v>
      </c>
      <c r="F35" s="268">
        <f t="shared" si="1"/>
        <v>0</v>
      </c>
      <c r="G35" s="12">
        <f>COUNTIFS('Detalle Compras Septiembre 2026'!$A:$A, B35, 'Detalle Compras Septiembre 2026'!$B:$B, "Carnes")</f>
        <v>0</v>
      </c>
      <c r="I35" s="305">
        <v>3</v>
      </c>
      <c r="J35" s="305" t="s">
        <v>240</v>
      </c>
      <c r="K35" s="306" t="s">
        <v>241</v>
      </c>
      <c r="L35" s="306" t="s">
        <v>242</v>
      </c>
      <c r="M35" s="308">
        <v>4</v>
      </c>
      <c r="N35" s="309">
        <v>48000</v>
      </c>
      <c r="O35" s="309">
        <f>'Detalle Compras Septiembre 2026'!G92</f>
        <v>192000</v>
      </c>
      <c r="P35" s="310"/>
      <c r="Q35" s="24"/>
    </row>
    <row r="36" spans="1:17" ht="18" customHeight="1">
      <c r="B36" s="7">
        <v>27</v>
      </c>
      <c r="C36" s="210">
        <f>SUMIFS('Detalle Compras Septiembre 2026'!$G:$G, 'Detalle Compras Septiembre 2026'!$A:$A, B36, 'Detalle Compras Septiembre 2026'!$B:$B, "Carnes")</f>
        <v>0</v>
      </c>
      <c r="D36" s="8">
        <f>SUMIFS('Detalle Compras Septiembre 2026'!$E:$E, 'Detalle Compras Septiembre 2026'!$A:$A, B36, 'Detalle Compras Septiembre 2026'!$B:$B, "Carnes")</f>
        <v>0</v>
      </c>
      <c r="E36" s="210">
        <f t="shared" si="0"/>
        <v>0</v>
      </c>
      <c r="F36" s="267">
        <f t="shared" si="1"/>
        <v>0</v>
      </c>
      <c r="G36" s="9">
        <f>COUNTIFS('Detalle Compras Septiembre 2026'!$A:$A, B36, 'Detalle Compras Septiembre 2026'!$B:$B, "Carnes")</f>
        <v>0</v>
      </c>
      <c r="I36" s="305">
        <v>3</v>
      </c>
      <c r="J36" s="305" t="s">
        <v>240</v>
      </c>
      <c r="K36" s="306" t="s">
        <v>241</v>
      </c>
      <c r="L36" s="307" t="s">
        <v>243</v>
      </c>
      <c r="M36" s="308">
        <v>1</v>
      </c>
      <c r="N36" s="309">
        <v>46000</v>
      </c>
      <c r="O36" s="309">
        <f>'Detalle Compras Septiembre 2026'!G93</f>
        <v>46000</v>
      </c>
      <c r="P36" s="310"/>
      <c r="Q36" s="24"/>
    </row>
    <row r="37" spans="1:17" ht="18" customHeight="1">
      <c r="B37" s="10">
        <v>28</v>
      </c>
      <c r="C37" s="211">
        <f>SUMIFS('Detalle Compras Septiembre 2026'!$G:$G, 'Detalle Compras Septiembre 2026'!$A:$A, B37, 'Detalle Compras Septiembre 2026'!$B:$B, "Carnes")</f>
        <v>0</v>
      </c>
      <c r="D37" s="11">
        <f>SUMIFS('Detalle Compras Septiembre 2026'!$E:$E, 'Detalle Compras Septiembre 2026'!$A:$A, B37, 'Detalle Compras Septiembre 2026'!$B:$B, "Carnes")</f>
        <v>0</v>
      </c>
      <c r="E37" s="211">
        <f t="shared" si="0"/>
        <v>0</v>
      </c>
      <c r="F37" s="268">
        <f t="shared" si="1"/>
        <v>0</v>
      </c>
      <c r="G37" s="12">
        <f>COUNTIFS('Detalle Compras Septiembre 2026'!$A:$A, B37, 'Detalle Compras Septiembre 2026'!$B:$B, "Carnes")</f>
        <v>0</v>
      </c>
      <c r="I37" s="305">
        <v>3</v>
      </c>
      <c r="J37" s="305" t="s">
        <v>244</v>
      </c>
      <c r="K37" s="306" t="s">
        <v>245</v>
      </c>
      <c r="L37" s="306" t="s">
        <v>246</v>
      </c>
      <c r="M37" s="308">
        <v>20</v>
      </c>
      <c r="N37" s="309">
        <v>18200</v>
      </c>
      <c r="O37" s="309">
        <f>'Detalle Compras Septiembre 2026'!G504</f>
        <v>364000</v>
      </c>
      <c r="P37" s="310"/>
      <c r="Q37" s="24"/>
    </row>
    <row r="38" spans="1:17" ht="18" customHeight="1">
      <c r="B38" s="7">
        <v>29</v>
      </c>
      <c r="C38" s="210">
        <f>SUMIFS('Detalle Compras Septiembre 2026'!$G:$G, 'Detalle Compras Septiembre 2026'!$A:$A, B38, 'Detalle Compras Septiembre 2026'!$B:$B, "Carnes")</f>
        <v>0</v>
      </c>
      <c r="D38" s="8">
        <f>SUMIFS('Detalle Compras Septiembre 2026'!$E:$E, 'Detalle Compras Septiembre 2026'!$A:$A, B38, 'Detalle Compras Septiembre 2026'!$B:$B, "Carnes")</f>
        <v>0</v>
      </c>
      <c r="E38" s="210">
        <f t="shared" si="0"/>
        <v>0</v>
      </c>
      <c r="F38" s="267">
        <f t="shared" si="1"/>
        <v>0</v>
      </c>
      <c r="G38" s="9">
        <f>COUNTIFS('Detalle Compras Septiembre 2026'!$A:$A, B38, 'Detalle Compras Septiembre 2026'!$B:$B, "Carnes")</f>
        <v>0</v>
      </c>
      <c r="I38" s="315" t="s">
        <v>247</v>
      </c>
      <c r="J38" s="315"/>
      <c r="K38" s="311"/>
      <c r="L38" s="316"/>
      <c r="M38" s="313">
        <f>SUM(M29:M37)</f>
        <v>65.460000000000008</v>
      </c>
      <c r="N38" s="314">
        <f>IF(M38&gt;0, O38/M38, 0)</f>
        <v>27631.989000916587</v>
      </c>
      <c r="O38" s="314">
        <f>SUM(O29:O37)</f>
        <v>1808790</v>
      </c>
      <c r="P38" s="310"/>
      <c r="Q38" s="24"/>
    </row>
    <row r="39" spans="1:17" ht="18" customHeight="1">
      <c r="B39" s="10">
        <v>30</v>
      </c>
      <c r="C39" s="211">
        <f>SUMIFS('Detalle Compras Septiembre 2026'!$G:$G, 'Detalle Compras Septiembre 2026'!$A:$A, B39, 'Detalle Compras Septiembre 2026'!$B:$B, "Carnes")</f>
        <v>0</v>
      </c>
      <c r="D39" s="11">
        <f>SUMIFS('Detalle Compras Septiembre 2026'!$E:$E, 'Detalle Compras Septiembre 2026'!$A:$A, B39, 'Detalle Compras Septiembre 2026'!$B:$B, "Carnes")</f>
        <v>0</v>
      </c>
      <c r="E39" s="211">
        <f t="shared" si="0"/>
        <v>0</v>
      </c>
      <c r="F39" s="268">
        <f t="shared" si="1"/>
        <v>0</v>
      </c>
      <c r="G39" s="12">
        <f>COUNTIFS('Detalle Compras Septiembre 2026'!$A:$A, B39, 'Detalle Compras Septiembre 2026'!$B:$B, "Carnes")</f>
        <v>0</v>
      </c>
      <c r="I39" s="305">
        <v>4</v>
      </c>
      <c r="J39" s="305" t="s">
        <v>248</v>
      </c>
      <c r="K39" s="306" t="s">
        <v>249</v>
      </c>
      <c r="L39" s="306" t="s">
        <v>250</v>
      </c>
      <c r="M39" s="308">
        <v>26.5</v>
      </c>
      <c r="N39" s="309">
        <v>19500</v>
      </c>
      <c r="O39" s="309">
        <f>'Detalle Compras Septiembre 2026'!G142</f>
        <v>516750</v>
      </c>
      <c r="P39" s="310"/>
      <c r="Q39" s="24"/>
    </row>
    <row r="40" spans="1:17" ht="18" customHeight="1" thickBot="1">
      <c r="B40" s="22" t="s">
        <v>54</v>
      </c>
      <c r="C40" s="212">
        <f>SUM(C10:C39)</f>
        <v>42822120.859999999</v>
      </c>
      <c r="D40" s="13">
        <f>SUM(D10:D39)</f>
        <v>1912.7999999999997</v>
      </c>
      <c r="E40" s="212">
        <f t="shared" si="0"/>
        <v>22387.139721873697</v>
      </c>
      <c r="F40" s="269">
        <f>IF(C40&gt;0, 1, 0)</f>
        <v>1</v>
      </c>
      <c r="G40" s="14">
        <f>SUM(G10:G39)</f>
        <v>111</v>
      </c>
      <c r="I40" s="305">
        <v>4</v>
      </c>
      <c r="J40" s="305" t="s">
        <v>251</v>
      </c>
      <c r="K40" s="306" t="s">
        <v>195</v>
      </c>
      <c r="L40" s="307" t="s">
        <v>252</v>
      </c>
      <c r="M40" s="308">
        <v>23.5</v>
      </c>
      <c r="N40" s="309">
        <v>18500</v>
      </c>
      <c r="O40" s="309">
        <f>'Detalle Compras Septiembre 2026'!G143</f>
        <v>434750</v>
      </c>
      <c r="P40" s="310"/>
      <c r="Q40" s="24"/>
    </row>
    <row r="41" spans="1:17" ht="18" customHeight="1" thickTop="1">
      <c r="I41" s="305">
        <v>4</v>
      </c>
      <c r="J41" s="305" t="s">
        <v>253</v>
      </c>
      <c r="K41" s="306" t="s">
        <v>254</v>
      </c>
      <c r="L41" s="307" t="s">
        <v>255</v>
      </c>
      <c r="M41" s="308">
        <v>10</v>
      </c>
      <c r="N41" s="309">
        <v>10000</v>
      </c>
      <c r="O41" s="309">
        <f>'Detalle Compras Septiembre 2026'!G144</f>
        <v>100000</v>
      </c>
      <c r="P41" s="310"/>
      <c r="Q41" s="24"/>
    </row>
    <row r="42" spans="1:17" ht="20.100000000000001" customHeight="1">
      <c r="I42" s="305">
        <v>4</v>
      </c>
      <c r="J42" s="305" t="s">
        <v>256</v>
      </c>
      <c r="K42" s="306" t="s">
        <v>257</v>
      </c>
      <c r="L42" s="306" t="s">
        <v>258</v>
      </c>
      <c r="M42" s="308">
        <v>3.0950000000000002</v>
      </c>
      <c r="N42" s="309">
        <v>13980</v>
      </c>
      <c r="O42" s="309">
        <f>'Detalle Compras Septiembre 2026'!G147</f>
        <v>43269</v>
      </c>
      <c r="P42" s="310"/>
      <c r="Q42" s="24"/>
    </row>
    <row r="43" spans="1:17">
      <c r="A43" s="24"/>
      <c r="B43" s="24"/>
      <c r="C43" s="24"/>
      <c r="D43" s="24"/>
      <c r="E43" s="24"/>
      <c r="F43" s="24"/>
      <c r="G43" s="24"/>
      <c r="H43" s="24"/>
      <c r="I43" s="305">
        <v>4</v>
      </c>
      <c r="J43" s="305" t="s">
        <v>259</v>
      </c>
      <c r="K43" s="306" t="s">
        <v>260</v>
      </c>
      <c r="L43" s="306" t="s">
        <v>261</v>
      </c>
      <c r="M43" s="308">
        <v>20.74</v>
      </c>
      <c r="N43" s="309">
        <v>18000</v>
      </c>
      <c r="O43" s="309">
        <f>'Detalle Compras Septiembre 2026'!G529</f>
        <v>373320</v>
      </c>
      <c r="P43" s="317"/>
      <c r="Q43" s="24"/>
    </row>
    <row r="44" spans="1:17">
      <c r="A44" s="24"/>
      <c r="B44" s="24"/>
      <c r="C44" s="24"/>
      <c r="D44" s="24"/>
      <c r="E44" s="24"/>
      <c r="F44" s="24"/>
      <c r="G44" s="24"/>
      <c r="H44" s="24"/>
      <c r="I44" s="305">
        <v>4</v>
      </c>
      <c r="J44" s="305" t="s">
        <v>259</v>
      </c>
      <c r="K44" s="306" t="s">
        <v>262</v>
      </c>
      <c r="L44" s="306" t="s">
        <v>263</v>
      </c>
      <c r="M44" s="308">
        <v>6.7649999999999997</v>
      </c>
      <c r="N44" s="309">
        <v>55000</v>
      </c>
      <c r="O44" s="309">
        <f>'Detalle Compras Septiembre 2026'!G530</f>
        <v>372075</v>
      </c>
      <c r="P44" s="317"/>
      <c r="Q44" s="24"/>
    </row>
    <row r="45" spans="1:17" ht="15.75" customHeight="1">
      <c r="A45" s="24"/>
      <c r="B45" s="36"/>
      <c r="C45" s="24"/>
      <c r="D45" s="24"/>
      <c r="E45" s="24"/>
      <c r="F45" s="24"/>
      <c r="G45" s="24"/>
      <c r="H45" s="24"/>
      <c r="I45" s="305">
        <v>4</v>
      </c>
      <c r="J45" s="305" t="s">
        <v>259</v>
      </c>
      <c r="K45" s="306" t="s">
        <v>264</v>
      </c>
      <c r="L45" s="306" t="s">
        <v>265</v>
      </c>
      <c r="M45" s="308">
        <v>9.16</v>
      </c>
      <c r="N45" s="309">
        <v>23000</v>
      </c>
      <c r="O45" s="309">
        <f>'Detalle Compras Septiembre 2026'!G531</f>
        <v>210680</v>
      </c>
      <c r="P45" s="317"/>
      <c r="Q45" s="24"/>
    </row>
    <row r="46" spans="1:17">
      <c r="A46" s="24"/>
      <c r="B46" s="25"/>
      <c r="C46" s="24"/>
      <c r="D46" s="24"/>
      <c r="E46" s="24"/>
      <c r="F46" s="24"/>
      <c r="G46" s="24"/>
      <c r="H46" s="24"/>
      <c r="I46" s="305">
        <v>4</v>
      </c>
      <c r="J46" s="305" t="s">
        <v>259</v>
      </c>
      <c r="K46" s="306" t="s">
        <v>266</v>
      </c>
      <c r="L46" s="306" t="s">
        <v>267</v>
      </c>
      <c r="M46" s="308">
        <v>7</v>
      </c>
      <c r="N46" s="309">
        <v>24000</v>
      </c>
      <c r="O46" s="309">
        <f>'Detalle Compras Septiembre 2026'!G532</f>
        <v>168000</v>
      </c>
      <c r="P46" s="317"/>
      <c r="Q46" s="24"/>
    </row>
    <row r="47" spans="1:17">
      <c r="A47" s="24"/>
      <c r="B47" s="24"/>
      <c r="C47" s="24"/>
      <c r="D47" s="24"/>
      <c r="E47" s="24"/>
      <c r="F47" s="24"/>
      <c r="G47" s="24"/>
      <c r="H47" s="24"/>
      <c r="I47" s="315" t="s">
        <v>268</v>
      </c>
      <c r="J47" s="315"/>
      <c r="K47" s="311"/>
      <c r="L47" s="311"/>
      <c r="M47" s="313">
        <f>SUM(M39:M46)</f>
        <v>106.75999999999999</v>
      </c>
      <c r="N47" s="314">
        <f>IF(M47&gt;0, O47/M47, 0)</f>
        <v>20783.476957662049</v>
      </c>
      <c r="O47" s="314">
        <f>SUM(O39:O46)</f>
        <v>2218844</v>
      </c>
      <c r="P47" s="317"/>
      <c r="Q47" s="24"/>
    </row>
    <row r="48" spans="1:17">
      <c r="A48" s="24"/>
      <c r="B48" s="37"/>
      <c r="C48" s="37"/>
      <c r="D48" s="37"/>
      <c r="E48" s="37"/>
      <c r="F48" s="37"/>
      <c r="G48" s="37"/>
      <c r="H48" s="37"/>
      <c r="I48" s="305">
        <v>5</v>
      </c>
      <c r="J48" s="305" t="s">
        <v>269</v>
      </c>
      <c r="K48" s="306" t="s">
        <v>270</v>
      </c>
      <c r="L48" s="306" t="s">
        <v>271</v>
      </c>
      <c r="M48" s="308">
        <v>19.7</v>
      </c>
      <c r="N48" s="309">
        <v>22900</v>
      </c>
      <c r="O48" s="309">
        <f>'Detalle Compras Septiembre 2026'!G149</f>
        <v>451130</v>
      </c>
      <c r="P48" s="317"/>
      <c r="Q48" s="24"/>
    </row>
    <row r="49" spans="1:17">
      <c r="A49" s="24"/>
      <c r="B49" s="38"/>
      <c r="C49" s="38"/>
      <c r="D49" s="39"/>
      <c r="E49" s="39"/>
      <c r="F49" s="40"/>
      <c r="G49" s="213"/>
      <c r="H49" s="213"/>
      <c r="I49" s="305">
        <v>5</v>
      </c>
      <c r="J49" s="305" t="s">
        <v>269</v>
      </c>
      <c r="K49" s="306" t="s">
        <v>272</v>
      </c>
      <c r="L49" s="306" t="s">
        <v>273</v>
      </c>
      <c r="M49" s="308">
        <v>26.1</v>
      </c>
      <c r="N49" s="309">
        <v>18500</v>
      </c>
      <c r="O49" s="309">
        <f>'Detalle Compras Septiembre 2026'!G150</f>
        <v>482850</v>
      </c>
      <c r="P49" s="317"/>
      <c r="Q49" s="24"/>
    </row>
    <row r="50" spans="1:17">
      <c r="A50" s="24"/>
      <c r="B50" s="38"/>
      <c r="C50" s="38"/>
      <c r="D50" s="39"/>
      <c r="E50" s="39"/>
      <c r="F50" s="40"/>
      <c r="G50" s="213"/>
      <c r="H50" s="213"/>
      <c r="I50" s="305">
        <v>5</v>
      </c>
      <c r="J50" s="305" t="s">
        <v>269</v>
      </c>
      <c r="K50" s="306" t="s">
        <v>274</v>
      </c>
      <c r="L50" s="306" t="s">
        <v>275</v>
      </c>
      <c r="M50" s="308">
        <v>30.66</v>
      </c>
      <c r="N50" s="309">
        <v>18900</v>
      </c>
      <c r="O50" s="309">
        <f>'Detalle Compras Septiembre 2026'!G151</f>
        <v>579474</v>
      </c>
      <c r="P50" s="317"/>
      <c r="Q50" s="24"/>
    </row>
    <row r="51" spans="1:17">
      <c r="A51" s="24"/>
      <c r="B51" s="38"/>
      <c r="C51" s="38"/>
      <c r="D51" s="39"/>
      <c r="E51" s="39"/>
      <c r="F51" s="40"/>
      <c r="G51" s="213"/>
      <c r="H51" s="213"/>
      <c r="I51" s="305">
        <v>5</v>
      </c>
      <c r="J51" s="305" t="s">
        <v>269</v>
      </c>
      <c r="K51" s="306" t="s">
        <v>276</v>
      </c>
      <c r="L51" s="306" t="s">
        <v>277</v>
      </c>
      <c r="M51" s="308">
        <v>21.55</v>
      </c>
      <c r="N51" s="309">
        <v>42000</v>
      </c>
      <c r="O51" s="309">
        <f>'Detalle Compras Septiembre 2026'!G152</f>
        <v>905100</v>
      </c>
      <c r="P51" s="317"/>
      <c r="Q51" s="24"/>
    </row>
    <row r="52" spans="1:17">
      <c r="A52" s="24"/>
      <c r="B52" s="38"/>
      <c r="C52" s="38"/>
      <c r="D52" s="39"/>
      <c r="E52" s="39"/>
      <c r="F52" s="40"/>
      <c r="G52" s="213"/>
      <c r="H52" s="213"/>
      <c r="I52" s="305">
        <v>5</v>
      </c>
      <c r="J52" s="305" t="s">
        <v>269</v>
      </c>
      <c r="K52" s="306" t="s">
        <v>278</v>
      </c>
      <c r="L52" s="306" t="s">
        <v>279</v>
      </c>
      <c r="M52" s="308">
        <v>18</v>
      </c>
      <c r="N52" s="309">
        <v>44000</v>
      </c>
      <c r="O52" s="309">
        <f>'Detalle Compras Septiembre 2026'!G153</f>
        <v>792000</v>
      </c>
      <c r="P52" s="317"/>
      <c r="Q52" s="24"/>
    </row>
    <row r="53" spans="1:17">
      <c r="A53" s="24"/>
      <c r="B53" s="38"/>
      <c r="C53" s="38"/>
      <c r="D53" s="39"/>
      <c r="E53" s="39"/>
      <c r="F53" s="40"/>
      <c r="G53" s="213"/>
      <c r="H53" s="213"/>
      <c r="I53" s="305">
        <v>5</v>
      </c>
      <c r="J53" s="305" t="s">
        <v>269</v>
      </c>
      <c r="K53" s="306" t="s">
        <v>209</v>
      </c>
      <c r="L53" s="306" t="s">
        <v>280</v>
      </c>
      <c r="M53" s="308">
        <v>20.239999999999998</v>
      </c>
      <c r="N53" s="309">
        <v>25900</v>
      </c>
      <c r="O53" s="309">
        <f>'Detalle Compras Septiembre 2026'!G154</f>
        <v>524216</v>
      </c>
      <c r="P53" s="317"/>
      <c r="Q53" s="24"/>
    </row>
    <row r="54" spans="1:17">
      <c r="A54" s="24"/>
      <c r="B54" s="38"/>
      <c r="C54" s="38"/>
      <c r="D54" s="39"/>
      <c r="E54" s="39"/>
      <c r="F54" s="40"/>
      <c r="G54" s="213"/>
      <c r="H54" s="213"/>
      <c r="I54" s="305">
        <v>5</v>
      </c>
      <c r="J54" s="305" t="s">
        <v>269</v>
      </c>
      <c r="K54" s="306" t="s">
        <v>211</v>
      </c>
      <c r="L54" s="306" t="s">
        <v>281</v>
      </c>
      <c r="M54" s="308">
        <v>9</v>
      </c>
      <c r="N54" s="309">
        <v>34500</v>
      </c>
      <c r="O54" s="309">
        <f>'Detalle Compras Septiembre 2026'!G155</f>
        <v>310500</v>
      </c>
      <c r="P54" s="317"/>
      <c r="Q54" s="24"/>
    </row>
    <row r="55" spans="1:17">
      <c r="A55" s="24"/>
      <c r="B55" s="38"/>
      <c r="C55" s="38"/>
      <c r="D55" s="39"/>
      <c r="E55" s="39"/>
      <c r="F55" s="40"/>
      <c r="G55" s="213"/>
      <c r="H55" s="213"/>
      <c r="I55" s="305">
        <v>5</v>
      </c>
      <c r="J55" s="305" t="s">
        <v>269</v>
      </c>
      <c r="K55" s="306" t="s">
        <v>282</v>
      </c>
      <c r="L55" s="306" t="s">
        <v>283</v>
      </c>
      <c r="M55" s="308">
        <v>150.9</v>
      </c>
      <c r="N55" s="309">
        <v>21900</v>
      </c>
      <c r="O55" s="309">
        <f>'Detalle Compras Septiembre 2026'!G156</f>
        <v>3304710</v>
      </c>
      <c r="P55" s="317"/>
      <c r="Q55" s="24"/>
    </row>
    <row r="56" spans="1:17">
      <c r="A56" s="24"/>
      <c r="B56" s="38"/>
      <c r="C56" s="38"/>
      <c r="D56" s="39"/>
      <c r="E56" s="39"/>
      <c r="F56" s="40"/>
      <c r="G56" s="213"/>
      <c r="H56" s="213"/>
      <c r="I56" s="305">
        <v>5</v>
      </c>
      <c r="J56" s="305" t="s">
        <v>284</v>
      </c>
      <c r="K56" s="306" t="s">
        <v>245</v>
      </c>
      <c r="L56" s="306" t="s">
        <v>246</v>
      </c>
      <c r="M56" s="308">
        <v>20</v>
      </c>
      <c r="N56" s="309">
        <v>18200</v>
      </c>
      <c r="O56" s="309">
        <f>'Detalle Compras Septiembre 2026'!G505</f>
        <v>364000</v>
      </c>
      <c r="P56" s="317"/>
      <c r="Q56" s="24"/>
    </row>
    <row r="57" spans="1:17">
      <c r="A57" s="24"/>
      <c r="B57" s="38"/>
      <c r="C57" s="38"/>
      <c r="D57" s="39"/>
      <c r="E57" s="39"/>
      <c r="F57" s="40"/>
      <c r="G57" s="213"/>
      <c r="H57" s="213"/>
      <c r="I57" s="315" t="s">
        <v>285</v>
      </c>
      <c r="J57" s="315"/>
      <c r="K57" s="311"/>
      <c r="L57" s="311"/>
      <c r="M57" s="313">
        <f>SUM(M48:M56)</f>
        <v>316.14999999999998</v>
      </c>
      <c r="N57" s="314">
        <f>IF(M57&gt;0, O57/M57, 0)</f>
        <v>24399.746955559072</v>
      </c>
      <c r="O57" s="314">
        <f>SUM(O48:O56)</f>
        <v>7713980</v>
      </c>
      <c r="P57" s="317"/>
      <c r="Q57" s="24"/>
    </row>
    <row r="58" spans="1:17">
      <c r="A58" s="24"/>
      <c r="B58" s="38"/>
      <c r="C58" s="38"/>
      <c r="D58" s="39"/>
      <c r="E58" s="39"/>
      <c r="F58" s="40"/>
      <c r="G58" s="213"/>
      <c r="H58" s="213"/>
      <c r="I58" s="305">
        <v>7</v>
      </c>
      <c r="J58" s="305" t="s">
        <v>286</v>
      </c>
      <c r="K58" s="306" t="s">
        <v>287</v>
      </c>
      <c r="L58" s="306" t="s">
        <v>288</v>
      </c>
      <c r="M58" s="308">
        <v>3.32</v>
      </c>
      <c r="N58" s="309">
        <v>8974.59</v>
      </c>
      <c r="O58" s="309">
        <f>'Detalle Compras Septiembre 2026'!G180</f>
        <v>29795.64</v>
      </c>
      <c r="P58" s="317"/>
      <c r="Q58" s="24"/>
    </row>
    <row r="59" spans="1:17">
      <c r="A59" s="24"/>
      <c r="B59" s="38"/>
      <c r="C59" s="38"/>
      <c r="D59" s="39"/>
      <c r="E59" s="39"/>
      <c r="F59" s="40"/>
      <c r="G59" s="213"/>
      <c r="H59" s="213"/>
      <c r="I59" s="305">
        <v>7</v>
      </c>
      <c r="J59" s="305" t="s">
        <v>286</v>
      </c>
      <c r="K59" s="306" t="s">
        <v>187</v>
      </c>
      <c r="L59" s="306" t="s">
        <v>289</v>
      </c>
      <c r="M59" s="308">
        <v>3.93</v>
      </c>
      <c r="N59" s="309">
        <v>7984.07</v>
      </c>
      <c r="O59" s="309">
        <f>'Detalle Compras Septiembre 2026'!G181</f>
        <v>31377.4</v>
      </c>
      <c r="P59" s="317"/>
      <c r="Q59" s="24"/>
    </row>
    <row r="60" spans="1:17">
      <c r="A60" s="24"/>
      <c r="B60" s="41"/>
      <c r="C60" s="24"/>
      <c r="D60" s="24"/>
      <c r="E60" s="24"/>
      <c r="F60" s="42"/>
      <c r="G60" s="214"/>
      <c r="H60" s="214"/>
      <c r="I60" s="305">
        <v>7</v>
      </c>
      <c r="J60" s="305" t="s">
        <v>290</v>
      </c>
      <c r="K60" s="306" t="s">
        <v>291</v>
      </c>
      <c r="L60" s="306" t="s">
        <v>292</v>
      </c>
      <c r="M60" s="308">
        <v>38.6</v>
      </c>
      <c r="N60" s="309">
        <v>11500</v>
      </c>
      <c r="O60" s="309">
        <f>'Detalle Compras Septiembre 2026'!G182</f>
        <v>443900</v>
      </c>
      <c r="P60" s="317"/>
      <c r="Q60" s="24"/>
    </row>
    <row r="61" spans="1:17">
      <c r="A61" s="24"/>
      <c r="B61" s="38"/>
      <c r="C61" s="38"/>
      <c r="D61" s="39"/>
      <c r="E61" s="39"/>
      <c r="F61" s="40"/>
      <c r="G61" s="213"/>
      <c r="H61" s="213"/>
      <c r="I61" s="305">
        <v>7</v>
      </c>
      <c r="J61" s="305" t="s">
        <v>293</v>
      </c>
      <c r="K61" s="306" t="s">
        <v>254</v>
      </c>
      <c r="L61" s="306" t="s">
        <v>294</v>
      </c>
      <c r="M61" s="308">
        <v>1</v>
      </c>
      <c r="N61" s="309">
        <v>130000</v>
      </c>
      <c r="O61" s="309">
        <f>'Detalle Compras Septiembre 2026'!G183</f>
        <v>130000</v>
      </c>
      <c r="P61" s="317"/>
      <c r="Q61" s="24"/>
    </row>
    <row r="62" spans="1:17">
      <c r="A62" s="24"/>
      <c r="B62" s="38"/>
      <c r="C62" s="38"/>
      <c r="D62" s="39"/>
      <c r="E62" s="39"/>
      <c r="F62" s="40"/>
      <c r="G62" s="213"/>
      <c r="H62" s="213"/>
      <c r="I62" s="305">
        <v>7</v>
      </c>
      <c r="J62" s="305" t="s">
        <v>295</v>
      </c>
      <c r="K62" s="306" t="s">
        <v>296</v>
      </c>
      <c r="L62" s="306" t="s">
        <v>297</v>
      </c>
      <c r="M62" s="308">
        <v>5.5919999999999996</v>
      </c>
      <c r="N62" s="309">
        <v>26900</v>
      </c>
      <c r="O62" s="309">
        <f>'Detalle Compras Septiembre 2026'!G186</f>
        <v>150425</v>
      </c>
      <c r="P62" s="317"/>
      <c r="Q62" s="24"/>
    </row>
    <row r="63" spans="1:17">
      <c r="A63" s="24"/>
      <c r="B63" s="41"/>
      <c r="C63" s="24"/>
      <c r="D63" s="24"/>
      <c r="E63" s="24"/>
      <c r="F63" s="42"/>
      <c r="G63" s="214"/>
      <c r="H63" s="214"/>
      <c r="I63" s="305">
        <v>7</v>
      </c>
      <c r="J63" s="305" t="s">
        <v>295</v>
      </c>
      <c r="K63" s="306" t="s">
        <v>209</v>
      </c>
      <c r="L63" s="306" t="s">
        <v>298</v>
      </c>
      <c r="M63" s="308">
        <v>21.61</v>
      </c>
      <c r="N63" s="309">
        <v>25900</v>
      </c>
      <c r="O63" s="309">
        <f>'Detalle Compras Septiembre 2026'!G187</f>
        <v>559699</v>
      </c>
      <c r="P63" s="317"/>
      <c r="Q63" s="24"/>
    </row>
    <row r="64" spans="1:17">
      <c r="A64" s="24"/>
      <c r="B64" s="38"/>
      <c r="C64" s="38"/>
      <c r="D64" s="39"/>
      <c r="E64" s="39"/>
      <c r="F64" s="40"/>
      <c r="G64" s="213"/>
      <c r="H64" s="213"/>
      <c r="I64" s="305">
        <v>7</v>
      </c>
      <c r="J64" s="305" t="s">
        <v>295</v>
      </c>
      <c r="K64" s="306" t="s">
        <v>211</v>
      </c>
      <c r="L64" s="306" t="s">
        <v>299</v>
      </c>
      <c r="M64" s="308">
        <v>20.565000000000001</v>
      </c>
      <c r="N64" s="309">
        <v>34500</v>
      </c>
      <c r="O64" s="309">
        <f>'Detalle Compras Septiembre 2026'!G188</f>
        <v>709493</v>
      </c>
      <c r="P64" s="317"/>
      <c r="Q64" s="24"/>
    </row>
    <row r="65" spans="1:17">
      <c r="A65" s="24"/>
      <c r="B65" s="38"/>
      <c r="C65" s="38"/>
      <c r="D65" s="39"/>
      <c r="E65" s="39"/>
      <c r="F65" s="40"/>
      <c r="G65" s="213"/>
      <c r="H65" s="213"/>
      <c r="I65" s="305">
        <v>7</v>
      </c>
      <c r="J65" s="305" t="s">
        <v>300</v>
      </c>
      <c r="K65" s="306" t="s">
        <v>224</v>
      </c>
      <c r="L65" s="306" t="s">
        <v>301</v>
      </c>
      <c r="M65" s="308">
        <v>3.39</v>
      </c>
      <c r="N65" s="309">
        <v>17500</v>
      </c>
      <c r="O65" s="309">
        <f>'Detalle Compras Septiembre 2026'!G197</f>
        <v>59325</v>
      </c>
      <c r="P65" s="317"/>
      <c r="Q65" s="24"/>
    </row>
    <row r="66" spans="1:17">
      <c r="A66" s="24"/>
      <c r="B66" s="38"/>
      <c r="C66" s="38"/>
      <c r="D66" s="39"/>
      <c r="E66" s="39"/>
      <c r="F66" s="40"/>
      <c r="G66" s="213"/>
      <c r="H66" s="213"/>
      <c r="I66" s="305">
        <v>7</v>
      </c>
      <c r="J66" s="305" t="s">
        <v>300</v>
      </c>
      <c r="K66" s="306" t="s">
        <v>302</v>
      </c>
      <c r="L66" s="306" t="s">
        <v>303</v>
      </c>
      <c r="M66" s="308">
        <v>2</v>
      </c>
      <c r="N66" s="309">
        <v>10600</v>
      </c>
      <c r="O66" s="309">
        <f>'Detalle Compras Septiembre 2026'!G198</f>
        <v>21200</v>
      </c>
      <c r="P66" s="317"/>
      <c r="Q66" s="24"/>
    </row>
    <row r="67" spans="1:17">
      <c r="A67" s="24"/>
      <c r="B67" s="38"/>
      <c r="C67" s="38"/>
      <c r="D67" s="39"/>
      <c r="E67" s="39"/>
      <c r="F67" s="40"/>
      <c r="G67" s="213"/>
      <c r="H67" s="213"/>
      <c r="I67" s="315" t="s">
        <v>304</v>
      </c>
      <c r="J67" s="315"/>
      <c r="K67" s="311"/>
      <c r="L67" s="311"/>
      <c r="M67" s="313">
        <f>SUM(M58:M66)</f>
        <v>100.00699999999999</v>
      </c>
      <c r="N67" s="314">
        <f>IF(M67&gt;0, O67/M67, 0)</f>
        <v>21350.655854090215</v>
      </c>
      <c r="O67" s="314">
        <f>SUM(O58:O66)</f>
        <v>2135215.04</v>
      </c>
      <c r="P67" s="317"/>
      <c r="Q67" s="24"/>
    </row>
    <row r="68" spans="1:17">
      <c r="A68" s="24"/>
      <c r="B68" s="38"/>
      <c r="C68" s="38"/>
      <c r="D68" s="39"/>
      <c r="E68" s="39"/>
      <c r="F68" s="40"/>
      <c r="G68" s="213"/>
      <c r="H68" s="213"/>
      <c r="I68" s="305">
        <v>8</v>
      </c>
      <c r="J68" s="305" t="s">
        <v>305</v>
      </c>
      <c r="K68" s="306" t="s">
        <v>195</v>
      </c>
      <c r="L68" s="306" t="s">
        <v>306</v>
      </c>
      <c r="M68" s="308">
        <v>14.1</v>
      </c>
      <c r="N68" s="309">
        <v>18500</v>
      </c>
      <c r="O68" s="309">
        <f>'Detalle Compras Septiembre 2026'!G244</f>
        <v>260850</v>
      </c>
      <c r="P68" s="317"/>
      <c r="Q68" s="24"/>
    </row>
    <row r="69" spans="1:17">
      <c r="A69" s="24"/>
      <c r="B69" s="38"/>
      <c r="C69" s="38"/>
      <c r="D69" s="39"/>
      <c r="E69" s="39"/>
      <c r="F69" s="40"/>
      <c r="G69" s="213"/>
      <c r="H69" s="213"/>
      <c r="I69" s="305">
        <v>8</v>
      </c>
      <c r="J69" s="305" t="s">
        <v>307</v>
      </c>
      <c r="K69" s="306" t="s">
        <v>249</v>
      </c>
      <c r="L69" s="306" t="s">
        <v>308</v>
      </c>
      <c r="M69" s="308">
        <v>13.6</v>
      </c>
      <c r="N69" s="309">
        <v>19500</v>
      </c>
      <c r="O69" s="309">
        <f>'Detalle Compras Septiembre 2026'!G245</f>
        <v>265200</v>
      </c>
      <c r="P69" s="317"/>
      <c r="Q69" s="24"/>
    </row>
    <row r="70" spans="1:17">
      <c r="A70" s="24"/>
      <c r="B70" s="41"/>
      <c r="C70" s="24"/>
      <c r="D70" s="24"/>
      <c r="E70" s="24"/>
      <c r="F70" s="42"/>
      <c r="G70" s="214"/>
      <c r="H70" s="214"/>
      <c r="I70" s="305">
        <v>8</v>
      </c>
      <c r="J70" s="305" t="s">
        <v>305</v>
      </c>
      <c r="K70" s="306" t="s">
        <v>218</v>
      </c>
      <c r="L70" s="306" t="s">
        <v>309</v>
      </c>
      <c r="M70" s="308">
        <v>14.9</v>
      </c>
      <c r="N70" s="309">
        <v>7500</v>
      </c>
      <c r="O70" s="309">
        <f>'Detalle Compras Septiembre 2026'!G246</f>
        <v>111750</v>
      </c>
      <c r="P70" s="317"/>
      <c r="Q70" s="24"/>
    </row>
    <row r="71" spans="1:17" ht="15.75" customHeight="1">
      <c r="A71" s="24"/>
      <c r="B71" s="38"/>
      <c r="C71" s="38"/>
      <c r="D71" s="39"/>
      <c r="E71" s="39"/>
      <c r="F71" s="40"/>
      <c r="G71" s="213"/>
      <c r="H71" s="213"/>
      <c r="I71" s="305">
        <v>8</v>
      </c>
      <c r="J71" s="305" t="s">
        <v>310</v>
      </c>
      <c r="K71" s="306" t="s">
        <v>228</v>
      </c>
      <c r="L71" s="306" t="s">
        <v>311</v>
      </c>
      <c r="M71" s="308">
        <v>5</v>
      </c>
      <c r="N71" s="309">
        <v>33000</v>
      </c>
      <c r="O71" s="309">
        <f>'Detalle Compras Septiembre 2026'!G249</f>
        <v>165000</v>
      </c>
      <c r="P71" s="317"/>
      <c r="Q71" s="24"/>
    </row>
    <row r="72" spans="1:17">
      <c r="I72" s="305">
        <v>8</v>
      </c>
      <c r="J72" s="305" t="s">
        <v>310</v>
      </c>
      <c r="K72" s="306" t="s">
        <v>187</v>
      </c>
      <c r="L72" s="306" t="s">
        <v>312</v>
      </c>
      <c r="M72" s="308">
        <v>8.65</v>
      </c>
      <c r="N72" s="309">
        <v>7000</v>
      </c>
      <c r="O72" s="309">
        <f>'Detalle Compras Septiembre 2026'!G250</f>
        <v>60550</v>
      </c>
      <c r="P72" s="317"/>
    </row>
    <row r="73" spans="1:17">
      <c r="I73" s="305">
        <v>8</v>
      </c>
      <c r="J73" s="305" t="s">
        <v>313</v>
      </c>
      <c r="K73" s="306" t="s">
        <v>314</v>
      </c>
      <c r="L73" s="306" t="s">
        <v>314</v>
      </c>
      <c r="M73" s="308">
        <v>1</v>
      </c>
      <c r="N73" s="309">
        <v>72200</v>
      </c>
      <c r="O73" s="309">
        <f>'Detalle Compras Septiembre 2026'!G255</f>
        <v>72200</v>
      </c>
      <c r="P73" s="317"/>
    </row>
    <row r="74" spans="1:17">
      <c r="I74" s="305">
        <v>8</v>
      </c>
      <c r="J74" s="305" t="s">
        <v>315</v>
      </c>
      <c r="K74" s="306" t="s">
        <v>316</v>
      </c>
      <c r="L74" s="306" t="s">
        <v>317</v>
      </c>
      <c r="M74" s="308">
        <v>2</v>
      </c>
      <c r="N74" s="309">
        <v>3050</v>
      </c>
      <c r="O74" s="309">
        <f>'Detalle Compras Septiembre 2026'!G558</f>
        <v>6100</v>
      </c>
      <c r="P74" s="317"/>
    </row>
    <row r="75" spans="1:17">
      <c r="I75" s="305">
        <v>8</v>
      </c>
      <c r="J75" s="305" t="s">
        <v>315</v>
      </c>
      <c r="K75" s="306" t="s">
        <v>316</v>
      </c>
      <c r="L75" s="306" t="s">
        <v>317</v>
      </c>
      <c r="M75" s="308">
        <v>2</v>
      </c>
      <c r="N75" s="309">
        <v>3050</v>
      </c>
      <c r="O75" s="309">
        <f>'Detalle Compras Septiembre 2026'!G559</f>
        <v>6100</v>
      </c>
      <c r="P75" s="317"/>
    </row>
    <row r="76" spans="1:17">
      <c r="I76" s="305">
        <v>8</v>
      </c>
      <c r="J76" s="305" t="s">
        <v>315</v>
      </c>
      <c r="K76" s="306" t="s">
        <v>316</v>
      </c>
      <c r="L76" s="306" t="s">
        <v>317</v>
      </c>
      <c r="M76" s="308">
        <v>2</v>
      </c>
      <c r="N76" s="309">
        <v>3050</v>
      </c>
      <c r="O76" s="309">
        <f>'Detalle Compras Septiembre 2026'!G560</f>
        <v>6100</v>
      </c>
      <c r="P76" s="317"/>
    </row>
    <row r="77" spans="1:17">
      <c r="I77" s="305">
        <v>8</v>
      </c>
      <c r="J77" s="305" t="s">
        <v>315</v>
      </c>
      <c r="K77" s="306" t="s">
        <v>316</v>
      </c>
      <c r="L77" s="306" t="s">
        <v>317</v>
      </c>
      <c r="M77" s="308">
        <v>2</v>
      </c>
      <c r="N77" s="309">
        <v>3050</v>
      </c>
      <c r="O77" s="309">
        <f>'Detalle Compras Septiembre 2026'!G561</f>
        <v>6100</v>
      </c>
      <c r="P77" s="317"/>
    </row>
    <row r="78" spans="1:17">
      <c r="I78" s="305">
        <v>8</v>
      </c>
      <c r="J78" s="305" t="s">
        <v>315</v>
      </c>
      <c r="K78" s="306" t="s">
        <v>316</v>
      </c>
      <c r="L78" s="306" t="s">
        <v>317</v>
      </c>
      <c r="M78" s="308">
        <v>2</v>
      </c>
      <c r="N78" s="309">
        <v>3050</v>
      </c>
      <c r="O78" s="309">
        <f>'Detalle Compras Septiembre 2026'!G562</f>
        <v>6100</v>
      </c>
      <c r="P78" s="317"/>
    </row>
    <row r="79" spans="1:17">
      <c r="I79" s="315" t="s">
        <v>318</v>
      </c>
      <c r="J79" s="315"/>
      <c r="K79" s="311"/>
      <c r="L79" s="311"/>
      <c r="M79" s="313">
        <f>SUM(M68:M78)</f>
        <v>67.25</v>
      </c>
      <c r="N79" s="314">
        <f>IF(M79&gt;0, O79/M79, 0)</f>
        <v>14365.055762081784</v>
      </c>
      <c r="O79" s="314">
        <f>SUM(O68:O78)</f>
        <v>966050</v>
      </c>
      <c r="P79" s="317"/>
    </row>
    <row r="80" spans="1:17">
      <c r="I80" s="305">
        <v>9</v>
      </c>
      <c r="J80" s="305" t="s">
        <v>319</v>
      </c>
      <c r="K80" s="306" t="s">
        <v>270</v>
      </c>
      <c r="L80" s="306" t="s">
        <v>320</v>
      </c>
      <c r="M80" s="308">
        <v>20.2</v>
      </c>
      <c r="N80" s="309">
        <v>22900</v>
      </c>
      <c r="O80" s="309">
        <f>'Detalle Compras Septiembre 2026'!G274</f>
        <v>462580</v>
      </c>
      <c r="P80" s="317"/>
    </row>
    <row r="81" spans="9:16">
      <c r="I81" s="305">
        <v>9</v>
      </c>
      <c r="J81" s="305" t="s">
        <v>319</v>
      </c>
      <c r="K81" s="306" t="s">
        <v>205</v>
      </c>
      <c r="L81" s="306" t="s">
        <v>321</v>
      </c>
      <c r="M81" s="308">
        <v>28.6</v>
      </c>
      <c r="N81" s="309">
        <v>15900</v>
      </c>
      <c r="O81" s="309">
        <f>'Detalle Compras Septiembre 2026'!G275</f>
        <v>454740</v>
      </c>
      <c r="P81" s="317"/>
    </row>
    <row r="82" spans="9:16">
      <c r="I82" s="305">
        <v>9</v>
      </c>
      <c r="J82" s="305" t="s">
        <v>319</v>
      </c>
      <c r="K82" s="306" t="s">
        <v>207</v>
      </c>
      <c r="L82" s="306" t="s">
        <v>322</v>
      </c>
      <c r="M82" s="308">
        <v>24.7</v>
      </c>
      <c r="N82" s="309">
        <v>23900</v>
      </c>
      <c r="O82" s="309">
        <f>'Detalle Compras Septiembre 2026'!G276</f>
        <v>590330</v>
      </c>
      <c r="P82" s="317"/>
    </row>
    <row r="83" spans="9:16">
      <c r="I83" s="305">
        <v>9</v>
      </c>
      <c r="J83" s="305" t="s">
        <v>319</v>
      </c>
      <c r="K83" s="306" t="s">
        <v>209</v>
      </c>
      <c r="L83" s="306" t="s">
        <v>323</v>
      </c>
      <c r="M83" s="308">
        <v>22.18</v>
      </c>
      <c r="N83" s="309">
        <v>25900</v>
      </c>
      <c r="O83" s="309">
        <f>'Detalle Compras Septiembre 2026'!G277</f>
        <v>574462</v>
      </c>
      <c r="P83" s="317"/>
    </row>
    <row r="84" spans="9:16">
      <c r="I84" s="305">
        <v>9</v>
      </c>
      <c r="J84" s="305" t="s">
        <v>319</v>
      </c>
      <c r="K84" s="306" t="s">
        <v>282</v>
      </c>
      <c r="L84" s="306" t="s">
        <v>324</v>
      </c>
      <c r="M84" s="308">
        <v>68.7</v>
      </c>
      <c r="N84" s="309">
        <v>21900</v>
      </c>
      <c r="O84" s="309">
        <f>'Detalle Compras Septiembre 2026'!G278</f>
        <v>1504530</v>
      </c>
      <c r="P84" s="317"/>
    </row>
    <row r="85" spans="9:16">
      <c r="I85" s="305">
        <v>9</v>
      </c>
      <c r="J85" s="305" t="s">
        <v>319</v>
      </c>
      <c r="K85" s="306" t="s">
        <v>325</v>
      </c>
      <c r="L85" s="306" t="s">
        <v>326</v>
      </c>
      <c r="M85" s="308">
        <v>17.260000000000002</v>
      </c>
      <c r="N85" s="309">
        <v>11500</v>
      </c>
      <c r="O85" s="309">
        <f>'Detalle Compras Septiembre 2026'!G279</f>
        <v>198490</v>
      </c>
      <c r="P85" s="317"/>
    </row>
    <row r="86" spans="9:16">
      <c r="I86" s="305">
        <v>9</v>
      </c>
      <c r="J86" s="305" t="s">
        <v>327</v>
      </c>
      <c r="K86" s="306" t="s">
        <v>291</v>
      </c>
      <c r="L86" s="306" t="s">
        <v>328</v>
      </c>
      <c r="M86" s="308">
        <v>38.4</v>
      </c>
      <c r="N86" s="309">
        <v>11000</v>
      </c>
      <c r="O86" s="309">
        <f>'Detalle Compras Septiembre 2026'!G290</f>
        <v>422400</v>
      </c>
      <c r="P86" s="317"/>
    </row>
    <row r="87" spans="9:16" ht="18.95" customHeight="1">
      <c r="I87" s="305">
        <v>9</v>
      </c>
      <c r="J87" s="305" t="s">
        <v>329</v>
      </c>
      <c r="K87" s="306" t="s">
        <v>195</v>
      </c>
      <c r="L87" s="306" t="s">
        <v>330</v>
      </c>
      <c r="M87" s="308">
        <v>13.6</v>
      </c>
      <c r="N87" s="309">
        <v>18500</v>
      </c>
      <c r="O87" s="309">
        <f>'Detalle Compras Septiembre 2026'!G292</f>
        <v>251600</v>
      </c>
      <c r="P87" s="317"/>
    </row>
    <row r="88" spans="9:16" ht="18.95" customHeight="1">
      <c r="I88" s="305">
        <v>9</v>
      </c>
      <c r="J88" s="305" t="s">
        <v>329</v>
      </c>
      <c r="K88" s="306" t="s">
        <v>218</v>
      </c>
      <c r="L88" s="306" t="s">
        <v>331</v>
      </c>
      <c r="M88" s="308">
        <v>43.4</v>
      </c>
      <c r="N88" s="309">
        <v>7500</v>
      </c>
      <c r="O88" s="309">
        <f>'Detalle Compras Septiembre 2026'!G293</f>
        <v>325500</v>
      </c>
      <c r="P88" s="317"/>
    </row>
    <row r="89" spans="9:16" ht="18.95" customHeight="1">
      <c r="I89" s="305">
        <v>9</v>
      </c>
      <c r="J89" s="305" t="s">
        <v>332</v>
      </c>
      <c r="K89" s="306" t="s">
        <v>249</v>
      </c>
      <c r="L89" s="306" t="s">
        <v>333</v>
      </c>
      <c r="M89" s="308">
        <v>27.9</v>
      </c>
      <c r="N89" s="309">
        <v>18500</v>
      </c>
      <c r="O89" s="309">
        <f>'Detalle Compras Septiembre 2026'!G312</f>
        <v>516150</v>
      </c>
      <c r="P89" s="317"/>
    </row>
    <row r="90" spans="9:16" ht="18.95" customHeight="1">
      <c r="I90" s="305">
        <v>9</v>
      </c>
      <c r="J90" s="305" t="s">
        <v>334</v>
      </c>
      <c r="K90" s="306" t="s">
        <v>190</v>
      </c>
      <c r="L90" s="306" t="s">
        <v>335</v>
      </c>
      <c r="M90" s="308">
        <v>20</v>
      </c>
      <c r="N90" s="309">
        <v>16500</v>
      </c>
      <c r="O90" s="309">
        <f>'Detalle Compras Septiembre 2026'!G313</f>
        <v>330000</v>
      </c>
      <c r="P90" s="317"/>
    </row>
    <row r="91" spans="9:16" s="130" customFormat="1" ht="18.95" customHeight="1">
      <c r="I91" s="305">
        <v>9</v>
      </c>
      <c r="J91" s="305" t="s">
        <v>313</v>
      </c>
      <c r="K91" s="318" t="s">
        <v>336</v>
      </c>
      <c r="L91" s="318" t="s">
        <v>336</v>
      </c>
      <c r="M91" s="308">
        <v>1</v>
      </c>
      <c r="N91" s="309">
        <v>76500</v>
      </c>
      <c r="O91" s="309">
        <f>'Detalle Compras Septiembre 2026'!G317</f>
        <v>76500</v>
      </c>
      <c r="P91" s="317"/>
    </row>
    <row r="92" spans="9:16" ht="20.100000000000001" customHeight="1">
      <c r="I92" s="315" t="s">
        <v>337</v>
      </c>
      <c r="J92" s="315"/>
      <c r="K92" s="311"/>
      <c r="L92" s="311"/>
      <c r="M92" s="313">
        <f>SUM(M80:M91)</f>
        <v>325.93999999999994</v>
      </c>
      <c r="N92" s="314">
        <f>IF(M92&gt;0, O92/M92, 0)</f>
        <v>17510.222740381669</v>
      </c>
      <c r="O92" s="314">
        <f>SUM(O80:O91)</f>
        <v>5707282</v>
      </c>
      <c r="P92" s="317"/>
    </row>
    <row r="93" spans="9:16" ht="21.95" customHeight="1" thickBot="1">
      <c r="I93" s="305">
        <v>10</v>
      </c>
      <c r="J93" s="305" t="s">
        <v>338</v>
      </c>
      <c r="K93" s="306" t="s">
        <v>218</v>
      </c>
      <c r="L93" s="306" t="s">
        <v>339</v>
      </c>
      <c r="M93" s="308">
        <v>87.3</v>
      </c>
      <c r="N93" s="309">
        <v>7500</v>
      </c>
      <c r="O93" s="309">
        <f>'Detalle Compras Septiembre 2026'!G334</f>
        <v>654750</v>
      </c>
      <c r="P93" s="317"/>
    </row>
    <row r="94" spans="9:16" ht="15.75" customHeight="1" thickTop="1">
      <c r="I94" s="305">
        <v>10</v>
      </c>
      <c r="J94" s="305" t="s">
        <v>340</v>
      </c>
      <c r="K94" s="306" t="s">
        <v>241</v>
      </c>
      <c r="L94" s="306" t="s">
        <v>341</v>
      </c>
      <c r="M94" s="308">
        <v>1</v>
      </c>
      <c r="N94" s="309">
        <v>18000</v>
      </c>
      <c r="O94" s="309">
        <f>'Detalle Compras Septiembre 2026'!G336</f>
        <v>18000</v>
      </c>
      <c r="P94" s="317"/>
    </row>
    <row r="95" spans="9:16">
      <c r="I95" s="305">
        <v>10</v>
      </c>
      <c r="J95" s="305" t="s">
        <v>340</v>
      </c>
      <c r="K95" s="306" t="s">
        <v>342</v>
      </c>
      <c r="L95" s="306" t="s">
        <v>343</v>
      </c>
      <c r="M95" s="308">
        <v>1</v>
      </c>
      <c r="N95" s="309">
        <v>5000</v>
      </c>
      <c r="O95" s="309">
        <f>'Detalle Compras Septiembre 2026'!G337</f>
        <v>5000</v>
      </c>
      <c r="P95" s="317"/>
    </row>
    <row r="96" spans="9:16">
      <c r="I96" s="305">
        <v>10</v>
      </c>
      <c r="J96" s="305" t="s">
        <v>344</v>
      </c>
      <c r="K96" s="306" t="s">
        <v>302</v>
      </c>
      <c r="L96" s="306" t="s">
        <v>345</v>
      </c>
      <c r="M96" s="308">
        <v>1</v>
      </c>
      <c r="N96" s="309">
        <v>8950</v>
      </c>
      <c r="O96" s="309">
        <f>'Detalle Compras Septiembre 2026'!G362</f>
        <v>8950</v>
      </c>
      <c r="P96" s="317"/>
    </row>
    <row r="97" spans="9:16">
      <c r="I97" s="305">
        <v>10</v>
      </c>
      <c r="J97" s="305" t="s">
        <v>346</v>
      </c>
      <c r="K97" s="306" t="s">
        <v>249</v>
      </c>
      <c r="L97" s="306" t="s">
        <v>347</v>
      </c>
      <c r="M97" s="308">
        <v>16.149999999999999</v>
      </c>
      <c r="N97" s="309">
        <v>18500</v>
      </c>
      <c r="O97" s="309">
        <f>'Detalle Compras Septiembre 2026'!G364</f>
        <v>298775</v>
      </c>
      <c r="P97" s="317"/>
    </row>
    <row r="98" spans="9:16">
      <c r="I98" s="305">
        <v>10</v>
      </c>
      <c r="J98" s="305" t="s">
        <v>346</v>
      </c>
      <c r="K98" s="306" t="s">
        <v>234</v>
      </c>
      <c r="L98" s="306" t="s">
        <v>348</v>
      </c>
      <c r="M98" s="308">
        <v>4.9050000000000002</v>
      </c>
      <c r="N98" s="309">
        <v>54000</v>
      </c>
      <c r="O98" s="309">
        <f>'Detalle Compras Septiembre 2026'!G365</f>
        <v>264870</v>
      </c>
      <c r="P98" s="317"/>
    </row>
    <row r="99" spans="9:16">
      <c r="I99" s="305">
        <v>10</v>
      </c>
      <c r="J99" s="305" t="s">
        <v>349</v>
      </c>
      <c r="K99" s="306" t="s">
        <v>350</v>
      </c>
      <c r="L99" s="306" t="s">
        <v>351</v>
      </c>
      <c r="M99" s="308">
        <v>4.1500000000000004</v>
      </c>
      <c r="N99" s="309">
        <v>33000</v>
      </c>
      <c r="O99" s="309">
        <f>'Detalle Compras Septiembre 2026'!G511</f>
        <v>136950</v>
      </c>
      <c r="P99" s="317"/>
    </row>
    <row r="100" spans="9:16">
      <c r="I100" s="315" t="s">
        <v>352</v>
      </c>
      <c r="J100" s="315"/>
      <c r="K100" s="311"/>
      <c r="L100" s="311"/>
      <c r="M100" s="313">
        <f>SUM(M93:M99)</f>
        <v>115.505</v>
      </c>
      <c r="N100" s="314">
        <f>IF(M100&gt;0, O100/M100, 0)</f>
        <v>12010.692177827799</v>
      </c>
      <c r="O100" s="314">
        <f>SUM(O93:O99)</f>
        <v>1387295</v>
      </c>
      <c r="P100" s="317"/>
    </row>
    <row r="101" spans="9:16">
      <c r="I101" s="305">
        <v>11</v>
      </c>
      <c r="J101" s="305" t="s">
        <v>353</v>
      </c>
      <c r="K101" s="306" t="s">
        <v>354</v>
      </c>
      <c r="L101" s="306" t="s">
        <v>354</v>
      </c>
      <c r="M101" s="308">
        <v>1</v>
      </c>
      <c r="N101" s="309">
        <v>364000</v>
      </c>
      <c r="O101" s="309">
        <f>'Detalle Compras Septiembre 2026'!G380</f>
        <v>364000</v>
      </c>
      <c r="P101" s="317"/>
    </row>
    <row r="102" spans="9:16">
      <c r="I102" s="305">
        <v>11</v>
      </c>
      <c r="J102" s="305" t="s">
        <v>353</v>
      </c>
      <c r="K102" s="306" t="s">
        <v>354</v>
      </c>
      <c r="L102" s="306" t="s">
        <v>354</v>
      </c>
      <c r="M102" s="308">
        <v>1</v>
      </c>
      <c r="N102" s="309">
        <v>364000</v>
      </c>
      <c r="O102" s="309">
        <f>'Detalle Compras Septiembre 2026'!G381</f>
        <v>364000</v>
      </c>
      <c r="P102" s="317"/>
    </row>
    <row r="103" spans="9:16">
      <c r="I103" s="305">
        <v>11</v>
      </c>
      <c r="J103" s="305" t="s">
        <v>353</v>
      </c>
      <c r="K103" s="306" t="s">
        <v>355</v>
      </c>
      <c r="L103" s="306" t="s">
        <v>355</v>
      </c>
      <c r="M103" s="308">
        <v>1</v>
      </c>
      <c r="N103" s="309">
        <v>1124100</v>
      </c>
      <c r="O103" s="309">
        <f>'Detalle Compras Septiembre 2026'!G382</f>
        <v>1124100</v>
      </c>
      <c r="P103" s="317"/>
    </row>
    <row r="104" spans="9:16">
      <c r="I104" s="305">
        <v>11</v>
      </c>
      <c r="J104" s="305" t="s">
        <v>353</v>
      </c>
      <c r="K104" s="306" t="s">
        <v>354</v>
      </c>
      <c r="L104" s="306" t="s">
        <v>356</v>
      </c>
      <c r="M104" s="308">
        <v>2</v>
      </c>
      <c r="N104" s="309">
        <v>364000</v>
      </c>
      <c r="O104" s="309">
        <f>'Detalle Compras Septiembre 2026'!G383</f>
        <v>728000</v>
      </c>
      <c r="P104" s="317"/>
    </row>
    <row r="105" spans="9:16">
      <c r="I105" s="305">
        <v>11</v>
      </c>
      <c r="J105" s="305" t="s">
        <v>313</v>
      </c>
      <c r="K105" s="306" t="s">
        <v>357</v>
      </c>
      <c r="L105" s="306" t="s">
        <v>357</v>
      </c>
      <c r="M105" s="308">
        <v>1</v>
      </c>
      <c r="N105" s="309">
        <v>377500</v>
      </c>
      <c r="O105" s="309">
        <f>'Detalle Compras Septiembre 2026'!G390</f>
        <v>377500</v>
      </c>
      <c r="P105" s="317"/>
    </row>
    <row r="106" spans="9:16">
      <c r="I106" s="305">
        <v>11</v>
      </c>
      <c r="J106" s="305" t="s">
        <v>358</v>
      </c>
      <c r="K106" s="306" t="s">
        <v>359</v>
      </c>
      <c r="L106" s="306" t="s">
        <v>360</v>
      </c>
      <c r="M106" s="308">
        <v>1</v>
      </c>
      <c r="N106" s="309">
        <v>12750</v>
      </c>
      <c r="O106" s="309">
        <f>'Detalle Compras Septiembre 2026'!G406</f>
        <v>12750</v>
      </c>
      <c r="P106" s="317"/>
    </row>
    <row r="107" spans="9:16">
      <c r="I107" s="305">
        <v>11</v>
      </c>
      <c r="J107" s="305" t="s">
        <v>358</v>
      </c>
      <c r="K107" s="306" t="s">
        <v>359</v>
      </c>
      <c r="L107" s="306" t="s">
        <v>361</v>
      </c>
      <c r="M107" s="308">
        <v>1</v>
      </c>
      <c r="N107" s="309">
        <v>12750</v>
      </c>
      <c r="O107" s="309">
        <f>'Detalle Compras Septiembre 2026'!G407</f>
        <v>12750</v>
      </c>
      <c r="P107" s="317"/>
    </row>
    <row r="108" spans="9:16">
      <c r="I108" s="305">
        <v>11</v>
      </c>
      <c r="J108" s="305" t="s">
        <v>362</v>
      </c>
      <c r="K108" s="306" t="s">
        <v>260</v>
      </c>
      <c r="L108" s="306" t="s">
        <v>363</v>
      </c>
      <c r="M108" s="308">
        <v>20.97</v>
      </c>
      <c r="N108" s="309">
        <v>18000</v>
      </c>
      <c r="O108" s="309">
        <f>'Detalle Compras Septiembre 2026'!G500</f>
        <v>377460</v>
      </c>
      <c r="P108" s="317"/>
    </row>
    <row r="109" spans="9:16">
      <c r="I109" s="305">
        <v>11</v>
      </c>
      <c r="J109" s="305" t="s">
        <v>364</v>
      </c>
      <c r="K109" s="306" t="s">
        <v>245</v>
      </c>
      <c r="L109" s="306" t="s">
        <v>246</v>
      </c>
      <c r="M109" s="308">
        <v>40</v>
      </c>
      <c r="N109" s="309">
        <v>18200</v>
      </c>
      <c r="O109" s="309">
        <f>'Detalle Compras Septiembre 2026'!G503</f>
        <v>728000</v>
      </c>
      <c r="P109" s="317"/>
    </row>
    <row r="110" spans="9:16">
      <c r="I110" s="315" t="s">
        <v>365</v>
      </c>
      <c r="J110" s="315"/>
      <c r="K110" s="311"/>
      <c r="L110" s="311"/>
      <c r="M110" s="313">
        <f>SUM(M101:M109)</f>
        <v>68.97</v>
      </c>
      <c r="N110" s="314">
        <f>IF(M110&gt;0, O110/M110, 0)</f>
        <v>59280.266782659128</v>
      </c>
      <c r="O110" s="314">
        <f>SUM(O101:O109)</f>
        <v>4088560</v>
      </c>
      <c r="P110" s="317"/>
    </row>
    <row r="111" spans="9:16">
      <c r="I111" s="305">
        <v>12</v>
      </c>
      <c r="J111" s="305" t="s">
        <v>366</v>
      </c>
      <c r="K111" s="306" t="s">
        <v>209</v>
      </c>
      <c r="L111" s="306" t="s">
        <v>367</v>
      </c>
      <c r="M111" s="308">
        <v>26.73</v>
      </c>
      <c r="N111" s="309">
        <v>25900</v>
      </c>
      <c r="O111" s="309">
        <f>'Detalle Compras Septiembre 2026'!G425</f>
        <v>692307</v>
      </c>
      <c r="P111" s="317"/>
    </row>
    <row r="112" spans="9:16">
      <c r="I112" s="305">
        <v>12</v>
      </c>
      <c r="J112" s="305" t="s">
        <v>366</v>
      </c>
      <c r="K112" s="306" t="s">
        <v>368</v>
      </c>
      <c r="L112" s="306" t="s">
        <v>369</v>
      </c>
      <c r="M112" s="308">
        <v>106.3</v>
      </c>
      <c r="N112" s="309">
        <v>21900</v>
      </c>
      <c r="O112" s="309">
        <f>'Detalle Compras Septiembre 2026'!G426</f>
        <v>2327970</v>
      </c>
      <c r="P112" s="317"/>
    </row>
    <row r="113" spans="9:16">
      <c r="I113" s="305">
        <v>12</v>
      </c>
      <c r="J113" s="305" t="s">
        <v>366</v>
      </c>
      <c r="K113" s="306" t="s">
        <v>370</v>
      </c>
      <c r="L113" s="306" t="s">
        <v>371</v>
      </c>
      <c r="M113" s="308">
        <v>29.9</v>
      </c>
      <c r="N113" s="309">
        <v>34500</v>
      </c>
      <c r="O113" s="309">
        <f>'Detalle Compras Septiembre 2026'!G427</f>
        <v>1031550</v>
      </c>
      <c r="P113" s="317"/>
    </row>
    <row r="114" spans="9:16">
      <c r="I114" s="305">
        <v>12</v>
      </c>
      <c r="J114" s="305" t="s">
        <v>366</v>
      </c>
      <c r="K114" s="306" t="s">
        <v>278</v>
      </c>
      <c r="L114" s="306" t="s">
        <v>372</v>
      </c>
      <c r="M114" s="308">
        <v>11</v>
      </c>
      <c r="N114" s="309">
        <v>44000</v>
      </c>
      <c r="O114" s="309">
        <f>'Detalle Compras Septiembre 2026'!G429</f>
        <v>484000</v>
      </c>
      <c r="P114" s="317"/>
    </row>
    <row r="115" spans="9:16">
      <c r="I115" s="305">
        <v>12</v>
      </c>
      <c r="J115" s="305" t="s">
        <v>366</v>
      </c>
      <c r="K115" s="306" t="s">
        <v>245</v>
      </c>
      <c r="L115" s="306" t="s">
        <v>373</v>
      </c>
      <c r="M115" s="308">
        <v>41.6</v>
      </c>
      <c r="N115" s="309">
        <v>18900</v>
      </c>
      <c r="O115" s="309">
        <f>'Detalle Compras Septiembre 2026'!G430</f>
        <v>786240</v>
      </c>
      <c r="P115" s="317"/>
    </row>
    <row r="116" spans="9:16">
      <c r="I116" s="305">
        <v>12</v>
      </c>
      <c r="J116" s="305" t="s">
        <v>366</v>
      </c>
      <c r="K116" s="306" t="s">
        <v>296</v>
      </c>
      <c r="L116" s="306" t="s">
        <v>374</v>
      </c>
      <c r="M116" s="308">
        <v>19.23</v>
      </c>
      <c r="N116" s="309">
        <v>26900</v>
      </c>
      <c r="O116" s="309">
        <f>'Detalle Compras Septiembre 2026'!G432</f>
        <v>517287</v>
      </c>
      <c r="P116" s="317"/>
    </row>
    <row r="117" spans="9:16">
      <c r="I117" s="305">
        <v>12</v>
      </c>
      <c r="J117" s="305" t="s">
        <v>375</v>
      </c>
      <c r="K117" s="306" t="s">
        <v>376</v>
      </c>
      <c r="L117" s="306" t="s">
        <v>377</v>
      </c>
      <c r="M117" s="308">
        <v>9.19</v>
      </c>
      <c r="N117" s="309">
        <v>20400</v>
      </c>
      <c r="O117" s="309">
        <f>'Detalle Compras Septiembre 2026'!G433</f>
        <v>187476</v>
      </c>
      <c r="P117" s="317"/>
    </row>
    <row r="118" spans="9:16">
      <c r="I118" s="305">
        <v>12</v>
      </c>
      <c r="J118" s="305" t="s">
        <v>378</v>
      </c>
      <c r="K118" s="306" t="s">
        <v>370</v>
      </c>
      <c r="L118" s="306" t="s">
        <v>379</v>
      </c>
      <c r="M118" s="308">
        <v>39.75</v>
      </c>
      <c r="N118" s="309">
        <v>30000</v>
      </c>
      <c r="O118" s="309">
        <f>'Detalle Compras Septiembre 2026'!G434</f>
        <v>1192500</v>
      </c>
      <c r="P118" s="317"/>
    </row>
    <row r="119" spans="9:16">
      <c r="I119" s="305">
        <v>12</v>
      </c>
      <c r="J119" s="305" t="s">
        <v>378</v>
      </c>
      <c r="K119" s="306" t="s">
        <v>376</v>
      </c>
      <c r="L119" s="306" t="s">
        <v>377</v>
      </c>
      <c r="M119" s="308">
        <v>4.6500000000000004</v>
      </c>
      <c r="N119" s="309">
        <v>18600</v>
      </c>
      <c r="O119" s="309">
        <f>'Detalle Compras Septiembre 2026'!G435</f>
        <v>86490</v>
      </c>
      <c r="P119" s="317"/>
    </row>
    <row r="120" spans="9:16">
      <c r="I120" s="305">
        <v>12</v>
      </c>
      <c r="J120" s="305" t="s">
        <v>380</v>
      </c>
      <c r="K120" s="306" t="s">
        <v>381</v>
      </c>
      <c r="L120" s="306" t="s">
        <v>382</v>
      </c>
      <c r="M120" s="308">
        <v>5</v>
      </c>
      <c r="N120" s="309">
        <v>48000</v>
      </c>
      <c r="O120" s="309">
        <f>'Detalle Compras Septiembre 2026'!G458</f>
        <v>240000</v>
      </c>
      <c r="P120" s="317"/>
    </row>
    <row r="121" spans="9:16">
      <c r="I121" s="305">
        <v>12</v>
      </c>
      <c r="J121" s="305" t="s">
        <v>380</v>
      </c>
      <c r="K121" s="306" t="s">
        <v>383</v>
      </c>
      <c r="L121" s="306" t="s">
        <v>384</v>
      </c>
      <c r="M121" s="308">
        <v>2</v>
      </c>
      <c r="N121" s="309">
        <v>46000</v>
      </c>
      <c r="O121" s="309">
        <f>'Detalle Compras Septiembre 2026'!G459</f>
        <v>92000</v>
      </c>
      <c r="P121" s="317"/>
    </row>
    <row r="122" spans="9:16">
      <c r="I122" s="312" t="s">
        <v>385</v>
      </c>
      <c r="J122" s="312"/>
      <c r="K122" s="312"/>
      <c r="L122" s="312"/>
      <c r="M122" s="319">
        <f>SUM(M111:M121)</f>
        <v>295.34999999999997</v>
      </c>
      <c r="N122" s="320">
        <f>IF(M122&gt;0, O122/M122, 0)</f>
        <v>25860.233621127478</v>
      </c>
      <c r="O122" s="320">
        <f>SUM(O111:O121)</f>
        <v>7637820</v>
      </c>
      <c r="P122" s="317"/>
    </row>
    <row r="123" spans="9:16">
      <c r="I123" s="305">
        <v>13</v>
      </c>
      <c r="J123" s="305" t="s">
        <v>386</v>
      </c>
      <c r="K123" s="306" t="s">
        <v>387</v>
      </c>
      <c r="L123" s="306" t="s">
        <v>388</v>
      </c>
      <c r="M123" s="308">
        <v>7</v>
      </c>
      <c r="N123" s="309">
        <v>9714.2900000000009</v>
      </c>
      <c r="O123" s="309">
        <f>'Detalle Compras Septiembre 2026'!G472</f>
        <v>68000.03</v>
      </c>
      <c r="P123" s="317"/>
    </row>
    <row r="124" spans="9:16">
      <c r="I124" s="305">
        <v>13</v>
      </c>
      <c r="J124" s="305" t="s">
        <v>386</v>
      </c>
      <c r="K124" s="306" t="s">
        <v>389</v>
      </c>
      <c r="L124" s="306" t="s">
        <v>390</v>
      </c>
      <c r="M124" s="308">
        <v>7</v>
      </c>
      <c r="N124" s="309">
        <v>4028.57</v>
      </c>
      <c r="O124" s="309">
        <f>'Detalle Compras Septiembre 2026'!G473</f>
        <v>28199.99</v>
      </c>
      <c r="P124" s="317"/>
    </row>
    <row r="125" spans="9:16">
      <c r="I125" s="312" t="s">
        <v>391</v>
      </c>
      <c r="J125" s="312"/>
      <c r="K125" s="312"/>
      <c r="L125" s="312"/>
      <c r="M125" s="319">
        <f>SUM(M123:M124)</f>
        <v>14</v>
      </c>
      <c r="N125" s="320">
        <f>IF(M125&gt;0, O125/M125, 0)</f>
        <v>6871.43</v>
      </c>
      <c r="O125" s="320">
        <f>SUM(O123:O124)</f>
        <v>96200.02</v>
      </c>
      <c r="P125" s="317"/>
    </row>
    <row r="126" spans="9:16">
      <c r="I126" s="305">
        <v>14</v>
      </c>
      <c r="J126" s="305" t="s">
        <v>392</v>
      </c>
      <c r="K126" s="306" t="s">
        <v>393</v>
      </c>
      <c r="L126" s="306" t="s">
        <v>394</v>
      </c>
      <c r="M126" s="308">
        <v>4.0999999999999996</v>
      </c>
      <c r="N126" s="309">
        <v>34000</v>
      </c>
      <c r="O126" s="309">
        <f>'Detalle Compras Septiembre 2026'!G476</f>
        <v>139400</v>
      </c>
      <c r="P126" s="317"/>
    </row>
    <row r="127" spans="9:16">
      <c r="I127" s="305">
        <v>14</v>
      </c>
      <c r="J127" s="305" t="s">
        <v>392</v>
      </c>
      <c r="K127" s="306" t="s">
        <v>272</v>
      </c>
      <c r="L127" s="306" t="s">
        <v>395</v>
      </c>
      <c r="M127" s="308">
        <v>20.399999999999999</v>
      </c>
      <c r="N127" s="309">
        <v>20000</v>
      </c>
      <c r="O127" s="309">
        <f>'Detalle Compras Septiembre 2026'!G477</f>
        <v>408000</v>
      </c>
      <c r="P127" s="317"/>
    </row>
    <row r="128" spans="9:16">
      <c r="I128" s="305">
        <v>14</v>
      </c>
      <c r="J128" s="305" t="s">
        <v>396</v>
      </c>
      <c r="K128" s="306" t="s">
        <v>209</v>
      </c>
      <c r="L128" s="306" t="s">
        <v>367</v>
      </c>
      <c r="M128" s="308">
        <v>19.422000000000001</v>
      </c>
      <c r="N128" s="309">
        <v>25900</v>
      </c>
      <c r="O128" s="309">
        <f>'Detalle Compras Septiembre 2026'!G478</f>
        <v>503029.8</v>
      </c>
      <c r="P128" s="317"/>
    </row>
    <row r="129" spans="9:16">
      <c r="I129" s="305">
        <v>14</v>
      </c>
      <c r="J129" s="305" t="s">
        <v>396</v>
      </c>
      <c r="K129" s="306" t="s">
        <v>397</v>
      </c>
      <c r="L129" s="306" t="s">
        <v>398</v>
      </c>
      <c r="M129" s="308">
        <v>5.3220000000000001</v>
      </c>
      <c r="N129" s="309">
        <v>29500</v>
      </c>
      <c r="O129" s="309">
        <f>'Detalle Compras Septiembre 2026'!G479</f>
        <v>156999</v>
      </c>
      <c r="P129" s="317"/>
    </row>
    <row r="130" spans="9:16">
      <c r="I130" s="305">
        <v>14</v>
      </c>
      <c r="J130" s="305" t="s">
        <v>399</v>
      </c>
      <c r="K130" s="306" t="s">
        <v>400</v>
      </c>
      <c r="L130" s="306" t="s">
        <v>401</v>
      </c>
      <c r="M130" s="308">
        <v>18.25</v>
      </c>
      <c r="N130" s="309">
        <v>19500</v>
      </c>
      <c r="O130" s="309">
        <f>'Detalle Compras Septiembre 2026'!G485</f>
        <v>355875</v>
      </c>
      <c r="P130" s="317"/>
    </row>
    <row r="131" spans="9:16">
      <c r="I131" s="305">
        <v>14</v>
      </c>
      <c r="J131" s="305" t="s">
        <v>402</v>
      </c>
      <c r="K131" s="306" t="s">
        <v>403</v>
      </c>
      <c r="L131" s="306" t="s">
        <v>404</v>
      </c>
      <c r="M131" s="308">
        <v>17.100000000000001</v>
      </c>
      <c r="N131" s="309">
        <v>18500</v>
      </c>
      <c r="O131" s="309">
        <f>'Detalle Compras Septiembre 2026'!G487</f>
        <v>316350</v>
      </c>
      <c r="P131" s="317"/>
    </row>
    <row r="132" spans="9:16">
      <c r="I132" s="305">
        <v>14</v>
      </c>
      <c r="J132" s="305" t="s">
        <v>405</v>
      </c>
      <c r="K132" s="306" t="s">
        <v>403</v>
      </c>
      <c r="L132" s="306" t="s">
        <v>406</v>
      </c>
      <c r="M132" s="308">
        <v>28.3</v>
      </c>
      <c r="N132" s="309">
        <v>18500</v>
      </c>
      <c r="O132" s="309">
        <f>'Detalle Compras Septiembre 2026'!G488</f>
        <v>523550</v>
      </c>
      <c r="P132" s="317"/>
    </row>
    <row r="133" spans="9:16">
      <c r="I133" s="312" t="s">
        <v>407</v>
      </c>
      <c r="J133" s="312"/>
      <c r="K133" s="312"/>
      <c r="L133" s="312"/>
      <c r="M133" s="319">
        <f>SUM(M126:M132)</f>
        <v>112.89399999999999</v>
      </c>
      <c r="N133" s="320">
        <f>IF(M133&gt;0, O133/M133, 0)</f>
        <v>21287.258844579872</v>
      </c>
      <c r="O133" s="320">
        <f>SUM(O126:O132)</f>
        <v>2403203.7999999998</v>
      </c>
      <c r="P133" s="317"/>
    </row>
    <row r="134" spans="9:16">
      <c r="I134" s="321" t="s">
        <v>408</v>
      </c>
      <c r="J134" s="321"/>
      <c r="K134" s="321"/>
      <c r="L134" s="321"/>
      <c r="M134" s="322">
        <f>M23+M28+M38+M47+M57+M67+M79+M92+M100+M110+M122+M125+M133</f>
        <v>1912.7999999999997</v>
      </c>
      <c r="N134" s="323">
        <f>IF(M134&gt;0, O134/M134, 0)</f>
        <v>22387.139721873697</v>
      </c>
      <c r="O134" s="323">
        <f>O23+O28+O38+O47+O57+O67+O79+O92+O100+O110+O122+O125+O133</f>
        <v>42822120.859999999</v>
      </c>
      <c r="P134" s="317"/>
    </row>
    <row r="135" spans="9:16">
      <c r="I135" s="317"/>
      <c r="J135" s="317"/>
      <c r="K135" s="317"/>
      <c r="L135" s="317"/>
      <c r="M135" s="317"/>
      <c r="N135" s="317"/>
      <c r="O135" s="317"/>
      <c r="P135" s="317"/>
    </row>
    <row r="136" spans="9:16">
      <c r="I136" s="317"/>
      <c r="J136" s="317"/>
      <c r="K136" s="317"/>
      <c r="L136" s="317"/>
      <c r="M136" s="317"/>
      <c r="N136" s="317"/>
      <c r="O136" s="317"/>
      <c r="P136" s="317"/>
    </row>
    <row r="137" spans="9:16">
      <c r="I137" s="317"/>
      <c r="J137" s="317"/>
      <c r="K137" s="317"/>
      <c r="L137" s="317"/>
      <c r="M137" s="317"/>
      <c r="N137" s="317"/>
      <c r="O137" s="317"/>
      <c r="P137" s="317"/>
    </row>
    <row r="138" spans="9:16">
      <c r="I138" s="317"/>
      <c r="J138" s="317"/>
      <c r="K138" s="317"/>
      <c r="L138" s="317"/>
      <c r="M138" s="317"/>
      <c r="N138" s="317"/>
      <c r="O138" s="317"/>
      <c r="P138" s="317"/>
    </row>
    <row r="139" spans="9:16">
      <c r="I139" s="317"/>
      <c r="J139" s="317"/>
      <c r="K139" s="317"/>
      <c r="L139" s="317"/>
      <c r="M139" s="317"/>
      <c r="N139" s="317"/>
      <c r="O139" s="317"/>
      <c r="P139" s="317"/>
    </row>
    <row r="140" spans="9:16">
      <c r="I140" s="317"/>
      <c r="J140" s="317"/>
      <c r="K140" s="317"/>
      <c r="L140" s="317"/>
      <c r="M140" s="317"/>
      <c r="N140" s="317"/>
      <c r="O140" s="317"/>
      <c r="P140" s="317"/>
    </row>
    <row r="141" spans="9:16">
      <c r="I141" s="317"/>
      <c r="J141" s="317"/>
      <c r="K141" s="317"/>
      <c r="L141" s="317"/>
      <c r="M141" s="317"/>
      <c r="N141" s="317"/>
      <c r="O141" s="317"/>
      <c r="P141" s="317"/>
    </row>
    <row r="142" spans="9:16">
      <c r="I142" s="317"/>
      <c r="J142" s="317"/>
      <c r="K142" s="317"/>
      <c r="L142" s="317"/>
      <c r="M142" s="317"/>
      <c r="N142" s="317"/>
      <c r="O142" s="317"/>
      <c r="P142" s="317"/>
    </row>
    <row r="143" spans="9:16">
      <c r="I143" s="317"/>
      <c r="J143" s="317"/>
      <c r="K143" s="317"/>
      <c r="L143" s="317"/>
      <c r="M143" s="317"/>
      <c r="N143" s="317"/>
      <c r="O143" s="317"/>
      <c r="P143" s="317"/>
    </row>
    <row r="144" spans="9:16">
      <c r="I144" s="317"/>
      <c r="J144" s="317"/>
      <c r="K144" s="317"/>
      <c r="L144" s="317"/>
      <c r="M144" s="317"/>
      <c r="N144" s="317"/>
      <c r="O144" s="317"/>
      <c r="P144" s="317"/>
    </row>
    <row r="145" spans="9:16">
      <c r="I145" s="317"/>
      <c r="J145" s="317"/>
      <c r="K145" s="317"/>
      <c r="L145" s="317"/>
      <c r="M145" s="317"/>
      <c r="N145" s="317"/>
      <c r="O145" s="317"/>
      <c r="P145" s="317"/>
    </row>
    <row r="146" spans="9:16">
      <c r="I146" s="317"/>
      <c r="J146" s="317"/>
      <c r="K146" s="317"/>
      <c r="L146" s="317"/>
      <c r="M146" s="317"/>
      <c r="N146" s="317"/>
      <c r="O146" s="317"/>
      <c r="P146" s="317"/>
    </row>
    <row r="147" spans="9:16">
      <c r="I147" s="317"/>
      <c r="J147" s="317"/>
      <c r="K147" s="317"/>
      <c r="L147" s="317"/>
      <c r="M147" s="317"/>
      <c r="N147" s="317"/>
      <c r="O147" s="317"/>
      <c r="P147" s="317"/>
    </row>
    <row r="148" spans="9:16">
      <c r="I148" s="317"/>
      <c r="J148" s="317"/>
      <c r="K148" s="317"/>
      <c r="L148" s="317"/>
      <c r="M148" s="317"/>
      <c r="N148" s="317"/>
      <c r="O148" s="317"/>
      <c r="P148" s="317"/>
    </row>
    <row r="149" spans="9:16">
      <c r="I149" s="317"/>
      <c r="J149" s="317"/>
      <c r="K149" s="317"/>
      <c r="L149" s="317"/>
      <c r="M149" s="317"/>
      <c r="N149" s="317"/>
      <c r="O149" s="317"/>
      <c r="P149" s="317"/>
    </row>
    <row r="150" spans="9:16">
      <c r="I150" s="317"/>
      <c r="J150" s="317"/>
      <c r="K150" s="317"/>
      <c r="L150" s="317"/>
      <c r="M150" s="317"/>
      <c r="N150" s="317"/>
      <c r="O150" s="317"/>
      <c r="P150" s="317"/>
    </row>
    <row r="151" spans="9:16">
      <c r="I151" s="317"/>
      <c r="J151" s="317"/>
      <c r="K151" s="317"/>
      <c r="L151" s="317"/>
      <c r="M151" s="317"/>
      <c r="N151" s="317"/>
      <c r="O151" s="317"/>
      <c r="P151" s="317"/>
    </row>
    <row r="152" spans="9:16">
      <c r="I152" s="317"/>
      <c r="J152" s="317"/>
      <c r="K152" s="317"/>
      <c r="L152" s="317"/>
      <c r="M152" s="317"/>
      <c r="N152" s="317"/>
      <c r="O152" s="317"/>
      <c r="P152" s="317"/>
    </row>
    <row r="153" spans="9:16">
      <c r="I153" s="317"/>
      <c r="J153" s="317"/>
      <c r="K153" s="317"/>
      <c r="L153" s="317"/>
      <c r="M153" s="317"/>
      <c r="N153" s="317"/>
      <c r="O153" s="317"/>
      <c r="P153" s="317"/>
    </row>
    <row r="154" spans="9:16">
      <c r="I154" s="317"/>
      <c r="J154" s="317"/>
      <c r="K154" s="317"/>
      <c r="L154" s="317"/>
      <c r="M154" s="317"/>
      <c r="N154" s="317"/>
      <c r="O154" s="317"/>
      <c r="P154" s="317"/>
    </row>
    <row r="155" spans="9:16">
      <c r="I155" s="317"/>
      <c r="J155" s="317"/>
      <c r="K155" s="317"/>
      <c r="L155" s="317"/>
      <c r="M155" s="317"/>
      <c r="N155" s="317"/>
      <c r="O155" s="317"/>
      <c r="P155" s="317"/>
    </row>
    <row r="156" spans="9:16">
      <c r="I156" s="317"/>
      <c r="J156" s="317"/>
      <c r="K156" s="317"/>
      <c r="L156" s="317"/>
      <c r="M156" s="317"/>
      <c r="N156" s="317"/>
      <c r="O156" s="317"/>
      <c r="P156" s="317"/>
    </row>
    <row r="157" spans="9:16">
      <c r="I157" s="317"/>
      <c r="J157" s="317"/>
      <c r="K157" s="317"/>
      <c r="L157" s="317"/>
      <c r="M157" s="317"/>
      <c r="N157" s="317"/>
      <c r="O157" s="317"/>
      <c r="P157" s="317"/>
    </row>
    <row r="158" spans="9:16">
      <c r="I158" s="317"/>
      <c r="J158" s="317"/>
      <c r="K158" s="317"/>
      <c r="L158" s="317"/>
      <c r="M158" s="317"/>
      <c r="N158" s="317"/>
      <c r="O158" s="317"/>
      <c r="P158" s="317"/>
    </row>
    <row r="159" spans="9:16">
      <c r="I159" s="317"/>
      <c r="J159" s="317"/>
      <c r="K159" s="317"/>
      <c r="L159" s="317"/>
      <c r="M159" s="317"/>
      <c r="N159" s="317"/>
      <c r="O159" s="317"/>
      <c r="P159" s="317"/>
    </row>
    <row r="160" spans="9:16">
      <c r="I160" s="317"/>
      <c r="J160" s="317"/>
      <c r="K160" s="317"/>
      <c r="L160" s="317"/>
      <c r="M160" s="317"/>
      <c r="N160" s="317"/>
      <c r="O160" s="317"/>
      <c r="P160" s="317"/>
    </row>
    <row r="161" spans="9:16">
      <c r="I161" s="317"/>
      <c r="J161" s="317"/>
      <c r="K161" s="317"/>
      <c r="L161" s="317"/>
      <c r="M161" s="317"/>
      <c r="N161" s="317"/>
      <c r="O161" s="317"/>
      <c r="P161" s="317"/>
    </row>
    <row r="162" spans="9:16">
      <c r="I162" s="317"/>
      <c r="J162" s="317"/>
      <c r="K162" s="317"/>
      <c r="L162" s="317"/>
      <c r="M162" s="317"/>
      <c r="N162" s="317"/>
      <c r="O162" s="317"/>
      <c r="P162" s="317"/>
    </row>
    <row r="163" spans="9:16">
      <c r="I163" s="317"/>
      <c r="J163" s="317"/>
      <c r="K163" s="317"/>
      <c r="L163" s="317"/>
      <c r="M163" s="317"/>
      <c r="N163" s="317"/>
      <c r="O163" s="317"/>
      <c r="P163" s="317"/>
    </row>
    <row r="164" spans="9:16">
      <c r="I164" s="317"/>
      <c r="J164" s="317"/>
      <c r="K164" s="317"/>
      <c r="L164" s="317"/>
      <c r="M164" s="317"/>
      <c r="N164" s="317"/>
      <c r="O164" s="317"/>
      <c r="P164" s="317"/>
    </row>
    <row r="165" spans="9:16">
      <c r="I165" s="317"/>
      <c r="J165" s="317"/>
      <c r="K165" s="317"/>
      <c r="L165" s="317"/>
      <c r="M165" s="317"/>
      <c r="N165" s="317"/>
      <c r="O165" s="317"/>
      <c r="P165" s="317"/>
    </row>
    <row r="166" spans="9:16">
      <c r="I166" s="317"/>
      <c r="J166" s="317"/>
      <c r="K166" s="317"/>
      <c r="L166" s="317"/>
      <c r="M166" s="317"/>
      <c r="N166" s="317"/>
      <c r="O166" s="317"/>
      <c r="P166" s="317"/>
    </row>
    <row r="167" spans="9:16">
      <c r="I167" s="317"/>
      <c r="J167" s="317"/>
      <c r="K167" s="317"/>
      <c r="L167" s="317"/>
      <c r="M167" s="317"/>
      <c r="N167" s="317"/>
      <c r="O167" s="317"/>
      <c r="P167" s="317"/>
    </row>
    <row r="168" spans="9:16">
      <c r="I168" s="317"/>
      <c r="J168" s="317"/>
      <c r="K168" s="317"/>
      <c r="L168" s="317"/>
      <c r="M168" s="317"/>
      <c r="N168" s="317"/>
      <c r="O168" s="317"/>
      <c r="P168" s="317"/>
    </row>
  </sheetData>
  <autoFilter ref="B9:G9" xr:uid="{00000000-0009-0000-0000-000002000000}"/>
  <mergeCells count="8">
    <mergeCell ref="I8:O8"/>
    <mergeCell ref="B8:G8"/>
    <mergeCell ref="D6:E6"/>
    <mergeCell ref="B3:H3"/>
    <mergeCell ref="B2:H2"/>
    <mergeCell ref="B6:C6"/>
    <mergeCell ref="B5:C5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148"/>
  <sheetViews>
    <sheetView workbookViewId="0">
      <selection activeCell="I52" sqref="I52"/>
    </sheetView>
  </sheetViews>
  <sheetFormatPr baseColWidth="10" defaultColWidth="8.7109375" defaultRowHeight="15"/>
  <cols>
    <col min="1" max="1" width="4" style="236" customWidth="1"/>
    <col min="2" max="2" width="8" style="236" customWidth="1"/>
    <col min="3" max="3" width="20" style="236" customWidth="1"/>
    <col min="4" max="4" width="28" style="236" customWidth="1"/>
    <col min="5" max="5" width="38" style="236" customWidth="1"/>
    <col min="6" max="6" width="15.42578125" style="236" bestFit="1" customWidth="1"/>
    <col min="7" max="7" width="16" style="236" customWidth="1"/>
    <col min="8" max="8" width="18" style="236" customWidth="1"/>
    <col min="9" max="9" width="3.42578125" style="236" bestFit="1" customWidth="1"/>
    <col min="10" max="10" width="21.85546875" style="236" bestFit="1" customWidth="1"/>
    <col min="11" max="11" width="25.5703125" style="236" bestFit="1" customWidth="1"/>
    <col min="12" max="12" width="53" style="236" bestFit="1" customWidth="1"/>
    <col min="13" max="13" width="14" style="236" bestFit="1" customWidth="1"/>
    <col min="14" max="14" width="18.42578125" style="236" bestFit="1" customWidth="1"/>
    <col min="15" max="15" width="9.85546875" style="236" bestFit="1" customWidth="1"/>
    <col min="16" max="16" width="17.28515625" style="236" bestFit="1" customWidth="1"/>
    <col min="17" max="17" width="18.140625" style="236" bestFit="1" customWidth="1"/>
    <col min="18" max="18" width="16.85546875" style="236" bestFit="1" customWidth="1"/>
  </cols>
  <sheetData>
    <row r="2" spans="2:21" ht="27.95" customHeight="1">
      <c r="B2" s="368" t="s">
        <v>409</v>
      </c>
      <c r="C2" s="339"/>
      <c r="D2" s="339"/>
      <c r="E2" s="339"/>
      <c r="F2" s="339"/>
      <c r="G2" s="339"/>
      <c r="H2" s="339"/>
    </row>
    <row r="3" spans="2:21" ht="18" customHeight="1">
      <c r="B3" s="369" t="s">
        <v>410</v>
      </c>
      <c r="C3" s="339"/>
      <c r="D3" s="339"/>
      <c r="E3" s="339"/>
      <c r="F3" s="339"/>
      <c r="G3" s="339"/>
      <c r="H3" s="339"/>
    </row>
    <row r="5" spans="2:21" ht="18" customHeight="1">
      <c r="B5" s="366" t="s">
        <v>411</v>
      </c>
      <c r="C5" s="358"/>
      <c r="D5" s="366" t="s">
        <v>412</v>
      </c>
      <c r="E5" s="358"/>
      <c r="F5" s="240" t="s">
        <v>413</v>
      </c>
      <c r="G5" s="240" t="s">
        <v>414</v>
      </c>
      <c r="H5" s="240" t="s">
        <v>173</v>
      </c>
    </row>
    <row r="6" spans="2:21" ht="24" customHeight="1">
      <c r="B6" s="364">
        <f>SUMIFS('Detalle Compras Septiembre 2026'!$G:$G, 'Detalle Compras Septiembre 2026'!$B:$B, "Bebidas")</f>
        <v>5059620.0700000022</v>
      </c>
      <c r="C6" s="358"/>
      <c r="D6" s="363">
        <f>SUMIFS('Detalle Compras Septiembre 2026'!$E:$E, 'Detalle Compras Septiembre 2026'!$B:$B, "Bebidas")</f>
        <v>1457</v>
      </c>
      <c r="E6" s="358"/>
      <c r="F6" s="241">
        <f>IF(D6&gt;0, B6/D6, 0)</f>
        <v>3472.6287371310927</v>
      </c>
      <c r="G6" s="270">
        <f>COUNTIF('Detalle Compras Septiembre 2026'!$B:$B, "Bebidas")</f>
        <v>81</v>
      </c>
      <c r="H6" s="271">
        <f>IF(Dashboard!$E$58&gt;0, B6/Dashboard!$E$58, 0)</f>
        <v>3.6618385060803081E-2</v>
      </c>
    </row>
    <row r="8" spans="2:21">
      <c r="B8" s="367" t="s">
        <v>415</v>
      </c>
      <c r="C8" s="339"/>
      <c r="D8" s="339"/>
      <c r="E8" s="339"/>
      <c r="F8" s="339"/>
      <c r="G8" s="339"/>
      <c r="I8" s="365" t="s">
        <v>416</v>
      </c>
      <c r="J8" s="339"/>
      <c r="K8" s="339"/>
      <c r="L8" s="339"/>
      <c r="M8" s="339"/>
      <c r="N8" s="339"/>
      <c r="O8" s="339"/>
      <c r="P8" s="339"/>
      <c r="Q8" s="339"/>
      <c r="R8" s="339"/>
      <c r="S8" s="24"/>
      <c r="T8" s="24"/>
      <c r="U8" s="24"/>
    </row>
    <row r="9" spans="2:21" ht="21.95" customHeight="1">
      <c r="B9" s="15" t="s">
        <v>42</v>
      </c>
      <c r="C9" s="15" t="s">
        <v>176</v>
      </c>
      <c r="D9" s="15" t="s">
        <v>417</v>
      </c>
      <c r="E9" s="15" t="s">
        <v>418</v>
      </c>
      <c r="F9" s="15" t="s">
        <v>179</v>
      </c>
      <c r="G9" s="15" t="s">
        <v>419</v>
      </c>
      <c r="I9" s="30" t="s">
        <v>42</v>
      </c>
      <c r="J9" s="30" t="s">
        <v>180</v>
      </c>
      <c r="K9" s="30" t="s">
        <v>420</v>
      </c>
      <c r="L9" s="30" t="s">
        <v>421</v>
      </c>
      <c r="M9" s="30" t="s">
        <v>422</v>
      </c>
      <c r="N9" s="30" t="s">
        <v>423</v>
      </c>
      <c r="O9" s="30" t="s">
        <v>424</v>
      </c>
      <c r="P9" s="30" t="s">
        <v>425</v>
      </c>
      <c r="Q9" s="30" t="s">
        <v>426</v>
      </c>
      <c r="R9" s="30" t="s">
        <v>427</v>
      </c>
      <c r="S9" s="24"/>
      <c r="T9" s="24"/>
      <c r="U9" s="24"/>
    </row>
    <row r="10" spans="2:21" ht="18" customHeight="1">
      <c r="B10" s="7">
        <v>1</v>
      </c>
      <c r="C10" s="210">
        <f>SUMIFS('Detalle Compras Septiembre 2026'!$G:$G, 'Detalle Compras Septiembre 2026'!$A:$A, B10, 'Detalle Compras Septiembre 2026'!$B:$B, "Bebidas")</f>
        <v>411700</v>
      </c>
      <c r="D10" s="16">
        <f>SUMIFS('Detalle Compras Septiembre 2026'!$E:$E, 'Detalle Compras Septiembre 2026'!$A:$A, B10, 'Detalle Compras Septiembre 2026'!$B:$B, "Bebidas")</f>
        <v>5</v>
      </c>
      <c r="E10" s="210">
        <f t="shared" ref="E10:E40" si="0">IF(D10&gt;0, C10/D10, 0)</f>
        <v>82340</v>
      </c>
      <c r="F10" s="267">
        <f t="shared" ref="F10:F39" si="1">IF($C$40&gt;0, C10/$C$40, 0)</f>
        <v>8.1369746009407384E-2</v>
      </c>
      <c r="G10" s="9">
        <f>COUNTIFS('Detalle Compras Septiembre 2026'!$A:$A, B10, 'Detalle Compras Septiembre 2026'!$B:$B, "Bebidas")</f>
        <v>4</v>
      </c>
      <c r="I10" s="305">
        <v>1</v>
      </c>
      <c r="J10" s="305" t="s">
        <v>428</v>
      </c>
      <c r="K10" s="306" t="s">
        <v>429</v>
      </c>
      <c r="L10" s="306" t="s">
        <v>430</v>
      </c>
      <c r="M10" s="308">
        <v>1</v>
      </c>
      <c r="N10" s="309">
        <v>92200</v>
      </c>
      <c r="O10" s="324">
        <v>1</v>
      </c>
      <c r="P10" s="325">
        <f>M10*O10</f>
        <v>1</v>
      </c>
      <c r="Q10" s="309">
        <f t="shared" ref="Q10:Q41" si="2">IF(P10&gt;0, R10/P10, 0)</f>
        <v>92200</v>
      </c>
      <c r="R10" s="309">
        <f>'Detalle Compras Septiembre 2026'!G18</f>
        <v>92200</v>
      </c>
      <c r="S10" s="317"/>
      <c r="T10" s="24"/>
      <c r="U10" s="24"/>
    </row>
    <row r="11" spans="2:21" ht="18" customHeight="1">
      <c r="B11" s="17">
        <v>2</v>
      </c>
      <c r="C11" s="215">
        <f>SUMIFS('Detalle Compras Septiembre 2026'!$G:$G, 'Detalle Compras Septiembre 2026'!$A:$A, B11, 'Detalle Compras Septiembre 2026'!$B:$B, "Bebidas")</f>
        <v>162100</v>
      </c>
      <c r="D11" s="18">
        <f>SUMIFS('Detalle Compras Septiembre 2026'!$E:$E, 'Detalle Compras Septiembre 2026'!$A:$A, B11, 'Detalle Compras Septiembre 2026'!$B:$B, "Bebidas")</f>
        <v>4</v>
      </c>
      <c r="E11" s="215">
        <f t="shared" si="0"/>
        <v>40525</v>
      </c>
      <c r="F11" s="272">
        <f t="shared" si="1"/>
        <v>3.2037978693526682E-2</v>
      </c>
      <c r="G11" s="19">
        <f>COUNTIFS('Detalle Compras Septiembre 2026'!$A:$A, B11, 'Detalle Compras Septiembre 2026'!$B:$B, "Bebidas")</f>
        <v>3</v>
      </c>
      <c r="I11" s="305">
        <v>1</v>
      </c>
      <c r="J11" s="305" t="s">
        <v>428</v>
      </c>
      <c r="K11" s="306" t="s">
        <v>431</v>
      </c>
      <c r="L11" s="306" t="s">
        <v>432</v>
      </c>
      <c r="M11" s="308">
        <v>1</v>
      </c>
      <c r="N11" s="309">
        <v>77500</v>
      </c>
      <c r="O11" s="324">
        <v>1</v>
      </c>
      <c r="P11" s="325">
        <f>M11*O11</f>
        <v>1</v>
      </c>
      <c r="Q11" s="309">
        <f t="shared" si="2"/>
        <v>77500</v>
      </c>
      <c r="R11" s="309">
        <f>'Detalle Compras Septiembre 2026'!G19</f>
        <v>77500</v>
      </c>
      <c r="S11" s="317"/>
      <c r="T11" s="24"/>
      <c r="U11" s="24"/>
    </row>
    <row r="12" spans="2:21" ht="18" customHeight="1">
      <c r="B12" s="7">
        <v>3</v>
      </c>
      <c r="C12" s="210">
        <f>SUMIFS('Detalle Compras Septiembre 2026'!$G:$G, 'Detalle Compras Septiembre 2026'!$A:$A, B12, 'Detalle Compras Septiembre 2026'!$B:$B, "Bebidas")</f>
        <v>970600</v>
      </c>
      <c r="D12" s="16">
        <f>SUMIFS('Detalle Compras Septiembre 2026'!$E:$E, 'Detalle Compras Septiembre 2026'!$A:$A, B12, 'Detalle Compras Septiembre 2026'!$B:$B, "Bebidas")</f>
        <v>29</v>
      </c>
      <c r="E12" s="210">
        <f t="shared" si="0"/>
        <v>33468.965517241377</v>
      </c>
      <c r="F12" s="267">
        <f t="shared" si="1"/>
        <v>0.19183258556407773</v>
      </c>
      <c r="G12" s="9">
        <f>COUNTIFS('Detalle Compras Septiembre 2026'!$A:$A, B12, 'Detalle Compras Septiembre 2026'!$B:$B, "Bebidas")</f>
        <v>8</v>
      </c>
      <c r="I12" s="305">
        <v>1</v>
      </c>
      <c r="J12" s="305" t="s">
        <v>428</v>
      </c>
      <c r="K12" s="306" t="s">
        <v>433</v>
      </c>
      <c r="L12" s="306" t="s">
        <v>434</v>
      </c>
      <c r="M12" s="308">
        <v>1</v>
      </c>
      <c r="N12" s="309">
        <v>93000</v>
      </c>
      <c r="O12" s="324">
        <v>1</v>
      </c>
      <c r="P12" s="325">
        <f>M12*O12</f>
        <v>1</v>
      </c>
      <c r="Q12" s="309">
        <f t="shared" si="2"/>
        <v>93000</v>
      </c>
      <c r="R12" s="309">
        <f>'Detalle Compras Septiembre 2026'!G20</f>
        <v>93000</v>
      </c>
      <c r="S12" s="317"/>
      <c r="T12" s="24"/>
      <c r="U12" s="24"/>
    </row>
    <row r="13" spans="2:21" ht="18" customHeight="1">
      <c r="B13" s="17">
        <v>4</v>
      </c>
      <c r="C13" s="215">
        <f>SUMIFS('Detalle Compras Septiembre 2026'!$G:$G, 'Detalle Compras Septiembre 2026'!$A:$A, B13, 'Detalle Compras Septiembre 2026'!$B:$B, "Bebidas")</f>
        <v>140975</v>
      </c>
      <c r="D13" s="18">
        <f>SUMIFS('Detalle Compras Septiembre 2026'!$E:$E, 'Detalle Compras Septiembre 2026'!$A:$A, B13, 'Detalle Compras Septiembre 2026'!$B:$B, "Bebidas")</f>
        <v>7</v>
      </c>
      <c r="E13" s="215">
        <f t="shared" si="0"/>
        <v>20139.285714285714</v>
      </c>
      <c r="F13" s="272">
        <f t="shared" si="1"/>
        <v>2.7862764011844073E-2</v>
      </c>
      <c r="G13" s="19">
        <f>COUNTIFS('Detalle Compras Septiembre 2026'!$A:$A, B13, 'Detalle Compras Septiembre 2026'!$B:$B, "Bebidas")</f>
        <v>2</v>
      </c>
      <c r="I13" s="305">
        <v>1</v>
      </c>
      <c r="J13" s="305" t="s">
        <v>428</v>
      </c>
      <c r="K13" s="306" t="s">
        <v>435</v>
      </c>
      <c r="L13" s="306" t="s">
        <v>436</v>
      </c>
      <c r="M13" s="308">
        <v>2</v>
      </c>
      <c r="N13" s="309">
        <v>74500</v>
      </c>
      <c r="O13" s="324">
        <v>1</v>
      </c>
      <c r="P13" s="325">
        <f>M13*O13</f>
        <v>2</v>
      </c>
      <c r="Q13" s="309">
        <f t="shared" si="2"/>
        <v>74500</v>
      </c>
      <c r="R13" s="309">
        <f>'Detalle Compras Septiembre 2026'!G21</f>
        <v>149000</v>
      </c>
      <c r="S13" s="317"/>
      <c r="T13" s="24"/>
      <c r="U13" s="24"/>
    </row>
    <row r="14" spans="2:21" ht="18" customHeight="1">
      <c r="B14" s="7">
        <v>5</v>
      </c>
      <c r="C14" s="210">
        <f>SUMIFS('Detalle Compras Septiembre 2026'!$G:$G, 'Detalle Compras Septiembre 2026'!$A:$A, B14, 'Detalle Compras Septiembre 2026'!$B:$B, "Bebidas")</f>
        <v>386504.07</v>
      </c>
      <c r="D14" s="16">
        <f>SUMIFS('Detalle Compras Septiembre 2026'!$E:$E, 'Detalle Compras Septiembre 2026'!$A:$A, B14, 'Detalle Compras Septiembre 2026'!$B:$B, "Bebidas")</f>
        <v>219</v>
      </c>
      <c r="E14" s="210">
        <f t="shared" si="0"/>
        <v>1764.8587671232876</v>
      </c>
      <c r="F14" s="267">
        <f t="shared" si="1"/>
        <v>7.6389939294394485E-2</v>
      </c>
      <c r="G14" s="9">
        <f>COUNTIFS('Detalle Compras Septiembre 2026'!$A:$A, B14, 'Detalle Compras Septiembre 2026'!$B:$B, "Bebidas")</f>
        <v>15</v>
      </c>
      <c r="I14" s="311" t="s">
        <v>437</v>
      </c>
      <c r="J14" s="312"/>
      <c r="K14" s="312"/>
      <c r="L14" s="312"/>
      <c r="M14" s="313">
        <f>SUM(M10:M13)</f>
        <v>5</v>
      </c>
      <c r="N14" s="314">
        <f>IF(M14&gt;0, R14/M14, 0)</f>
        <v>82340</v>
      </c>
      <c r="O14" s="326" t="s">
        <v>57</v>
      </c>
      <c r="P14" s="327">
        <f>SUM(P10:P13)</f>
        <v>5</v>
      </c>
      <c r="Q14" s="314">
        <f t="shared" si="2"/>
        <v>82340</v>
      </c>
      <c r="R14" s="314">
        <f>SUM(R10:R13)</f>
        <v>411700</v>
      </c>
      <c r="S14" s="317"/>
      <c r="T14" s="24"/>
      <c r="U14" s="24"/>
    </row>
    <row r="15" spans="2:21" ht="18" customHeight="1">
      <c r="B15" s="17">
        <v>6</v>
      </c>
      <c r="C15" s="215">
        <f>SUMIFS('Detalle Compras Septiembre 2026'!$G:$G, 'Detalle Compras Septiembre 2026'!$A:$A, B15, 'Detalle Compras Septiembre 2026'!$B:$B, "Bebidas")</f>
        <v>0</v>
      </c>
      <c r="D15" s="18">
        <f>SUMIFS('Detalle Compras Septiembre 2026'!$E:$E, 'Detalle Compras Septiembre 2026'!$A:$A, B15, 'Detalle Compras Septiembre 2026'!$B:$B, "Bebidas")</f>
        <v>0</v>
      </c>
      <c r="E15" s="215">
        <f t="shared" si="0"/>
        <v>0</v>
      </c>
      <c r="F15" s="272">
        <f t="shared" si="1"/>
        <v>0</v>
      </c>
      <c r="G15" s="19">
        <f>COUNTIFS('Detalle Compras Septiembre 2026'!$A:$A, B15, 'Detalle Compras Septiembre 2026'!$B:$B, "Bebidas")</f>
        <v>0</v>
      </c>
      <c r="I15" s="305">
        <v>2</v>
      </c>
      <c r="J15" s="305" t="s">
        <v>438</v>
      </c>
      <c r="K15" s="306" t="s">
        <v>439</v>
      </c>
      <c r="L15" s="306" t="s">
        <v>440</v>
      </c>
      <c r="M15" s="308">
        <v>2</v>
      </c>
      <c r="N15" s="309">
        <v>39000</v>
      </c>
      <c r="O15" s="324">
        <v>1</v>
      </c>
      <c r="P15" s="325">
        <f>M15*O15</f>
        <v>2</v>
      </c>
      <c r="Q15" s="309">
        <f t="shared" si="2"/>
        <v>39000</v>
      </c>
      <c r="R15" s="309">
        <f>'Detalle Compras Septiembre 2026'!G29</f>
        <v>78000</v>
      </c>
      <c r="S15" s="317"/>
      <c r="T15" s="24"/>
      <c r="U15" s="24"/>
    </row>
    <row r="16" spans="2:21" ht="18" customHeight="1">
      <c r="B16" s="7">
        <v>7</v>
      </c>
      <c r="C16" s="210">
        <f>SUMIFS('Detalle Compras Septiembre 2026'!$G:$G, 'Detalle Compras Septiembre 2026'!$A:$A, B16, 'Detalle Compras Septiembre 2026'!$B:$B, "Bebidas")</f>
        <v>73000</v>
      </c>
      <c r="D16" s="16">
        <f>SUMIFS('Detalle Compras Septiembre 2026'!$E:$E, 'Detalle Compras Septiembre 2026'!$A:$A, B16, 'Detalle Compras Septiembre 2026'!$B:$B, "Bebidas")</f>
        <v>11</v>
      </c>
      <c r="E16" s="210">
        <f t="shared" si="0"/>
        <v>6636.363636363636</v>
      </c>
      <c r="F16" s="267">
        <f t="shared" si="1"/>
        <v>1.4427960793506773E-2</v>
      </c>
      <c r="G16" s="9">
        <f>COUNTIFS('Detalle Compras Septiembre 2026'!$A:$A, B16, 'Detalle Compras Septiembre 2026'!$B:$B, "Bebidas")</f>
        <v>4</v>
      </c>
      <c r="I16" s="305">
        <v>2</v>
      </c>
      <c r="J16" s="305" t="s">
        <v>438</v>
      </c>
      <c r="K16" s="306" t="s">
        <v>441</v>
      </c>
      <c r="L16" s="306" t="s">
        <v>442</v>
      </c>
      <c r="M16" s="308">
        <v>1</v>
      </c>
      <c r="N16" s="309">
        <v>32500</v>
      </c>
      <c r="O16" s="324">
        <v>1</v>
      </c>
      <c r="P16" s="325">
        <f>M16*O16</f>
        <v>1</v>
      </c>
      <c r="Q16" s="309">
        <f t="shared" si="2"/>
        <v>32500</v>
      </c>
      <c r="R16" s="309">
        <f>'Detalle Compras Septiembre 2026'!G30</f>
        <v>32500</v>
      </c>
      <c r="S16" s="317"/>
      <c r="T16" s="24"/>
      <c r="U16" s="24"/>
    </row>
    <row r="17" spans="2:21" ht="18" customHeight="1">
      <c r="B17" s="17">
        <v>8</v>
      </c>
      <c r="C17" s="215">
        <f>SUMIFS('Detalle Compras Septiembre 2026'!$G:$G, 'Detalle Compras Septiembre 2026'!$A:$A, B17, 'Detalle Compras Septiembre 2026'!$B:$B, "Bebidas")</f>
        <v>29000</v>
      </c>
      <c r="D17" s="18">
        <f>SUMIFS('Detalle Compras Septiembre 2026'!$E:$E, 'Detalle Compras Septiembre 2026'!$A:$A, B17, 'Detalle Compras Septiembre 2026'!$B:$B, "Bebidas")</f>
        <v>4</v>
      </c>
      <c r="E17" s="215">
        <f t="shared" si="0"/>
        <v>7250</v>
      </c>
      <c r="F17" s="272">
        <f t="shared" si="1"/>
        <v>5.7316556576944714E-3</v>
      </c>
      <c r="G17" s="19">
        <f>COUNTIFS('Detalle Compras Septiembre 2026'!$A:$A, B17, 'Detalle Compras Septiembre 2026'!$B:$B, "Bebidas")</f>
        <v>2</v>
      </c>
      <c r="I17" s="305">
        <v>2</v>
      </c>
      <c r="J17" s="305" t="s">
        <v>438</v>
      </c>
      <c r="K17" s="306" t="s">
        <v>443</v>
      </c>
      <c r="L17" s="306" t="s">
        <v>444</v>
      </c>
      <c r="M17" s="308">
        <v>1</v>
      </c>
      <c r="N17" s="309">
        <v>51600</v>
      </c>
      <c r="O17" s="324">
        <v>1</v>
      </c>
      <c r="P17" s="325">
        <f>M17*O17</f>
        <v>1</v>
      </c>
      <c r="Q17" s="309">
        <f t="shared" si="2"/>
        <v>51600</v>
      </c>
      <c r="R17" s="309">
        <f>'Detalle Compras Septiembre 2026'!G31</f>
        <v>51600</v>
      </c>
      <c r="S17" s="317"/>
      <c r="T17" s="24"/>
      <c r="U17" s="24"/>
    </row>
    <row r="18" spans="2:21" ht="18" customHeight="1">
      <c r="B18" s="7">
        <v>9</v>
      </c>
      <c r="C18" s="210">
        <f>SUMIFS('Detalle Compras Septiembre 2026'!$G:$G, 'Detalle Compras Septiembre 2026'!$A:$A, B18, 'Detalle Compras Septiembre 2026'!$B:$B, "Bebidas")</f>
        <v>1723770</v>
      </c>
      <c r="D18" s="16">
        <f>SUMIFS('Detalle Compras Septiembre 2026'!$E:$E, 'Detalle Compras Septiembre 2026'!$A:$A, B18, 'Detalle Compras Septiembre 2026'!$B:$B, "Bebidas")</f>
        <v>1151</v>
      </c>
      <c r="E18" s="210">
        <f t="shared" si="0"/>
        <v>1497.6281494352736</v>
      </c>
      <c r="F18" s="267">
        <f t="shared" si="1"/>
        <v>0.34069158872634481</v>
      </c>
      <c r="G18" s="9">
        <f>COUNTIFS('Detalle Compras Septiembre 2026'!$A:$A, B18, 'Detalle Compras Septiembre 2026'!$B:$B, "Bebidas")</f>
        <v>26</v>
      </c>
      <c r="I18" s="311" t="s">
        <v>445</v>
      </c>
      <c r="J18" s="312"/>
      <c r="K18" s="312"/>
      <c r="L18" s="312"/>
      <c r="M18" s="313">
        <f>SUM(M15:M17)</f>
        <v>4</v>
      </c>
      <c r="N18" s="314">
        <f>IF(M18&gt;0, R18/M18, 0)</f>
        <v>40525</v>
      </c>
      <c r="O18" s="326" t="s">
        <v>57</v>
      </c>
      <c r="P18" s="327">
        <f>SUM(P15:P17)</f>
        <v>4</v>
      </c>
      <c r="Q18" s="314">
        <f t="shared" si="2"/>
        <v>40525</v>
      </c>
      <c r="R18" s="314">
        <f>SUM(R15:R17)</f>
        <v>162100</v>
      </c>
      <c r="S18" s="317"/>
      <c r="T18" s="24"/>
      <c r="U18" s="24"/>
    </row>
    <row r="19" spans="2:21" ht="18" customHeight="1">
      <c r="B19" s="17">
        <v>10</v>
      </c>
      <c r="C19" s="215">
        <f>SUMIFS('Detalle Compras Septiembre 2026'!$G:$G, 'Detalle Compras Septiembre 2026'!$A:$A, B19, 'Detalle Compras Septiembre 2026'!$B:$B, "Bebidas")</f>
        <v>918471</v>
      </c>
      <c r="D19" s="18">
        <f>SUMIFS('Detalle Compras Septiembre 2026'!$E:$E, 'Detalle Compras Septiembre 2026'!$A:$A, B19, 'Detalle Compras Septiembre 2026'!$B:$B, "Bebidas")</f>
        <v>15</v>
      </c>
      <c r="E19" s="215">
        <f t="shared" si="0"/>
        <v>61231.4</v>
      </c>
      <c r="F19" s="272">
        <f t="shared" si="1"/>
        <v>0.1815296380544241</v>
      </c>
      <c r="G19" s="19">
        <f>COUNTIFS('Detalle Compras Septiembre 2026'!$A:$A, B19, 'Detalle Compras Septiembre 2026'!$B:$B, "Bebidas")</f>
        <v>9</v>
      </c>
      <c r="I19" s="305">
        <v>3</v>
      </c>
      <c r="J19" s="305" t="s">
        <v>446</v>
      </c>
      <c r="K19" s="306" t="s">
        <v>447</v>
      </c>
      <c r="L19" s="306" t="s">
        <v>448</v>
      </c>
      <c r="M19" s="308">
        <v>1</v>
      </c>
      <c r="N19" s="309">
        <v>32000</v>
      </c>
      <c r="O19" s="324">
        <v>1</v>
      </c>
      <c r="P19" s="325">
        <f t="shared" ref="P19:P26" si="3">M19*O19</f>
        <v>1</v>
      </c>
      <c r="Q19" s="309">
        <f t="shared" si="2"/>
        <v>32000</v>
      </c>
      <c r="R19" s="309">
        <f>'Detalle Compras Septiembre 2026'!G71</f>
        <v>32000</v>
      </c>
      <c r="S19" s="317"/>
      <c r="T19" s="24"/>
      <c r="U19" s="24"/>
    </row>
    <row r="20" spans="2:21" ht="18" customHeight="1">
      <c r="B20" s="7">
        <v>11</v>
      </c>
      <c r="C20" s="210">
        <f>SUMIFS('Detalle Compras Septiembre 2026'!$G:$G, 'Detalle Compras Septiembre 2026'!$A:$A, B20, 'Detalle Compras Septiembre 2026'!$B:$B, "Bebidas")</f>
        <v>34000</v>
      </c>
      <c r="D20" s="16">
        <f>SUMIFS('Detalle Compras Septiembre 2026'!$E:$E, 'Detalle Compras Septiembre 2026'!$A:$A, B20, 'Detalle Compras Septiembre 2026'!$B:$B, "Bebidas")</f>
        <v>5</v>
      </c>
      <c r="E20" s="210">
        <f t="shared" si="0"/>
        <v>6800</v>
      </c>
      <c r="F20" s="267">
        <f t="shared" si="1"/>
        <v>6.7198721504004152E-3</v>
      </c>
      <c r="G20" s="9">
        <f>COUNTIFS('Detalle Compras Septiembre 2026'!$A:$A, B20, 'Detalle Compras Septiembre 2026'!$B:$B, "Bebidas")</f>
        <v>2</v>
      </c>
      <c r="I20" s="305">
        <v>3</v>
      </c>
      <c r="J20" s="305" t="s">
        <v>446</v>
      </c>
      <c r="K20" s="306" t="s">
        <v>449</v>
      </c>
      <c r="L20" s="306" t="s">
        <v>450</v>
      </c>
      <c r="M20" s="308">
        <v>2</v>
      </c>
      <c r="N20" s="309">
        <v>65000</v>
      </c>
      <c r="O20" s="324">
        <v>1</v>
      </c>
      <c r="P20" s="325">
        <f t="shared" si="3"/>
        <v>2</v>
      </c>
      <c r="Q20" s="309">
        <f t="shared" si="2"/>
        <v>65000</v>
      </c>
      <c r="R20" s="309">
        <f>'Detalle Compras Septiembre 2026'!G72</f>
        <v>130000</v>
      </c>
      <c r="S20" s="317"/>
      <c r="T20" s="24"/>
      <c r="U20" s="24"/>
    </row>
    <row r="21" spans="2:21" ht="18" customHeight="1">
      <c r="B21" s="17">
        <v>12</v>
      </c>
      <c r="C21" s="215">
        <f>SUMIFS('Detalle Compras Septiembre 2026'!$G:$G, 'Detalle Compras Septiembre 2026'!$A:$A, B21, 'Detalle Compras Septiembre 2026'!$B:$B, "Bebidas")</f>
        <v>83000</v>
      </c>
      <c r="D21" s="18">
        <f>SUMIFS('Detalle Compras Septiembre 2026'!$E:$E, 'Detalle Compras Septiembre 2026'!$A:$A, B21, 'Detalle Compras Septiembre 2026'!$B:$B, "Bebidas")</f>
        <v>4</v>
      </c>
      <c r="E21" s="215">
        <f t="shared" si="0"/>
        <v>20750</v>
      </c>
      <c r="F21" s="272">
        <f t="shared" si="1"/>
        <v>1.6404393778918658E-2</v>
      </c>
      <c r="G21" s="19">
        <f>COUNTIFS('Detalle Compras Septiembre 2026'!$A:$A, B21, 'Detalle Compras Septiembre 2026'!$B:$B, "Bebidas")</f>
        <v>4</v>
      </c>
      <c r="I21" s="305">
        <v>3</v>
      </c>
      <c r="J21" s="305" t="s">
        <v>446</v>
      </c>
      <c r="K21" s="306" t="s">
        <v>451</v>
      </c>
      <c r="L21" s="306" t="s">
        <v>452</v>
      </c>
      <c r="M21" s="308">
        <v>2</v>
      </c>
      <c r="N21" s="309">
        <v>65000</v>
      </c>
      <c r="O21" s="324">
        <v>1</v>
      </c>
      <c r="P21" s="325">
        <f t="shared" si="3"/>
        <v>2</v>
      </c>
      <c r="Q21" s="309">
        <f t="shared" si="2"/>
        <v>65000</v>
      </c>
      <c r="R21" s="309">
        <f>'Detalle Compras Septiembre 2026'!G73</f>
        <v>130000</v>
      </c>
      <c r="S21" s="317"/>
      <c r="T21" s="24"/>
      <c r="U21" s="24"/>
    </row>
    <row r="22" spans="2:21" ht="18" customHeight="1">
      <c r="B22" s="7">
        <v>13</v>
      </c>
      <c r="C22" s="210">
        <f>SUMIFS('Detalle Compras Septiembre 2026'!$G:$G, 'Detalle Compras Septiembre 2026'!$A:$A, B22, 'Detalle Compras Septiembre 2026'!$B:$B, "Bebidas")</f>
        <v>126500</v>
      </c>
      <c r="D22" s="16">
        <f>SUMIFS('Detalle Compras Septiembre 2026'!$E:$E, 'Detalle Compras Septiembre 2026'!$A:$A, B22, 'Detalle Compras Septiembre 2026'!$B:$B, "Bebidas")</f>
        <v>3</v>
      </c>
      <c r="E22" s="210">
        <f t="shared" si="0"/>
        <v>42166.666666666664</v>
      </c>
      <c r="F22" s="267">
        <f t="shared" si="1"/>
        <v>2.5001877265460368E-2</v>
      </c>
      <c r="G22" s="9">
        <f>COUNTIFS('Detalle Compras Septiembre 2026'!$A:$A, B22, 'Detalle Compras Septiembre 2026'!$B:$B, "Bebidas")</f>
        <v>2</v>
      </c>
      <c r="I22" s="305">
        <v>3</v>
      </c>
      <c r="J22" s="305" t="s">
        <v>446</v>
      </c>
      <c r="K22" s="306" t="s">
        <v>453</v>
      </c>
      <c r="L22" s="306" t="s">
        <v>454</v>
      </c>
      <c r="M22" s="308">
        <v>10</v>
      </c>
      <c r="N22" s="309">
        <v>28800</v>
      </c>
      <c r="O22" s="324">
        <v>1</v>
      </c>
      <c r="P22" s="325">
        <f t="shared" si="3"/>
        <v>10</v>
      </c>
      <c r="Q22" s="309">
        <f t="shared" si="2"/>
        <v>28800</v>
      </c>
      <c r="R22" s="309">
        <f>'Detalle Compras Septiembre 2026'!G74</f>
        <v>288000</v>
      </c>
      <c r="S22" s="317"/>
      <c r="T22" s="24"/>
      <c r="U22" s="24"/>
    </row>
    <row r="23" spans="2:21" ht="18" customHeight="1">
      <c r="B23" s="17">
        <v>14</v>
      </c>
      <c r="C23" s="215">
        <f>SUMIFS('Detalle Compras Septiembre 2026'!$G:$G, 'Detalle Compras Septiembre 2026'!$A:$A, B23, 'Detalle Compras Septiembre 2026'!$B:$B, "Bebidas")</f>
        <v>0</v>
      </c>
      <c r="D23" s="18">
        <f>SUMIFS('Detalle Compras Septiembre 2026'!$E:$E, 'Detalle Compras Septiembre 2026'!$A:$A, B23, 'Detalle Compras Septiembre 2026'!$B:$B, "Bebidas")</f>
        <v>0</v>
      </c>
      <c r="E23" s="215">
        <f t="shared" si="0"/>
        <v>0</v>
      </c>
      <c r="F23" s="272">
        <f t="shared" si="1"/>
        <v>0</v>
      </c>
      <c r="G23" s="19">
        <f>COUNTIFS('Detalle Compras Septiembre 2026'!$A:$A, B23, 'Detalle Compras Septiembre 2026'!$B:$B, "Bebidas")</f>
        <v>0</v>
      </c>
      <c r="I23" s="305">
        <v>3</v>
      </c>
      <c r="J23" s="305" t="s">
        <v>446</v>
      </c>
      <c r="K23" s="306" t="s">
        <v>455</v>
      </c>
      <c r="L23" s="306" t="s">
        <v>456</v>
      </c>
      <c r="M23" s="308">
        <v>8</v>
      </c>
      <c r="N23" s="309">
        <v>30000</v>
      </c>
      <c r="O23" s="324">
        <v>1</v>
      </c>
      <c r="P23" s="325">
        <f t="shared" si="3"/>
        <v>8</v>
      </c>
      <c r="Q23" s="309">
        <f t="shared" si="2"/>
        <v>30000</v>
      </c>
      <c r="R23" s="309">
        <f>'Detalle Compras Septiembre 2026'!G75</f>
        <v>240000</v>
      </c>
      <c r="S23" s="317"/>
      <c r="T23" s="24"/>
      <c r="U23" s="24"/>
    </row>
    <row r="24" spans="2:21" ht="18" customHeight="1">
      <c r="B24" s="7">
        <v>15</v>
      </c>
      <c r="C24" s="210">
        <f>SUMIFS('Detalle Compras Septiembre 2026'!$G:$G, 'Detalle Compras Septiembre 2026'!$A:$A, B24, 'Detalle Compras Septiembre 2026'!$B:$B, "Bebidas")</f>
        <v>0</v>
      </c>
      <c r="D24" s="16">
        <f>SUMIFS('Detalle Compras Septiembre 2026'!$E:$E, 'Detalle Compras Septiembre 2026'!$A:$A, B24, 'Detalle Compras Septiembre 2026'!$B:$B, "Bebidas")</f>
        <v>0</v>
      </c>
      <c r="E24" s="210">
        <f t="shared" si="0"/>
        <v>0</v>
      </c>
      <c r="F24" s="267">
        <f t="shared" si="1"/>
        <v>0</v>
      </c>
      <c r="G24" s="9">
        <f>COUNTIFS('Detalle Compras Septiembre 2026'!$A:$A, B24, 'Detalle Compras Septiembre 2026'!$B:$B, "Bebidas")</f>
        <v>0</v>
      </c>
      <c r="I24" s="305">
        <v>3</v>
      </c>
      <c r="J24" s="305" t="s">
        <v>457</v>
      </c>
      <c r="K24" s="306" t="s">
        <v>458</v>
      </c>
      <c r="L24" s="306" t="s">
        <v>459</v>
      </c>
      <c r="M24" s="308">
        <v>2</v>
      </c>
      <c r="N24" s="309">
        <v>25100</v>
      </c>
      <c r="O24" s="324">
        <v>1</v>
      </c>
      <c r="P24" s="325">
        <f t="shared" si="3"/>
        <v>2</v>
      </c>
      <c r="Q24" s="309">
        <f t="shared" si="2"/>
        <v>25100</v>
      </c>
      <c r="R24" s="309">
        <f>'Detalle Compras Septiembre 2026'!G76</f>
        <v>50200</v>
      </c>
      <c r="S24" s="317"/>
      <c r="T24" s="24"/>
      <c r="U24" s="24"/>
    </row>
    <row r="25" spans="2:21" ht="18" customHeight="1">
      <c r="B25" s="17">
        <v>16</v>
      </c>
      <c r="C25" s="215">
        <f>SUMIFS('Detalle Compras Septiembre 2026'!$G:$G, 'Detalle Compras Septiembre 2026'!$A:$A, B25, 'Detalle Compras Septiembre 2026'!$B:$B, "Bebidas")</f>
        <v>0</v>
      </c>
      <c r="D25" s="18">
        <f>SUMIFS('Detalle Compras Septiembre 2026'!$E:$E, 'Detalle Compras Septiembre 2026'!$A:$A, B25, 'Detalle Compras Septiembre 2026'!$B:$B, "Bebidas")</f>
        <v>0</v>
      </c>
      <c r="E25" s="215">
        <f t="shared" si="0"/>
        <v>0</v>
      </c>
      <c r="F25" s="272">
        <f t="shared" si="1"/>
        <v>0</v>
      </c>
      <c r="G25" s="19">
        <f>COUNTIFS('Detalle Compras Septiembre 2026'!$A:$A, B25, 'Detalle Compras Septiembre 2026'!$B:$B, "Bebidas")</f>
        <v>0</v>
      </c>
      <c r="I25" s="305">
        <v>3</v>
      </c>
      <c r="J25" s="305" t="s">
        <v>457</v>
      </c>
      <c r="K25" s="306" t="s">
        <v>458</v>
      </c>
      <c r="L25" s="306" t="s">
        <v>460</v>
      </c>
      <c r="M25" s="308">
        <v>2</v>
      </c>
      <c r="N25" s="309">
        <v>25100</v>
      </c>
      <c r="O25" s="324">
        <v>1</v>
      </c>
      <c r="P25" s="325">
        <f t="shared" si="3"/>
        <v>2</v>
      </c>
      <c r="Q25" s="309">
        <f t="shared" si="2"/>
        <v>25100</v>
      </c>
      <c r="R25" s="309">
        <f>'Detalle Compras Septiembre 2026'!G77</f>
        <v>50200</v>
      </c>
      <c r="S25" s="317"/>
      <c r="T25" s="24"/>
      <c r="U25" s="24"/>
    </row>
    <row r="26" spans="2:21" ht="18" customHeight="1">
      <c r="B26" s="7">
        <v>17</v>
      </c>
      <c r="C26" s="210">
        <f>SUMIFS('Detalle Compras Septiembre 2026'!$G:$G, 'Detalle Compras Septiembre 2026'!$A:$A, B26, 'Detalle Compras Septiembre 2026'!$B:$B, "Bebidas")</f>
        <v>0</v>
      </c>
      <c r="D26" s="16">
        <f>SUMIFS('Detalle Compras Septiembre 2026'!$E:$E, 'Detalle Compras Septiembre 2026'!$A:$A, B26, 'Detalle Compras Septiembre 2026'!$B:$B, "Bebidas")</f>
        <v>0</v>
      </c>
      <c r="E26" s="210">
        <f t="shared" si="0"/>
        <v>0</v>
      </c>
      <c r="F26" s="267">
        <f t="shared" si="1"/>
        <v>0</v>
      </c>
      <c r="G26" s="9">
        <f>COUNTIFS('Detalle Compras Septiembre 2026'!$A:$A, B26, 'Detalle Compras Septiembre 2026'!$B:$B, "Bebidas")</f>
        <v>0</v>
      </c>
      <c r="I26" s="305">
        <v>3</v>
      </c>
      <c r="J26" s="305" t="s">
        <v>457</v>
      </c>
      <c r="K26" s="306" t="s">
        <v>458</v>
      </c>
      <c r="L26" s="306" t="s">
        <v>461</v>
      </c>
      <c r="M26" s="308">
        <v>2</v>
      </c>
      <c r="N26" s="309">
        <v>25100</v>
      </c>
      <c r="O26" s="324">
        <v>1</v>
      </c>
      <c r="P26" s="325">
        <f t="shared" si="3"/>
        <v>2</v>
      </c>
      <c r="Q26" s="309">
        <f t="shared" si="2"/>
        <v>25100</v>
      </c>
      <c r="R26" s="309">
        <f>'Detalle Compras Septiembre 2026'!G78</f>
        <v>50200</v>
      </c>
      <c r="S26" s="317"/>
      <c r="T26" s="24"/>
      <c r="U26" s="24"/>
    </row>
    <row r="27" spans="2:21" ht="18" customHeight="1">
      <c r="B27" s="17">
        <v>18</v>
      </c>
      <c r="C27" s="215">
        <f>SUMIFS('Detalle Compras Septiembre 2026'!$G:$G, 'Detalle Compras Septiembre 2026'!$A:$A, B27, 'Detalle Compras Septiembre 2026'!$B:$B, "Bebidas")</f>
        <v>0</v>
      </c>
      <c r="D27" s="18">
        <f>SUMIFS('Detalle Compras Septiembre 2026'!$E:$E, 'Detalle Compras Septiembre 2026'!$A:$A, B27, 'Detalle Compras Septiembre 2026'!$B:$B, "Bebidas")</f>
        <v>0</v>
      </c>
      <c r="E27" s="215">
        <f t="shared" si="0"/>
        <v>0</v>
      </c>
      <c r="F27" s="272">
        <f t="shared" si="1"/>
        <v>0</v>
      </c>
      <c r="G27" s="19">
        <f>COUNTIFS('Detalle Compras Septiembre 2026'!$A:$A, B27, 'Detalle Compras Septiembre 2026'!$B:$B, "Bebidas")</f>
        <v>0</v>
      </c>
      <c r="I27" s="311" t="s">
        <v>462</v>
      </c>
      <c r="J27" s="312"/>
      <c r="K27" s="312"/>
      <c r="L27" s="312"/>
      <c r="M27" s="313">
        <f>SUM(M19:M26)</f>
        <v>29</v>
      </c>
      <c r="N27" s="314">
        <f>IF(M27&gt;0, R27/M27, 0)</f>
        <v>33468.965517241377</v>
      </c>
      <c r="O27" s="326" t="s">
        <v>57</v>
      </c>
      <c r="P27" s="327">
        <f>SUM(P19:P26)</f>
        <v>29</v>
      </c>
      <c r="Q27" s="314">
        <f t="shared" si="2"/>
        <v>33468.965517241377</v>
      </c>
      <c r="R27" s="314">
        <f>SUM(R19:R26)</f>
        <v>970600</v>
      </c>
      <c r="S27" s="317"/>
      <c r="T27" s="24"/>
      <c r="U27" s="24"/>
    </row>
    <row r="28" spans="2:21" ht="18" customHeight="1">
      <c r="B28" s="7">
        <v>19</v>
      </c>
      <c r="C28" s="210">
        <f>SUMIFS('Detalle Compras Septiembre 2026'!$G:$G, 'Detalle Compras Septiembre 2026'!$A:$A, B28, 'Detalle Compras Septiembre 2026'!$B:$B, "Bebidas")</f>
        <v>0</v>
      </c>
      <c r="D28" s="16">
        <f>SUMIFS('Detalle Compras Septiembre 2026'!$E:$E, 'Detalle Compras Septiembre 2026'!$A:$A, B28, 'Detalle Compras Septiembre 2026'!$B:$B, "Bebidas")</f>
        <v>0</v>
      </c>
      <c r="E28" s="210">
        <f t="shared" si="0"/>
        <v>0</v>
      </c>
      <c r="F28" s="267">
        <f t="shared" si="1"/>
        <v>0</v>
      </c>
      <c r="G28" s="9">
        <f>COUNTIFS('Detalle Compras Septiembre 2026'!$A:$A, B28, 'Detalle Compras Septiembre 2026'!$B:$B, "Bebidas")</f>
        <v>0</v>
      </c>
      <c r="I28" s="305">
        <v>4</v>
      </c>
      <c r="J28" s="305" t="s">
        <v>463</v>
      </c>
      <c r="K28" s="306" t="s">
        <v>464</v>
      </c>
      <c r="L28" s="306" t="s">
        <v>465</v>
      </c>
      <c r="M28" s="308">
        <v>5</v>
      </c>
      <c r="N28" s="309">
        <v>24395</v>
      </c>
      <c r="O28" s="324">
        <v>1</v>
      </c>
      <c r="P28" s="325">
        <f>M28*O28</f>
        <v>5</v>
      </c>
      <c r="Q28" s="309">
        <f t="shared" si="2"/>
        <v>24395</v>
      </c>
      <c r="R28" s="309">
        <f>'Detalle Compras Septiembre 2026'!G528</f>
        <v>121975</v>
      </c>
      <c r="S28" s="317"/>
      <c r="T28" s="24"/>
      <c r="U28" s="24"/>
    </row>
    <row r="29" spans="2:21" ht="18" customHeight="1">
      <c r="B29" s="17">
        <v>20</v>
      </c>
      <c r="C29" s="215">
        <f>SUMIFS('Detalle Compras Septiembre 2026'!$G:$G, 'Detalle Compras Septiembre 2026'!$A:$A, B29, 'Detalle Compras Septiembre 2026'!$B:$B, "Bebidas")</f>
        <v>0</v>
      </c>
      <c r="D29" s="18">
        <f>SUMIFS('Detalle Compras Septiembre 2026'!$E:$E, 'Detalle Compras Septiembre 2026'!$A:$A, B29, 'Detalle Compras Septiembre 2026'!$B:$B, "Bebidas")</f>
        <v>0</v>
      </c>
      <c r="E29" s="215">
        <f t="shared" si="0"/>
        <v>0</v>
      </c>
      <c r="F29" s="272">
        <f t="shared" si="1"/>
        <v>0</v>
      </c>
      <c r="G29" s="19">
        <f>COUNTIFS('Detalle Compras Septiembre 2026'!$A:$A, B29, 'Detalle Compras Septiembre 2026'!$B:$B, "Bebidas")</f>
        <v>0</v>
      </c>
      <c r="I29" s="305">
        <v>4</v>
      </c>
      <c r="J29" s="305" t="s">
        <v>466</v>
      </c>
      <c r="K29" s="306" t="s">
        <v>467</v>
      </c>
      <c r="L29" s="306" t="s">
        <v>468</v>
      </c>
      <c r="M29" s="308">
        <v>2</v>
      </c>
      <c r="N29" s="309">
        <v>9500</v>
      </c>
      <c r="O29" s="324">
        <v>1</v>
      </c>
      <c r="P29" s="325">
        <f>M29*O29</f>
        <v>2</v>
      </c>
      <c r="Q29" s="309">
        <f t="shared" si="2"/>
        <v>9500</v>
      </c>
      <c r="R29" s="309">
        <f>'Detalle Compras Septiembre 2026'!G568</f>
        <v>19000</v>
      </c>
      <c r="S29" s="317"/>
      <c r="T29" s="24"/>
      <c r="U29" s="24"/>
    </row>
    <row r="30" spans="2:21" ht="18" customHeight="1">
      <c r="B30" s="7">
        <v>21</v>
      </c>
      <c r="C30" s="210">
        <f>SUMIFS('Detalle Compras Septiembre 2026'!$G:$G, 'Detalle Compras Septiembre 2026'!$A:$A, B30, 'Detalle Compras Septiembre 2026'!$B:$B, "Bebidas")</f>
        <v>0</v>
      </c>
      <c r="D30" s="16">
        <f>SUMIFS('Detalle Compras Septiembre 2026'!$E:$E, 'Detalle Compras Septiembre 2026'!$A:$A, B30, 'Detalle Compras Septiembre 2026'!$B:$B, "Bebidas")</f>
        <v>0</v>
      </c>
      <c r="E30" s="210">
        <f t="shared" si="0"/>
        <v>0</v>
      </c>
      <c r="F30" s="267">
        <f t="shared" si="1"/>
        <v>0</v>
      </c>
      <c r="G30" s="9">
        <f>COUNTIFS('Detalle Compras Septiembre 2026'!$A:$A, B30, 'Detalle Compras Septiembre 2026'!$B:$B, "Bebidas")</f>
        <v>0</v>
      </c>
      <c r="I30" s="315" t="s">
        <v>469</v>
      </c>
      <c r="J30" s="315"/>
      <c r="K30" s="311"/>
      <c r="L30" s="311"/>
      <c r="M30" s="313">
        <f>SUM(M28:M29)</f>
        <v>7</v>
      </c>
      <c r="N30" s="314">
        <f>IF(M30&gt;0, R30/M30, 0)</f>
        <v>20139.285714285714</v>
      </c>
      <c r="O30" s="328" t="s">
        <v>57</v>
      </c>
      <c r="P30" s="327">
        <f>SUM(P28:P29)</f>
        <v>7</v>
      </c>
      <c r="Q30" s="314">
        <f t="shared" si="2"/>
        <v>20139.285714285714</v>
      </c>
      <c r="R30" s="314">
        <f>SUM(R28:R29)</f>
        <v>140975</v>
      </c>
      <c r="S30" s="317"/>
      <c r="T30" s="24"/>
      <c r="U30" s="24"/>
    </row>
    <row r="31" spans="2:21" ht="18" customHeight="1">
      <c r="B31" s="17">
        <v>22</v>
      </c>
      <c r="C31" s="215">
        <f>SUMIFS('Detalle Compras Septiembre 2026'!$G:$G, 'Detalle Compras Septiembre 2026'!$A:$A, B31, 'Detalle Compras Septiembre 2026'!$B:$B, "Bebidas")</f>
        <v>0</v>
      </c>
      <c r="D31" s="18">
        <f>SUMIFS('Detalle Compras Septiembre 2026'!$E:$E, 'Detalle Compras Septiembre 2026'!$A:$A, B31, 'Detalle Compras Septiembre 2026'!$B:$B, "Bebidas")</f>
        <v>0</v>
      </c>
      <c r="E31" s="215">
        <f t="shared" si="0"/>
        <v>0</v>
      </c>
      <c r="F31" s="272">
        <f t="shared" si="1"/>
        <v>0</v>
      </c>
      <c r="G31" s="19">
        <f>COUNTIFS('Detalle Compras Septiembre 2026'!$A:$A, B31, 'Detalle Compras Septiembre 2026'!$B:$B, "Bebidas")</f>
        <v>0</v>
      </c>
      <c r="I31" s="305">
        <v>5</v>
      </c>
      <c r="J31" s="305" t="s">
        <v>470</v>
      </c>
      <c r="K31" s="306" t="s">
        <v>471</v>
      </c>
      <c r="L31" s="306" t="s">
        <v>472</v>
      </c>
      <c r="M31" s="308">
        <v>5</v>
      </c>
      <c r="N31" s="309">
        <v>1820.73</v>
      </c>
      <c r="O31" s="324">
        <v>1</v>
      </c>
      <c r="P31" s="325">
        <f t="shared" ref="P31:P45" si="4">M31*O31</f>
        <v>5</v>
      </c>
      <c r="Q31" s="309">
        <f t="shared" si="2"/>
        <v>1820.73</v>
      </c>
      <c r="R31" s="309">
        <f>'Detalle Compras Septiembre 2026'!G512</f>
        <v>9103.65</v>
      </c>
      <c r="S31" s="317"/>
      <c r="T31" s="24"/>
      <c r="U31" s="24"/>
    </row>
    <row r="32" spans="2:21" ht="18" customHeight="1">
      <c r="B32" s="7">
        <v>23</v>
      </c>
      <c r="C32" s="210">
        <f>SUMIFS('Detalle Compras Septiembre 2026'!$G:$G, 'Detalle Compras Septiembre 2026'!$A:$A, B32, 'Detalle Compras Septiembre 2026'!$B:$B, "Bebidas")</f>
        <v>0</v>
      </c>
      <c r="D32" s="16">
        <f>SUMIFS('Detalle Compras Septiembre 2026'!$E:$E, 'Detalle Compras Septiembre 2026'!$A:$A, B32, 'Detalle Compras Septiembre 2026'!$B:$B, "Bebidas")</f>
        <v>0</v>
      </c>
      <c r="E32" s="210">
        <f t="shared" si="0"/>
        <v>0</v>
      </c>
      <c r="F32" s="267">
        <f t="shared" si="1"/>
        <v>0</v>
      </c>
      <c r="G32" s="9">
        <f>COUNTIFS('Detalle Compras Septiembre 2026'!$A:$A, B32, 'Detalle Compras Septiembre 2026'!$B:$B, "Bebidas")</f>
        <v>0</v>
      </c>
      <c r="I32" s="305">
        <v>5</v>
      </c>
      <c r="J32" s="305" t="s">
        <v>470</v>
      </c>
      <c r="K32" s="306" t="s">
        <v>473</v>
      </c>
      <c r="L32" s="306" t="s">
        <v>474</v>
      </c>
      <c r="M32" s="308">
        <v>5</v>
      </c>
      <c r="N32" s="309">
        <v>1820.73</v>
      </c>
      <c r="O32" s="324">
        <v>1</v>
      </c>
      <c r="P32" s="325">
        <f t="shared" si="4"/>
        <v>5</v>
      </c>
      <c r="Q32" s="309">
        <f t="shared" si="2"/>
        <v>1820.73</v>
      </c>
      <c r="R32" s="309">
        <f>'Detalle Compras Septiembre 2026'!G513</f>
        <v>9103.65</v>
      </c>
      <c r="S32" s="317"/>
      <c r="T32" s="24"/>
      <c r="U32" s="24"/>
    </row>
    <row r="33" spans="2:21" ht="18" customHeight="1">
      <c r="B33" s="17">
        <v>24</v>
      </c>
      <c r="C33" s="215">
        <f>SUMIFS('Detalle Compras Septiembre 2026'!$G:$G, 'Detalle Compras Septiembre 2026'!$A:$A, B33, 'Detalle Compras Septiembre 2026'!$B:$B, "Bebidas")</f>
        <v>0</v>
      </c>
      <c r="D33" s="18">
        <f>SUMIFS('Detalle Compras Septiembre 2026'!$E:$E, 'Detalle Compras Septiembre 2026'!$A:$A, B33, 'Detalle Compras Septiembre 2026'!$B:$B, "Bebidas")</f>
        <v>0</v>
      </c>
      <c r="E33" s="215">
        <f t="shared" si="0"/>
        <v>0</v>
      </c>
      <c r="F33" s="272">
        <f t="shared" si="1"/>
        <v>0</v>
      </c>
      <c r="G33" s="19">
        <f>COUNTIFS('Detalle Compras Septiembre 2026'!$A:$A, B33, 'Detalle Compras Septiembre 2026'!$B:$B, "Bebidas")</f>
        <v>0</v>
      </c>
      <c r="I33" s="305">
        <v>5</v>
      </c>
      <c r="J33" s="305" t="s">
        <v>470</v>
      </c>
      <c r="K33" s="306" t="s">
        <v>475</v>
      </c>
      <c r="L33" s="306" t="s">
        <v>476</v>
      </c>
      <c r="M33" s="308">
        <v>5</v>
      </c>
      <c r="N33" s="309">
        <v>1820.73</v>
      </c>
      <c r="O33" s="324">
        <v>1</v>
      </c>
      <c r="P33" s="325">
        <f t="shared" si="4"/>
        <v>5</v>
      </c>
      <c r="Q33" s="309">
        <f t="shared" si="2"/>
        <v>1820.73</v>
      </c>
      <c r="R33" s="309">
        <f>'Detalle Compras Septiembre 2026'!G514</f>
        <v>9103.65</v>
      </c>
      <c r="S33" s="317"/>
      <c r="T33" s="24"/>
      <c r="U33" s="24"/>
    </row>
    <row r="34" spans="2:21" ht="18" customHeight="1">
      <c r="B34" s="7">
        <v>25</v>
      </c>
      <c r="C34" s="210">
        <f>SUMIFS('Detalle Compras Septiembre 2026'!$G:$G, 'Detalle Compras Septiembre 2026'!$A:$A, B34, 'Detalle Compras Septiembre 2026'!$B:$B, "Bebidas")</f>
        <v>0</v>
      </c>
      <c r="D34" s="16">
        <f>SUMIFS('Detalle Compras Septiembre 2026'!$E:$E, 'Detalle Compras Septiembre 2026'!$A:$A, B34, 'Detalle Compras Septiembre 2026'!$B:$B, "Bebidas")</f>
        <v>0</v>
      </c>
      <c r="E34" s="210">
        <f t="shared" si="0"/>
        <v>0</v>
      </c>
      <c r="F34" s="267">
        <f t="shared" si="1"/>
        <v>0</v>
      </c>
      <c r="G34" s="9">
        <f>COUNTIFS('Detalle Compras Septiembre 2026'!$A:$A, B34, 'Detalle Compras Septiembre 2026'!$B:$B, "Bebidas")</f>
        <v>0</v>
      </c>
      <c r="I34" s="305">
        <v>5</v>
      </c>
      <c r="J34" s="305" t="s">
        <v>470</v>
      </c>
      <c r="K34" s="306" t="s">
        <v>477</v>
      </c>
      <c r="L34" s="306" t="s">
        <v>478</v>
      </c>
      <c r="M34" s="308">
        <v>6</v>
      </c>
      <c r="N34" s="309">
        <v>1890.76</v>
      </c>
      <c r="O34" s="324">
        <v>1</v>
      </c>
      <c r="P34" s="325">
        <f t="shared" si="4"/>
        <v>6</v>
      </c>
      <c r="Q34" s="309">
        <f t="shared" si="2"/>
        <v>1890.76</v>
      </c>
      <c r="R34" s="309">
        <f>'Detalle Compras Septiembre 2026'!G515</f>
        <v>11344.56</v>
      </c>
      <c r="S34" s="317"/>
      <c r="T34" s="24"/>
      <c r="U34" s="24"/>
    </row>
    <row r="35" spans="2:21" ht="18" customHeight="1">
      <c r="B35" s="17">
        <v>26</v>
      </c>
      <c r="C35" s="215">
        <f>SUMIFS('Detalle Compras Septiembre 2026'!$G:$G, 'Detalle Compras Septiembre 2026'!$A:$A, B35, 'Detalle Compras Septiembre 2026'!$B:$B, "Bebidas")</f>
        <v>0</v>
      </c>
      <c r="D35" s="18">
        <f>SUMIFS('Detalle Compras Septiembre 2026'!$E:$E, 'Detalle Compras Septiembre 2026'!$A:$A, B35, 'Detalle Compras Septiembre 2026'!$B:$B, "Bebidas")</f>
        <v>0</v>
      </c>
      <c r="E35" s="215">
        <f t="shared" si="0"/>
        <v>0</v>
      </c>
      <c r="F35" s="272">
        <f t="shared" si="1"/>
        <v>0</v>
      </c>
      <c r="G35" s="19">
        <f>COUNTIFS('Detalle Compras Septiembre 2026'!$A:$A, B35, 'Detalle Compras Septiembre 2026'!$B:$B, "Bebidas")</f>
        <v>0</v>
      </c>
      <c r="I35" s="305">
        <v>5</v>
      </c>
      <c r="J35" s="305" t="s">
        <v>470</v>
      </c>
      <c r="K35" s="306" t="s">
        <v>479</v>
      </c>
      <c r="L35" s="306" t="s">
        <v>480</v>
      </c>
      <c r="M35" s="308">
        <v>6</v>
      </c>
      <c r="N35" s="309">
        <v>1890.76</v>
      </c>
      <c r="O35" s="324">
        <v>1</v>
      </c>
      <c r="P35" s="325">
        <f t="shared" si="4"/>
        <v>6</v>
      </c>
      <c r="Q35" s="309">
        <f t="shared" si="2"/>
        <v>1890.76</v>
      </c>
      <c r="R35" s="309">
        <f>'Detalle Compras Septiembre 2026'!G516</f>
        <v>11344.56</v>
      </c>
      <c r="S35" s="317"/>
      <c r="T35" s="24"/>
      <c r="U35" s="24"/>
    </row>
    <row r="36" spans="2:21" ht="18" customHeight="1">
      <c r="B36" s="7">
        <v>27</v>
      </c>
      <c r="C36" s="210">
        <f>SUMIFS('Detalle Compras Septiembre 2026'!$G:$G, 'Detalle Compras Septiembre 2026'!$A:$A, B36, 'Detalle Compras Septiembre 2026'!$B:$B, "Bebidas")</f>
        <v>0</v>
      </c>
      <c r="D36" s="16">
        <f>SUMIFS('Detalle Compras Septiembre 2026'!$E:$E, 'Detalle Compras Septiembre 2026'!$A:$A, B36, 'Detalle Compras Septiembre 2026'!$B:$B, "Bebidas")</f>
        <v>0</v>
      </c>
      <c r="E36" s="210">
        <f t="shared" si="0"/>
        <v>0</v>
      </c>
      <c r="F36" s="267">
        <f t="shared" si="1"/>
        <v>0</v>
      </c>
      <c r="G36" s="9">
        <f>COUNTIFS('Detalle Compras Septiembre 2026'!$A:$A, B36, 'Detalle Compras Septiembre 2026'!$B:$B, "Bebidas")</f>
        <v>0</v>
      </c>
      <c r="I36" s="305">
        <v>5</v>
      </c>
      <c r="J36" s="305" t="s">
        <v>470</v>
      </c>
      <c r="K36" s="306" t="s">
        <v>481</v>
      </c>
      <c r="L36" s="306" t="s">
        <v>482</v>
      </c>
      <c r="M36" s="308">
        <v>6</v>
      </c>
      <c r="N36" s="309">
        <v>3151.26</v>
      </c>
      <c r="O36" s="324">
        <v>1</v>
      </c>
      <c r="P36" s="325">
        <f t="shared" si="4"/>
        <v>6</v>
      </c>
      <c r="Q36" s="309">
        <f t="shared" si="2"/>
        <v>3151.26</v>
      </c>
      <c r="R36" s="309">
        <f>'Detalle Compras Septiembre 2026'!G517</f>
        <v>18907.560000000001</v>
      </c>
      <c r="S36" s="317"/>
      <c r="T36" s="24"/>
      <c r="U36" s="24"/>
    </row>
    <row r="37" spans="2:21" ht="18" customHeight="1">
      <c r="B37" s="17">
        <v>28</v>
      </c>
      <c r="C37" s="215">
        <f>SUMIFS('Detalle Compras Septiembre 2026'!$G:$G, 'Detalle Compras Septiembre 2026'!$A:$A, B37, 'Detalle Compras Septiembre 2026'!$B:$B, "Bebidas")</f>
        <v>0</v>
      </c>
      <c r="D37" s="18">
        <f>SUMIFS('Detalle Compras Septiembre 2026'!$E:$E, 'Detalle Compras Septiembre 2026'!$A:$A, B37, 'Detalle Compras Septiembre 2026'!$B:$B, "Bebidas")</f>
        <v>0</v>
      </c>
      <c r="E37" s="215">
        <f t="shared" si="0"/>
        <v>0</v>
      </c>
      <c r="F37" s="272">
        <f t="shared" si="1"/>
        <v>0</v>
      </c>
      <c r="G37" s="19">
        <f>COUNTIFS('Detalle Compras Septiembre 2026'!$A:$A, B37, 'Detalle Compras Septiembre 2026'!$B:$B, "Bebidas")</f>
        <v>0</v>
      </c>
      <c r="I37" s="305">
        <v>5</v>
      </c>
      <c r="J37" s="305" t="s">
        <v>470</v>
      </c>
      <c r="K37" s="306" t="s">
        <v>483</v>
      </c>
      <c r="L37" s="306" t="s">
        <v>484</v>
      </c>
      <c r="M37" s="308">
        <v>6</v>
      </c>
      <c r="N37" s="309">
        <v>3151.26</v>
      </c>
      <c r="O37" s="324">
        <v>1</v>
      </c>
      <c r="P37" s="325">
        <f t="shared" si="4"/>
        <v>6</v>
      </c>
      <c r="Q37" s="309">
        <f t="shared" si="2"/>
        <v>3151.26</v>
      </c>
      <c r="R37" s="309">
        <f>'Detalle Compras Septiembre 2026'!G518</f>
        <v>18907.560000000001</v>
      </c>
      <c r="S37" s="317"/>
      <c r="T37" s="24"/>
      <c r="U37" s="24"/>
    </row>
    <row r="38" spans="2:21" ht="18" customHeight="1">
      <c r="B38" s="7">
        <v>29</v>
      </c>
      <c r="C38" s="210">
        <f>SUMIFS('Detalle Compras Septiembre 2026'!$G:$G, 'Detalle Compras Septiembre 2026'!$A:$A, B38, 'Detalle Compras Septiembre 2026'!$B:$B, "Bebidas")</f>
        <v>0</v>
      </c>
      <c r="D38" s="16">
        <f>SUMIFS('Detalle Compras Septiembre 2026'!$E:$E, 'Detalle Compras Septiembre 2026'!$A:$A, B38, 'Detalle Compras Septiembre 2026'!$B:$B, "Bebidas")</f>
        <v>0</v>
      </c>
      <c r="E38" s="210">
        <f t="shared" si="0"/>
        <v>0</v>
      </c>
      <c r="F38" s="267">
        <f t="shared" si="1"/>
        <v>0</v>
      </c>
      <c r="G38" s="9">
        <f>COUNTIFS('Detalle Compras Septiembre 2026'!$A:$A, B38, 'Detalle Compras Septiembre 2026'!$B:$B, "Bebidas")</f>
        <v>0</v>
      </c>
      <c r="I38" s="305">
        <v>5</v>
      </c>
      <c r="J38" s="305" t="s">
        <v>470</v>
      </c>
      <c r="K38" s="306" t="s">
        <v>485</v>
      </c>
      <c r="L38" s="306" t="s">
        <v>486</v>
      </c>
      <c r="M38" s="308">
        <v>15</v>
      </c>
      <c r="N38" s="309">
        <v>1450.98</v>
      </c>
      <c r="O38" s="324">
        <v>1</v>
      </c>
      <c r="P38" s="325">
        <f t="shared" si="4"/>
        <v>15</v>
      </c>
      <c r="Q38" s="309">
        <f t="shared" si="2"/>
        <v>1450.98</v>
      </c>
      <c r="R38" s="309">
        <f>'Detalle Compras Septiembre 2026'!G519</f>
        <v>21764.7</v>
      </c>
      <c r="S38" s="317"/>
      <c r="T38" s="24"/>
      <c r="U38" s="24"/>
    </row>
    <row r="39" spans="2:21" ht="18" customHeight="1">
      <c r="B39" s="17">
        <v>30</v>
      </c>
      <c r="C39" s="215">
        <f>SUMIFS('Detalle Compras Septiembre 2026'!$G:$G, 'Detalle Compras Septiembre 2026'!$A:$A, B39, 'Detalle Compras Septiembre 2026'!$B:$B, "Bebidas")</f>
        <v>0</v>
      </c>
      <c r="D39" s="18">
        <f>SUMIFS('Detalle Compras Septiembre 2026'!$E:$E, 'Detalle Compras Septiembre 2026'!$A:$A, B39, 'Detalle Compras Septiembre 2026'!$B:$B, "Bebidas")</f>
        <v>0</v>
      </c>
      <c r="E39" s="215">
        <f t="shared" si="0"/>
        <v>0</v>
      </c>
      <c r="F39" s="272">
        <f t="shared" si="1"/>
        <v>0</v>
      </c>
      <c r="G39" s="19">
        <f>COUNTIFS('Detalle Compras Septiembre 2026'!$A:$A, B39, 'Detalle Compras Septiembre 2026'!$B:$B, "Bebidas")</f>
        <v>0</v>
      </c>
      <c r="I39" s="305">
        <v>5</v>
      </c>
      <c r="J39" s="305" t="s">
        <v>470</v>
      </c>
      <c r="K39" s="306" t="s">
        <v>487</v>
      </c>
      <c r="L39" s="306" t="s">
        <v>488</v>
      </c>
      <c r="M39" s="308">
        <v>15</v>
      </c>
      <c r="N39" s="309">
        <v>1450.98</v>
      </c>
      <c r="O39" s="324">
        <v>1</v>
      </c>
      <c r="P39" s="325">
        <f t="shared" si="4"/>
        <v>15</v>
      </c>
      <c r="Q39" s="309">
        <f t="shared" si="2"/>
        <v>1450.98</v>
      </c>
      <c r="R39" s="309">
        <f>'Detalle Compras Septiembre 2026'!G520</f>
        <v>21764.7</v>
      </c>
      <c r="S39" s="317"/>
      <c r="T39" s="24"/>
      <c r="U39" s="24"/>
    </row>
    <row r="40" spans="2:21" ht="18" customHeight="1">
      <c r="B40" s="23" t="s">
        <v>54</v>
      </c>
      <c r="C40" s="216">
        <f>SUM(C10:C39)</f>
        <v>5059620.07</v>
      </c>
      <c r="D40" s="20">
        <f>SUM(D10:D39)</f>
        <v>1457</v>
      </c>
      <c r="E40" s="216">
        <f t="shared" si="0"/>
        <v>3472.6287371310914</v>
      </c>
      <c r="F40" s="273">
        <f>IF(C40&gt;0, 1, 0)</f>
        <v>1</v>
      </c>
      <c r="G40" s="21">
        <f>SUM(G10:G39)</f>
        <v>81</v>
      </c>
      <c r="I40" s="305">
        <v>5</v>
      </c>
      <c r="J40" s="305" t="s">
        <v>470</v>
      </c>
      <c r="K40" s="306" t="s">
        <v>489</v>
      </c>
      <c r="L40" s="306" t="s">
        <v>490</v>
      </c>
      <c r="M40" s="308">
        <v>15</v>
      </c>
      <c r="N40" s="309">
        <v>1450.98</v>
      </c>
      <c r="O40" s="324">
        <v>1</v>
      </c>
      <c r="P40" s="325">
        <f t="shared" si="4"/>
        <v>15</v>
      </c>
      <c r="Q40" s="309">
        <f t="shared" si="2"/>
        <v>1450.98</v>
      </c>
      <c r="R40" s="309">
        <f>'Detalle Compras Septiembre 2026'!G521</f>
        <v>21764.7</v>
      </c>
      <c r="S40" s="317"/>
      <c r="T40" s="24"/>
      <c r="U40" s="24"/>
    </row>
    <row r="41" spans="2:21" ht="18" customHeight="1">
      <c r="I41" s="305">
        <v>5</v>
      </c>
      <c r="J41" s="305" t="s">
        <v>470</v>
      </c>
      <c r="K41" s="306" t="s">
        <v>491</v>
      </c>
      <c r="L41" s="306" t="s">
        <v>492</v>
      </c>
      <c r="M41" s="308">
        <v>15</v>
      </c>
      <c r="N41" s="309">
        <v>1450.98</v>
      </c>
      <c r="O41" s="324">
        <v>1</v>
      </c>
      <c r="P41" s="325">
        <f t="shared" si="4"/>
        <v>15</v>
      </c>
      <c r="Q41" s="309">
        <f t="shared" si="2"/>
        <v>1450.98</v>
      </c>
      <c r="R41" s="309">
        <f>'Detalle Compras Septiembre 2026'!G522</f>
        <v>21764.7</v>
      </c>
      <c r="S41" s="317"/>
    </row>
    <row r="42" spans="2:21" ht="18" customHeight="1">
      <c r="I42" s="305">
        <v>5</v>
      </c>
      <c r="J42" s="305" t="s">
        <v>470</v>
      </c>
      <c r="K42" s="306" t="s">
        <v>493</v>
      </c>
      <c r="L42" s="306" t="s">
        <v>494</v>
      </c>
      <c r="M42" s="308">
        <v>12</v>
      </c>
      <c r="N42" s="309">
        <v>3151.26</v>
      </c>
      <c r="O42" s="324">
        <v>1</v>
      </c>
      <c r="P42" s="325">
        <f t="shared" si="4"/>
        <v>12</v>
      </c>
      <c r="Q42" s="309">
        <f t="shared" ref="Q42:Q73" si="5">IF(P42&gt;0, R42/P42, 0)</f>
        <v>3151.26</v>
      </c>
      <c r="R42" s="309">
        <f>'Detalle Compras Septiembre 2026'!G523</f>
        <v>37815.120000000003</v>
      </c>
      <c r="S42" s="317"/>
    </row>
    <row r="43" spans="2:21" ht="18" customHeight="1">
      <c r="I43" s="305">
        <v>5</v>
      </c>
      <c r="J43" s="305" t="s">
        <v>470</v>
      </c>
      <c r="K43" s="306" t="s">
        <v>495</v>
      </c>
      <c r="L43" s="306" t="s">
        <v>496</v>
      </c>
      <c r="M43" s="308">
        <v>12</v>
      </c>
      <c r="N43" s="309">
        <v>3151.26</v>
      </c>
      <c r="O43" s="305">
        <v>1</v>
      </c>
      <c r="P43" s="325">
        <f t="shared" si="4"/>
        <v>12</v>
      </c>
      <c r="Q43" s="309">
        <f t="shared" si="5"/>
        <v>3151.26</v>
      </c>
      <c r="R43" s="309">
        <f>'Detalle Compras Septiembre 2026'!G524</f>
        <v>37815.120000000003</v>
      </c>
      <c r="S43" s="317"/>
    </row>
    <row r="44" spans="2:21" ht="18" customHeight="1">
      <c r="I44" s="305">
        <v>5</v>
      </c>
      <c r="J44" s="305" t="s">
        <v>470</v>
      </c>
      <c r="K44" s="306" t="s">
        <v>497</v>
      </c>
      <c r="L44" s="306" t="s">
        <v>498</v>
      </c>
      <c r="M44" s="308">
        <v>48</v>
      </c>
      <c r="N44" s="309">
        <v>1333.33</v>
      </c>
      <c r="O44" s="324">
        <v>1</v>
      </c>
      <c r="P44" s="325">
        <f t="shared" si="4"/>
        <v>48</v>
      </c>
      <c r="Q44" s="309">
        <f t="shared" si="5"/>
        <v>1333.33</v>
      </c>
      <c r="R44" s="309">
        <f>'Detalle Compras Septiembre 2026'!G525</f>
        <v>63999.839999999997</v>
      </c>
      <c r="S44" s="317"/>
    </row>
    <row r="45" spans="2:21" ht="18" customHeight="1">
      <c r="I45" s="305">
        <v>5</v>
      </c>
      <c r="J45" s="305" t="s">
        <v>470</v>
      </c>
      <c r="K45" s="306" t="s">
        <v>499</v>
      </c>
      <c r="L45" s="306" t="s">
        <v>500</v>
      </c>
      <c r="M45" s="308">
        <v>48</v>
      </c>
      <c r="N45" s="309">
        <v>1500</v>
      </c>
      <c r="O45" s="324">
        <v>1</v>
      </c>
      <c r="P45" s="325">
        <f t="shared" si="4"/>
        <v>48</v>
      </c>
      <c r="Q45" s="309">
        <f t="shared" si="5"/>
        <v>1500</v>
      </c>
      <c r="R45" s="309">
        <f>'Detalle Compras Septiembre 2026'!G526</f>
        <v>72000</v>
      </c>
      <c r="S45" s="317"/>
    </row>
    <row r="46" spans="2:21" ht="18" customHeight="1">
      <c r="I46" s="315" t="s">
        <v>501</v>
      </c>
      <c r="J46" s="315"/>
      <c r="K46" s="311"/>
      <c r="L46" s="311"/>
      <c r="M46" s="313">
        <f>SUM(M31:M45)</f>
        <v>219</v>
      </c>
      <c r="N46" s="314">
        <f>IF(M46&gt;0, R46/M46, 0)</f>
        <v>1764.8587671232876</v>
      </c>
      <c r="O46" s="328" t="s">
        <v>57</v>
      </c>
      <c r="P46" s="327">
        <f>SUM(P31:P45)</f>
        <v>219</v>
      </c>
      <c r="Q46" s="314">
        <f t="shared" si="5"/>
        <v>1764.8587671232876</v>
      </c>
      <c r="R46" s="314">
        <f>SUM(R31:R45)</f>
        <v>386504.07</v>
      </c>
      <c r="S46" s="317"/>
    </row>
    <row r="47" spans="2:21" ht="18" customHeight="1">
      <c r="I47" s="305">
        <v>7</v>
      </c>
      <c r="J47" s="305" t="s">
        <v>502</v>
      </c>
      <c r="K47" s="306" t="s">
        <v>467</v>
      </c>
      <c r="L47" s="306" t="s">
        <v>468</v>
      </c>
      <c r="M47" s="308">
        <v>2</v>
      </c>
      <c r="N47" s="309">
        <v>9500</v>
      </c>
      <c r="O47" s="324">
        <v>1</v>
      </c>
      <c r="P47" s="325">
        <f>M47*O47</f>
        <v>2</v>
      </c>
      <c r="Q47" s="309">
        <f t="shared" si="5"/>
        <v>9500</v>
      </c>
      <c r="R47" s="309">
        <f>'Detalle Compras Septiembre 2026'!G564</f>
        <v>19000</v>
      </c>
      <c r="S47" s="317"/>
    </row>
    <row r="48" spans="2:21" ht="18" customHeight="1">
      <c r="I48" s="305">
        <v>7</v>
      </c>
      <c r="J48" s="305" t="s">
        <v>502</v>
      </c>
      <c r="K48" s="306" t="s">
        <v>503</v>
      </c>
      <c r="L48" s="306" t="s">
        <v>504</v>
      </c>
      <c r="M48" s="308">
        <v>4</v>
      </c>
      <c r="N48" s="309">
        <v>5000</v>
      </c>
      <c r="O48" s="324">
        <v>1</v>
      </c>
      <c r="P48" s="325">
        <f>M48*O48</f>
        <v>4</v>
      </c>
      <c r="Q48" s="309">
        <f t="shared" si="5"/>
        <v>5000</v>
      </c>
      <c r="R48" s="309">
        <f>'Detalle Compras Septiembre 2026'!G565</f>
        <v>20000</v>
      </c>
      <c r="S48" s="317"/>
    </row>
    <row r="49" spans="9:19" ht="20.100000000000001" customHeight="1">
      <c r="I49" s="305">
        <v>7</v>
      </c>
      <c r="J49" s="305" t="s">
        <v>505</v>
      </c>
      <c r="K49" s="306" t="s">
        <v>467</v>
      </c>
      <c r="L49" s="306" t="s">
        <v>468</v>
      </c>
      <c r="M49" s="308">
        <v>2</v>
      </c>
      <c r="N49" s="309">
        <v>9500</v>
      </c>
      <c r="O49" s="305">
        <v>1</v>
      </c>
      <c r="P49" s="325">
        <f>M49*O49</f>
        <v>2</v>
      </c>
      <c r="Q49" s="309">
        <f t="shared" si="5"/>
        <v>9500</v>
      </c>
      <c r="R49" s="309">
        <f>'Detalle Compras Septiembre 2026'!G566</f>
        <v>19000</v>
      </c>
      <c r="S49" s="317"/>
    </row>
    <row r="50" spans="9:19">
      <c r="I50" s="305">
        <v>7</v>
      </c>
      <c r="J50" s="305" t="s">
        <v>505</v>
      </c>
      <c r="K50" s="306" t="s">
        <v>503</v>
      </c>
      <c r="L50" s="306" t="s">
        <v>504</v>
      </c>
      <c r="M50" s="308">
        <v>3</v>
      </c>
      <c r="N50" s="309">
        <v>5000</v>
      </c>
      <c r="O50" s="324">
        <v>1</v>
      </c>
      <c r="P50" s="325">
        <f>M50*O50</f>
        <v>3</v>
      </c>
      <c r="Q50" s="309">
        <f t="shared" si="5"/>
        <v>5000</v>
      </c>
      <c r="R50" s="309">
        <f>'Detalle Compras Septiembre 2026'!G567</f>
        <v>15000</v>
      </c>
      <c r="S50" s="317"/>
    </row>
    <row r="51" spans="9:19">
      <c r="I51" s="315" t="s">
        <v>506</v>
      </c>
      <c r="J51" s="315"/>
      <c r="K51" s="311"/>
      <c r="L51" s="311"/>
      <c r="M51" s="313">
        <f>SUM(M47:M50)</f>
        <v>11</v>
      </c>
      <c r="N51" s="314">
        <f>IF(M51&gt;0, R51/M51, 0)</f>
        <v>6636.363636363636</v>
      </c>
      <c r="O51" s="328" t="s">
        <v>57</v>
      </c>
      <c r="P51" s="327">
        <f>SUM(P47:P50)</f>
        <v>11</v>
      </c>
      <c r="Q51" s="314">
        <f t="shared" si="5"/>
        <v>6636.363636363636</v>
      </c>
      <c r="R51" s="314">
        <f>SUM(R47:R50)</f>
        <v>73000</v>
      </c>
      <c r="S51" s="317"/>
    </row>
    <row r="52" spans="9:19">
      <c r="I52" s="305">
        <v>8</v>
      </c>
      <c r="J52" s="305" t="s">
        <v>507</v>
      </c>
      <c r="K52" s="306" t="s">
        <v>508</v>
      </c>
      <c r="L52" s="306" t="s">
        <v>468</v>
      </c>
      <c r="M52" s="308">
        <v>2</v>
      </c>
      <c r="N52" s="309">
        <v>9500</v>
      </c>
      <c r="O52" s="324">
        <v>1</v>
      </c>
      <c r="P52" s="325">
        <f>M52*O52</f>
        <v>2</v>
      </c>
      <c r="Q52" s="309">
        <f t="shared" si="5"/>
        <v>9500</v>
      </c>
      <c r="R52" s="309">
        <f>'Detalle Compras Septiembre 2026'!G550</f>
        <v>19000</v>
      </c>
      <c r="S52" s="317"/>
    </row>
    <row r="53" spans="9:19">
      <c r="I53" s="305">
        <v>8</v>
      </c>
      <c r="J53" s="305" t="s">
        <v>509</v>
      </c>
      <c r="K53" s="306" t="s">
        <v>510</v>
      </c>
      <c r="L53" s="306" t="s">
        <v>504</v>
      </c>
      <c r="M53" s="308">
        <v>2</v>
      </c>
      <c r="N53" s="309">
        <v>5000</v>
      </c>
      <c r="O53" s="324">
        <v>1</v>
      </c>
      <c r="P53" s="325">
        <f>M53*O53</f>
        <v>2</v>
      </c>
      <c r="Q53" s="309">
        <f t="shared" si="5"/>
        <v>5000</v>
      </c>
      <c r="R53" s="309">
        <f>'Detalle Compras Septiembre 2026'!G551</f>
        <v>10000</v>
      </c>
      <c r="S53" s="317"/>
    </row>
    <row r="54" spans="9:19">
      <c r="I54" s="311" t="s">
        <v>511</v>
      </c>
      <c r="J54" s="312"/>
      <c r="K54" s="312"/>
      <c r="L54" s="312"/>
      <c r="M54" s="313">
        <f>SUM(M52:M53)</f>
        <v>4</v>
      </c>
      <c r="N54" s="314">
        <f>IF(M54&gt;0, R54/M54, 0)</f>
        <v>7250</v>
      </c>
      <c r="O54" s="315" t="s">
        <v>57</v>
      </c>
      <c r="P54" s="327">
        <f>SUM(P52:P53)</f>
        <v>4</v>
      </c>
      <c r="Q54" s="314">
        <f t="shared" si="5"/>
        <v>7250</v>
      </c>
      <c r="R54" s="314">
        <f>SUM(R52:R53)</f>
        <v>29000</v>
      </c>
      <c r="S54" s="317"/>
    </row>
    <row r="55" spans="9:19">
      <c r="I55" s="305">
        <v>9</v>
      </c>
      <c r="J55" s="305" t="s">
        <v>512</v>
      </c>
      <c r="K55" s="306" t="s">
        <v>513</v>
      </c>
      <c r="L55" s="306" t="s">
        <v>514</v>
      </c>
      <c r="M55" s="308">
        <v>720</v>
      </c>
      <c r="N55" s="309">
        <v>700</v>
      </c>
      <c r="O55" s="324">
        <v>1</v>
      </c>
      <c r="P55" s="325">
        <f t="shared" ref="P55:P80" si="6">M55*O55</f>
        <v>720</v>
      </c>
      <c r="Q55" s="309">
        <f t="shared" si="5"/>
        <v>700</v>
      </c>
      <c r="R55" s="309">
        <f>'Detalle Compras Septiembre 2026'!G280</f>
        <v>504000</v>
      </c>
      <c r="S55" s="317"/>
    </row>
    <row r="56" spans="9:19">
      <c r="I56" s="305">
        <v>9</v>
      </c>
      <c r="J56" s="305" t="s">
        <v>515</v>
      </c>
      <c r="K56" s="306" t="s">
        <v>516</v>
      </c>
      <c r="L56" s="306" t="s">
        <v>517</v>
      </c>
      <c r="M56" s="308">
        <v>7</v>
      </c>
      <c r="N56" s="309">
        <v>2166.67</v>
      </c>
      <c r="O56" s="324">
        <v>1</v>
      </c>
      <c r="P56" s="325">
        <f t="shared" si="6"/>
        <v>7</v>
      </c>
      <c r="Q56" s="309">
        <f t="shared" si="5"/>
        <v>2166.6685714285713</v>
      </c>
      <c r="R56" s="309">
        <f>'Detalle Compras Septiembre 2026'!G296</f>
        <v>15166.68</v>
      </c>
      <c r="S56" s="317"/>
    </row>
    <row r="57" spans="9:19">
      <c r="I57" s="305">
        <v>9</v>
      </c>
      <c r="J57" s="305" t="s">
        <v>515</v>
      </c>
      <c r="K57" s="306" t="s">
        <v>518</v>
      </c>
      <c r="L57" s="306" t="s">
        <v>519</v>
      </c>
      <c r="M57" s="308">
        <v>8</v>
      </c>
      <c r="N57" s="309">
        <v>2166.67</v>
      </c>
      <c r="O57" s="305">
        <v>1</v>
      </c>
      <c r="P57" s="325">
        <f t="shared" si="6"/>
        <v>8</v>
      </c>
      <c r="Q57" s="309">
        <f t="shared" si="5"/>
        <v>2166.6687499999998</v>
      </c>
      <c r="R57" s="309">
        <f>'Detalle Compras Septiembre 2026'!G297</f>
        <v>17333.349999999999</v>
      </c>
      <c r="S57" s="317"/>
    </row>
    <row r="58" spans="9:19">
      <c r="I58" s="305">
        <v>9</v>
      </c>
      <c r="J58" s="305" t="s">
        <v>515</v>
      </c>
      <c r="K58" s="306" t="s">
        <v>520</v>
      </c>
      <c r="L58" s="306" t="s">
        <v>521</v>
      </c>
      <c r="M58" s="308">
        <v>15</v>
      </c>
      <c r="N58" s="309">
        <v>2166.67</v>
      </c>
      <c r="O58" s="305">
        <v>1</v>
      </c>
      <c r="P58" s="325">
        <f t="shared" si="6"/>
        <v>15</v>
      </c>
      <c r="Q58" s="309">
        <f t="shared" si="5"/>
        <v>2166.6686666666665</v>
      </c>
      <c r="R58" s="309">
        <f>'Detalle Compras Septiembre 2026'!G298</f>
        <v>32500.03</v>
      </c>
      <c r="S58" s="317"/>
    </row>
    <row r="59" spans="9:19">
      <c r="I59" s="305">
        <v>9</v>
      </c>
      <c r="J59" s="305" t="s">
        <v>515</v>
      </c>
      <c r="K59" s="306" t="s">
        <v>522</v>
      </c>
      <c r="L59" s="306" t="s">
        <v>523</v>
      </c>
      <c r="M59" s="308">
        <v>24</v>
      </c>
      <c r="N59" s="309">
        <v>1500</v>
      </c>
      <c r="O59" s="305">
        <v>1</v>
      </c>
      <c r="P59" s="325">
        <f t="shared" si="6"/>
        <v>24</v>
      </c>
      <c r="Q59" s="309">
        <f t="shared" si="5"/>
        <v>1500</v>
      </c>
      <c r="R59" s="309">
        <f>'Detalle Compras Septiembre 2026'!G299</f>
        <v>36000</v>
      </c>
      <c r="S59" s="317"/>
    </row>
    <row r="60" spans="9:19">
      <c r="I60" s="305">
        <v>9</v>
      </c>
      <c r="J60" s="305" t="s">
        <v>515</v>
      </c>
      <c r="K60" s="306" t="s">
        <v>524</v>
      </c>
      <c r="L60" s="306" t="s">
        <v>525</v>
      </c>
      <c r="M60" s="308">
        <v>48</v>
      </c>
      <c r="N60" s="309">
        <v>1333.33</v>
      </c>
      <c r="O60" s="305">
        <v>1</v>
      </c>
      <c r="P60" s="325">
        <f t="shared" si="6"/>
        <v>48</v>
      </c>
      <c r="Q60" s="309">
        <f t="shared" si="5"/>
        <v>1333.33</v>
      </c>
      <c r="R60" s="309">
        <f>'Detalle Compras Septiembre 2026'!G300</f>
        <v>63999.839999999997</v>
      </c>
      <c r="S60" s="317"/>
    </row>
    <row r="61" spans="9:19">
      <c r="I61" s="305">
        <v>9</v>
      </c>
      <c r="J61" s="305" t="s">
        <v>515</v>
      </c>
      <c r="K61" s="306" t="s">
        <v>526</v>
      </c>
      <c r="L61" s="306" t="s">
        <v>527</v>
      </c>
      <c r="M61" s="308">
        <v>90</v>
      </c>
      <c r="N61" s="309">
        <v>1916.67</v>
      </c>
      <c r="O61" s="305">
        <v>1</v>
      </c>
      <c r="P61" s="325">
        <f t="shared" si="6"/>
        <v>90</v>
      </c>
      <c r="Q61" s="309">
        <f t="shared" si="5"/>
        <v>1916.6699999999998</v>
      </c>
      <c r="R61" s="309">
        <f>'Detalle Compras Septiembre 2026'!G301</f>
        <v>172500.3</v>
      </c>
      <c r="S61" s="317"/>
    </row>
    <row r="62" spans="9:19">
      <c r="I62" s="305">
        <v>9</v>
      </c>
      <c r="J62" s="305" t="s">
        <v>515</v>
      </c>
      <c r="K62" s="306" t="s">
        <v>528</v>
      </c>
      <c r="L62" s="306" t="s">
        <v>529</v>
      </c>
      <c r="M62" s="308">
        <v>15</v>
      </c>
      <c r="N62" s="309">
        <v>1726.67</v>
      </c>
      <c r="O62" s="305">
        <v>1</v>
      </c>
      <c r="P62" s="325">
        <f t="shared" si="6"/>
        <v>15</v>
      </c>
      <c r="Q62" s="309">
        <f t="shared" si="5"/>
        <v>1726.6660000000002</v>
      </c>
      <c r="R62" s="309">
        <f>'Detalle Compras Septiembre 2026'!G302</f>
        <v>25899.99</v>
      </c>
      <c r="S62" s="317"/>
    </row>
    <row r="63" spans="9:19">
      <c r="I63" s="305">
        <v>9</v>
      </c>
      <c r="J63" s="305" t="s">
        <v>515</v>
      </c>
      <c r="K63" s="306" t="s">
        <v>530</v>
      </c>
      <c r="L63" s="306" t="s">
        <v>531</v>
      </c>
      <c r="M63" s="308">
        <v>15</v>
      </c>
      <c r="N63" s="309">
        <v>1726.67</v>
      </c>
      <c r="O63" s="305">
        <v>1</v>
      </c>
      <c r="P63" s="325">
        <f t="shared" si="6"/>
        <v>15</v>
      </c>
      <c r="Q63" s="309">
        <f t="shared" si="5"/>
        <v>1726.6660000000002</v>
      </c>
      <c r="R63" s="309">
        <f>'Detalle Compras Septiembre 2026'!G303</f>
        <v>25899.99</v>
      </c>
      <c r="S63" s="317"/>
    </row>
    <row r="64" spans="9:19">
      <c r="I64" s="305">
        <v>9</v>
      </c>
      <c r="J64" s="305" t="s">
        <v>515</v>
      </c>
      <c r="K64" s="306" t="s">
        <v>532</v>
      </c>
      <c r="L64" s="306" t="s">
        <v>533</v>
      </c>
      <c r="M64" s="308">
        <v>15</v>
      </c>
      <c r="N64" s="309">
        <v>1726.67</v>
      </c>
      <c r="O64" s="305">
        <v>1</v>
      </c>
      <c r="P64" s="325">
        <f t="shared" si="6"/>
        <v>15</v>
      </c>
      <c r="Q64" s="309">
        <f t="shared" si="5"/>
        <v>1726.6660000000002</v>
      </c>
      <c r="R64" s="309">
        <f>'Detalle Compras Septiembre 2026'!G304</f>
        <v>25899.99</v>
      </c>
      <c r="S64" s="317"/>
    </row>
    <row r="65" spans="9:19">
      <c r="I65" s="305">
        <v>9</v>
      </c>
      <c r="J65" s="305" t="s">
        <v>515</v>
      </c>
      <c r="K65" s="306" t="s">
        <v>534</v>
      </c>
      <c r="L65" s="306" t="s">
        <v>535</v>
      </c>
      <c r="M65" s="308">
        <v>15</v>
      </c>
      <c r="N65" s="309">
        <v>1726.67</v>
      </c>
      <c r="O65" s="305">
        <v>1</v>
      </c>
      <c r="P65" s="325">
        <f t="shared" si="6"/>
        <v>15</v>
      </c>
      <c r="Q65" s="309">
        <f t="shared" si="5"/>
        <v>1726.6660000000002</v>
      </c>
      <c r="R65" s="309">
        <f>'Detalle Compras Septiembre 2026'!G305</f>
        <v>25899.99</v>
      </c>
      <c r="S65" s="317"/>
    </row>
    <row r="66" spans="9:19">
      <c r="I66" s="305">
        <v>9</v>
      </c>
      <c r="J66" s="305" t="s">
        <v>515</v>
      </c>
      <c r="K66" s="306" t="s">
        <v>536</v>
      </c>
      <c r="L66" s="306" t="s">
        <v>537</v>
      </c>
      <c r="M66" s="308">
        <v>30</v>
      </c>
      <c r="N66" s="309">
        <v>1500</v>
      </c>
      <c r="O66" s="305">
        <v>1</v>
      </c>
      <c r="P66" s="325">
        <f t="shared" si="6"/>
        <v>30</v>
      </c>
      <c r="Q66" s="309">
        <f t="shared" si="5"/>
        <v>1499.9949999999999</v>
      </c>
      <c r="R66" s="309">
        <f>'Detalle Compras Septiembre 2026'!G306</f>
        <v>44999.85</v>
      </c>
      <c r="S66" s="317"/>
    </row>
    <row r="67" spans="9:19">
      <c r="I67" s="305">
        <v>9</v>
      </c>
      <c r="J67" s="305" t="s">
        <v>515</v>
      </c>
      <c r="K67" s="306" t="s">
        <v>538</v>
      </c>
      <c r="L67" s="306" t="s">
        <v>539</v>
      </c>
      <c r="M67" s="308">
        <v>12</v>
      </c>
      <c r="N67" s="309">
        <v>3750</v>
      </c>
      <c r="O67" s="305">
        <v>1</v>
      </c>
      <c r="P67" s="325">
        <f t="shared" si="6"/>
        <v>12</v>
      </c>
      <c r="Q67" s="309">
        <f t="shared" si="5"/>
        <v>3749.9991666666665</v>
      </c>
      <c r="R67" s="309">
        <f>'Detalle Compras Septiembre 2026'!G307</f>
        <v>44999.99</v>
      </c>
      <c r="S67" s="317"/>
    </row>
    <row r="68" spans="9:19">
      <c r="I68" s="305">
        <v>9</v>
      </c>
      <c r="J68" s="305" t="s">
        <v>515</v>
      </c>
      <c r="K68" s="306" t="s">
        <v>540</v>
      </c>
      <c r="L68" s="306" t="s">
        <v>541</v>
      </c>
      <c r="M68" s="308">
        <v>12</v>
      </c>
      <c r="N68" s="309">
        <v>3750</v>
      </c>
      <c r="O68" s="305">
        <v>1</v>
      </c>
      <c r="P68" s="325">
        <f t="shared" si="6"/>
        <v>12</v>
      </c>
      <c r="Q68" s="309">
        <f t="shared" si="5"/>
        <v>3749.9991666666665</v>
      </c>
      <c r="R68" s="309">
        <f>'Detalle Compras Septiembre 2026'!G308</f>
        <v>44999.99</v>
      </c>
      <c r="S68" s="317"/>
    </row>
    <row r="69" spans="9:19">
      <c r="I69" s="305">
        <v>9</v>
      </c>
      <c r="J69" s="305" t="s">
        <v>515</v>
      </c>
      <c r="K69" s="306" t="s">
        <v>542</v>
      </c>
      <c r="L69" s="306" t="s">
        <v>543</v>
      </c>
      <c r="M69" s="308">
        <v>12</v>
      </c>
      <c r="N69" s="309">
        <v>3750</v>
      </c>
      <c r="O69" s="305">
        <v>1</v>
      </c>
      <c r="P69" s="325">
        <f t="shared" si="6"/>
        <v>12</v>
      </c>
      <c r="Q69" s="309">
        <f t="shared" si="5"/>
        <v>3750.0008333333335</v>
      </c>
      <c r="R69" s="309">
        <f>'Detalle Compras Septiembre 2026'!G309</f>
        <v>45000.01</v>
      </c>
      <c r="S69" s="317"/>
    </row>
    <row r="70" spans="9:19">
      <c r="I70" s="305">
        <v>9</v>
      </c>
      <c r="J70" s="305" t="s">
        <v>544</v>
      </c>
      <c r="K70" s="306" t="s">
        <v>510</v>
      </c>
      <c r="L70" s="306" t="s">
        <v>504</v>
      </c>
      <c r="M70" s="308">
        <v>2</v>
      </c>
      <c r="N70" s="309">
        <v>5000</v>
      </c>
      <c r="O70" s="305">
        <v>1</v>
      </c>
      <c r="P70" s="325">
        <f t="shared" si="6"/>
        <v>2</v>
      </c>
      <c r="Q70" s="309">
        <f t="shared" si="5"/>
        <v>5000</v>
      </c>
      <c r="R70" s="309">
        <f>'Detalle Compras Septiembre 2026'!G534</f>
        <v>10000</v>
      </c>
      <c r="S70" s="317"/>
    </row>
    <row r="71" spans="9:19">
      <c r="I71" s="305">
        <v>9</v>
      </c>
      <c r="J71" s="305" t="s">
        <v>545</v>
      </c>
      <c r="K71" s="306" t="s">
        <v>546</v>
      </c>
      <c r="L71" s="306" t="s">
        <v>547</v>
      </c>
      <c r="M71" s="308">
        <v>5</v>
      </c>
      <c r="N71" s="309">
        <v>26000</v>
      </c>
      <c r="O71" s="305">
        <v>1</v>
      </c>
      <c r="P71" s="325">
        <f t="shared" si="6"/>
        <v>5</v>
      </c>
      <c r="Q71" s="309">
        <f t="shared" si="5"/>
        <v>26000</v>
      </c>
      <c r="R71" s="309">
        <f>'Detalle Compras Septiembre 2026'!G535</f>
        <v>130000</v>
      </c>
      <c r="S71" s="317"/>
    </row>
    <row r="72" spans="9:19">
      <c r="I72" s="305">
        <v>9</v>
      </c>
      <c r="J72" s="305" t="s">
        <v>548</v>
      </c>
      <c r="K72" s="306" t="s">
        <v>549</v>
      </c>
      <c r="L72" s="306" t="s">
        <v>550</v>
      </c>
      <c r="M72" s="308">
        <v>1</v>
      </c>
      <c r="N72" s="309">
        <v>44900</v>
      </c>
      <c r="O72" s="305">
        <v>1</v>
      </c>
      <c r="P72" s="325">
        <f t="shared" si="6"/>
        <v>1</v>
      </c>
      <c r="Q72" s="309">
        <f t="shared" si="5"/>
        <v>44900</v>
      </c>
      <c r="R72" s="309">
        <f>'Detalle Compras Septiembre 2026'!G540</f>
        <v>44900</v>
      </c>
      <c r="S72" s="317"/>
    </row>
    <row r="73" spans="9:19">
      <c r="I73" s="305">
        <v>9</v>
      </c>
      <c r="J73" s="305" t="s">
        <v>551</v>
      </c>
      <c r="K73" s="306" t="s">
        <v>552</v>
      </c>
      <c r="L73" s="306" t="s">
        <v>553</v>
      </c>
      <c r="M73" s="308">
        <v>5</v>
      </c>
      <c r="N73" s="309">
        <v>3160</v>
      </c>
      <c r="O73" s="305">
        <v>1</v>
      </c>
      <c r="P73" s="325">
        <f t="shared" si="6"/>
        <v>5</v>
      </c>
      <c r="Q73" s="309">
        <f t="shared" si="5"/>
        <v>3160</v>
      </c>
      <c r="R73" s="309">
        <f>'Detalle Compras Septiembre 2026'!G542</f>
        <v>15800</v>
      </c>
      <c r="S73" s="317"/>
    </row>
    <row r="74" spans="9:19">
      <c r="I74" s="305">
        <v>9</v>
      </c>
      <c r="J74" s="305" t="s">
        <v>551</v>
      </c>
      <c r="K74" s="306" t="s">
        <v>554</v>
      </c>
      <c r="L74" s="306" t="s">
        <v>555</v>
      </c>
      <c r="M74" s="308">
        <v>5</v>
      </c>
      <c r="N74" s="309">
        <v>2510</v>
      </c>
      <c r="O74" s="305">
        <v>1</v>
      </c>
      <c r="P74" s="325">
        <f t="shared" si="6"/>
        <v>5</v>
      </c>
      <c r="Q74" s="309">
        <f t="shared" ref="Q74:Q105" si="7">IF(P74&gt;0, R74/P74, 0)</f>
        <v>2510</v>
      </c>
      <c r="R74" s="309">
        <f>'Detalle Compras Septiembre 2026'!G543</f>
        <v>12550</v>
      </c>
      <c r="S74" s="317"/>
    </row>
    <row r="75" spans="9:19">
      <c r="I75" s="305">
        <v>9</v>
      </c>
      <c r="J75" s="305" t="s">
        <v>551</v>
      </c>
      <c r="K75" s="306" t="s">
        <v>556</v>
      </c>
      <c r="L75" s="306" t="s">
        <v>557</v>
      </c>
      <c r="M75" s="308">
        <v>2</v>
      </c>
      <c r="N75" s="309">
        <v>18200</v>
      </c>
      <c r="O75" s="305">
        <v>1</v>
      </c>
      <c r="P75" s="325">
        <f t="shared" si="6"/>
        <v>2</v>
      </c>
      <c r="Q75" s="309">
        <f t="shared" si="7"/>
        <v>18200</v>
      </c>
      <c r="R75" s="309">
        <f>'Detalle Compras Septiembre 2026'!G544</f>
        <v>36400</v>
      </c>
      <c r="S75" s="317"/>
    </row>
    <row r="76" spans="9:19">
      <c r="I76" s="305">
        <v>9</v>
      </c>
      <c r="J76" s="305" t="s">
        <v>551</v>
      </c>
      <c r="K76" s="306" t="s">
        <v>558</v>
      </c>
      <c r="L76" s="306" t="s">
        <v>559</v>
      </c>
      <c r="M76" s="308">
        <v>70</v>
      </c>
      <c r="N76" s="309">
        <v>4180</v>
      </c>
      <c r="O76" s="305">
        <v>1</v>
      </c>
      <c r="P76" s="325">
        <f t="shared" si="6"/>
        <v>70</v>
      </c>
      <c r="Q76" s="309">
        <f t="shared" si="7"/>
        <v>4180</v>
      </c>
      <c r="R76" s="309">
        <f>'Detalle Compras Septiembre 2026'!G545</f>
        <v>292600</v>
      </c>
      <c r="S76" s="317"/>
    </row>
    <row r="77" spans="9:19">
      <c r="I77" s="305">
        <v>9</v>
      </c>
      <c r="J77" s="305" t="s">
        <v>551</v>
      </c>
      <c r="K77" s="306" t="s">
        <v>560</v>
      </c>
      <c r="L77" s="306" t="s">
        <v>561</v>
      </c>
      <c r="M77" s="308">
        <v>6</v>
      </c>
      <c r="N77" s="309">
        <v>1100</v>
      </c>
      <c r="O77" s="305">
        <v>1</v>
      </c>
      <c r="P77" s="325">
        <f t="shared" si="6"/>
        <v>6</v>
      </c>
      <c r="Q77" s="309">
        <f t="shared" si="7"/>
        <v>1100</v>
      </c>
      <c r="R77" s="309">
        <f>'Detalle Compras Septiembre 2026'!G546</f>
        <v>6600</v>
      </c>
      <c r="S77" s="317"/>
    </row>
    <row r="78" spans="9:19">
      <c r="I78" s="305">
        <v>9</v>
      </c>
      <c r="J78" s="305" t="s">
        <v>551</v>
      </c>
      <c r="K78" s="306" t="s">
        <v>562</v>
      </c>
      <c r="L78" s="306" t="s">
        <v>563</v>
      </c>
      <c r="M78" s="308">
        <v>6</v>
      </c>
      <c r="N78" s="309">
        <v>2510</v>
      </c>
      <c r="O78" s="305">
        <v>1</v>
      </c>
      <c r="P78" s="325">
        <f t="shared" si="6"/>
        <v>6</v>
      </c>
      <c r="Q78" s="309">
        <f t="shared" si="7"/>
        <v>2510</v>
      </c>
      <c r="R78" s="309">
        <f>'Detalle Compras Septiembre 2026'!G547</f>
        <v>15060</v>
      </c>
      <c r="S78" s="317"/>
    </row>
    <row r="79" spans="9:19">
      <c r="I79" s="305">
        <v>9</v>
      </c>
      <c r="J79" s="305" t="s">
        <v>551</v>
      </c>
      <c r="K79" s="306" t="s">
        <v>564</v>
      </c>
      <c r="L79" s="306" t="s">
        <v>565</v>
      </c>
      <c r="M79" s="308">
        <v>5</v>
      </c>
      <c r="N79" s="309">
        <v>3160</v>
      </c>
      <c r="O79" s="305">
        <v>1</v>
      </c>
      <c r="P79" s="325">
        <f t="shared" si="6"/>
        <v>5</v>
      </c>
      <c r="Q79" s="309">
        <f t="shared" si="7"/>
        <v>3160</v>
      </c>
      <c r="R79" s="309">
        <f>'Detalle Compras Septiembre 2026'!G548</f>
        <v>15800</v>
      </c>
      <c r="S79" s="317"/>
    </row>
    <row r="80" spans="9:19">
      <c r="I80" s="305">
        <v>9</v>
      </c>
      <c r="J80" s="305" t="s">
        <v>551</v>
      </c>
      <c r="K80" s="306" t="s">
        <v>566</v>
      </c>
      <c r="L80" s="306" t="s">
        <v>567</v>
      </c>
      <c r="M80" s="308">
        <v>6</v>
      </c>
      <c r="N80" s="309">
        <v>3160</v>
      </c>
      <c r="O80" s="305">
        <v>1</v>
      </c>
      <c r="P80" s="325">
        <f t="shared" si="6"/>
        <v>6</v>
      </c>
      <c r="Q80" s="309">
        <f t="shared" si="7"/>
        <v>3160</v>
      </c>
      <c r="R80" s="309">
        <f>'Detalle Compras Septiembre 2026'!G549</f>
        <v>18960</v>
      </c>
      <c r="S80" s="317"/>
    </row>
    <row r="81" spans="9:19">
      <c r="I81" s="312" t="s">
        <v>568</v>
      </c>
      <c r="J81" s="312"/>
      <c r="K81" s="312"/>
      <c r="L81" s="312"/>
      <c r="M81" s="319">
        <f>SUM(M55:M80)</f>
        <v>1151</v>
      </c>
      <c r="N81" s="320">
        <f>IF(M81&gt;0, R81/M81, 0)</f>
        <v>1497.6281494352736</v>
      </c>
      <c r="O81" s="315" t="s">
        <v>57</v>
      </c>
      <c r="P81" s="329">
        <f>SUM(P55:P80)</f>
        <v>1151</v>
      </c>
      <c r="Q81" s="320">
        <f t="shared" si="7"/>
        <v>1497.6281494352736</v>
      </c>
      <c r="R81" s="320">
        <f>SUM(R55:R80)</f>
        <v>1723770</v>
      </c>
      <c r="S81" s="317"/>
    </row>
    <row r="82" spans="9:19">
      <c r="I82" s="305">
        <v>10</v>
      </c>
      <c r="J82" s="305" t="s">
        <v>313</v>
      </c>
      <c r="K82" s="306" t="s">
        <v>569</v>
      </c>
      <c r="L82" s="306" t="s">
        <v>569</v>
      </c>
      <c r="M82" s="308">
        <v>1</v>
      </c>
      <c r="N82" s="309">
        <v>329500</v>
      </c>
      <c r="O82" s="305">
        <v>1</v>
      </c>
      <c r="P82" s="325">
        <f t="shared" ref="P82:P90" si="8">M82*O82</f>
        <v>1</v>
      </c>
      <c r="Q82" s="309">
        <f t="shared" si="7"/>
        <v>329500</v>
      </c>
      <c r="R82" s="309">
        <f>'Detalle Compras Septiembre 2026'!G355</f>
        <v>329500</v>
      </c>
      <c r="S82" s="317"/>
    </row>
    <row r="83" spans="9:19">
      <c r="I83" s="305">
        <v>10</v>
      </c>
      <c r="J83" s="305" t="s">
        <v>570</v>
      </c>
      <c r="K83" s="306" t="s">
        <v>571</v>
      </c>
      <c r="L83" s="306" t="s">
        <v>572</v>
      </c>
      <c r="M83" s="308">
        <v>1</v>
      </c>
      <c r="N83" s="309">
        <v>10504</v>
      </c>
      <c r="O83" s="305">
        <v>1</v>
      </c>
      <c r="P83" s="325">
        <f t="shared" si="8"/>
        <v>1</v>
      </c>
      <c r="Q83" s="309">
        <f t="shared" si="7"/>
        <v>10504</v>
      </c>
      <c r="R83" s="309">
        <f>'Detalle Compras Septiembre 2026'!G367</f>
        <v>10504</v>
      </c>
      <c r="S83" s="317"/>
    </row>
    <row r="84" spans="9:19">
      <c r="I84" s="305">
        <v>10</v>
      </c>
      <c r="J84" s="305" t="s">
        <v>573</v>
      </c>
      <c r="K84" s="306" t="s">
        <v>574</v>
      </c>
      <c r="L84" s="306" t="s">
        <v>575</v>
      </c>
      <c r="M84" s="308">
        <v>1</v>
      </c>
      <c r="N84" s="309">
        <v>12000</v>
      </c>
      <c r="O84" s="305">
        <v>1</v>
      </c>
      <c r="P84" s="325">
        <f t="shared" si="8"/>
        <v>1</v>
      </c>
      <c r="Q84" s="309">
        <f t="shared" si="7"/>
        <v>12000</v>
      </c>
      <c r="R84" s="309">
        <f>'Detalle Compras Septiembre 2026'!G368</f>
        <v>12000</v>
      </c>
      <c r="S84" s="317"/>
    </row>
    <row r="85" spans="9:19">
      <c r="I85" s="305">
        <v>10</v>
      </c>
      <c r="J85" s="305" t="s">
        <v>576</v>
      </c>
      <c r="K85" s="306" t="s">
        <v>577</v>
      </c>
      <c r="L85" s="306" t="s">
        <v>578</v>
      </c>
      <c r="M85" s="308">
        <v>1</v>
      </c>
      <c r="N85" s="309">
        <v>33782</v>
      </c>
      <c r="O85" s="305">
        <v>1</v>
      </c>
      <c r="P85" s="325">
        <f t="shared" si="8"/>
        <v>1</v>
      </c>
      <c r="Q85" s="309">
        <f t="shared" si="7"/>
        <v>33782</v>
      </c>
      <c r="R85" s="309">
        <f>'Detalle Compras Septiembre 2026'!G369</f>
        <v>33782</v>
      </c>
      <c r="S85" s="317"/>
    </row>
    <row r="86" spans="9:19">
      <c r="I86" s="305">
        <v>10</v>
      </c>
      <c r="J86" s="305" t="s">
        <v>579</v>
      </c>
      <c r="K86" s="306" t="s">
        <v>580</v>
      </c>
      <c r="L86" s="306" t="s">
        <v>581</v>
      </c>
      <c r="M86" s="308">
        <v>1</v>
      </c>
      <c r="N86" s="309">
        <v>37815</v>
      </c>
      <c r="O86" s="305">
        <v>1</v>
      </c>
      <c r="P86" s="325">
        <f t="shared" si="8"/>
        <v>1</v>
      </c>
      <c r="Q86" s="309">
        <f t="shared" si="7"/>
        <v>37815</v>
      </c>
      <c r="R86" s="309">
        <f>'Detalle Compras Septiembre 2026'!G370</f>
        <v>37815</v>
      </c>
      <c r="S86" s="317"/>
    </row>
    <row r="87" spans="9:19">
      <c r="I87" s="305">
        <v>10</v>
      </c>
      <c r="J87" s="305" t="s">
        <v>582</v>
      </c>
      <c r="K87" s="306" t="s">
        <v>583</v>
      </c>
      <c r="L87" s="306" t="s">
        <v>584</v>
      </c>
      <c r="M87" s="308">
        <v>1</v>
      </c>
      <c r="N87" s="309">
        <v>264500</v>
      </c>
      <c r="O87" s="305">
        <v>1</v>
      </c>
      <c r="P87" s="325">
        <f t="shared" si="8"/>
        <v>1</v>
      </c>
      <c r="Q87" s="309">
        <f t="shared" si="7"/>
        <v>264500</v>
      </c>
      <c r="R87" s="309">
        <f>'Detalle Compras Septiembre 2026'!G501</f>
        <v>264500</v>
      </c>
      <c r="S87" s="317"/>
    </row>
    <row r="88" spans="9:19">
      <c r="I88" s="305">
        <v>10</v>
      </c>
      <c r="J88" s="305" t="s">
        <v>585</v>
      </c>
      <c r="K88" s="306" t="s">
        <v>586</v>
      </c>
      <c r="L88" s="306" t="s">
        <v>587</v>
      </c>
      <c r="M88" s="308">
        <v>1</v>
      </c>
      <c r="N88" s="309">
        <v>65000</v>
      </c>
      <c r="O88" s="305">
        <v>1</v>
      </c>
      <c r="P88" s="325">
        <f t="shared" si="8"/>
        <v>1</v>
      </c>
      <c r="Q88" s="309">
        <f t="shared" si="7"/>
        <v>65000</v>
      </c>
      <c r="R88" s="309">
        <f>'Detalle Compras Septiembre 2026'!G502</f>
        <v>65000</v>
      </c>
      <c r="S88" s="317"/>
    </row>
    <row r="89" spans="9:19">
      <c r="I89" s="305">
        <v>10</v>
      </c>
      <c r="J89" s="305" t="s">
        <v>588</v>
      </c>
      <c r="K89" s="306" t="s">
        <v>589</v>
      </c>
      <c r="L89" s="306" t="s">
        <v>590</v>
      </c>
      <c r="M89" s="308">
        <v>2</v>
      </c>
      <c r="N89" s="309">
        <v>9500</v>
      </c>
      <c r="O89" s="305">
        <v>1</v>
      </c>
      <c r="P89" s="325">
        <f t="shared" si="8"/>
        <v>2</v>
      </c>
      <c r="Q89" s="309">
        <f t="shared" si="7"/>
        <v>9500</v>
      </c>
      <c r="R89" s="309">
        <f>'Detalle Compras Septiembre 2026'!G506</f>
        <v>19000</v>
      </c>
      <c r="S89" s="317"/>
    </row>
    <row r="90" spans="9:19">
      <c r="I90" s="305">
        <v>10</v>
      </c>
      <c r="J90" s="305" t="s">
        <v>591</v>
      </c>
      <c r="K90" s="306" t="s">
        <v>464</v>
      </c>
      <c r="L90" s="306" t="s">
        <v>465</v>
      </c>
      <c r="M90" s="308">
        <v>6</v>
      </c>
      <c r="N90" s="309">
        <v>24395</v>
      </c>
      <c r="O90" s="305">
        <v>1</v>
      </c>
      <c r="P90" s="325">
        <f t="shared" si="8"/>
        <v>6</v>
      </c>
      <c r="Q90" s="309">
        <f t="shared" si="7"/>
        <v>24395</v>
      </c>
      <c r="R90" s="309">
        <f>'Detalle Compras Septiembre 2026'!G527</f>
        <v>146370</v>
      </c>
      <c r="S90" s="317"/>
    </row>
    <row r="91" spans="9:19">
      <c r="I91" s="312" t="s">
        <v>592</v>
      </c>
      <c r="J91" s="312"/>
      <c r="K91" s="312"/>
      <c r="L91" s="312"/>
      <c r="M91" s="319">
        <f>SUM(M82:M90)</f>
        <v>15</v>
      </c>
      <c r="N91" s="320">
        <f>IF(M91&gt;0, R91/M91, 0)</f>
        <v>61231.4</v>
      </c>
      <c r="O91" s="315" t="s">
        <v>57</v>
      </c>
      <c r="P91" s="329">
        <f>SUM(P82:P90)</f>
        <v>15</v>
      </c>
      <c r="Q91" s="320">
        <f t="shared" si="7"/>
        <v>61231.4</v>
      </c>
      <c r="R91" s="320">
        <f>SUM(R82:R90)</f>
        <v>918471</v>
      </c>
      <c r="S91" s="317"/>
    </row>
    <row r="92" spans="9:19">
      <c r="I92" s="305">
        <v>11</v>
      </c>
      <c r="J92" s="305" t="s">
        <v>593</v>
      </c>
      <c r="K92" s="306" t="s">
        <v>594</v>
      </c>
      <c r="L92" s="306" t="s">
        <v>468</v>
      </c>
      <c r="M92" s="308">
        <v>2</v>
      </c>
      <c r="N92" s="309">
        <v>9500</v>
      </c>
      <c r="O92" s="305">
        <v>1</v>
      </c>
      <c r="P92" s="325">
        <f>M92*O92</f>
        <v>2</v>
      </c>
      <c r="Q92" s="309">
        <f t="shared" si="7"/>
        <v>9500</v>
      </c>
      <c r="R92" s="309">
        <f>'Detalle Compras Septiembre 2026'!G498</f>
        <v>19000</v>
      </c>
      <c r="S92" s="317"/>
    </row>
    <row r="93" spans="9:19">
      <c r="I93" s="305">
        <v>11</v>
      </c>
      <c r="J93" s="305" t="s">
        <v>593</v>
      </c>
      <c r="K93" s="306" t="s">
        <v>595</v>
      </c>
      <c r="L93" s="306" t="s">
        <v>504</v>
      </c>
      <c r="M93" s="308">
        <v>3</v>
      </c>
      <c r="N93" s="309">
        <v>5000</v>
      </c>
      <c r="O93" s="305">
        <v>1</v>
      </c>
      <c r="P93" s="325">
        <f>M93*O93</f>
        <v>3</v>
      </c>
      <c r="Q93" s="309">
        <f t="shared" si="7"/>
        <v>5000</v>
      </c>
      <c r="R93" s="309">
        <f>'Detalle Compras Septiembre 2026'!G499</f>
        <v>15000</v>
      </c>
      <c r="S93" s="317"/>
    </row>
    <row r="94" spans="9:19">
      <c r="I94" s="312" t="s">
        <v>596</v>
      </c>
      <c r="J94" s="312"/>
      <c r="K94" s="312"/>
      <c r="L94" s="312"/>
      <c r="M94" s="319">
        <f>SUM(M92:M93)</f>
        <v>5</v>
      </c>
      <c r="N94" s="320">
        <f>IF(M94&gt;0, R94/M94, 0)</f>
        <v>6800</v>
      </c>
      <c r="O94" s="315" t="s">
        <v>57</v>
      </c>
      <c r="P94" s="329">
        <f>SUM(P92:P93)</f>
        <v>5</v>
      </c>
      <c r="Q94" s="320">
        <f t="shared" si="7"/>
        <v>6800</v>
      </c>
      <c r="R94" s="320">
        <f>SUM(R92:R93)</f>
        <v>34000</v>
      </c>
      <c r="S94" s="317"/>
    </row>
    <row r="95" spans="9:19">
      <c r="I95" s="305">
        <v>12</v>
      </c>
      <c r="J95" s="305" t="s">
        <v>597</v>
      </c>
      <c r="K95" s="306" t="s">
        <v>598</v>
      </c>
      <c r="L95" s="306" t="s">
        <v>599</v>
      </c>
      <c r="M95" s="308">
        <v>1</v>
      </c>
      <c r="N95" s="309">
        <v>20750</v>
      </c>
      <c r="O95" s="305">
        <v>1</v>
      </c>
      <c r="P95" s="325">
        <f>M95*O95</f>
        <v>1</v>
      </c>
      <c r="Q95" s="309">
        <f t="shared" si="7"/>
        <v>20750</v>
      </c>
      <c r="R95" s="309">
        <f>'Detalle Compras Septiembre 2026'!G460</f>
        <v>20750</v>
      </c>
      <c r="S95" s="317"/>
    </row>
    <row r="96" spans="9:19">
      <c r="I96" s="305">
        <v>12</v>
      </c>
      <c r="J96" s="305" t="s">
        <v>597</v>
      </c>
      <c r="K96" s="306" t="s">
        <v>598</v>
      </c>
      <c r="L96" s="306" t="s">
        <v>600</v>
      </c>
      <c r="M96" s="308">
        <v>1</v>
      </c>
      <c r="N96" s="309">
        <v>20750</v>
      </c>
      <c r="O96" s="305">
        <v>1</v>
      </c>
      <c r="P96" s="325">
        <f>M96*O96</f>
        <v>1</v>
      </c>
      <c r="Q96" s="309">
        <f t="shared" si="7"/>
        <v>20750</v>
      </c>
      <c r="R96" s="309">
        <f>'Detalle Compras Septiembre 2026'!G461</f>
        <v>20750</v>
      </c>
      <c r="S96" s="317"/>
    </row>
    <row r="97" spans="9:19">
      <c r="I97" s="305">
        <v>12</v>
      </c>
      <c r="J97" s="305" t="s">
        <v>597</v>
      </c>
      <c r="K97" s="306" t="s">
        <v>598</v>
      </c>
      <c r="L97" s="306" t="s">
        <v>601</v>
      </c>
      <c r="M97" s="308">
        <v>1</v>
      </c>
      <c r="N97" s="309">
        <v>20750</v>
      </c>
      <c r="O97" s="305">
        <v>1</v>
      </c>
      <c r="P97" s="325">
        <f>M97*O97</f>
        <v>1</v>
      </c>
      <c r="Q97" s="309">
        <f t="shared" si="7"/>
        <v>20750</v>
      </c>
      <c r="R97" s="309">
        <f>'Detalle Compras Septiembre 2026'!G462</f>
        <v>20750</v>
      </c>
      <c r="S97" s="317"/>
    </row>
    <row r="98" spans="9:19">
      <c r="I98" s="305">
        <v>12</v>
      </c>
      <c r="J98" s="305" t="s">
        <v>597</v>
      </c>
      <c r="K98" s="306" t="s">
        <v>598</v>
      </c>
      <c r="L98" s="306" t="s">
        <v>602</v>
      </c>
      <c r="M98" s="308">
        <v>1</v>
      </c>
      <c r="N98" s="309">
        <v>20750</v>
      </c>
      <c r="O98" s="305">
        <v>1</v>
      </c>
      <c r="P98" s="325">
        <f>M98*O98</f>
        <v>1</v>
      </c>
      <c r="Q98" s="309">
        <f t="shared" si="7"/>
        <v>20750</v>
      </c>
      <c r="R98" s="309">
        <f>'Detalle Compras Septiembre 2026'!G463</f>
        <v>20750</v>
      </c>
      <c r="S98" s="317"/>
    </row>
    <row r="99" spans="9:19">
      <c r="I99" s="312" t="s">
        <v>603</v>
      </c>
      <c r="J99" s="312"/>
      <c r="K99" s="312"/>
      <c r="L99" s="312"/>
      <c r="M99" s="319">
        <f>SUM(M95:M98)</f>
        <v>4</v>
      </c>
      <c r="N99" s="320">
        <f>IF(M99&gt;0, R99/M99, 0)</f>
        <v>20750</v>
      </c>
      <c r="O99" s="315" t="s">
        <v>57</v>
      </c>
      <c r="P99" s="329">
        <f>SUM(P95:P98)</f>
        <v>4</v>
      </c>
      <c r="Q99" s="320">
        <f t="shared" si="7"/>
        <v>20750</v>
      </c>
      <c r="R99" s="320">
        <f>SUM(R95:R98)</f>
        <v>83000</v>
      </c>
      <c r="S99" s="317"/>
    </row>
    <row r="100" spans="9:19">
      <c r="I100" s="305">
        <v>13</v>
      </c>
      <c r="J100" s="305" t="s">
        <v>604</v>
      </c>
      <c r="K100" s="306" t="s">
        <v>605</v>
      </c>
      <c r="L100" s="306" t="s">
        <v>606</v>
      </c>
      <c r="M100" s="308">
        <v>2</v>
      </c>
      <c r="N100" s="309">
        <v>32000</v>
      </c>
      <c r="O100" s="305">
        <v>1</v>
      </c>
      <c r="P100" s="325">
        <f>M100*O100</f>
        <v>2</v>
      </c>
      <c r="Q100" s="309">
        <f t="shared" si="7"/>
        <v>32000</v>
      </c>
      <c r="R100" s="309">
        <f>'Detalle Compras Septiembre 2026'!G468</f>
        <v>64000</v>
      </c>
      <c r="S100" s="317"/>
    </row>
    <row r="101" spans="9:19">
      <c r="I101" s="305">
        <v>13</v>
      </c>
      <c r="J101" s="305" t="s">
        <v>604</v>
      </c>
      <c r="K101" s="306" t="s">
        <v>607</v>
      </c>
      <c r="L101" s="306" t="s">
        <v>608</v>
      </c>
      <c r="M101" s="308">
        <v>1</v>
      </c>
      <c r="N101" s="309">
        <v>62500</v>
      </c>
      <c r="O101" s="305">
        <v>1</v>
      </c>
      <c r="P101" s="325">
        <f>M101*O101</f>
        <v>1</v>
      </c>
      <c r="Q101" s="309">
        <f t="shared" si="7"/>
        <v>62500</v>
      </c>
      <c r="R101" s="309">
        <f>'Detalle Compras Septiembre 2026'!G469</f>
        <v>62500</v>
      </c>
      <c r="S101" s="317"/>
    </row>
    <row r="102" spans="9:19">
      <c r="I102" s="312" t="s">
        <v>391</v>
      </c>
      <c r="J102" s="312"/>
      <c r="K102" s="312"/>
      <c r="L102" s="312"/>
      <c r="M102" s="319">
        <f>SUM(M100:M101)</f>
        <v>3</v>
      </c>
      <c r="N102" s="320">
        <f>IF(M102&gt;0, R102/M102, 0)</f>
        <v>42166.666666666664</v>
      </c>
      <c r="O102" s="315" t="s">
        <v>57</v>
      </c>
      <c r="P102" s="329">
        <f>SUM(P100:P101)</f>
        <v>3</v>
      </c>
      <c r="Q102" s="320">
        <f t="shared" si="7"/>
        <v>42166.666666666664</v>
      </c>
      <c r="R102" s="320">
        <f>SUM(R100:R101)</f>
        <v>126500</v>
      </c>
      <c r="S102" s="317"/>
    </row>
    <row r="103" spans="9:19">
      <c r="I103" s="321" t="s">
        <v>609</v>
      </c>
      <c r="J103" s="321"/>
      <c r="K103" s="321"/>
      <c r="L103" s="321"/>
      <c r="M103" s="322">
        <f>M14+M18+M27+M30+M46+M51+M54+M81+M91+M94+M99+M102</f>
        <v>1457</v>
      </c>
      <c r="N103" s="323">
        <f>IF(M103&gt;0, R103/M103, 0)</f>
        <v>3472.6287371310914</v>
      </c>
      <c r="O103" s="330" t="s">
        <v>57</v>
      </c>
      <c r="P103" s="331">
        <f>P14+P18+P27+P30+P46+P51+P54+P81+P91+P94+P99+P102</f>
        <v>1457</v>
      </c>
      <c r="Q103" s="323">
        <f t="shared" si="7"/>
        <v>3472.6287371310914</v>
      </c>
      <c r="R103" s="323">
        <f>R14+R18+R27+R30+R46+R51+R54+R81+R91+R94+R99+R102</f>
        <v>5059620.07</v>
      </c>
      <c r="S103" s="317"/>
    </row>
    <row r="104" spans="9:19"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</row>
    <row r="105" spans="9:19"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</row>
    <row r="106" spans="9:19"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</row>
    <row r="107" spans="9:19"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</row>
    <row r="108" spans="9:19"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</row>
    <row r="109" spans="9:19"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</row>
    <row r="110" spans="9:19"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</row>
    <row r="111" spans="9:19"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</row>
    <row r="112" spans="9:19"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</row>
    <row r="113" spans="9:19"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</row>
    <row r="114" spans="9:19"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</row>
    <row r="115" spans="9:19"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</row>
    <row r="116" spans="9:19"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</row>
    <row r="117" spans="9:19"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</row>
    <row r="118" spans="9:19"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</row>
    <row r="119" spans="9:19"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</row>
    <row r="120" spans="9:19"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</row>
    <row r="121" spans="9:19"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</row>
    <row r="122" spans="9:19"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</row>
    <row r="123" spans="9:19"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</row>
    <row r="124" spans="9:19"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</row>
    <row r="125" spans="9:19"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</row>
    <row r="126" spans="9:19"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</row>
    <row r="127" spans="9:19"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</row>
    <row r="128" spans="9:19"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</row>
    <row r="129" spans="9:19"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</row>
    <row r="130" spans="9:19"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</row>
    <row r="131" spans="9:19"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</row>
    <row r="132" spans="9:19"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</row>
    <row r="133" spans="9:19"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</row>
    <row r="134" spans="9:19"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</row>
    <row r="135" spans="9:19"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</row>
    <row r="136" spans="9:19"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</row>
    <row r="137" spans="9:19"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</row>
    <row r="138" spans="9:19"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</row>
    <row r="139" spans="9:19"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</row>
    <row r="140" spans="9:19"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</row>
    <row r="141" spans="9:19"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</row>
    <row r="142" spans="9:19"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</row>
    <row r="143" spans="9:19"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</row>
    <row r="144" spans="9:19"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</row>
    <row r="145" spans="9:19"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</row>
    <row r="146" spans="9:19"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</row>
    <row r="147" spans="9:19"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</row>
    <row r="148" spans="9:19"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</row>
  </sheetData>
  <mergeCells count="8">
    <mergeCell ref="B2:H2"/>
    <mergeCell ref="B3:H3"/>
    <mergeCell ref="D6:E6"/>
    <mergeCell ref="B6:C6"/>
    <mergeCell ref="I8:R8"/>
    <mergeCell ref="B5:C5"/>
    <mergeCell ref="D5:E5"/>
    <mergeCell ref="B8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00"/>
  <sheetViews>
    <sheetView topLeftCell="A1056" workbookViewId="0">
      <selection activeCell="A1100" sqref="A1100"/>
    </sheetView>
  </sheetViews>
  <sheetFormatPr baseColWidth="10" defaultColWidth="9.140625" defaultRowHeight="15"/>
  <cols>
    <col min="1" max="1" width="8" style="236" customWidth="1"/>
    <col min="2" max="2" width="13" style="236" customWidth="1"/>
    <col min="3" max="3" width="10" style="236" customWidth="1"/>
    <col min="4" max="4" width="25" style="236" customWidth="1"/>
    <col min="5" max="5" width="32" style="236" customWidth="1"/>
    <col min="6" max="6" width="9" style="236" customWidth="1"/>
    <col min="7" max="7" width="16.85546875" style="236" bestFit="1" customWidth="1"/>
    <col min="8" max="8" width="19.28515625" style="236" bestFit="1" customWidth="1"/>
    <col min="9" max="9" width="16" style="236" customWidth="1"/>
    <col min="10" max="10" width="14" style="236" customWidth="1"/>
    <col min="11" max="11" width="16" style="236" customWidth="1"/>
    <col min="12" max="12" width="18.140625" style="236" bestFit="1" customWidth="1"/>
    <col min="13" max="13" width="21.140625" style="236" customWidth="1"/>
    <col min="14" max="14" width="14.28515625" style="236" customWidth="1"/>
  </cols>
  <sheetData>
    <row r="1" spans="1:14" ht="24.95" customHeight="1">
      <c r="A1" s="148" t="s">
        <v>42</v>
      </c>
      <c r="B1" s="148" t="s">
        <v>71</v>
      </c>
      <c r="C1" s="148" t="s">
        <v>103</v>
      </c>
      <c r="D1" s="148" t="s">
        <v>105</v>
      </c>
      <c r="E1" s="148" t="s">
        <v>104</v>
      </c>
      <c r="F1" s="148" t="s">
        <v>610</v>
      </c>
      <c r="G1" s="148" t="s">
        <v>611</v>
      </c>
      <c r="H1" s="148" t="s">
        <v>612</v>
      </c>
      <c r="I1" s="148" t="s">
        <v>613</v>
      </c>
      <c r="J1" s="148" t="s">
        <v>614</v>
      </c>
      <c r="K1" s="148" t="s">
        <v>615</v>
      </c>
      <c r="L1" s="148" t="s">
        <v>616</v>
      </c>
      <c r="M1" s="148" t="s">
        <v>617</v>
      </c>
      <c r="N1" s="148" t="s">
        <v>618</v>
      </c>
    </row>
    <row r="2" spans="1:14" ht="18" customHeight="1">
      <c r="A2" s="134">
        <v>1</v>
      </c>
      <c r="B2" s="135" t="s">
        <v>81</v>
      </c>
      <c r="C2" s="134">
        <v>73</v>
      </c>
      <c r="D2" s="138" t="s">
        <v>86</v>
      </c>
      <c r="E2" s="138" t="s">
        <v>619</v>
      </c>
      <c r="F2" s="135" t="s">
        <v>620</v>
      </c>
      <c r="G2" s="274">
        <v>13</v>
      </c>
      <c r="H2" s="261">
        <v>2593</v>
      </c>
      <c r="I2" s="261">
        <v>33704</v>
      </c>
      <c r="J2" s="261">
        <v>0</v>
      </c>
      <c r="K2" s="261">
        <f t="shared" ref="K2:K65" si="0">I2-J2</f>
        <v>33704</v>
      </c>
      <c r="L2" s="261">
        <v>2696</v>
      </c>
      <c r="M2" s="261">
        <f t="shared" ref="M2:M65" si="1">K2+L2</f>
        <v>36400</v>
      </c>
      <c r="N2" s="137">
        <v>5.4000000000000003E-3</v>
      </c>
    </row>
    <row r="3" spans="1:14" ht="18" customHeight="1">
      <c r="A3" s="134">
        <v>1</v>
      </c>
      <c r="B3" s="135" t="s">
        <v>81</v>
      </c>
      <c r="C3" s="134">
        <v>65</v>
      </c>
      <c r="D3" s="138" t="s">
        <v>86</v>
      </c>
      <c r="E3" s="138" t="s">
        <v>621</v>
      </c>
      <c r="F3" s="135" t="s">
        <v>620</v>
      </c>
      <c r="G3" s="274">
        <v>2</v>
      </c>
      <c r="H3" s="261">
        <v>2778</v>
      </c>
      <c r="I3" s="261">
        <v>5556</v>
      </c>
      <c r="J3" s="261">
        <v>0</v>
      </c>
      <c r="K3" s="261">
        <f t="shared" si="0"/>
        <v>5556</v>
      </c>
      <c r="L3" s="261">
        <v>444</v>
      </c>
      <c r="M3" s="261">
        <f t="shared" si="1"/>
        <v>6000</v>
      </c>
      <c r="N3" s="137">
        <v>8.9999999999999998E-4</v>
      </c>
    </row>
    <row r="4" spans="1:14" ht="18" customHeight="1">
      <c r="A4" s="134">
        <v>1</v>
      </c>
      <c r="B4" s="135" t="s">
        <v>81</v>
      </c>
      <c r="C4" s="134">
        <v>1</v>
      </c>
      <c r="D4" s="138" t="s">
        <v>82</v>
      </c>
      <c r="E4" s="138" t="s">
        <v>622</v>
      </c>
      <c r="F4" s="135" t="s">
        <v>620</v>
      </c>
      <c r="G4" s="274">
        <v>22</v>
      </c>
      <c r="H4" s="261">
        <v>18729</v>
      </c>
      <c r="I4" s="261">
        <v>415741</v>
      </c>
      <c r="J4" s="261">
        <v>3704</v>
      </c>
      <c r="K4" s="261">
        <f t="shared" si="0"/>
        <v>412037</v>
      </c>
      <c r="L4" s="261">
        <v>32963</v>
      </c>
      <c r="M4" s="261">
        <f t="shared" si="1"/>
        <v>445000</v>
      </c>
      <c r="N4" s="137">
        <v>6.5599999999999992E-2</v>
      </c>
    </row>
    <row r="5" spans="1:14" ht="18" customHeight="1">
      <c r="A5" s="134">
        <v>1</v>
      </c>
      <c r="B5" s="135" t="s">
        <v>81</v>
      </c>
      <c r="C5" s="134">
        <v>12</v>
      </c>
      <c r="D5" s="138" t="s">
        <v>88</v>
      </c>
      <c r="E5" s="138" t="s">
        <v>623</v>
      </c>
      <c r="F5" s="135" t="s">
        <v>620</v>
      </c>
      <c r="G5" s="274">
        <v>7</v>
      </c>
      <c r="H5" s="261">
        <v>41667</v>
      </c>
      <c r="I5" s="261">
        <v>291667</v>
      </c>
      <c r="J5" s="261">
        <v>0</v>
      </c>
      <c r="K5" s="261">
        <f t="shared" si="0"/>
        <v>291667</v>
      </c>
      <c r="L5" s="261">
        <v>23333</v>
      </c>
      <c r="M5" s="261">
        <f t="shared" si="1"/>
        <v>315000</v>
      </c>
      <c r="N5" s="137">
        <v>4.6399999999999997E-2</v>
      </c>
    </row>
    <row r="6" spans="1:14" ht="18" customHeight="1">
      <c r="A6" s="134">
        <v>1</v>
      </c>
      <c r="B6" s="135" t="s">
        <v>81</v>
      </c>
      <c r="C6" s="134">
        <v>104</v>
      </c>
      <c r="D6" s="138" t="s">
        <v>84</v>
      </c>
      <c r="E6" s="138" t="s">
        <v>157</v>
      </c>
      <c r="F6" s="135" t="s">
        <v>620</v>
      </c>
      <c r="G6" s="274">
        <v>9</v>
      </c>
      <c r="H6" s="261">
        <v>15844</v>
      </c>
      <c r="I6" s="261">
        <v>144444</v>
      </c>
      <c r="J6" s="261">
        <v>1852</v>
      </c>
      <c r="K6" s="261">
        <f t="shared" si="0"/>
        <v>142592</v>
      </c>
      <c r="L6" s="261">
        <v>11407</v>
      </c>
      <c r="M6" s="261">
        <f t="shared" si="1"/>
        <v>153999</v>
      </c>
      <c r="N6" s="137">
        <v>2.2700000000000001E-2</v>
      </c>
    </row>
    <row r="7" spans="1:14" ht="18" customHeight="1">
      <c r="A7" s="134">
        <v>1</v>
      </c>
      <c r="B7" s="135" t="s">
        <v>81</v>
      </c>
      <c r="C7" s="134">
        <v>95</v>
      </c>
      <c r="D7" s="138" t="s">
        <v>82</v>
      </c>
      <c r="E7" s="138" t="s">
        <v>624</v>
      </c>
      <c r="F7" s="135" t="s">
        <v>620</v>
      </c>
      <c r="G7" s="274">
        <v>2</v>
      </c>
      <c r="H7" s="261">
        <v>926</v>
      </c>
      <c r="I7" s="261">
        <v>1852</v>
      </c>
      <c r="J7" s="261">
        <v>0</v>
      </c>
      <c r="K7" s="261">
        <f t="shared" si="0"/>
        <v>1852</v>
      </c>
      <c r="L7" s="261">
        <v>148</v>
      </c>
      <c r="M7" s="261">
        <f t="shared" si="1"/>
        <v>2000</v>
      </c>
      <c r="N7" s="137">
        <v>2.9999999999999997E-4</v>
      </c>
    </row>
    <row r="8" spans="1:14" ht="18" customHeight="1">
      <c r="A8" s="134">
        <v>1</v>
      </c>
      <c r="B8" s="135" t="s">
        <v>81</v>
      </c>
      <c r="C8" s="134">
        <v>136</v>
      </c>
      <c r="D8" s="138" t="s">
        <v>84</v>
      </c>
      <c r="E8" s="138" t="s">
        <v>625</v>
      </c>
      <c r="F8" s="135" t="s">
        <v>620</v>
      </c>
      <c r="G8" s="274">
        <v>1</v>
      </c>
      <c r="H8" s="261">
        <v>24074</v>
      </c>
      <c r="I8" s="261">
        <v>24074</v>
      </c>
      <c r="J8" s="261">
        <v>0</v>
      </c>
      <c r="K8" s="261">
        <f t="shared" si="0"/>
        <v>24074</v>
      </c>
      <c r="L8" s="261">
        <v>1926</v>
      </c>
      <c r="M8" s="261">
        <f t="shared" si="1"/>
        <v>26000</v>
      </c>
      <c r="N8" s="137">
        <v>3.8E-3</v>
      </c>
    </row>
    <row r="9" spans="1:14" ht="18" customHeight="1">
      <c r="A9" s="134">
        <v>1</v>
      </c>
      <c r="B9" s="135" t="s">
        <v>81</v>
      </c>
      <c r="C9" s="134">
        <v>8</v>
      </c>
      <c r="D9" s="138" t="s">
        <v>82</v>
      </c>
      <c r="E9" s="138" t="s">
        <v>151</v>
      </c>
      <c r="F9" s="135" t="s">
        <v>620</v>
      </c>
      <c r="G9" s="274">
        <v>11</v>
      </c>
      <c r="H9" s="261">
        <v>18855</v>
      </c>
      <c r="I9" s="261">
        <v>207407</v>
      </c>
      <c r="J9" s="261">
        <v>0</v>
      </c>
      <c r="K9" s="261">
        <f t="shared" si="0"/>
        <v>207407</v>
      </c>
      <c r="L9" s="261">
        <v>16593</v>
      </c>
      <c r="M9" s="261">
        <f t="shared" si="1"/>
        <v>224000</v>
      </c>
      <c r="N9" s="137">
        <v>3.3000000000000002E-2</v>
      </c>
    </row>
    <row r="10" spans="1:14" ht="18" customHeight="1">
      <c r="A10" s="134">
        <v>1</v>
      </c>
      <c r="B10" s="135" t="s">
        <v>81</v>
      </c>
      <c r="C10" s="134">
        <v>311</v>
      </c>
      <c r="D10" s="138" t="s">
        <v>88</v>
      </c>
      <c r="E10" s="138" t="s">
        <v>626</v>
      </c>
      <c r="F10" s="135" t="s">
        <v>620</v>
      </c>
      <c r="G10" s="274">
        <v>2</v>
      </c>
      <c r="H10" s="261">
        <v>44907</v>
      </c>
      <c r="I10" s="261">
        <v>89815</v>
      </c>
      <c r="J10" s="261">
        <v>0</v>
      </c>
      <c r="K10" s="261">
        <f t="shared" si="0"/>
        <v>89815</v>
      </c>
      <c r="L10" s="261">
        <v>7185</v>
      </c>
      <c r="M10" s="261">
        <f t="shared" si="1"/>
        <v>97000</v>
      </c>
      <c r="N10" s="137">
        <v>1.43E-2</v>
      </c>
    </row>
    <row r="11" spans="1:14" ht="18" customHeight="1">
      <c r="A11" s="134">
        <v>1</v>
      </c>
      <c r="B11" s="135" t="s">
        <v>81</v>
      </c>
      <c r="C11" s="134">
        <v>87</v>
      </c>
      <c r="D11" s="138" t="s">
        <v>84</v>
      </c>
      <c r="E11" s="138" t="s">
        <v>139</v>
      </c>
      <c r="F11" s="135" t="s">
        <v>620</v>
      </c>
      <c r="G11" s="274">
        <v>2</v>
      </c>
      <c r="H11" s="261">
        <v>37500</v>
      </c>
      <c r="I11" s="261">
        <v>75000</v>
      </c>
      <c r="J11" s="261">
        <v>0</v>
      </c>
      <c r="K11" s="261">
        <f t="shared" si="0"/>
        <v>75000</v>
      </c>
      <c r="L11" s="261">
        <v>6000</v>
      </c>
      <c r="M11" s="261">
        <f t="shared" si="1"/>
        <v>81000</v>
      </c>
      <c r="N11" s="137">
        <v>1.1900000000000001E-2</v>
      </c>
    </row>
    <row r="12" spans="1:14" ht="18" customHeight="1">
      <c r="A12" s="134">
        <v>1</v>
      </c>
      <c r="B12" s="135" t="s">
        <v>81</v>
      </c>
      <c r="C12" s="134">
        <v>206</v>
      </c>
      <c r="D12" s="138" t="s">
        <v>88</v>
      </c>
      <c r="E12" s="138" t="s">
        <v>627</v>
      </c>
      <c r="F12" s="135" t="s">
        <v>620</v>
      </c>
      <c r="G12" s="274">
        <v>2</v>
      </c>
      <c r="H12" s="261">
        <v>44907</v>
      </c>
      <c r="I12" s="261">
        <v>89815</v>
      </c>
      <c r="J12" s="261">
        <v>0</v>
      </c>
      <c r="K12" s="261">
        <f t="shared" si="0"/>
        <v>89815</v>
      </c>
      <c r="L12" s="261">
        <v>7185</v>
      </c>
      <c r="M12" s="261">
        <f t="shared" si="1"/>
        <v>97000</v>
      </c>
      <c r="N12" s="137">
        <v>1.43E-2</v>
      </c>
    </row>
    <row r="13" spans="1:14" ht="18" customHeight="1">
      <c r="A13" s="134">
        <v>1</v>
      </c>
      <c r="B13" s="135" t="s">
        <v>81</v>
      </c>
      <c r="C13" s="134">
        <v>13</v>
      </c>
      <c r="D13" s="138" t="s">
        <v>82</v>
      </c>
      <c r="E13" s="138" t="s">
        <v>628</v>
      </c>
      <c r="F13" s="135" t="s">
        <v>620</v>
      </c>
      <c r="G13" s="274">
        <v>2</v>
      </c>
      <c r="H13" s="261">
        <v>18519</v>
      </c>
      <c r="I13" s="261">
        <v>37037</v>
      </c>
      <c r="J13" s="261">
        <v>0</v>
      </c>
      <c r="K13" s="261">
        <f t="shared" si="0"/>
        <v>37037</v>
      </c>
      <c r="L13" s="261">
        <v>2963</v>
      </c>
      <c r="M13" s="261">
        <f t="shared" si="1"/>
        <v>40000</v>
      </c>
      <c r="N13" s="137">
        <v>5.8999999999999999E-3</v>
      </c>
    </row>
    <row r="14" spans="1:14" ht="18" customHeight="1">
      <c r="A14" s="134">
        <v>1</v>
      </c>
      <c r="B14" s="135" t="s">
        <v>81</v>
      </c>
      <c r="C14" s="134">
        <v>246</v>
      </c>
      <c r="D14" s="138" t="s">
        <v>86</v>
      </c>
      <c r="E14" s="138" t="s">
        <v>629</v>
      </c>
      <c r="F14" s="135" t="s">
        <v>620</v>
      </c>
      <c r="G14" s="274">
        <v>1</v>
      </c>
      <c r="H14" s="261">
        <v>6481</v>
      </c>
      <c r="I14" s="261">
        <v>6481</v>
      </c>
      <c r="J14" s="261">
        <v>0</v>
      </c>
      <c r="K14" s="261">
        <f t="shared" si="0"/>
        <v>6481</v>
      </c>
      <c r="L14" s="261">
        <v>519</v>
      </c>
      <c r="M14" s="261">
        <f t="shared" si="1"/>
        <v>7000</v>
      </c>
      <c r="N14" s="137">
        <v>1E-3</v>
      </c>
    </row>
    <row r="15" spans="1:14" ht="18" customHeight="1">
      <c r="A15" s="134">
        <v>1</v>
      </c>
      <c r="B15" s="135" t="s">
        <v>81</v>
      </c>
      <c r="C15" s="134">
        <v>70</v>
      </c>
      <c r="D15" s="138" t="s">
        <v>86</v>
      </c>
      <c r="E15" s="138" t="s">
        <v>630</v>
      </c>
      <c r="F15" s="135" t="s">
        <v>620</v>
      </c>
      <c r="G15" s="274">
        <v>0</v>
      </c>
      <c r="H15" s="261">
        <v>0</v>
      </c>
      <c r="I15" s="261">
        <v>0</v>
      </c>
      <c r="J15" s="261">
        <v>0</v>
      </c>
      <c r="K15" s="261">
        <f t="shared" si="0"/>
        <v>0</v>
      </c>
      <c r="L15" s="261">
        <v>0</v>
      </c>
      <c r="M15" s="261">
        <f t="shared" si="1"/>
        <v>0</v>
      </c>
      <c r="N15" s="137">
        <v>0</v>
      </c>
    </row>
    <row r="16" spans="1:14" ht="18" customHeight="1">
      <c r="A16" s="134">
        <v>1</v>
      </c>
      <c r="B16" s="135" t="s">
        <v>81</v>
      </c>
      <c r="C16" s="134">
        <v>71</v>
      </c>
      <c r="D16" s="138" t="s">
        <v>86</v>
      </c>
      <c r="E16" s="138" t="s">
        <v>631</v>
      </c>
      <c r="F16" s="135" t="s">
        <v>620</v>
      </c>
      <c r="G16" s="274">
        <v>1</v>
      </c>
      <c r="H16" s="261">
        <v>5556</v>
      </c>
      <c r="I16" s="261">
        <v>5556</v>
      </c>
      <c r="J16" s="261">
        <v>0</v>
      </c>
      <c r="K16" s="261">
        <f t="shared" si="0"/>
        <v>5556</v>
      </c>
      <c r="L16" s="261">
        <v>444</v>
      </c>
      <c r="M16" s="261">
        <f t="shared" si="1"/>
        <v>6000</v>
      </c>
      <c r="N16" s="137">
        <v>8.9999999999999998E-4</v>
      </c>
    </row>
    <row r="17" spans="1:14" ht="18" customHeight="1">
      <c r="A17" s="134">
        <v>1</v>
      </c>
      <c r="B17" s="135" t="s">
        <v>81</v>
      </c>
      <c r="C17" s="134">
        <v>83</v>
      </c>
      <c r="D17" s="138" t="s">
        <v>82</v>
      </c>
      <c r="E17" s="138" t="s">
        <v>632</v>
      </c>
      <c r="F17" s="135" t="s">
        <v>620</v>
      </c>
      <c r="G17" s="274">
        <v>1</v>
      </c>
      <c r="H17" s="261">
        <v>20833</v>
      </c>
      <c r="I17" s="261">
        <v>20833</v>
      </c>
      <c r="J17" s="261">
        <v>0</v>
      </c>
      <c r="K17" s="261">
        <f t="shared" si="0"/>
        <v>20833</v>
      </c>
      <c r="L17" s="261">
        <v>1667</v>
      </c>
      <c r="M17" s="261">
        <f t="shared" si="1"/>
        <v>22500</v>
      </c>
      <c r="N17" s="137">
        <v>3.3E-3</v>
      </c>
    </row>
    <row r="18" spans="1:14" ht="18" customHeight="1">
      <c r="A18" s="134">
        <v>1</v>
      </c>
      <c r="B18" s="135" t="s">
        <v>81</v>
      </c>
      <c r="C18" s="134">
        <v>43</v>
      </c>
      <c r="D18" s="138" t="s">
        <v>82</v>
      </c>
      <c r="E18" s="138" t="s">
        <v>633</v>
      </c>
      <c r="F18" s="135" t="s">
        <v>620</v>
      </c>
      <c r="G18" s="274">
        <v>1</v>
      </c>
      <c r="H18" s="261">
        <v>8333</v>
      </c>
      <c r="I18" s="261">
        <v>8333</v>
      </c>
      <c r="J18" s="261">
        <v>0</v>
      </c>
      <c r="K18" s="261">
        <f t="shared" si="0"/>
        <v>8333</v>
      </c>
      <c r="L18" s="261">
        <v>667</v>
      </c>
      <c r="M18" s="261">
        <f t="shared" si="1"/>
        <v>9000</v>
      </c>
      <c r="N18" s="137">
        <v>1.2999999999999999E-3</v>
      </c>
    </row>
    <row r="19" spans="1:14" ht="18" customHeight="1">
      <c r="A19" s="134">
        <v>1</v>
      </c>
      <c r="B19" s="135" t="s">
        <v>81</v>
      </c>
      <c r="C19" s="134">
        <v>122</v>
      </c>
      <c r="D19" s="138" t="s">
        <v>86</v>
      </c>
      <c r="E19" s="138" t="s">
        <v>634</v>
      </c>
      <c r="F19" s="135" t="s">
        <v>620</v>
      </c>
      <c r="G19" s="274">
        <v>1</v>
      </c>
      <c r="H19" s="261">
        <v>2778</v>
      </c>
      <c r="I19" s="261">
        <v>2778</v>
      </c>
      <c r="J19" s="261">
        <v>0</v>
      </c>
      <c r="K19" s="261">
        <f t="shared" si="0"/>
        <v>2778</v>
      </c>
      <c r="L19" s="261">
        <v>222</v>
      </c>
      <c r="M19" s="261">
        <f t="shared" si="1"/>
        <v>3000</v>
      </c>
      <c r="N19" s="137">
        <v>4.0000000000000002E-4</v>
      </c>
    </row>
    <row r="20" spans="1:14" ht="18" customHeight="1">
      <c r="A20" s="134">
        <v>1</v>
      </c>
      <c r="B20" s="135" t="s">
        <v>81</v>
      </c>
      <c r="C20" s="134">
        <v>44</v>
      </c>
      <c r="D20" s="138" t="s">
        <v>82</v>
      </c>
      <c r="E20" s="138" t="s">
        <v>133</v>
      </c>
      <c r="F20" s="135" t="s">
        <v>620</v>
      </c>
      <c r="G20" s="274">
        <v>1</v>
      </c>
      <c r="H20" s="261">
        <v>28241</v>
      </c>
      <c r="I20" s="261">
        <v>28241</v>
      </c>
      <c r="J20" s="261">
        <v>0</v>
      </c>
      <c r="K20" s="261">
        <f t="shared" si="0"/>
        <v>28241</v>
      </c>
      <c r="L20" s="261">
        <v>2259</v>
      </c>
      <c r="M20" s="261">
        <f t="shared" si="1"/>
        <v>30500</v>
      </c>
      <c r="N20" s="137">
        <v>4.5000000000000014E-3</v>
      </c>
    </row>
    <row r="21" spans="1:14" ht="18" customHeight="1">
      <c r="A21" s="134">
        <v>1</v>
      </c>
      <c r="B21" s="135" t="s">
        <v>81</v>
      </c>
      <c r="C21" s="134">
        <v>15</v>
      </c>
      <c r="D21" s="138" t="s">
        <v>82</v>
      </c>
      <c r="E21" s="138" t="s">
        <v>272</v>
      </c>
      <c r="F21" s="135" t="s">
        <v>620</v>
      </c>
      <c r="G21" s="274">
        <v>37</v>
      </c>
      <c r="H21" s="261">
        <v>18719</v>
      </c>
      <c r="I21" s="261">
        <v>694444</v>
      </c>
      <c r="J21" s="261">
        <v>1852</v>
      </c>
      <c r="K21" s="261">
        <f t="shared" si="0"/>
        <v>692592</v>
      </c>
      <c r="L21" s="261">
        <v>55407</v>
      </c>
      <c r="M21" s="261">
        <f t="shared" si="1"/>
        <v>747999</v>
      </c>
      <c r="N21" s="137">
        <v>0.11020000000000001</v>
      </c>
    </row>
    <row r="22" spans="1:14" ht="18" customHeight="1">
      <c r="A22" s="134">
        <v>1</v>
      </c>
      <c r="B22" s="135" t="s">
        <v>81</v>
      </c>
      <c r="C22" s="134">
        <v>110</v>
      </c>
      <c r="D22" s="138" t="s">
        <v>94</v>
      </c>
      <c r="E22" s="138" t="s">
        <v>635</v>
      </c>
      <c r="F22" s="135" t="s">
        <v>620</v>
      </c>
      <c r="G22" s="274">
        <v>12</v>
      </c>
      <c r="H22" s="261">
        <v>926</v>
      </c>
      <c r="I22" s="261">
        <v>11111</v>
      </c>
      <c r="J22" s="261">
        <v>0</v>
      </c>
      <c r="K22" s="261">
        <f t="shared" si="0"/>
        <v>11111</v>
      </c>
      <c r="L22" s="261">
        <v>889</v>
      </c>
      <c r="M22" s="261">
        <f t="shared" si="1"/>
        <v>12000</v>
      </c>
      <c r="N22" s="137">
        <v>1.8E-3</v>
      </c>
    </row>
    <row r="23" spans="1:14" ht="18" customHeight="1">
      <c r="A23" s="134">
        <v>1</v>
      </c>
      <c r="B23" s="135" t="s">
        <v>81</v>
      </c>
      <c r="C23" s="134">
        <v>45</v>
      </c>
      <c r="D23" s="138" t="s">
        <v>82</v>
      </c>
      <c r="E23" s="138" t="s">
        <v>636</v>
      </c>
      <c r="F23" s="135" t="s">
        <v>620</v>
      </c>
      <c r="G23" s="274">
        <v>1</v>
      </c>
      <c r="H23" s="261">
        <v>35648</v>
      </c>
      <c r="I23" s="261">
        <v>35648</v>
      </c>
      <c r="J23" s="261">
        <v>0</v>
      </c>
      <c r="K23" s="261">
        <f t="shared" si="0"/>
        <v>35648</v>
      </c>
      <c r="L23" s="261">
        <v>2852</v>
      </c>
      <c r="M23" s="261">
        <f t="shared" si="1"/>
        <v>38500</v>
      </c>
      <c r="N23" s="137">
        <v>5.6999999999999993E-3</v>
      </c>
    </row>
    <row r="24" spans="1:14" ht="18" customHeight="1">
      <c r="A24" s="134">
        <v>1</v>
      </c>
      <c r="B24" s="135" t="s">
        <v>81</v>
      </c>
      <c r="C24" s="134">
        <v>30</v>
      </c>
      <c r="D24" s="138" t="s">
        <v>90</v>
      </c>
      <c r="E24" s="138" t="s">
        <v>637</v>
      </c>
      <c r="F24" s="135" t="s">
        <v>620</v>
      </c>
      <c r="G24" s="274">
        <v>1</v>
      </c>
      <c r="H24" s="261">
        <v>6481</v>
      </c>
      <c r="I24" s="261">
        <v>6481</v>
      </c>
      <c r="J24" s="261">
        <v>0</v>
      </c>
      <c r="K24" s="261">
        <f t="shared" si="0"/>
        <v>6481</v>
      </c>
      <c r="L24" s="261">
        <v>519</v>
      </c>
      <c r="M24" s="261">
        <f t="shared" si="1"/>
        <v>7000</v>
      </c>
      <c r="N24" s="137">
        <v>1E-3</v>
      </c>
    </row>
    <row r="25" spans="1:14" ht="18" customHeight="1">
      <c r="A25" s="134">
        <v>1</v>
      </c>
      <c r="B25" s="135" t="s">
        <v>81</v>
      </c>
      <c r="C25" s="134">
        <v>305</v>
      </c>
      <c r="D25" s="138" t="s">
        <v>86</v>
      </c>
      <c r="E25" s="138" t="s">
        <v>638</v>
      </c>
      <c r="F25" s="135" t="s">
        <v>620</v>
      </c>
      <c r="G25" s="274">
        <v>2</v>
      </c>
      <c r="H25" s="261">
        <v>9259</v>
      </c>
      <c r="I25" s="261">
        <v>18519</v>
      </c>
      <c r="J25" s="261">
        <v>0</v>
      </c>
      <c r="K25" s="261">
        <f t="shared" si="0"/>
        <v>18519</v>
      </c>
      <c r="L25" s="261">
        <v>1481</v>
      </c>
      <c r="M25" s="261">
        <f t="shared" si="1"/>
        <v>20000</v>
      </c>
      <c r="N25" s="137">
        <v>2.8999999999999998E-3</v>
      </c>
    </row>
    <row r="26" spans="1:14" ht="18" customHeight="1">
      <c r="A26" s="134">
        <v>1</v>
      </c>
      <c r="B26" s="135" t="s">
        <v>81</v>
      </c>
      <c r="C26" s="134">
        <v>94</v>
      </c>
      <c r="D26" s="138" t="s">
        <v>84</v>
      </c>
      <c r="E26" s="138" t="s">
        <v>145</v>
      </c>
      <c r="F26" s="135" t="s">
        <v>620</v>
      </c>
      <c r="G26" s="274">
        <v>19</v>
      </c>
      <c r="H26" s="261">
        <v>18665</v>
      </c>
      <c r="I26" s="261">
        <v>356481</v>
      </c>
      <c r="J26" s="261">
        <v>1852</v>
      </c>
      <c r="K26" s="261">
        <f t="shared" si="0"/>
        <v>354629</v>
      </c>
      <c r="L26" s="261">
        <v>28370</v>
      </c>
      <c r="M26" s="261">
        <f t="shared" si="1"/>
        <v>382999</v>
      </c>
      <c r="N26" s="137">
        <v>5.6399999999999999E-2</v>
      </c>
    </row>
    <row r="27" spans="1:14" ht="18" customHeight="1">
      <c r="A27" s="134">
        <v>1</v>
      </c>
      <c r="B27" s="135" t="s">
        <v>81</v>
      </c>
      <c r="C27" s="134">
        <v>233</v>
      </c>
      <c r="D27" s="138" t="s">
        <v>84</v>
      </c>
      <c r="E27" s="138" t="s">
        <v>112</v>
      </c>
      <c r="F27" s="135" t="s">
        <v>620</v>
      </c>
      <c r="G27" s="274">
        <v>36</v>
      </c>
      <c r="H27" s="261">
        <v>18596</v>
      </c>
      <c r="I27" s="261">
        <v>671296</v>
      </c>
      <c r="J27" s="261">
        <v>1852</v>
      </c>
      <c r="K27" s="261">
        <f t="shared" si="0"/>
        <v>669444</v>
      </c>
      <c r="L27" s="261">
        <v>53556</v>
      </c>
      <c r="M27" s="261">
        <f t="shared" si="1"/>
        <v>723000</v>
      </c>
      <c r="N27" s="137">
        <v>0.1066</v>
      </c>
    </row>
    <row r="28" spans="1:14" ht="18" customHeight="1">
      <c r="A28" s="134">
        <v>1</v>
      </c>
      <c r="B28" s="135" t="s">
        <v>81</v>
      </c>
      <c r="C28" s="134">
        <v>217</v>
      </c>
      <c r="D28" s="138" t="s">
        <v>84</v>
      </c>
      <c r="E28" s="138" t="s">
        <v>639</v>
      </c>
      <c r="F28" s="135" t="s">
        <v>620</v>
      </c>
      <c r="G28" s="274">
        <v>3</v>
      </c>
      <c r="H28" s="261">
        <v>27778</v>
      </c>
      <c r="I28" s="261">
        <v>83333</v>
      </c>
      <c r="J28" s="261">
        <v>0</v>
      </c>
      <c r="K28" s="261">
        <f t="shared" si="0"/>
        <v>83333</v>
      </c>
      <c r="L28" s="261">
        <v>6667</v>
      </c>
      <c r="M28" s="261">
        <f t="shared" si="1"/>
        <v>90000</v>
      </c>
      <c r="N28" s="137">
        <v>1.3299999999999999E-2</v>
      </c>
    </row>
    <row r="29" spans="1:14" ht="18" customHeight="1">
      <c r="A29" s="134">
        <v>1</v>
      </c>
      <c r="B29" s="135" t="s">
        <v>81</v>
      </c>
      <c r="C29" s="134">
        <v>218</v>
      </c>
      <c r="D29" s="138" t="s">
        <v>84</v>
      </c>
      <c r="E29" s="138" t="s">
        <v>640</v>
      </c>
      <c r="F29" s="135" t="s">
        <v>620</v>
      </c>
      <c r="G29" s="274">
        <v>7</v>
      </c>
      <c r="H29" s="261">
        <v>18651</v>
      </c>
      <c r="I29" s="261">
        <v>130556</v>
      </c>
      <c r="J29" s="261">
        <v>0</v>
      </c>
      <c r="K29" s="261">
        <f t="shared" si="0"/>
        <v>130556</v>
      </c>
      <c r="L29" s="261">
        <v>10444</v>
      </c>
      <c r="M29" s="261">
        <f t="shared" si="1"/>
        <v>141000</v>
      </c>
      <c r="N29" s="137">
        <v>2.0799999999999999E-2</v>
      </c>
    </row>
    <row r="30" spans="1:14" ht="18" customHeight="1">
      <c r="A30" s="134">
        <v>1</v>
      </c>
      <c r="B30" s="135" t="s">
        <v>81</v>
      </c>
      <c r="C30" s="134">
        <v>34</v>
      </c>
      <c r="D30" s="138" t="s">
        <v>86</v>
      </c>
      <c r="E30" s="138" t="s">
        <v>641</v>
      </c>
      <c r="F30" s="135" t="s">
        <v>620</v>
      </c>
      <c r="G30" s="274">
        <v>6</v>
      </c>
      <c r="H30" s="261">
        <v>6481</v>
      </c>
      <c r="I30" s="261">
        <v>38889</v>
      </c>
      <c r="J30" s="261">
        <v>0</v>
      </c>
      <c r="K30" s="261">
        <f t="shared" si="0"/>
        <v>38889</v>
      </c>
      <c r="L30" s="261">
        <v>3111</v>
      </c>
      <c r="M30" s="261">
        <f t="shared" si="1"/>
        <v>42000</v>
      </c>
      <c r="N30" s="137">
        <v>6.1999999999999998E-3</v>
      </c>
    </row>
    <row r="31" spans="1:14" ht="18" customHeight="1">
      <c r="A31" s="134">
        <v>1</v>
      </c>
      <c r="B31" s="135" t="s">
        <v>81</v>
      </c>
      <c r="C31" s="134">
        <v>121</v>
      </c>
      <c r="D31" s="138" t="s">
        <v>86</v>
      </c>
      <c r="E31" s="138" t="s">
        <v>642</v>
      </c>
      <c r="F31" s="135" t="s">
        <v>620</v>
      </c>
      <c r="G31" s="274">
        <v>3</v>
      </c>
      <c r="H31" s="261">
        <v>2778</v>
      </c>
      <c r="I31" s="261">
        <v>8333</v>
      </c>
      <c r="J31" s="261">
        <v>0</v>
      </c>
      <c r="K31" s="261">
        <f t="shared" si="0"/>
        <v>8333</v>
      </c>
      <c r="L31" s="261">
        <v>667</v>
      </c>
      <c r="M31" s="261">
        <f t="shared" si="1"/>
        <v>9000</v>
      </c>
      <c r="N31" s="137">
        <v>1.2999999999999999E-3</v>
      </c>
    </row>
    <row r="32" spans="1:14" ht="18" customHeight="1">
      <c r="A32" s="134">
        <v>1</v>
      </c>
      <c r="B32" s="135" t="s">
        <v>81</v>
      </c>
      <c r="C32" s="134">
        <v>208</v>
      </c>
      <c r="D32" s="138" t="s">
        <v>86</v>
      </c>
      <c r="E32" s="138" t="s">
        <v>643</v>
      </c>
      <c r="F32" s="135" t="s">
        <v>620</v>
      </c>
      <c r="G32" s="274">
        <v>9</v>
      </c>
      <c r="H32" s="261">
        <v>3704</v>
      </c>
      <c r="I32" s="261">
        <v>33333</v>
      </c>
      <c r="J32" s="261">
        <v>0</v>
      </c>
      <c r="K32" s="261">
        <f t="shared" si="0"/>
        <v>33333</v>
      </c>
      <c r="L32" s="261">
        <v>2667</v>
      </c>
      <c r="M32" s="261">
        <f t="shared" si="1"/>
        <v>36000</v>
      </c>
      <c r="N32" s="137">
        <v>5.3E-3</v>
      </c>
    </row>
    <row r="33" spans="1:14" ht="18" customHeight="1">
      <c r="A33" s="134">
        <v>1</v>
      </c>
      <c r="B33" s="135" t="s">
        <v>81</v>
      </c>
      <c r="C33" s="134">
        <v>90</v>
      </c>
      <c r="D33" s="138" t="s">
        <v>86</v>
      </c>
      <c r="E33" s="138" t="s">
        <v>439</v>
      </c>
      <c r="F33" s="135" t="s">
        <v>620</v>
      </c>
      <c r="G33" s="274">
        <v>3</v>
      </c>
      <c r="H33" s="261">
        <v>4259</v>
      </c>
      <c r="I33" s="261">
        <v>12778</v>
      </c>
      <c r="J33" s="261">
        <v>0</v>
      </c>
      <c r="K33" s="261">
        <f t="shared" si="0"/>
        <v>12778</v>
      </c>
      <c r="L33" s="261">
        <v>1022</v>
      </c>
      <c r="M33" s="261">
        <f t="shared" si="1"/>
        <v>13800</v>
      </c>
      <c r="N33" s="137">
        <v>2E-3</v>
      </c>
    </row>
    <row r="34" spans="1:14" ht="18" customHeight="1">
      <c r="A34" s="134">
        <v>1</v>
      </c>
      <c r="B34" s="135" t="s">
        <v>81</v>
      </c>
      <c r="C34" s="134">
        <v>123</v>
      </c>
      <c r="D34" s="138" t="s">
        <v>86</v>
      </c>
      <c r="E34" s="138" t="s">
        <v>644</v>
      </c>
      <c r="F34" s="135" t="s">
        <v>620</v>
      </c>
      <c r="G34" s="274">
        <v>2</v>
      </c>
      <c r="H34" s="261">
        <v>2778</v>
      </c>
      <c r="I34" s="261">
        <v>5556</v>
      </c>
      <c r="J34" s="261">
        <v>0</v>
      </c>
      <c r="K34" s="261">
        <f t="shared" si="0"/>
        <v>5556</v>
      </c>
      <c r="L34" s="261">
        <v>444</v>
      </c>
      <c r="M34" s="261">
        <f t="shared" si="1"/>
        <v>6000</v>
      </c>
      <c r="N34" s="137">
        <v>8.9999999999999998E-4</v>
      </c>
    </row>
    <row r="35" spans="1:14" ht="18" customHeight="1">
      <c r="A35" s="134">
        <v>1</v>
      </c>
      <c r="B35" s="135" t="s">
        <v>81</v>
      </c>
      <c r="C35" s="134">
        <v>31</v>
      </c>
      <c r="D35" s="138" t="s">
        <v>90</v>
      </c>
      <c r="E35" s="138" t="s">
        <v>645</v>
      </c>
      <c r="F35" s="135" t="s">
        <v>620</v>
      </c>
      <c r="G35" s="274">
        <v>9</v>
      </c>
      <c r="H35" s="261">
        <v>1155</v>
      </c>
      <c r="I35" s="261">
        <v>10833</v>
      </c>
      <c r="J35" s="261">
        <v>434</v>
      </c>
      <c r="K35" s="261">
        <f t="shared" si="0"/>
        <v>10399</v>
      </c>
      <c r="L35" s="261">
        <v>832</v>
      </c>
      <c r="M35" s="261">
        <f t="shared" si="1"/>
        <v>11231</v>
      </c>
      <c r="N35" s="137">
        <v>1.6999999999999999E-3</v>
      </c>
    </row>
    <row r="36" spans="1:14" ht="18" customHeight="1">
      <c r="A36" s="134">
        <v>1</v>
      </c>
      <c r="B36" s="135" t="s">
        <v>81</v>
      </c>
      <c r="C36" s="134">
        <v>212</v>
      </c>
      <c r="D36" s="138" t="s">
        <v>86</v>
      </c>
      <c r="E36" s="138" t="s">
        <v>160</v>
      </c>
      <c r="F36" s="135" t="s">
        <v>620</v>
      </c>
      <c r="G36" s="274">
        <v>3</v>
      </c>
      <c r="H36" s="261">
        <v>22222</v>
      </c>
      <c r="I36" s="261">
        <v>66667</v>
      </c>
      <c r="J36" s="261">
        <v>0</v>
      </c>
      <c r="K36" s="261">
        <f t="shared" si="0"/>
        <v>66667</v>
      </c>
      <c r="L36" s="261">
        <v>5333</v>
      </c>
      <c r="M36" s="261">
        <f t="shared" si="1"/>
        <v>72000</v>
      </c>
      <c r="N36" s="137">
        <v>1.06E-2</v>
      </c>
    </row>
    <row r="37" spans="1:14" ht="18" customHeight="1">
      <c r="A37" s="134">
        <v>1</v>
      </c>
      <c r="B37" s="135" t="s">
        <v>81</v>
      </c>
      <c r="C37" s="134">
        <v>501</v>
      </c>
      <c r="D37" s="138" t="s">
        <v>86</v>
      </c>
      <c r="E37" s="138" t="s">
        <v>646</v>
      </c>
      <c r="F37" s="135" t="s">
        <v>620</v>
      </c>
      <c r="G37" s="274">
        <v>1</v>
      </c>
      <c r="H37" s="261">
        <v>22222</v>
      </c>
      <c r="I37" s="261">
        <v>22222</v>
      </c>
      <c r="J37" s="261">
        <v>0</v>
      </c>
      <c r="K37" s="261">
        <f t="shared" si="0"/>
        <v>22222</v>
      </c>
      <c r="L37" s="261">
        <v>1778</v>
      </c>
      <c r="M37" s="261">
        <f t="shared" si="1"/>
        <v>24000</v>
      </c>
      <c r="N37" s="137">
        <v>3.5000000000000001E-3</v>
      </c>
    </row>
    <row r="38" spans="1:14" ht="18" customHeight="1">
      <c r="A38" s="134">
        <v>1</v>
      </c>
      <c r="B38" s="135" t="s">
        <v>81</v>
      </c>
      <c r="C38" s="134">
        <v>75</v>
      </c>
      <c r="D38" s="138" t="s">
        <v>86</v>
      </c>
      <c r="E38" s="138" t="s">
        <v>647</v>
      </c>
      <c r="F38" s="135" t="s">
        <v>620</v>
      </c>
      <c r="G38" s="274">
        <v>1</v>
      </c>
      <c r="H38" s="261">
        <v>9259</v>
      </c>
      <c r="I38" s="261">
        <v>9259</v>
      </c>
      <c r="J38" s="261">
        <v>0</v>
      </c>
      <c r="K38" s="261">
        <f t="shared" si="0"/>
        <v>9259</v>
      </c>
      <c r="L38" s="261">
        <v>741</v>
      </c>
      <c r="M38" s="261">
        <f t="shared" si="1"/>
        <v>10000</v>
      </c>
      <c r="N38" s="137">
        <v>1.5E-3</v>
      </c>
    </row>
    <row r="39" spans="1:14" ht="18" customHeight="1">
      <c r="A39" s="134">
        <v>1</v>
      </c>
      <c r="B39" s="135" t="s">
        <v>81</v>
      </c>
      <c r="C39" s="134">
        <v>204</v>
      </c>
      <c r="D39" s="138" t="s">
        <v>86</v>
      </c>
      <c r="E39" s="138" t="s">
        <v>648</v>
      </c>
      <c r="F39" s="135" t="s">
        <v>620</v>
      </c>
      <c r="G39" s="274">
        <v>3</v>
      </c>
      <c r="H39" s="261">
        <v>12037</v>
      </c>
      <c r="I39" s="261">
        <v>36111</v>
      </c>
      <c r="J39" s="261">
        <v>0</v>
      </c>
      <c r="K39" s="261">
        <f t="shared" si="0"/>
        <v>36111</v>
      </c>
      <c r="L39" s="261">
        <v>2889</v>
      </c>
      <c r="M39" s="261">
        <f t="shared" si="1"/>
        <v>39000</v>
      </c>
      <c r="N39" s="137">
        <v>5.6999999999999993E-3</v>
      </c>
    </row>
    <row r="40" spans="1:14" ht="18" customHeight="1">
      <c r="A40" s="134">
        <v>1</v>
      </c>
      <c r="B40" s="135" t="s">
        <v>81</v>
      </c>
      <c r="C40" s="134">
        <v>109</v>
      </c>
      <c r="D40" s="138" t="s">
        <v>86</v>
      </c>
      <c r="E40" s="138" t="s">
        <v>142</v>
      </c>
      <c r="F40" s="135" t="s">
        <v>620</v>
      </c>
      <c r="G40" s="274">
        <v>4</v>
      </c>
      <c r="H40" s="261">
        <v>12963</v>
      </c>
      <c r="I40" s="261">
        <v>51852</v>
      </c>
      <c r="J40" s="261">
        <v>0</v>
      </c>
      <c r="K40" s="261">
        <f t="shared" si="0"/>
        <v>51852</v>
      </c>
      <c r="L40" s="261">
        <v>4148</v>
      </c>
      <c r="M40" s="261">
        <f t="shared" si="1"/>
        <v>56000</v>
      </c>
      <c r="N40" s="137">
        <v>8.3000000000000001E-3</v>
      </c>
    </row>
    <row r="41" spans="1:14" ht="18" customHeight="1">
      <c r="A41" s="134">
        <v>1</v>
      </c>
      <c r="B41" s="135" t="s">
        <v>81</v>
      </c>
      <c r="C41" s="134">
        <v>147</v>
      </c>
      <c r="D41" s="138" t="s">
        <v>86</v>
      </c>
      <c r="E41" s="138" t="s">
        <v>649</v>
      </c>
      <c r="F41" s="135" t="s">
        <v>620</v>
      </c>
      <c r="G41" s="274">
        <v>1</v>
      </c>
      <c r="H41" s="261">
        <v>6481</v>
      </c>
      <c r="I41" s="261">
        <v>6481</v>
      </c>
      <c r="J41" s="261">
        <v>0</v>
      </c>
      <c r="K41" s="261">
        <f t="shared" si="0"/>
        <v>6481</v>
      </c>
      <c r="L41" s="261">
        <v>519</v>
      </c>
      <c r="M41" s="261">
        <f t="shared" si="1"/>
        <v>7000</v>
      </c>
      <c r="N41" s="137">
        <v>1E-3</v>
      </c>
    </row>
    <row r="42" spans="1:14" ht="18" customHeight="1">
      <c r="A42" s="134">
        <v>1</v>
      </c>
      <c r="B42" s="135" t="s">
        <v>81</v>
      </c>
      <c r="C42" s="134">
        <v>46</v>
      </c>
      <c r="D42" s="138" t="s">
        <v>82</v>
      </c>
      <c r="E42" s="138" t="s">
        <v>650</v>
      </c>
      <c r="F42" s="135" t="s">
        <v>620</v>
      </c>
      <c r="G42" s="274">
        <v>2</v>
      </c>
      <c r="H42" s="261">
        <v>35648</v>
      </c>
      <c r="I42" s="261">
        <v>71296</v>
      </c>
      <c r="J42" s="261">
        <v>0</v>
      </c>
      <c r="K42" s="261">
        <f t="shared" si="0"/>
        <v>71296</v>
      </c>
      <c r="L42" s="261">
        <v>5704</v>
      </c>
      <c r="M42" s="261">
        <f t="shared" si="1"/>
        <v>77000</v>
      </c>
      <c r="N42" s="137">
        <v>1.1299999999999999E-2</v>
      </c>
    </row>
    <row r="43" spans="1:14" ht="18" customHeight="1">
      <c r="A43" s="134">
        <v>1</v>
      </c>
      <c r="B43" s="135" t="s">
        <v>81</v>
      </c>
      <c r="C43" s="134">
        <v>72</v>
      </c>
      <c r="D43" s="138" t="s">
        <v>92</v>
      </c>
      <c r="E43" s="138" t="s">
        <v>651</v>
      </c>
      <c r="F43" s="135" t="s">
        <v>620</v>
      </c>
      <c r="G43" s="274">
        <v>8</v>
      </c>
      <c r="H43" s="261">
        <v>3704</v>
      </c>
      <c r="I43" s="261">
        <v>29630</v>
      </c>
      <c r="J43" s="261">
        <v>0</v>
      </c>
      <c r="K43" s="261">
        <f t="shared" si="0"/>
        <v>29630</v>
      </c>
      <c r="L43" s="261">
        <v>2370</v>
      </c>
      <c r="M43" s="261">
        <f t="shared" si="1"/>
        <v>32000</v>
      </c>
      <c r="N43" s="137">
        <v>4.6999999999999993E-3</v>
      </c>
    </row>
    <row r="44" spans="1:14" ht="18" customHeight="1">
      <c r="A44" s="134">
        <v>1</v>
      </c>
      <c r="B44" s="135" t="s">
        <v>81</v>
      </c>
      <c r="C44" s="134">
        <v>112</v>
      </c>
      <c r="D44" s="138" t="s">
        <v>82</v>
      </c>
      <c r="E44" s="138" t="s">
        <v>652</v>
      </c>
      <c r="F44" s="135" t="s">
        <v>620</v>
      </c>
      <c r="G44" s="274">
        <v>2</v>
      </c>
      <c r="H44" s="261">
        <v>41667</v>
      </c>
      <c r="I44" s="261">
        <v>83333</v>
      </c>
      <c r="J44" s="261">
        <v>0</v>
      </c>
      <c r="K44" s="261">
        <f t="shared" si="0"/>
        <v>83333</v>
      </c>
      <c r="L44" s="261">
        <v>6667</v>
      </c>
      <c r="M44" s="261">
        <f t="shared" si="1"/>
        <v>90000</v>
      </c>
      <c r="N44" s="137">
        <v>1.3299999999999999E-2</v>
      </c>
    </row>
    <row r="45" spans="1:14" ht="18" customHeight="1">
      <c r="A45" s="134">
        <v>1</v>
      </c>
      <c r="B45" s="135" t="s">
        <v>81</v>
      </c>
      <c r="C45" s="134">
        <v>101</v>
      </c>
      <c r="D45" s="138" t="s">
        <v>82</v>
      </c>
      <c r="E45" s="138" t="s">
        <v>653</v>
      </c>
      <c r="F45" s="135" t="s">
        <v>620</v>
      </c>
      <c r="G45" s="274">
        <v>1</v>
      </c>
      <c r="H45" s="261">
        <v>2315</v>
      </c>
      <c r="I45" s="261">
        <v>2315</v>
      </c>
      <c r="J45" s="261">
        <v>0</v>
      </c>
      <c r="K45" s="261">
        <f t="shared" si="0"/>
        <v>2315</v>
      </c>
      <c r="L45" s="261">
        <v>185</v>
      </c>
      <c r="M45" s="261">
        <f t="shared" si="1"/>
        <v>2500</v>
      </c>
      <c r="N45" s="137">
        <v>4.0000000000000002E-4</v>
      </c>
    </row>
    <row r="46" spans="1:14" ht="18" customHeight="1">
      <c r="A46" s="134">
        <v>1</v>
      </c>
      <c r="B46" s="135" t="s">
        <v>81</v>
      </c>
      <c r="C46" s="134">
        <v>119</v>
      </c>
      <c r="D46" s="138" t="s">
        <v>84</v>
      </c>
      <c r="E46" s="138" t="s">
        <v>109</v>
      </c>
      <c r="F46" s="135" t="s">
        <v>620</v>
      </c>
      <c r="G46" s="274">
        <v>10</v>
      </c>
      <c r="H46" s="261">
        <v>44444</v>
      </c>
      <c r="I46" s="261">
        <v>444444</v>
      </c>
      <c r="J46" s="261">
        <v>0</v>
      </c>
      <c r="K46" s="261">
        <f t="shared" si="0"/>
        <v>444444</v>
      </c>
      <c r="L46" s="261">
        <v>35556</v>
      </c>
      <c r="M46" s="261">
        <f t="shared" si="1"/>
        <v>480000</v>
      </c>
      <c r="N46" s="137">
        <v>7.0699999999999999E-2</v>
      </c>
    </row>
    <row r="47" spans="1:14" ht="18" customHeight="1">
      <c r="A47" s="134">
        <v>1</v>
      </c>
      <c r="B47" s="135" t="s">
        <v>81</v>
      </c>
      <c r="C47" s="134">
        <v>19</v>
      </c>
      <c r="D47" s="138" t="s">
        <v>82</v>
      </c>
      <c r="E47" s="138" t="s">
        <v>654</v>
      </c>
      <c r="F47" s="135" t="s">
        <v>620</v>
      </c>
      <c r="G47" s="274">
        <v>1</v>
      </c>
      <c r="H47" s="261">
        <v>9259</v>
      </c>
      <c r="I47" s="261">
        <v>9259</v>
      </c>
      <c r="J47" s="261">
        <v>0</v>
      </c>
      <c r="K47" s="261">
        <f t="shared" si="0"/>
        <v>9259</v>
      </c>
      <c r="L47" s="261">
        <v>741</v>
      </c>
      <c r="M47" s="261">
        <f t="shared" si="1"/>
        <v>10000</v>
      </c>
      <c r="N47" s="137">
        <v>1.5E-3</v>
      </c>
    </row>
    <row r="48" spans="1:14" ht="18" customHeight="1">
      <c r="A48" s="134">
        <v>1</v>
      </c>
      <c r="B48" s="135" t="s">
        <v>81</v>
      </c>
      <c r="C48" s="134">
        <v>77</v>
      </c>
      <c r="D48" s="138" t="s">
        <v>82</v>
      </c>
      <c r="E48" s="138" t="s">
        <v>655</v>
      </c>
      <c r="F48" s="135" t="s">
        <v>620</v>
      </c>
      <c r="G48" s="274">
        <v>1</v>
      </c>
      <c r="H48" s="261">
        <v>2778</v>
      </c>
      <c r="I48" s="261">
        <v>2778</v>
      </c>
      <c r="J48" s="261">
        <v>0</v>
      </c>
      <c r="K48" s="261">
        <f t="shared" si="0"/>
        <v>2778</v>
      </c>
      <c r="L48" s="261">
        <v>222</v>
      </c>
      <c r="M48" s="261">
        <f t="shared" si="1"/>
        <v>3000</v>
      </c>
      <c r="N48" s="137">
        <v>4.0000000000000002E-4</v>
      </c>
    </row>
    <row r="49" spans="1:14" ht="18" customHeight="1">
      <c r="A49" s="134">
        <v>1</v>
      </c>
      <c r="B49" s="135" t="s">
        <v>81</v>
      </c>
      <c r="C49" s="134">
        <v>162</v>
      </c>
      <c r="D49" s="138" t="s">
        <v>90</v>
      </c>
      <c r="E49" s="138" t="s">
        <v>656</v>
      </c>
      <c r="F49" s="135" t="s">
        <v>620</v>
      </c>
      <c r="G49" s="274">
        <v>14</v>
      </c>
      <c r="H49" s="261">
        <v>6481</v>
      </c>
      <c r="I49" s="261">
        <v>90741</v>
      </c>
      <c r="J49" s="261">
        <v>0</v>
      </c>
      <c r="K49" s="261">
        <f t="shared" si="0"/>
        <v>90741</v>
      </c>
      <c r="L49" s="261">
        <v>7259</v>
      </c>
      <c r="M49" s="261">
        <f t="shared" si="1"/>
        <v>98000</v>
      </c>
      <c r="N49" s="137">
        <v>1.44E-2</v>
      </c>
    </row>
    <row r="50" spans="1:14" ht="18" customHeight="1">
      <c r="A50" s="134">
        <v>1</v>
      </c>
      <c r="B50" s="135" t="s">
        <v>81</v>
      </c>
      <c r="C50" s="134">
        <v>81</v>
      </c>
      <c r="D50" s="138" t="s">
        <v>90</v>
      </c>
      <c r="E50" s="138" t="s">
        <v>657</v>
      </c>
      <c r="F50" s="135" t="s">
        <v>620</v>
      </c>
      <c r="G50" s="274">
        <v>1</v>
      </c>
      <c r="H50" s="261">
        <v>1389</v>
      </c>
      <c r="I50" s="261">
        <v>1389</v>
      </c>
      <c r="J50" s="261">
        <v>0</v>
      </c>
      <c r="K50" s="261">
        <f t="shared" si="0"/>
        <v>1389</v>
      </c>
      <c r="L50" s="261">
        <v>111</v>
      </c>
      <c r="M50" s="261">
        <f t="shared" si="1"/>
        <v>1500</v>
      </c>
      <c r="N50" s="137">
        <v>2.0000000000000001E-4</v>
      </c>
    </row>
    <row r="51" spans="1:14" ht="18" customHeight="1">
      <c r="A51" s="134">
        <v>1</v>
      </c>
      <c r="B51" s="135" t="s">
        <v>81</v>
      </c>
      <c r="C51" s="134">
        <v>86</v>
      </c>
      <c r="D51" s="138" t="s">
        <v>90</v>
      </c>
      <c r="E51" s="138" t="s">
        <v>658</v>
      </c>
      <c r="F51" s="135" t="s">
        <v>620</v>
      </c>
      <c r="G51" s="274">
        <v>14</v>
      </c>
      <c r="H51" s="261">
        <v>3199</v>
      </c>
      <c r="I51" s="261">
        <v>45370</v>
      </c>
      <c r="J51" s="261">
        <v>584</v>
      </c>
      <c r="K51" s="261">
        <f t="shared" si="0"/>
        <v>44786</v>
      </c>
      <c r="L51" s="261">
        <v>3583</v>
      </c>
      <c r="M51" s="261">
        <f t="shared" si="1"/>
        <v>48369</v>
      </c>
      <c r="N51" s="137">
        <v>7.1000000000000004E-3</v>
      </c>
    </row>
    <row r="52" spans="1:14" ht="18" customHeight="1">
      <c r="A52" s="134">
        <v>1</v>
      </c>
      <c r="B52" s="135" t="s">
        <v>81</v>
      </c>
      <c r="C52" s="134">
        <v>80</v>
      </c>
      <c r="D52" s="138" t="s">
        <v>90</v>
      </c>
      <c r="E52" s="138" t="s">
        <v>659</v>
      </c>
      <c r="F52" s="135" t="s">
        <v>620</v>
      </c>
      <c r="G52" s="274">
        <v>1</v>
      </c>
      <c r="H52" s="261">
        <v>6481</v>
      </c>
      <c r="I52" s="261">
        <v>6481</v>
      </c>
      <c r="J52" s="261">
        <v>0</v>
      </c>
      <c r="K52" s="261">
        <f t="shared" si="0"/>
        <v>6481</v>
      </c>
      <c r="L52" s="261">
        <v>519</v>
      </c>
      <c r="M52" s="261">
        <f t="shared" si="1"/>
        <v>7000</v>
      </c>
      <c r="N52" s="137">
        <v>1E-3</v>
      </c>
    </row>
    <row r="53" spans="1:14" ht="18" customHeight="1">
      <c r="A53" s="134">
        <v>1</v>
      </c>
      <c r="B53" s="135" t="s">
        <v>81</v>
      </c>
      <c r="C53" s="134">
        <v>169</v>
      </c>
      <c r="D53" s="138" t="s">
        <v>90</v>
      </c>
      <c r="E53" s="138" t="s">
        <v>660</v>
      </c>
      <c r="F53" s="135" t="s">
        <v>620</v>
      </c>
      <c r="G53" s="274">
        <v>14</v>
      </c>
      <c r="H53" s="261">
        <v>6481</v>
      </c>
      <c r="I53" s="261">
        <v>90741</v>
      </c>
      <c r="J53" s="261">
        <v>0</v>
      </c>
      <c r="K53" s="261">
        <f t="shared" si="0"/>
        <v>90741</v>
      </c>
      <c r="L53" s="261">
        <v>7259</v>
      </c>
      <c r="M53" s="261">
        <f t="shared" si="1"/>
        <v>98000</v>
      </c>
      <c r="N53" s="137">
        <v>1.44E-2</v>
      </c>
    </row>
    <row r="54" spans="1:14" ht="18" customHeight="1">
      <c r="A54" s="134">
        <v>1</v>
      </c>
      <c r="B54" s="135" t="s">
        <v>81</v>
      </c>
      <c r="C54" s="134">
        <v>79</v>
      </c>
      <c r="D54" s="138" t="s">
        <v>90</v>
      </c>
      <c r="E54" s="138" t="s">
        <v>661</v>
      </c>
      <c r="F54" s="135" t="s">
        <v>620</v>
      </c>
      <c r="G54" s="274">
        <v>6</v>
      </c>
      <c r="H54" s="261">
        <v>6481</v>
      </c>
      <c r="I54" s="261">
        <v>38889</v>
      </c>
      <c r="J54" s="261">
        <v>0</v>
      </c>
      <c r="K54" s="261">
        <f t="shared" si="0"/>
        <v>38889</v>
      </c>
      <c r="L54" s="261">
        <v>3111</v>
      </c>
      <c r="M54" s="261">
        <f t="shared" si="1"/>
        <v>42000</v>
      </c>
      <c r="N54" s="137">
        <v>6.1999999999999998E-3</v>
      </c>
    </row>
    <row r="55" spans="1:14" ht="18" customHeight="1">
      <c r="A55" s="134">
        <v>1</v>
      </c>
      <c r="B55" s="135" t="s">
        <v>81</v>
      </c>
      <c r="C55" s="134">
        <v>62</v>
      </c>
      <c r="D55" s="138" t="s">
        <v>90</v>
      </c>
      <c r="E55" s="138" t="s">
        <v>662</v>
      </c>
      <c r="F55" s="135" t="s">
        <v>620</v>
      </c>
      <c r="G55" s="274">
        <v>3</v>
      </c>
      <c r="H55" s="261">
        <v>6944</v>
      </c>
      <c r="I55" s="261">
        <v>20833</v>
      </c>
      <c r="J55" s="261">
        <v>0</v>
      </c>
      <c r="K55" s="261">
        <f t="shared" si="0"/>
        <v>20833</v>
      </c>
      <c r="L55" s="261">
        <v>1667</v>
      </c>
      <c r="M55" s="261">
        <f t="shared" si="1"/>
        <v>22500</v>
      </c>
      <c r="N55" s="137">
        <v>3.3E-3</v>
      </c>
    </row>
    <row r="56" spans="1:14" ht="18" customHeight="1">
      <c r="A56" s="134">
        <v>1</v>
      </c>
      <c r="B56" s="135" t="s">
        <v>81</v>
      </c>
      <c r="C56" s="134">
        <v>78</v>
      </c>
      <c r="D56" s="138" t="s">
        <v>90</v>
      </c>
      <c r="E56" s="138" t="s">
        <v>663</v>
      </c>
      <c r="F56" s="135" t="s">
        <v>620</v>
      </c>
      <c r="G56" s="274">
        <v>2</v>
      </c>
      <c r="H56" s="261">
        <v>6481</v>
      </c>
      <c r="I56" s="261">
        <v>12963</v>
      </c>
      <c r="J56" s="261">
        <v>0</v>
      </c>
      <c r="K56" s="261">
        <f t="shared" si="0"/>
        <v>12963</v>
      </c>
      <c r="L56" s="261">
        <v>1037</v>
      </c>
      <c r="M56" s="261">
        <f t="shared" si="1"/>
        <v>14000</v>
      </c>
      <c r="N56" s="137">
        <v>2.0999999999999999E-3</v>
      </c>
    </row>
    <row r="57" spans="1:14" ht="18" customHeight="1">
      <c r="A57" s="134">
        <v>1</v>
      </c>
      <c r="B57" s="135" t="s">
        <v>81</v>
      </c>
      <c r="C57" s="134">
        <v>84</v>
      </c>
      <c r="D57" s="138" t="s">
        <v>90</v>
      </c>
      <c r="E57" s="138" t="s">
        <v>664</v>
      </c>
      <c r="F57" s="135" t="s">
        <v>620</v>
      </c>
      <c r="G57" s="274">
        <v>10</v>
      </c>
      <c r="H57" s="261">
        <v>7407</v>
      </c>
      <c r="I57" s="261">
        <v>74074</v>
      </c>
      <c r="J57" s="261">
        <v>0</v>
      </c>
      <c r="K57" s="261">
        <f t="shared" si="0"/>
        <v>74074</v>
      </c>
      <c r="L57" s="261">
        <v>5926</v>
      </c>
      <c r="M57" s="261">
        <f t="shared" si="1"/>
        <v>80000</v>
      </c>
      <c r="N57" s="137">
        <v>1.18E-2</v>
      </c>
    </row>
    <row r="58" spans="1:14" ht="18" customHeight="1">
      <c r="A58" s="134">
        <v>1</v>
      </c>
      <c r="B58" s="135" t="s">
        <v>81</v>
      </c>
      <c r="C58" s="134">
        <v>219</v>
      </c>
      <c r="D58" s="138" t="s">
        <v>82</v>
      </c>
      <c r="E58" s="138" t="s">
        <v>148</v>
      </c>
      <c r="F58" s="135" t="s">
        <v>620</v>
      </c>
      <c r="G58" s="274">
        <v>1</v>
      </c>
      <c r="H58" s="261">
        <v>69444</v>
      </c>
      <c r="I58" s="261">
        <v>69444</v>
      </c>
      <c r="J58" s="261">
        <v>0</v>
      </c>
      <c r="K58" s="261">
        <f t="shared" si="0"/>
        <v>69444</v>
      </c>
      <c r="L58" s="261">
        <v>5556</v>
      </c>
      <c r="M58" s="261">
        <f t="shared" si="1"/>
        <v>75000</v>
      </c>
      <c r="N58" s="137">
        <v>1.11E-2</v>
      </c>
    </row>
    <row r="59" spans="1:14" ht="18" customHeight="1">
      <c r="A59" s="134">
        <v>1</v>
      </c>
      <c r="B59" s="135" t="s">
        <v>81</v>
      </c>
      <c r="C59" s="134">
        <v>140</v>
      </c>
      <c r="D59" s="138" t="s">
        <v>82</v>
      </c>
      <c r="E59" s="138" t="s">
        <v>665</v>
      </c>
      <c r="F59" s="135" t="s">
        <v>620</v>
      </c>
      <c r="G59" s="274">
        <v>1</v>
      </c>
      <c r="H59" s="261">
        <v>90741</v>
      </c>
      <c r="I59" s="261">
        <v>90741</v>
      </c>
      <c r="J59" s="261">
        <v>0</v>
      </c>
      <c r="K59" s="261">
        <f t="shared" si="0"/>
        <v>90741</v>
      </c>
      <c r="L59" s="261">
        <v>7259</v>
      </c>
      <c r="M59" s="261">
        <f t="shared" si="1"/>
        <v>98000</v>
      </c>
      <c r="N59" s="137">
        <v>1.44E-2</v>
      </c>
    </row>
    <row r="60" spans="1:14" ht="18" customHeight="1">
      <c r="A60" s="134">
        <v>1</v>
      </c>
      <c r="B60" s="135" t="s">
        <v>81</v>
      </c>
      <c r="C60" s="134">
        <v>221</v>
      </c>
      <c r="D60" s="138" t="s">
        <v>82</v>
      </c>
      <c r="E60" s="138" t="s">
        <v>666</v>
      </c>
      <c r="F60" s="135" t="s">
        <v>620</v>
      </c>
      <c r="G60" s="274">
        <v>1</v>
      </c>
      <c r="H60" s="261">
        <v>54167</v>
      </c>
      <c r="I60" s="261">
        <v>54167</v>
      </c>
      <c r="J60" s="261">
        <v>0</v>
      </c>
      <c r="K60" s="261">
        <f t="shared" si="0"/>
        <v>54167</v>
      </c>
      <c r="L60" s="261">
        <v>4333</v>
      </c>
      <c r="M60" s="261">
        <f t="shared" si="1"/>
        <v>58500</v>
      </c>
      <c r="N60" s="137">
        <v>8.6E-3</v>
      </c>
    </row>
    <row r="61" spans="1:14" ht="18" customHeight="1">
      <c r="A61" s="134">
        <v>1</v>
      </c>
      <c r="B61" s="135" t="s">
        <v>81</v>
      </c>
      <c r="C61" s="134">
        <v>222</v>
      </c>
      <c r="D61" s="138" t="s">
        <v>88</v>
      </c>
      <c r="E61" s="138" t="s">
        <v>667</v>
      </c>
      <c r="F61" s="135" t="s">
        <v>620</v>
      </c>
      <c r="G61" s="274">
        <v>1</v>
      </c>
      <c r="H61" s="261">
        <v>63426</v>
      </c>
      <c r="I61" s="261">
        <v>63426</v>
      </c>
      <c r="J61" s="261">
        <v>0</v>
      </c>
      <c r="K61" s="261">
        <f t="shared" si="0"/>
        <v>63426</v>
      </c>
      <c r="L61" s="261">
        <v>5074</v>
      </c>
      <c r="M61" s="261">
        <f t="shared" si="1"/>
        <v>68500</v>
      </c>
      <c r="N61" s="137">
        <v>1.01E-2</v>
      </c>
    </row>
    <row r="62" spans="1:14" ht="18" customHeight="1">
      <c r="A62" s="134">
        <v>1</v>
      </c>
      <c r="B62" s="135" t="s">
        <v>81</v>
      </c>
      <c r="C62" s="134">
        <v>50</v>
      </c>
      <c r="D62" s="138" t="s">
        <v>82</v>
      </c>
      <c r="E62" s="138" t="s">
        <v>154</v>
      </c>
      <c r="F62" s="135" t="s">
        <v>620</v>
      </c>
      <c r="G62" s="274">
        <v>2</v>
      </c>
      <c r="H62" s="261">
        <v>49074</v>
      </c>
      <c r="I62" s="261">
        <v>98148</v>
      </c>
      <c r="J62" s="261">
        <v>0</v>
      </c>
      <c r="K62" s="261">
        <f t="shared" si="0"/>
        <v>98148</v>
      </c>
      <c r="L62" s="261">
        <v>7852</v>
      </c>
      <c r="M62" s="261">
        <f t="shared" si="1"/>
        <v>106000</v>
      </c>
      <c r="N62" s="137">
        <v>1.5599999999999999E-2</v>
      </c>
    </row>
    <row r="63" spans="1:14" ht="18" customHeight="1">
      <c r="A63" s="134">
        <v>1</v>
      </c>
      <c r="B63" s="135" t="s">
        <v>81</v>
      </c>
      <c r="C63" s="134">
        <v>120</v>
      </c>
      <c r="D63" s="138" t="s">
        <v>88</v>
      </c>
      <c r="E63" s="138" t="s">
        <v>668</v>
      </c>
      <c r="F63" s="135" t="s">
        <v>620</v>
      </c>
      <c r="G63" s="274">
        <v>1</v>
      </c>
      <c r="H63" s="261">
        <v>41667</v>
      </c>
      <c r="I63" s="261">
        <v>41667</v>
      </c>
      <c r="J63" s="261">
        <v>0</v>
      </c>
      <c r="K63" s="261">
        <f t="shared" si="0"/>
        <v>41667</v>
      </c>
      <c r="L63" s="261">
        <v>3333</v>
      </c>
      <c r="M63" s="261">
        <f t="shared" si="1"/>
        <v>45000</v>
      </c>
      <c r="N63" s="137">
        <v>6.6E-3</v>
      </c>
    </row>
    <row r="64" spans="1:14" ht="18" customHeight="1">
      <c r="A64" s="134">
        <v>1</v>
      </c>
      <c r="B64" s="135" t="s">
        <v>81</v>
      </c>
      <c r="C64" s="134">
        <v>129</v>
      </c>
      <c r="D64" s="138" t="s">
        <v>88</v>
      </c>
      <c r="E64" s="138" t="s">
        <v>669</v>
      </c>
      <c r="F64" s="135" t="s">
        <v>620</v>
      </c>
      <c r="G64" s="274">
        <v>1</v>
      </c>
      <c r="H64" s="261">
        <v>44444</v>
      </c>
      <c r="I64" s="261">
        <v>44444</v>
      </c>
      <c r="J64" s="261">
        <v>0</v>
      </c>
      <c r="K64" s="261">
        <f t="shared" si="0"/>
        <v>44444</v>
      </c>
      <c r="L64" s="261">
        <v>3556</v>
      </c>
      <c r="M64" s="261">
        <f t="shared" si="1"/>
        <v>48000</v>
      </c>
      <c r="N64" s="137">
        <v>7.1000000000000004E-3</v>
      </c>
    </row>
    <row r="65" spans="1:14" ht="18" customHeight="1">
      <c r="A65" s="134">
        <v>1</v>
      </c>
      <c r="B65" s="135" t="s">
        <v>81</v>
      </c>
      <c r="C65" s="134">
        <v>117</v>
      </c>
      <c r="D65" s="138" t="s">
        <v>82</v>
      </c>
      <c r="E65" s="138" t="s">
        <v>115</v>
      </c>
      <c r="F65" s="135" t="s">
        <v>620</v>
      </c>
      <c r="G65" s="274">
        <v>2</v>
      </c>
      <c r="H65" s="261">
        <v>41667</v>
      </c>
      <c r="I65" s="261">
        <v>83333</v>
      </c>
      <c r="J65" s="261">
        <v>0</v>
      </c>
      <c r="K65" s="261">
        <f t="shared" si="0"/>
        <v>83333</v>
      </c>
      <c r="L65" s="261">
        <v>6667</v>
      </c>
      <c r="M65" s="261">
        <f t="shared" si="1"/>
        <v>90000</v>
      </c>
      <c r="N65" s="137">
        <v>1.3299999999999999E-2</v>
      </c>
    </row>
    <row r="66" spans="1:14" ht="18" customHeight="1">
      <c r="A66" s="134">
        <v>1</v>
      </c>
      <c r="B66" s="135" t="s">
        <v>81</v>
      </c>
      <c r="C66" s="134">
        <v>28</v>
      </c>
      <c r="D66" s="138" t="s">
        <v>82</v>
      </c>
      <c r="E66" s="138" t="s">
        <v>370</v>
      </c>
      <c r="F66" s="135" t="s">
        <v>620</v>
      </c>
      <c r="G66" s="274">
        <v>34</v>
      </c>
      <c r="H66" s="261">
        <v>18709</v>
      </c>
      <c r="I66" s="261">
        <v>639815</v>
      </c>
      <c r="J66" s="261">
        <v>3704</v>
      </c>
      <c r="K66" s="261">
        <f t="shared" ref="K66:K129" si="2">I66-J66</f>
        <v>636111</v>
      </c>
      <c r="L66" s="261">
        <v>50889</v>
      </c>
      <c r="M66" s="261">
        <f t="shared" ref="M66:M129" si="3">K66+L66</f>
        <v>687000</v>
      </c>
      <c r="N66" s="137">
        <v>0.1013</v>
      </c>
    </row>
    <row r="67" spans="1:14" ht="18" customHeight="1">
      <c r="A67" s="134">
        <v>1</v>
      </c>
      <c r="B67" s="135" t="s">
        <v>81</v>
      </c>
      <c r="C67" s="134">
        <v>36</v>
      </c>
      <c r="D67" s="138" t="s">
        <v>86</v>
      </c>
      <c r="E67" s="138" t="s">
        <v>670</v>
      </c>
      <c r="F67" s="135" t="s">
        <v>620</v>
      </c>
      <c r="G67" s="274">
        <v>6</v>
      </c>
      <c r="H67" s="261">
        <v>3704</v>
      </c>
      <c r="I67" s="261">
        <v>22222</v>
      </c>
      <c r="J67" s="261">
        <v>0</v>
      </c>
      <c r="K67" s="261">
        <f t="shared" si="2"/>
        <v>22222</v>
      </c>
      <c r="L67" s="261">
        <v>1778</v>
      </c>
      <c r="M67" s="261">
        <f t="shared" si="3"/>
        <v>24000</v>
      </c>
      <c r="N67" s="137">
        <v>3.5000000000000001E-3</v>
      </c>
    </row>
    <row r="68" spans="1:14" ht="18" customHeight="1">
      <c r="A68" s="134">
        <v>1</v>
      </c>
      <c r="B68" s="135" t="s">
        <v>81</v>
      </c>
      <c r="C68" s="134">
        <v>61</v>
      </c>
      <c r="D68" s="138" t="s">
        <v>92</v>
      </c>
      <c r="E68" s="138" t="s">
        <v>671</v>
      </c>
      <c r="F68" s="135" t="s">
        <v>620</v>
      </c>
      <c r="G68" s="274">
        <v>21</v>
      </c>
      <c r="H68" s="261">
        <v>4630</v>
      </c>
      <c r="I68" s="261">
        <v>97222</v>
      </c>
      <c r="J68" s="261">
        <v>0</v>
      </c>
      <c r="K68" s="261">
        <f t="shared" si="2"/>
        <v>97222</v>
      </c>
      <c r="L68" s="261">
        <v>7778</v>
      </c>
      <c r="M68" s="261">
        <f t="shared" si="3"/>
        <v>105000</v>
      </c>
      <c r="N68" s="137">
        <v>1.55E-2</v>
      </c>
    </row>
    <row r="69" spans="1:14" ht="18" customHeight="1">
      <c r="A69" s="134">
        <v>1</v>
      </c>
      <c r="B69" s="135" t="s">
        <v>81</v>
      </c>
      <c r="C69" s="134">
        <v>68</v>
      </c>
      <c r="D69" s="138" t="s">
        <v>88</v>
      </c>
      <c r="E69" s="138" t="s">
        <v>672</v>
      </c>
      <c r="F69" s="135" t="s">
        <v>620</v>
      </c>
      <c r="G69" s="274">
        <v>3</v>
      </c>
      <c r="H69" s="261">
        <v>41667</v>
      </c>
      <c r="I69" s="261">
        <v>125000</v>
      </c>
      <c r="J69" s="261">
        <v>0</v>
      </c>
      <c r="K69" s="261">
        <f t="shared" si="2"/>
        <v>125000</v>
      </c>
      <c r="L69" s="261">
        <v>10000</v>
      </c>
      <c r="M69" s="261">
        <f t="shared" si="3"/>
        <v>135000</v>
      </c>
      <c r="N69" s="137">
        <v>1.9900000000000001E-2</v>
      </c>
    </row>
    <row r="70" spans="1:14" ht="18" customHeight="1">
      <c r="A70" s="134">
        <v>1</v>
      </c>
      <c r="B70" s="135" t="s">
        <v>81</v>
      </c>
      <c r="C70" s="134">
        <v>33</v>
      </c>
      <c r="D70" s="138" t="s">
        <v>86</v>
      </c>
      <c r="E70" s="138" t="s">
        <v>673</v>
      </c>
      <c r="F70" s="135" t="s">
        <v>620</v>
      </c>
      <c r="G70" s="274">
        <v>2</v>
      </c>
      <c r="H70" s="261">
        <v>1852</v>
      </c>
      <c r="I70" s="261">
        <v>3704</v>
      </c>
      <c r="J70" s="261">
        <v>0</v>
      </c>
      <c r="K70" s="261">
        <f t="shared" si="2"/>
        <v>3704</v>
      </c>
      <c r="L70" s="261">
        <v>296</v>
      </c>
      <c r="M70" s="261">
        <f t="shared" si="3"/>
        <v>4000</v>
      </c>
      <c r="N70" s="137">
        <v>5.9999999999999995E-4</v>
      </c>
    </row>
    <row r="71" spans="1:14" ht="18" customHeight="1">
      <c r="A71" s="134">
        <v>1</v>
      </c>
      <c r="B71" s="135" t="s">
        <v>81</v>
      </c>
      <c r="C71" s="134">
        <v>67</v>
      </c>
      <c r="D71" s="138" t="s">
        <v>88</v>
      </c>
      <c r="E71" s="138" t="s">
        <v>674</v>
      </c>
      <c r="F71" s="135" t="s">
        <v>620</v>
      </c>
      <c r="G71" s="274">
        <v>1</v>
      </c>
      <c r="H71" s="261">
        <v>41667</v>
      </c>
      <c r="I71" s="261">
        <v>41667</v>
      </c>
      <c r="J71" s="261">
        <v>0</v>
      </c>
      <c r="K71" s="261">
        <f t="shared" si="2"/>
        <v>41667</v>
      </c>
      <c r="L71" s="261">
        <v>3333</v>
      </c>
      <c r="M71" s="261">
        <f t="shared" si="3"/>
        <v>45000</v>
      </c>
      <c r="N71" s="137">
        <v>6.6E-3</v>
      </c>
    </row>
    <row r="72" spans="1:14" ht="18" customHeight="1">
      <c r="A72" s="134">
        <v>2</v>
      </c>
      <c r="B72" s="135" t="s">
        <v>83</v>
      </c>
      <c r="C72" s="134">
        <v>73</v>
      </c>
      <c r="D72" s="138" t="s">
        <v>86</v>
      </c>
      <c r="E72" s="138" t="s">
        <v>619</v>
      </c>
      <c r="F72" s="135" t="s">
        <v>620</v>
      </c>
      <c r="G72" s="274">
        <v>17</v>
      </c>
      <c r="H72" s="261">
        <v>2593</v>
      </c>
      <c r="I72" s="261">
        <v>44074</v>
      </c>
      <c r="J72" s="261">
        <v>0</v>
      </c>
      <c r="K72" s="261">
        <f t="shared" si="2"/>
        <v>44074</v>
      </c>
      <c r="L72" s="261">
        <v>3526</v>
      </c>
      <c r="M72" s="261">
        <f t="shared" si="3"/>
        <v>47600</v>
      </c>
      <c r="N72" s="137">
        <v>8.1000000000000013E-3</v>
      </c>
    </row>
    <row r="73" spans="1:14" ht="18" customHeight="1">
      <c r="A73" s="134">
        <v>2</v>
      </c>
      <c r="B73" s="135" t="s">
        <v>83</v>
      </c>
      <c r="C73" s="134">
        <v>132</v>
      </c>
      <c r="D73" s="138" t="s">
        <v>86</v>
      </c>
      <c r="E73" s="138" t="s">
        <v>675</v>
      </c>
      <c r="F73" s="135" t="s">
        <v>676</v>
      </c>
      <c r="G73" s="274">
        <v>1</v>
      </c>
      <c r="H73" s="261">
        <v>7870</v>
      </c>
      <c r="I73" s="261">
        <v>7870</v>
      </c>
      <c r="J73" s="261">
        <v>0</v>
      </c>
      <c r="K73" s="261">
        <f t="shared" si="2"/>
        <v>7870</v>
      </c>
      <c r="L73" s="261">
        <v>630</v>
      </c>
      <c r="M73" s="261">
        <f t="shared" si="3"/>
        <v>8500</v>
      </c>
      <c r="N73" s="137">
        <v>1.4E-3</v>
      </c>
    </row>
    <row r="74" spans="1:14" ht="18" customHeight="1">
      <c r="A74" s="134">
        <v>2</v>
      </c>
      <c r="B74" s="135" t="s">
        <v>83</v>
      </c>
      <c r="C74" s="134">
        <v>65</v>
      </c>
      <c r="D74" s="138" t="s">
        <v>86</v>
      </c>
      <c r="E74" s="138" t="s">
        <v>621</v>
      </c>
      <c r="F74" s="135" t="s">
        <v>620</v>
      </c>
      <c r="G74" s="274">
        <v>2</v>
      </c>
      <c r="H74" s="261">
        <v>2778</v>
      </c>
      <c r="I74" s="261">
        <v>5556</v>
      </c>
      <c r="J74" s="261">
        <v>0</v>
      </c>
      <c r="K74" s="261">
        <f t="shared" si="2"/>
        <v>5556</v>
      </c>
      <c r="L74" s="261">
        <v>444</v>
      </c>
      <c r="M74" s="261">
        <f t="shared" si="3"/>
        <v>6000</v>
      </c>
      <c r="N74" s="137">
        <v>1E-3</v>
      </c>
    </row>
    <row r="75" spans="1:14" ht="18" customHeight="1">
      <c r="A75" s="134">
        <v>2</v>
      </c>
      <c r="B75" s="135" t="s">
        <v>83</v>
      </c>
      <c r="C75" s="134">
        <v>40</v>
      </c>
      <c r="D75" s="138" t="s">
        <v>82</v>
      </c>
      <c r="E75" s="138" t="s">
        <v>165</v>
      </c>
      <c r="F75" s="135" t="s">
        <v>620</v>
      </c>
      <c r="G75" s="274">
        <v>2</v>
      </c>
      <c r="H75" s="261">
        <v>55093</v>
      </c>
      <c r="I75" s="261">
        <v>110185</v>
      </c>
      <c r="J75" s="261">
        <v>0</v>
      </c>
      <c r="K75" s="261">
        <f t="shared" si="2"/>
        <v>110185</v>
      </c>
      <c r="L75" s="261">
        <v>8815</v>
      </c>
      <c r="M75" s="261">
        <f t="shared" si="3"/>
        <v>119000</v>
      </c>
      <c r="N75" s="137">
        <v>2.0199999999999999E-2</v>
      </c>
    </row>
    <row r="76" spans="1:14" ht="18" customHeight="1">
      <c r="A76" s="134">
        <v>2</v>
      </c>
      <c r="B76" s="135" t="s">
        <v>83</v>
      </c>
      <c r="C76" s="134">
        <v>131</v>
      </c>
      <c r="D76" s="138" t="s">
        <v>82</v>
      </c>
      <c r="E76" s="138" t="s">
        <v>677</v>
      </c>
      <c r="F76" s="135" t="s">
        <v>620</v>
      </c>
      <c r="G76" s="274">
        <v>1</v>
      </c>
      <c r="H76" s="261">
        <v>278</v>
      </c>
      <c r="I76" s="261">
        <v>278</v>
      </c>
      <c r="J76" s="261">
        <v>0</v>
      </c>
      <c r="K76" s="261">
        <f t="shared" si="2"/>
        <v>278</v>
      </c>
      <c r="L76" s="261">
        <v>22</v>
      </c>
      <c r="M76" s="261">
        <f t="shared" si="3"/>
        <v>300</v>
      </c>
      <c r="N76" s="137">
        <v>1E-4</v>
      </c>
    </row>
    <row r="77" spans="1:14" ht="18" customHeight="1">
      <c r="A77" s="134">
        <v>2</v>
      </c>
      <c r="B77" s="135" t="s">
        <v>83</v>
      </c>
      <c r="C77" s="134">
        <v>104</v>
      </c>
      <c r="D77" s="138" t="s">
        <v>84</v>
      </c>
      <c r="E77" s="138" t="s">
        <v>157</v>
      </c>
      <c r="F77" s="135" t="s">
        <v>620</v>
      </c>
      <c r="G77" s="274">
        <v>13</v>
      </c>
      <c r="H77" s="261">
        <v>15954</v>
      </c>
      <c r="I77" s="261">
        <v>207407</v>
      </c>
      <c r="J77" s="261">
        <v>0</v>
      </c>
      <c r="K77" s="261">
        <f t="shared" si="2"/>
        <v>207407</v>
      </c>
      <c r="L77" s="261">
        <v>16593</v>
      </c>
      <c r="M77" s="261">
        <f t="shared" si="3"/>
        <v>224000</v>
      </c>
      <c r="N77" s="137">
        <v>3.8100000000000002E-2</v>
      </c>
    </row>
    <row r="78" spans="1:14" ht="18" customHeight="1">
      <c r="A78" s="134">
        <v>2</v>
      </c>
      <c r="B78" s="135" t="s">
        <v>83</v>
      </c>
      <c r="C78" s="134">
        <v>95</v>
      </c>
      <c r="D78" s="138" t="s">
        <v>82</v>
      </c>
      <c r="E78" s="138" t="s">
        <v>624</v>
      </c>
      <c r="F78" s="135" t="s">
        <v>620</v>
      </c>
      <c r="G78" s="274">
        <v>5</v>
      </c>
      <c r="H78" s="261">
        <v>926</v>
      </c>
      <c r="I78" s="261">
        <v>4630</v>
      </c>
      <c r="J78" s="261">
        <v>0</v>
      </c>
      <c r="K78" s="261">
        <f t="shared" si="2"/>
        <v>4630</v>
      </c>
      <c r="L78" s="261">
        <v>370</v>
      </c>
      <c r="M78" s="261">
        <f t="shared" si="3"/>
        <v>5000</v>
      </c>
      <c r="N78" s="137">
        <v>8.0000000000000004E-4</v>
      </c>
    </row>
    <row r="79" spans="1:14" ht="18" customHeight="1">
      <c r="A79" s="134">
        <v>2</v>
      </c>
      <c r="B79" s="135" t="s">
        <v>83</v>
      </c>
      <c r="C79" s="134">
        <v>54</v>
      </c>
      <c r="D79" s="138" t="s">
        <v>86</v>
      </c>
      <c r="E79" s="138" t="s">
        <v>678</v>
      </c>
      <c r="F79" s="135" t="s">
        <v>620</v>
      </c>
      <c r="G79" s="274">
        <v>1</v>
      </c>
      <c r="H79" s="261">
        <v>2315</v>
      </c>
      <c r="I79" s="261">
        <v>2315</v>
      </c>
      <c r="J79" s="261">
        <v>0</v>
      </c>
      <c r="K79" s="261">
        <f t="shared" si="2"/>
        <v>2315</v>
      </c>
      <c r="L79" s="261">
        <v>185</v>
      </c>
      <c r="M79" s="261">
        <f t="shared" si="3"/>
        <v>2500</v>
      </c>
      <c r="N79" s="137">
        <v>4.0000000000000002E-4</v>
      </c>
    </row>
    <row r="80" spans="1:14" ht="18" customHeight="1">
      <c r="A80" s="134">
        <v>2</v>
      </c>
      <c r="B80" s="135" t="s">
        <v>83</v>
      </c>
      <c r="C80" s="134">
        <v>5</v>
      </c>
      <c r="D80" s="138" t="s">
        <v>84</v>
      </c>
      <c r="E80" s="138" t="s">
        <v>679</v>
      </c>
      <c r="F80" s="135" t="s">
        <v>620</v>
      </c>
      <c r="G80" s="274">
        <v>1</v>
      </c>
      <c r="H80" s="261">
        <v>11111</v>
      </c>
      <c r="I80" s="261">
        <v>11111</v>
      </c>
      <c r="J80" s="261">
        <v>0</v>
      </c>
      <c r="K80" s="261">
        <f t="shared" si="2"/>
        <v>11111</v>
      </c>
      <c r="L80" s="261">
        <v>889</v>
      </c>
      <c r="M80" s="261">
        <f t="shared" si="3"/>
        <v>12000</v>
      </c>
      <c r="N80" s="137">
        <v>2E-3</v>
      </c>
    </row>
    <row r="81" spans="1:14" ht="18" customHeight="1">
      <c r="A81" s="134">
        <v>2</v>
      </c>
      <c r="B81" s="135" t="s">
        <v>83</v>
      </c>
      <c r="C81" s="134">
        <v>6</v>
      </c>
      <c r="D81" s="138" t="s">
        <v>84</v>
      </c>
      <c r="E81" s="138" t="s">
        <v>680</v>
      </c>
      <c r="F81" s="135" t="s">
        <v>620</v>
      </c>
      <c r="G81" s="274">
        <v>1</v>
      </c>
      <c r="H81" s="261">
        <v>14815</v>
      </c>
      <c r="I81" s="261">
        <v>14815</v>
      </c>
      <c r="J81" s="261">
        <v>0</v>
      </c>
      <c r="K81" s="261">
        <f t="shared" si="2"/>
        <v>14815</v>
      </c>
      <c r="L81" s="261">
        <v>1185</v>
      </c>
      <c r="M81" s="261">
        <f t="shared" si="3"/>
        <v>16000</v>
      </c>
      <c r="N81" s="137">
        <v>2.7000000000000001E-3</v>
      </c>
    </row>
    <row r="82" spans="1:14" ht="18" customHeight="1">
      <c r="A82" s="134">
        <v>2</v>
      </c>
      <c r="B82" s="135" t="s">
        <v>83</v>
      </c>
      <c r="C82" s="134">
        <v>8</v>
      </c>
      <c r="D82" s="138" t="s">
        <v>82</v>
      </c>
      <c r="E82" s="138" t="s">
        <v>151</v>
      </c>
      <c r="F82" s="135" t="s">
        <v>620</v>
      </c>
      <c r="G82" s="274">
        <v>9</v>
      </c>
      <c r="H82" s="261">
        <v>18930</v>
      </c>
      <c r="I82" s="261">
        <v>170370</v>
      </c>
      <c r="J82" s="261">
        <v>0</v>
      </c>
      <c r="K82" s="261">
        <f t="shared" si="2"/>
        <v>170370</v>
      </c>
      <c r="L82" s="261">
        <v>13630</v>
      </c>
      <c r="M82" s="261">
        <f t="shared" si="3"/>
        <v>184000</v>
      </c>
      <c r="N82" s="137">
        <v>3.1300000000000001E-2</v>
      </c>
    </row>
    <row r="83" spans="1:14" ht="18" customHeight="1">
      <c r="A83" s="134">
        <v>2</v>
      </c>
      <c r="B83" s="135" t="s">
        <v>83</v>
      </c>
      <c r="C83" s="134">
        <v>311</v>
      </c>
      <c r="D83" s="138" t="s">
        <v>88</v>
      </c>
      <c r="E83" s="138" t="s">
        <v>626</v>
      </c>
      <c r="F83" s="135" t="s">
        <v>620</v>
      </c>
      <c r="G83" s="274">
        <v>1</v>
      </c>
      <c r="H83" s="261">
        <v>44907</v>
      </c>
      <c r="I83" s="261">
        <v>44907</v>
      </c>
      <c r="J83" s="261">
        <v>0</v>
      </c>
      <c r="K83" s="261">
        <f t="shared" si="2"/>
        <v>44907</v>
      </c>
      <c r="L83" s="261">
        <v>3593</v>
      </c>
      <c r="M83" s="261">
        <f t="shared" si="3"/>
        <v>48500</v>
      </c>
      <c r="N83" s="137">
        <v>8.199999999999999E-3</v>
      </c>
    </row>
    <row r="84" spans="1:14" ht="18" customHeight="1">
      <c r="A84" s="134">
        <v>2</v>
      </c>
      <c r="B84" s="135" t="s">
        <v>83</v>
      </c>
      <c r="C84" s="134">
        <v>87</v>
      </c>
      <c r="D84" s="138" t="s">
        <v>84</v>
      </c>
      <c r="E84" s="138" t="s">
        <v>139</v>
      </c>
      <c r="F84" s="135" t="s">
        <v>620</v>
      </c>
      <c r="G84" s="274">
        <v>1</v>
      </c>
      <c r="H84" s="261">
        <v>37500</v>
      </c>
      <c r="I84" s="261">
        <v>37500</v>
      </c>
      <c r="J84" s="261">
        <v>0</v>
      </c>
      <c r="K84" s="261">
        <f t="shared" si="2"/>
        <v>37500</v>
      </c>
      <c r="L84" s="261">
        <v>3000</v>
      </c>
      <c r="M84" s="261">
        <f t="shared" si="3"/>
        <v>40500</v>
      </c>
      <c r="N84" s="137">
        <v>6.8999999999999999E-3</v>
      </c>
    </row>
    <row r="85" spans="1:14" ht="18" customHeight="1">
      <c r="A85" s="134">
        <v>2</v>
      </c>
      <c r="B85" s="135" t="s">
        <v>83</v>
      </c>
      <c r="C85" s="134">
        <v>206</v>
      </c>
      <c r="D85" s="138" t="s">
        <v>88</v>
      </c>
      <c r="E85" s="138" t="s">
        <v>627</v>
      </c>
      <c r="F85" s="135" t="s">
        <v>620</v>
      </c>
      <c r="G85" s="274">
        <v>1</v>
      </c>
      <c r="H85" s="261">
        <v>44907</v>
      </c>
      <c r="I85" s="261">
        <v>44907</v>
      </c>
      <c r="J85" s="261">
        <v>0</v>
      </c>
      <c r="K85" s="261">
        <f t="shared" si="2"/>
        <v>44907</v>
      </c>
      <c r="L85" s="261">
        <v>3593</v>
      </c>
      <c r="M85" s="261">
        <f t="shared" si="3"/>
        <v>48500</v>
      </c>
      <c r="N85" s="137">
        <v>8.199999999999999E-3</v>
      </c>
    </row>
    <row r="86" spans="1:14" ht="18" customHeight="1">
      <c r="A86" s="134">
        <v>2</v>
      </c>
      <c r="B86" s="135" t="s">
        <v>83</v>
      </c>
      <c r="C86" s="134">
        <v>13</v>
      </c>
      <c r="D86" s="138" t="s">
        <v>82</v>
      </c>
      <c r="E86" s="138" t="s">
        <v>628</v>
      </c>
      <c r="F86" s="135" t="s">
        <v>620</v>
      </c>
      <c r="G86" s="274">
        <v>6</v>
      </c>
      <c r="H86" s="261">
        <v>18827</v>
      </c>
      <c r="I86" s="261">
        <v>112963</v>
      </c>
      <c r="J86" s="261">
        <v>0</v>
      </c>
      <c r="K86" s="261">
        <f t="shared" si="2"/>
        <v>112963</v>
      </c>
      <c r="L86" s="261">
        <v>9037</v>
      </c>
      <c r="M86" s="261">
        <f t="shared" si="3"/>
        <v>122000</v>
      </c>
      <c r="N86" s="137">
        <v>2.07E-2</v>
      </c>
    </row>
    <row r="87" spans="1:14" ht="18" customHeight="1">
      <c r="A87" s="134">
        <v>2</v>
      </c>
      <c r="B87" s="135" t="s">
        <v>83</v>
      </c>
      <c r="C87" s="134">
        <v>264</v>
      </c>
      <c r="D87" s="138" t="s">
        <v>86</v>
      </c>
      <c r="E87" s="138" t="s">
        <v>681</v>
      </c>
      <c r="F87" s="135" t="s">
        <v>620</v>
      </c>
      <c r="G87" s="274">
        <v>2</v>
      </c>
      <c r="H87" s="261">
        <v>4630</v>
      </c>
      <c r="I87" s="261">
        <v>9259</v>
      </c>
      <c r="J87" s="261">
        <v>0</v>
      </c>
      <c r="K87" s="261">
        <f t="shared" si="2"/>
        <v>9259</v>
      </c>
      <c r="L87" s="261">
        <v>741</v>
      </c>
      <c r="M87" s="261">
        <f t="shared" si="3"/>
        <v>10000</v>
      </c>
      <c r="N87" s="137">
        <v>1.6999999999999999E-3</v>
      </c>
    </row>
    <row r="88" spans="1:14" ht="18" customHeight="1">
      <c r="A88" s="134">
        <v>2</v>
      </c>
      <c r="B88" s="135" t="s">
        <v>83</v>
      </c>
      <c r="C88" s="134">
        <v>70</v>
      </c>
      <c r="D88" s="138" t="s">
        <v>86</v>
      </c>
      <c r="E88" s="138" t="s">
        <v>630</v>
      </c>
      <c r="F88" s="135" t="s">
        <v>620</v>
      </c>
      <c r="G88" s="274">
        <v>5</v>
      </c>
      <c r="H88" s="261">
        <v>4630</v>
      </c>
      <c r="I88" s="261">
        <v>23148</v>
      </c>
      <c r="J88" s="261">
        <v>0</v>
      </c>
      <c r="K88" s="261">
        <f t="shared" si="2"/>
        <v>23148</v>
      </c>
      <c r="L88" s="261">
        <v>1852</v>
      </c>
      <c r="M88" s="261">
        <f t="shared" si="3"/>
        <v>25000</v>
      </c>
      <c r="N88" s="137">
        <v>4.1999999999999997E-3</v>
      </c>
    </row>
    <row r="89" spans="1:14" ht="18" customHeight="1">
      <c r="A89" s="134">
        <v>2</v>
      </c>
      <c r="B89" s="135" t="s">
        <v>83</v>
      </c>
      <c r="C89" s="134">
        <v>83</v>
      </c>
      <c r="D89" s="138" t="s">
        <v>82</v>
      </c>
      <c r="E89" s="138" t="s">
        <v>632</v>
      </c>
      <c r="F89" s="135" t="s">
        <v>620</v>
      </c>
      <c r="G89" s="274">
        <v>8</v>
      </c>
      <c r="H89" s="261">
        <v>20833</v>
      </c>
      <c r="I89" s="261">
        <v>166667</v>
      </c>
      <c r="J89" s="261">
        <v>0</v>
      </c>
      <c r="K89" s="261">
        <f t="shared" si="2"/>
        <v>166667</v>
      </c>
      <c r="L89" s="261">
        <v>13333</v>
      </c>
      <c r="M89" s="261">
        <f t="shared" si="3"/>
        <v>180000</v>
      </c>
      <c r="N89" s="137">
        <v>3.0599999999999999E-2</v>
      </c>
    </row>
    <row r="90" spans="1:14" ht="18" customHeight="1">
      <c r="A90" s="134">
        <v>2</v>
      </c>
      <c r="B90" s="135" t="s">
        <v>83</v>
      </c>
      <c r="C90" s="134">
        <v>52</v>
      </c>
      <c r="D90" s="138" t="s">
        <v>82</v>
      </c>
      <c r="E90" s="138" t="s">
        <v>682</v>
      </c>
      <c r="F90" s="135" t="s">
        <v>620</v>
      </c>
      <c r="G90" s="274">
        <v>1</v>
      </c>
      <c r="H90" s="261">
        <v>5556</v>
      </c>
      <c r="I90" s="261">
        <v>5556</v>
      </c>
      <c r="J90" s="261">
        <v>0</v>
      </c>
      <c r="K90" s="261">
        <f t="shared" si="2"/>
        <v>5556</v>
      </c>
      <c r="L90" s="261">
        <v>444</v>
      </c>
      <c r="M90" s="261">
        <f t="shared" si="3"/>
        <v>6000</v>
      </c>
      <c r="N90" s="137">
        <v>1E-3</v>
      </c>
    </row>
    <row r="91" spans="1:14" ht="18" customHeight="1">
      <c r="A91" s="134">
        <v>2</v>
      </c>
      <c r="B91" s="135" t="s">
        <v>83</v>
      </c>
      <c r="C91" s="134">
        <v>41</v>
      </c>
      <c r="D91" s="138" t="s">
        <v>82</v>
      </c>
      <c r="E91" s="138" t="s">
        <v>163</v>
      </c>
      <c r="F91" s="135" t="s">
        <v>620</v>
      </c>
      <c r="G91" s="274">
        <v>2</v>
      </c>
      <c r="H91" s="261">
        <v>49074</v>
      </c>
      <c r="I91" s="261">
        <v>98148</v>
      </c>
      <c r="J91" s="261">
        <v>0</v>
      </c>
      <c r="K91" s="261">
        <f t="shared" si="2"/>
        <v>98148</v>
      </c>
      <c r="L91" s="261">
        <v>7852</v>
      </c>
      <c r="M91" s="261">
        <f t="shared" si="3"/>
        <v>106000</v>
      </c>
      <c r="N91" s="137">
        <v>1.7999999999999999E-2</v>
      </c>
    </row>
    <row r="92" spans="1:14" ht="18" customHeight="1">
      <c r="A92" s="134">
        <v>2</v>
      </c>
      <c r="B92" s="135" t="s">
        <v>83</v>
      </c>
      <c r="C92" s="134">
        <v>122</v>
      </c>
      <c r="D92" s="138" t="s">
        <v>86</v>
      </c>
      <c r="E92" s="138" t="s">
        <v>634</v>
      </c>
      <c r="F92" s="135" t="s">
        <v>620</v>
      </c>
      <c r="G92" s="274">
        <v>3</v>
      </c>
      <c r="H92" s="261">
        <v>2778</v>
      </c>
      <c r="I92" s="261">
        <v>8333</v>
      </c>
      <c r="J92" s="261">
        <v>0</v>
      </c>
      <c r="K92" s="261">
        <f t="shared" si="2"/>
        <v>8333</v>
      </c>
      <c r="L92" s="261">
        <v>667</v>
      </c>
      <c r="M92" s="261">
        <f t="shared" si="3"/>
        <v>9000</v>
      </c>
      <c r="N92" s="137">
        <v>1.5E-3</v>
      </c>
    </row>
    <row r="93" spans="1:14" ht="18" customHeight="1">
      <c r="A93" s="134">
        <v>2</v>
      </c>
      <c r="B93" s="135" t="s">
        <v>83</v>
      </c>
      <c r="C93" s="134">
        <v>105</v>
      </c>
      <c r="D93" s="138" t="s">
        <v>82</v>
      </c>
      <c r="E93" s="138" t="s">
        <v>683</v>
      </c>
      <c r="F93" s="135" t="s">
        <v>620</v>
      </c>
      <c r="G93" s="274">
        <v>20</v>
      </c>
      <c r="H93" s="261">
        <v>18565</v>
      </c>
      <c r="I93" s="261">
        <v>373148</v>
      </c>
      <c r="J93" s="261">
        <v>1852</v>
      </c>
      <c r="K93" s="261">
        <f t="shared" si="2"/>
        <v>371296</v>
      </c>
      <c r="L93" s="261">
        <v>29704</v>
      </c>
      <c r="M93" s="261">
        <f t="shared" si="3"/>
        <v>401000</v>
      </c>
      <c r="N93" s="137">
        <v>6.8199999999999997E-2</v>
      </c>
    </row>
    <row r="94" spans="1:14" ht="18" customHeight="1">
      <c r="A94" s="134">
        <v>2</v>
      </c>
      <c r="B94" s="135" t="s">
        <v>83</v>
      </c>
      <c r="C94" s="134">
        <v>44</v>
      </c>
      <c r="D94" s="138" t="s">
        <v>82</v>
      </c>
      <c r="E94" s="138" t="s">
        <v>133</v>
      </c>
      <c r="F94" s="135" t="s">
        <v>620</v>
      </c>
      <c r="G94" s="274">
        <v>2</v>
      </c>
      <c r="H94" s="261">
        <v>28241</v>
      </c>
      <c r="I94" s="261">
        <v>56481</v>
      </c>
      <c r="J94" s="261">
        <v>0</v>
      </c>
      <c r="K94" s="261">
        <f t="shared" si="2"/>
        <v>56481</v>
      </c>
      <c r="L94" s="261">
        <v>4519</v>
      </c>
      <c r="M94" s="261">
        <f t="shared" si="3"/>
        <v>61000</v>
      </c>
      <c r="N94" s="137">
        <v>1.04E-2</v>
      </c>
    </row>
    <row r="95" spans="1:14" ht="18" customHeight="1">
      <c r="A95" s="134">
        <v>2</v>
      </c>
      <c r="B95" s="135" t="s">
        <v>83</v>
      </c>
      <c r="C95" s="134">
        <v>110</v>
      </c>
      <c r="D95" s="138" t="s">
        <v>94</v>
      </c>
      <c r="E95" s="138" t="s">
        <v>635</v>
      </c>
      <c r="F95" s="135" t="s">
        <v>620</v>
      </c>
      <c r="G95" s="274">
        <v>11</v>
      </c>
      <c r="H95" s="261">
        <v>926</v>
      </c>
      <c r="I95" s="261">
        <v>10185</v>
      </c>
      <c r="J95" s="261">
        <v>0</v>
      </c>
      <c r="K95" s="261">
        <f t="shared" si="2"/>
        <v>10185</v>
      </c>
      <c r="L95" s="261">
        <v>815</v>
      </c>
      <c r="M95" s="261">
        <f t="shared" si="3"/>
        <v>11000</v>
      </c>
      <c r="N95" s="137">
        <v>1.9E-3</v>
      </c>
    </row>
    <row r="96" spans="1:14" ht="18" customHeight="1">
      <c r="A96" s="134">
        <v>2</v>
      </c>
      <c r="B96" s="135" t="s">
        <v>83</v>
      </c>
      <c r="C96" s="134">
        <v>102</v>
      </c>
      <c r="D96" s="138" t="s">
        <v>82</v>
      </c>
      <c r="E96" s="138" t="s">
        <v>684</v>
      </c>
      <c r="F96" s="135" t="s">
        <v>620</v>
      </c>
      <c r="G96" s="274">
        <v>1</v>
      </c>
      <c r="H96" s="261">
        <v>6944</v>
      </c>
      <c r="I96" s="261">
        <v>6944</v>
      </c>
      <c r="J96" s="261">
        <v>0</v>
      </c>
      <c r="K96" s="261">
        <f t="shared" si="2"/>
        <v>6944</v>
      </c>
      <c r="L96" s="261">
        <v>556</v>
      </c>
      <c r="M96" s="261">
        <f t="shared" si="3"/>
        <v>7500</v>
      </c>
      <c r="N96" s="137">
        <v>1.2999999999999999E-3</v>
      </c>
    </row>
    <row r="97" spans="1:14" ht="18" customHeight="1">
      <c r="A97" s="134">
        <v>2</v>
      </c>
      <c r="B97" s="135" t="s">
        <v>83</v>
      </c>
      <c r="C97" s="134">
        <v>45</v>
      </c>
      <c r="D97" s="138" t="s">
        <v>82</v>
      </c>
      <c r="E97" s="138" t="s">
        <v>636</v>
      </c>
      <c r="F97" s="135" t="s">
        <v>620</v>
      </c>
      <c r="G97" s="274">
        <v>3</v>
      </c>
      <c r="H97" s="261">
        <v>35648</v>
      </c>
      <c r="I97" s="261">
        <v>106944</v>
      </c>
      <c r="J97" s="261">
        <v>0</v>
      </c>
      <c r="K97" s="261">
        <f t="shared" si="2"/>
        <v>106944</v>
      </c>
      <c r="L97" s="261">
        <v>8556</v>
      </c>
      <c r="M97" s="261">
        <f t="shared" si="3"/>
        <v>115500</v>
      </c>
      <c r="N97" s="137">
        <v>1.9599999999999999E-2</v>
      </c>
    </row>
    <row r="98" spans="1:14" ht="18" customHeight="1">
      <c r="A98" s="134">
        <v>2</v>
      </c>
      <c r="B98" s="135" t="s">
        <v>83</v>
      </c>
      <c r="C98" s="134">
        <v>30</v>
      </c>
      <c r="D98" s="138" t="s">
        <v>90</v>
      </c>
      <c r="E98" s="138" t="s">
        <v>637</v>
      </c>
      <c r="F98" s="135" t="s">
        <v>620</v>
      </c>
      <c r="G98" s="274">
        <v>2</v>
      </c>
      <c r="H98" s="261">
        <v>6481</v>
      </c>
      <c r="I98" s="261">
        <v>12963</v>
      </c>
      <c r="J98" s="261">
        <v>0</v>
      </c>
      <c r="K98" s="261">
        <f t="shared" si="2"/>
        <v>12963</v>
      </c>
      <c r="L98" s="261">
        <v>1037</v>
      </c>
      <c r="M98" s="261">
        <f t="shared" si="3"/>
        <v>14000</v>
      </c>
      <c r="N98" s="137">
        <v>2.3999999999999998E-3</v>
      </c>
    </row>
    <row r="99" spans="1:14" ht="18" customHeight="1">
      <c r="A99" s="134">
        <v>2</v>
      </c>
      <c r="B99" s="135" t="s">
        <v>83</v>
      </c>
      <c r="C99" s="134">
        <v>94</v>
      </c>
      <c r="D99" s="138" t="s">
        <v>84</v>
      </c>
      <c r="E99" s="138" t="s">
        <v>145</v>
      </c>
      <c r="F99" s="135" t="s">
        <v>620</v>
      </c>
      <c r="G99" s="274">
        <v>10</v>
      </c>
      <c r="H99" s="261">
        <v>18611</v>
      </c>
      <c r="I99" s="261">
        <v>186111</v>
      </c>
      <c r="J99" s="261">
        <v>0</v>
      </c>
      <c r="K99" s="261">
        <f t="shared" si="2"/>
        <v>186111</v>
      </c>
      <c r="L99" s="261">
        <v>14889</v>
      </c>
      <c r="M99" s="261">
        <f t="shared" si="3"/>
        <v>201000</v>
      </c>
      <c r="N99" s="137">
        <v>3.4200000000000001E-2</v>
      </c>
    </row>
    <row r="100" spans="1:14" ht="18" customHeight="1">
      <c r="A100" s="134">
        <v>2</v>
      </c>
      <c r="B100" s="135" t="s">
        <v>83</v>
      </c>
      <c r="C100" s="134">
        <v>233</v>
      </c>
      <c r="D100" s="138" t="s">
        <v>84</v>
      </c>
      <c r="E100" s="138" t="s">
        <v>112</v>
      </c>
      <c r="F100" s="135" t="s">
        <v>620</v>
      </c>
      <c r="G100" s="274">
        <v>40</v>
      </c>
      <c r="H100" s="261">
        <v>18611</v>
      </c>
      <c r="I100" s="261">
        <v>744444</v>
      </c>
      <c r="J100" s="261">
        <v>0</v>
      </c>
      <c r="K100" s="261">
        <f t="shared" si="2"/>
        <v>744444</v>
      </c>
      <c r="L100" s="261">
        <v>59556</v>
      </c>
      <c r="M100" s="261">
        <f t="shared" si="3"/>
        <v>804000</v>
      </c>
      <c r="N100" s="137">
        <v>0.13669999999999999</v>
      </c>
    </row>
    <row r="101" spans="1:14" ht="18" customHeight="1">
      <c r="A101" s="134">
        <v>2</v>
      </c>
      <c r="B101" s="135" t="s">
        <v>83</v>
      </c>
      <c r="C101" s="134">
        <v>218</v>
      </c>
      <c r="D101" s="138" t="s">
        <v>84</v>
      </c>
      <c r="E101" s="138" t="s">
        <v>640</v>
      </c>
      <c r="F101" s="135" t="s">
        <v>620</v>
      </c>
      <c r="G101" s="274">
        <v>12</v>
      </c>
      <c r="H101" s="261">
        <v>18673</v>
      </c>
      <c r="I101" s="261">
        <v>224074</v>
      </c>
      <c r="J101" s="261">
        <v>0</v>
      </c>
      <c r="K101" s="261">
        <f t="shared" si="2"/>
        <v>224074</v>
      </c>
      <c r="L101" s="261">
        <v>17926</v>
      </c>
      <c r="M101" s="261">
        <f t="shared" si="3"/>
        <v>242000</v>
      </c>
      <c r="N101" s="137">
        <v>4.1099999999999998E-2</v>
      </c>
    </row>
    <row r="102" spans="1:14" ht="18" customHeight="1">
      <c r="A102" s="134">
        <v>2</v>
      </c>
      <c r="B102" s="135" t="s">
        <v>83</v>
      </c>
      <c r="C102" s="134">
        <v>34</v>
      </c>
      <c r="D102" s="138" t="s">
        <v>86</v>
      </c>
      <c r="E102" s="138" t="s">
        <v>641</v>
      </c>
      <c r="F102" s="135" t="s">
        <v>620</v>
      </c>
      <c r="G102" s="274">
        <v>3</v>
      </c>
      <c r="H102" s="261">
        <v>6481</v>
      </c>
      <c r="I102" s="261">
        <v>19444</v>
      </c>
      <c r="J102" s="261">
        <v>0</v>
      </c>
      <c r="K102" s="261">
        <f t="shared" si="2"/>
        <v>19444</v>
      </c>
      <c r="L102" s="261">
        <v>1556</v>
      </c>
      <c r="M102" s="261">
        <f t="shared" si="3"/>
        <v>21000</v>
      </c>
      <c r="N102" s="137">
        <v>3.5999999999999999E-3</v>
      </c>
    </row>
    <row r="103" spans="1:14" ht="18" customHeight="1">
      <c r="A103" s="134">
        <v>2</v>
      </c>
      <c r="B103" s="135" t="s">
        <v>83</v>
      </c>
      <c r="C103" s="134">
        <v>121</v>
      </c>
      <c r="D103" s="138" t="s">
        <v>86</v>
      </c>
      <c r="E103" s="138" t="s">
        <v>642</v>
      </c>
      <c r="F103" s="135" t="s">
        <v>620</v>
      </c>
      <c r="G103" s="274">
        <v>1</v>
      </c>
      <c r="H103" s="261">
        <v>2778</v>
      </c>
      <c r="I103" s="261">
        <v>2778</v>
      </c>
      <c r="J103" s="261">
        <v>0</v>
      </c>
      <c r="K103" s="261">
        <f t="shared" si="2"/>
        <v>2778</v>
      </c>
      <c r="L103" s="261">
        <v>222</v>
      </c>
      <c r="M103" s="261">
        <f t="shared" si="3"/>
        <v>3000</v>
      </c>
      <c r="N103" s="137">
        <v>5.0000000000000001E-4</v>
      </c>
    </row>
    <row r="104" spans="1:14" ht="18" customHeight="1">
      <c r="A104" s="134">
        <v>2</v>
      </c>
      <c r="B104" s="135" t="s">
        <v>83</v>
      </c>
      <c r="C104" s="134">
        <v>208</v>
      </c>
      <c r="D104" s="138" t="s">
        <v>86</v>
      </c>
      <c r="E104" s="138" t="s">
        <v>643</v>
      </c>
      <c r="F104" s="135" t="s">
        <v>620</v>
      </c>
      <c r="G104" s="274">
        <v>5</v>
      </c>
      <c r="H104" s="261">
        <v>3704</v>
      </c>
      <c r="I104" s="261">
        <v>18519</v>
      </c>
      <c r="J104" s="261">
        <v>0</v>
      </c>
      <c r="K104" s="261">
        <f t="shared" si="2"/>
        <v>18519</v>
      </c>
      <c r="L104" s="261">
        <v>1482</v>
      </c>
      <c r="M104" s="261">
        <f t="shared" si="3"/>
        <v>20001</v>
      </c>
      <c r="N104" s="137">
        <v>3.3999999999999998E-3</v>
      </c>
    </row>
    <row r="105" spans="1:14" ht="18" customHeight="1">
      <c r="A105" s="134">
        <v>2</v>
      </c>
      <c r="B105" s="135" t="s">
        <v>83</v>
      </c>
      <c r="C105" s="134">
        <v>123</v>
      </c>
      <c r="D105" s="138" t="s">
        <v>86</v>
      </c>
      <c r="E105" s="138" t="s">
        <v>644</v>
      </c>
      <c r="F105" s="135" t="s">
        <v>620</v>
      </c>
      <c r="G105" s="274">
        <v>1</v>
      </c>
      <c r="H105" s="261">
        <v>2778</v>
      </c>
      <c r="I105" s="261">
        <v>2778</v>
      </c>
      <c r="J105" s="261">
        <v>0</v>
      </c>
      <c r="K105" s="261">
        <f t="shared" si="2"/>
        <v>2778</v>
      </c>
      <c r="L105" s="261">
        <v>222</v>
      </c>
      <c r="M105" s="261">
        <f t="shared" si="3"/>
        <v>3000</v>
      </c>
      <c r="N105" s="137">
        <v>5.0000000000000001E-4</v>
      </c>
    </row>
    <row r="106" spans="1:14" ht="18" customHeight="1">
      <c r="A106" s="134">
        <v>2</v>
      </c>
      <c r="B106" s="135" t="s">
        <v>83</v>
      </c>
      <c r="C106" s="134">
        <v>314</v>
      </c>
      <c r="D106" s="138" t="s">
        <v>82</v>
      </c>
      <c r="E106" s="138" t="s">
        <v>685</v>
      </c>
      <c r="F106" s="135" t="s">
        <v>620</v>
      </c>
      <c r="G106" s="274">
        <v>1</v>
      </c>
      <c r="H106" s="261">
        <v>4167</v>
      </c>
      <c r="I106" s="261">
        <v>4167</v>
      </c>
      <c r="J106" s="261">
        <v>0</v>
      </c>
      <c r="K106" s="261">
        <f t="shared" si="2"/>
        <v>4167</v>
      </c>
      <c r="L106" s="261">
        <v>333</v>
      </c>
      <c r="M106" s="261">
        <f t="shared" si="3"/>
        <v>4500</v>
      </c>
      <c r="N106" s="137">
        <v>8.0000000000000004E-4</v>
      </c>
    </row>
    <row r="107" spans="1:14" ht="18" customHeight="1">
      <c r="A107" s="134">
        <v>2</v>
      </c>
      <c r="B107" s="135" t="s">
        <v>83</v>
      </c>
      <c r="C107" s="134">
        <v>31</v>
      </c>
      <c r="D107" s="138" t="s">
        <v>90</v>
      </c>
      <c r="E107" s="138" t="s">
        <v>645</v>
      </c>
      <c r="F107" s="135" t="s">
        <v>620</v>
      </c>
      <c r="G107" s="274">
        <v>10</v>
      </c>
      <c r="H107" s="261">
        <v>1204</v>
      </c>
      <c r="I107" s="261">
        <v>12037</v>
      </c>
      <c r="J107" s="261">
        <v>0</v>
      </c>
      <c r="K107" s="261">
        <f t="shared" si="2"/>
        <v>12037</v>
      </c>
      <c r="L107" s="261">
        <v>963</v>
      </c>
      <c r="M107" s="261">
        <f t="shared" si="3"/>
        <v>13000</v>
      </c>
      <c r="N107" s="137">
        <v>2.2000000000000001E-3</v>
      </c>
    </row>
    <row r="108" spans="1:14" ht="18" customHeight="1">
      <c r="A108" s="134">
        <v>2</v>
      </c>
      <c r="B108" s="135" t="s">
        <v>83</v>
      </c>
      <c r="C108" s="134">
        <v>212</v>
      </c>
      <c r="D108" s="138" t="s">
        <v>86</v>
      </c>
      <c r="E108" s="138" t="s">
        <v>160</v>
      </c>
      <c r="F108" s="135" t="s">
        <v>620</v>
      </c>
      <c r="G108" s="274">
        <v>2</v>
      </c>
      <c r="H108" s="261">
        <v>22222</v>
      </c>
      <c r="I108" s="261">
        <v>44444</v>
      </c>
      <c r="J108" s="261">
        <v>0</v>
      </c>
      <c r="K108" s="261">
        <f t="shared" si="2"/>
        <v>44444</v>
      </c>
      <c r="L108" s="261">
        <v>3556</v>
      </c>
      <c r="M108" s="261">
        <f t="shared" si="3"/>
        <v>48000</v>
      </c>
      <c r="N108" s="137">
        <v>8.199999999999999E-3</v>
      </c>
    </row>
    <row r="109" spans="1:14" ht="18" customHeight="1">
      <c r="A109" s="134">
        <v>2</v>
      </c>
      <c r="B109" s="135" t="s">
        <v>83</v>
      </c>
      <c r="C109" s="134">
        <v>74</v>
      </c>
      <c r="D109" s="138" t="s">
        <v>86</v>
      </c>
      <c r="E109" s="138" t="s">
        <v>686</v>
      </c>
      <c r="F109" s="135" t="s">
        <v>620</v>
      </c>
      <c r="G109" s="274">
        <v>5</v>
      </c>
      <c r="H109" s="261">
        <v>6481</v>
      </c>
      <c r="I109" s="261">
        <v>32407</v>
      </c>
      <c r="J109" s="261">
        <v>0</v>
      </c>
      <c r="K109" s="261">
        <f t="shared" si="2"/>
        <v>32407</v>
      </c>
      <c r="L109" s="261">
        <v>2593</v>
      </c>
      <c r="M109" s="261">
        <f t="shared" si="3"/>
        <v>35000</v>
      </c>
      <c r="N109" s="137">
        <v>5.8999999999999999E-3</v>
      </c>
    </row>
    <row r="110" spans="1:14" ht="18" customHeight="1">
      <c r="A110" s="134">
        <v>2</v>
      </c>
      <c r="B110" s="135" t="s">
        <v>83</v>
      </c>
      <c r="C110" s="134">
        <v>235</v>
      </c>
      <c r="D110" s="138" t="s">
        <v>86</v>
      </c>
      <c r="E110" s="138" t="s">
        <v>687</v>
      </c>
      <c r="F110" s="135" t="s">
        <v>620</v>
      </c>
      <c r="G110" s="274">
        <v>1</v>
      </c>
      <c r="H110" s="261">
        <v>3426</v>
      </c>
      <c r="I110" s="261">
        <v>3426</v>
      </c>
      <c r="J110" s="261">
        <v>0</v>
      </c>
      <c r="K110" s="261">
        <f t="shared" si="2"/>
        <v>3426</v>
      </c>
      <c r="L110" s="261">
        <v>274</v>
      </c>
      <c r="M110" s="261">
        <f t="shared" si="3"/>
        <v>3700</v>
      </c>
      <c r="N110" s="137">
        <v>5.9999999999999995E-4</v>
      </c>
    </row>
    <row r="111" spans="1:14" ht="18" customHeight="1">
      <c r="A111" s="134">
        <v>2</v>
      </c>
      <c r="B111" s="135" t="s">
        <v>83</v>
      </c>
      <c r="C111" s="134">
        <v>75</v>
      </c>
      <c r="D111" s="138" t="s">
        <v>86</v>
      </c>
      <c r="E111" s="138" t="s">
        <v>647</v>
      </c>
      <c r="F111" s="135" t="s">
        <v>620</v>
      </c>
      <c r="G111" s="274">
        <v>1</v>
      </c>
      <c r="H111" s="261">
        <v>9259</v>
      </c>
      <c r="I111" s="261">
        <v>9259</v>
      </c>
      <c r="J111" s="261">
        <v>0</v>
      </c>
      <c r="K111" s="261">
        <f t="shared" si="2"/>
        <v>9259</v>
      </c>
      <c r="L111" s="261">
        <v>741</v>
      </c>
      <c r="M111" s="261">
        <f t="shared" si="3"/>
        <v>10000</v>
      </c>
      <c r="N111" s="137">
        <v>1.6999999999999999E-3</v>
      </c>
    </row>
    <row r="112" spans="1:14" ht="18" customHeight="1">
      <c r="A112" s="134">
        <v>2</v>
      </c>
      <c r="B112" s="135" t="s">
        <v>83</v>
      </c>
      <c r="C112" s="134">
        <v>118</v>
      </c>
      <c r="D112" s="138" t="s">
        <v>82</v>
      </c>
      <c r="E112" s="138" t="s">
        <v>121</v>
      </c>
      <c r="F112" s="135" t="s">
        <v>620</v>
      </c>
      <c r="G112" s="274">
        <v>2</v>
      </c>
      <c r="H112" s="261">
        <v>41667</v>
      </c>
      <c r="I112" s="261">
        <v>83333</v>
      </c>
      <c r="J112" s="261">
        <v>0</v>
      </c>
      <c r="K112" s="261">
        <f t="shared" si="2"/>
        <v>83333</v>
      </c>
      <c r="L112" s="261">
        <v>6667</v>
      </c>
      <c r="M112" s="261">
        <f t="shared" si="3"/>
        <v>90000</v>
      </c>
      <c r="N112" s="137">
        <v>1.5299999999999999E-2</v>
      </c>
    </row>
    <row r="113" spans="1:14" ht="18" customHeight="1">
      <c r="A113" s="134">
        <v>2</v>
      </c>
      <c r="B113" s="135" t="s">
        <v>83</v>
      </c>
      <c r="C113" s="134">
        <v>205</v>
      </c>
      <c r="D113" s="138" t="s">
        <v>86</v>
      </c>
      <c r="E113" s="138" t="s">
        <v>688</v>
      </c>
      <c r="F113" s="135" t="s">
        <v>620</v>
      </c>
      <c r="G113" s="274">
        <v>1</v>
      </c>
      <c r="H113" s="261">
        <v>12037</v>
      </c>
      <c r="I113" s="261">
        <v>12037</v>
      </c>
      <c r="J113" s="261">
        <v>0</v>
      </c>
      <c r="K113" s="261">
        <f t="shared" si="2"/>
        <v>12037</v>
      </c>
      <c r="L113" s="261">
        <v>963</v>
      </c>
      <c r="M113" s="261">
        <f t="shared" si="3"/>
        <v>13000</v>
      </c>
      <c r="N113" s="137">
        <v>2.2000000000000001E-3</v>
      </c>
    </row>
    <row r="114" spans="1:14" ht="18" customHeight="1">
      <c r="A114" s="134">
        <v>2</v>
      </c>
      <c r="B114" s="135" t="s">
        <v>83</v>
      </c>
      <c r="C114" s="134">
        <v>204</v>
      </c>
      <c r="D114" s="138" t="s">
        <v>86</v>
      </c>
      <c r="E114" s="138" t="s">
        <v>648</v>
      </c>
      <c r="F114" s="135" t="s">
        <v>620</v>
      </c>
      <c r="G114" s="274">
        <v>1</v>
      </c>
      <c r="H114" s="261">
        <v>12037</v>
      </c>
      <c r="I114" s="261">
        <v>12037</v>
      </c>
      <c r="J114" s="261">
        <v>0</v>
      </c>
      <c r="K114" s="261">
        <f t="shared" si="2"/>
        <v>12037</v>
      </c>
      <c r="L114" s="261">
        <v>963</v>
      </c>
      <c r="M114" s="261">
        <f t="shared" si="3"/>
        <v>13000</v>
      </c>
      <c r="N114" s="137">
        <v>2.2000000000000001E-3</v>
      </c>
    </row>
    <row r="115" spans="1:14" ht="18" customHeight="1">
      <c r="A115" s="134">
        <v>2</v>
      </c>
      <c r="B115" s="135" t="s">
        <v>83</v>
      </c>
      <c r="C115" s="134">
        <v>109</v>
      </c>
      <c r="D115" s="138" t="s">
        <v>86</v>
      </c>
      <c r="E115" s="138" t="s">
        <v>142</v>
      </c>
      <c r="F115" s="135" t="s">
        <v>620</v>
      </c>
      <c r="G115" s="274">
        <v>3</v>
      </c>
      <c r="H115" s="261">
        <v>12963</v>
      </c>
      <c r="I115" s="261">
        <v>38889</v>
      </c>
      <c r="J115" s="261">
        <v>0</v>
      </c>
      <c r="K115" s="261">
        <f t="shared" si="2"/>
        <v>38889</v>
      </c>
      <c r="L115" s="261">
        <v>3111</v>
      </c>
      <c r="M115" s="261">
        <f t="shared" si="3"/>
        <v>42000</v>
      </c>
      <c r="N115" s="137">
        <v>7.1000000000000004E-3</v>
      </c>
    </row>
    <row r="116" spans="1:14" ht="18" customHeight="1">
      <c r="A116" s="134">
        <v>2</v>
      </c>
      <c r="B116" s="135" t="s">
        <v>83</v>
      </c>
      <c r="C116" s="134">
        <v>147</v>
      </c>
      <c r="D116" s="138" t="s">
        <v>86</v>
      </c>
      <c r="E116" s="138" t="s">
        <v>649</v>
      </c>
      <c r="F116" s="135" t="s">
        <v>620</v>
      </c>
      <c r="G116" s="274">
        <v>2</v>
      </c>
      <c r="H116" s="261">
        <v>6481</v>
      </c>
      <c r="I116" s="261">
        <v>12963</v>
      </c>
      <c r="J116" s="261">
        <v>0</v>
      </c>
      <c r="K116" s="261">
        <f t="shared" si="2"/>
        <v>12963</v>
      </c>
      <c r="L116" s="261">
        <v>1037</v>
      </c>
      <c r="M116" s="261">
        <f t="shared" si="3"/>
        <v>14000</v>
      </c>
      <c r="N116" s="137">
        <v>2.3999999999999998E-3</v>
      </c>
    </row>
    <row r="117" spans="1:14" ht="18" customHeight="1">
      <c r="A117" s="134">
        <v>2</v>
      </c>
      <c r="B117" s="135" t="s">
        <v>83</v>
      </c>
      <c r="C117" s="134">
        <v>72</v>
      </c>
      <c r="D117" s="138" t="s">
        <v>92</v>
      </c>
      <c r="E117" s="138" t="s">
        <v>651</v>
      </c>
      <c r="F117" s="135" t="s">
        <v>620</v>
      </c>
      <c r="G117" s="274">
        <v>7</v>
      </c>
      <c r="H117" s="261">
        <v>3704</v>
      </c>
      <c r="I117" s="261">
        <v>25926</v>
      </c>
      <c r="J117" s="261">
        <v>0</v>
      </c>
      <c r="K117" s="261">
        <f t="shared" si="2"/>
        <v>25926</v>
      </c>
      <c r="L117" s="261">
        <v>2074</v>
      </c>
      <c r="M117" s="261">
        <f t="shared" si="3"/>
        <v>28000</v>
      </c>
      <c r="N117" s="137">
        <v>4.7999999999999996E-3</v>
      </c>
    </row>
    <row r="118" spans="1:14" ht="18" customHeight="1">
      <c r="A118" s="134">
        <v>2</v>
      </c>
      <c r="B118" s="135" t="s">
        <v>83</v>
      </c>
      <c r="C118" s="134">
        <v>112</v>
      </c>
      <c r="D118" s="138" t="s">
        <v>82</v>
      </c>
      <c r="E118" s="138" t="s">
        <v>652</v>
      </c>
      <c r="F118" s="135" t="s">
        <v>620</v>
      </c>
      <c r="G118" s="274">
        <v>1</v>
      </c>
      <c r="H118" s="261">
        <v>41667</v>
      </c>
      <c r="I118" s="261">
        <v>41667</v>
      </c>
      <c r="J118" s="261">
        <v>0</v>
      </c>
      <c r="K118" s="261">
        <f t="shared" si="2"/>
        <v>41667</v>
      </c>
      <c r="L118" s="261">
        <v>3333</v>
      </c>
      <c r="M118" s="261">
        <f t="shared" si="3"/>
        <v>45000</v>
      </c>
      <c r="N118" s="137">
        <v>7.6E-3</v>
      </c>
    </row>
    <row r="119" spans="1:14" ht="18" customHeight="1">
      <c r="A119" s="134">
        <v>2</v>
      </c>
      <c r="B119" s="135" t="s">
        <v>83</v>
      </c>
      <c r="C119" s="134">
        <v>35</v>
      </c>
      <c r="D119" s="138" t="s">
        <v>82</v>
      </c>
      <c r="E119" s="138" t="s">
        <v>689</v>
      </c>
      <c r="F119" s="135" t="s">
        <v>620</v>
      </c>
      <c r="G119" s="274">
        <v>1</v>
      </c>
      <c r="H119" s="261">
        <v>7407</v>
      </c>
      <c r="I119" s="261">
        <v>7407</v>
      </c>
      <c r="J119" s="261">
        <v>0</v>
      </c>
      <c r="K119" s="261">
        <f t="shared" si="2"/>
        <v>7407</v>
      </c>
      <c r="L119" s="261">
        <v>593</v>
      </c>
      <c r="M119" s="261">
        <f t="shared" si="3"/>
        <v>8000</v>
      </c>
      <c r="N119" s="137">
        <v>1.4E-3</v>
      </c>
    </row>
    <row r="120" spans="1:14" ht="18" customHeight="1">
      <c r="A120" s="134">
        <v>2</v>
      </c>
      <c r="B120" s="135" t="s">
        <v>83</v>
      </c>
      <c r="C120" s="134">
        <v>18</v>
      </c>
      <c r="D120" s="138" t="s">
        <v>82</v>
      </c>
      <c r="E120" s="138" t="s">
        <v>296</v>
      </c>
      <c r="F120" s="135" t="s">
        <v>620</v>
      </c>
      <c r="G120" s="274">
        <v>37</v>
      </c>
      <c r="H120" s="261">
        <v>18669</v>
      </c>
      <c r="I120" s="261">
        <v>692593</v>
      </c>
      <c r="J120" s="261">
        <v>1852</v>
      </c>
      <c r="K120" s="261">
        <f t="shared" si="2"/>
        <v>690741</v>
      </c>
      <c r="L120" s="261">
        <v>55259</v>
      </c>
      <c r="M120" s="261">
        <f t="shared" si="3"/>
        <v>746000</v>
      </c>
      <c r="N120" s="137">
        <v>0.1268</v>
      </c>
    </row>
    <row r="121" spans="1:14" ht="18" customHeight="1">
      <c r="A121" s="134">
        <v>2</v>
      </c>
      <c r="B121" s="135" t="s">
        <v>83</v>
      </c>
      <c r="C121" s="134">
        <v>93</v>
      </c>
      <c r="D121" s="138" t="s">
        <v>84</v>
      </c>
      <c r="E121" s="138" t="s">
        <v>118</v>
      </c>
      <c r="F121" s="135" t="s">
        <v>620</v>
      </c>
      <c r="G121" s="274">
        <v>2</v>
      </c>
      <c r="H121" s="261">
        <v>20370</v>
      </c>
      <c r="I121" s="261">
        <v>40741</v>
      </c>
      <c r="J121" s="261">
        <v>0</v>
      </c>
      <c r="K121" s="261">
        <f t="shared" si="2"/>
        <v>40741</v>
      </c>
      <c r="L121" s="261">
        <v>3259</v>
      </c>
      <c r="M121" s="261">
        <f t="shared" si="3"/>
        <v>44000</v>
      </c>
      <c r="N121" s="137">
        <v>7.4999999999999997E-3</v>
      </c>
    </row>
    <row r="122" spans="1:14" ht="18" customHeight="1">
      <c r="A122" s="134">
        <v>2</v>
      </c>
      <c r="B122" s="135" t="s">
        <v>83</v>
      </c>
      <c r="C122" s="134">
        <v>119</v>
      </c>
      <c r="D122" s="138" t="s">
        <v>84</v>
      </c>
      <c r="E122" s="138" t="s">
        <v>109</v>
      </c>
      <c r="F122" s="135" t="s">
        <v>620</v>
      </c>
      <c r="G122" s="274">
        <v>7</v>
      </c>
      <c r="H122" s="261">
        <v>44444</v>
      </c>
      <c r="I122" s="261">
        <v>311111</v>
      </c>
      <c r="J122" s="261">
        <v>0</v>
      </c>
      <c r="K122" s="261">
        <f t="shared" si="2"/>
        <v>311111</v>
      </c>
      <c r="L122" s="261">
        <v>24889</v>
      </c>
      <c r="M122" s="261">
        <f t="shared" si="3"/>
        <v>336000</v>
      </c>
      <c r="N122" s="137">
        <v>5.7099999999999998E-2</v>
      </c>
    </row>
    <row r="123" spans="1:14" ht="18" customHeight="1">
      <c r="A123" s="134">
        <v>2</v>
      </c>
      <c r="B123" s="135" t="s">
        <v>83</v>
      </c>
      <c r="C123" s="134">
        <v>19</v>
      </c>
      <c r="D123" s="138" t="s">
        <v>82</v>
      </c>
      <c r="E123" s="138" t="s">
        <v>654</v>
      </c>
      <c r="F123" s="135" t="s">
        <v>620</v>
      </c>
      <c r="G123" s="274">
        <v>2</v>
      </c>
      <c r="H123" s="261">
        <v>9259</v>
      </c>
      <c r="I123" s="261">
        <v>18519</v>
      </c>
      <c r="J123" s="261">
        <v>0</v>
      </c>
      <c r="K123" s="261">
        <f t="shared" si="2"/>
        <v>18519</v>
      </c>
      <c r="L123" s="261">
        <v>1481</v>
      </c>
      <c r="M123" s="261">
        <f t="shared" si="3"/>
        <v>20000</v>
      </c>
      <c r="N123" s="137">
        <v>3.3999999999999998E-3</v>
      </c>
    </row>
    <row r="124" spans="1:14" ht="18" customHeight="1">
      <c r="A124" s="134">
        <v>2</v>
      </c>
      <c r="B124" s="135" t="s">
        <v>83</v>
      </c>
      <c r="C124" s="134">
        <v>86</v>
      </c>
      <c r="D124" s="138" t="s">
        <v>90</v>
      </c>
      <c r="E124" s="138" t="s">
        <v>658</v>
      </c>
      <c r="F124" s="135" t="s">
        <v>620</v>
      </c>
      <c r="G124" s="274">
        <v>15</v>
      </c>
      <c r="H124" s="261">
        <v>3241</v>
      </c>
      <c r="I124" s="261">
        <v>48611</v>
      </c>
      <c r="J124" s="261">
        <v>0</v>
      </c>
      <c r="K124" s="261">
        <f t="shared" si="2"/>
        <v>48611</v>
      </c>
      <c r="L124" s="261">
        <v>3889</v>
      </c>
      <c r="M124" s="261">
        <f t="shared" si="3"/>
        <v>52500</v>
      </c>
      <c r="N124" s="137">
        <v>8.8999999999999999E-3</v>
      </c>
    </row>
    <row r="125" spans="1:14" ht="18" customHeight="1">
      <c r="A125" s="134">
        <v>2</v>
      </c>
      <c r="B125" s="135" t="s">
        <v>83</v>
      </c>
      <c r="C125" s="134">
        <v>80</v>
      </c>
      <c r="D125" s="138" t="s">
        <v>90</v>
      </c>
      <c r="E125" s="138" t="s">
        <v>659</v>
      </c>
      <c r="F125" s="135" t="s">
        <v>620</v>
      </c>
      <c r="G125" s="274">
        <v>7</v>
      </c>
      <c r="H125" s="261">
        <v>6481</v>
      </c>
      <c r="I125" s="261">
        <v>45370</v>
      </c>
      <c r="J125" s="261">
        <v>0</v>
      </c>
      <c r="K125" s="261">
        <f t="shared" si="2"/>
        <v>45370</v>
      </c>
      <c r="L125" s="261">
        <v>3630</v>
      </c>
      <c r="M125" s="261">
        <f t="shared" si="3"/>
        <v>49000</v>
      </c>
      <c r="N125" s="137">
        <v>8.3000000000000001E-3</v>
      </c>
    </row>
    <row r="126" spans="1:14" ht="18" customHeight="1">
      <c r="A126" s="134">
        <v>2</v>
      </c>
      <c r="B126" s="135" t="s">
        <v>83</v>
      </c>
      <c r="C126" s="134">
        <v>85</v>
      </c>
      <c r="D126" s="138" t="s">
        <v>90</v>
      </c>
      <c r="E126" s="138" t="s">
        <v>690</v>
      </c>
      <c r="F126" s="135" t="s">
        <v>620</v>
      </c>
      <c r="G126" s="274">
        <v>1</v>
      </c>
      <c r="H126" s="261">
        <v>2315</v>
      </c>
      <c r="I126" s="261">
        <v>2315</v>
      </c>
      <c r="J126" s="261">
        <v>0</v>
      </c>
      <c r="K126" s="261">
        <f t="shared" si="2"/>
        <v>2315</v>
      </c>
      <c r="L126" s="261">
        <v>185</v>
      </c>
      <c r="M126" s="261">
        <f t="shared" si="3"/>
        <v>2500</v>
      </c>
      <c r="N126" s="137">
        <v>4.0000000000000002E-4</v>
      </c>
    </row>
    <row r="127" spans="1:14" ht="18" customHeight="1">
      <c r="A127" s="134">
        <v>2</v>
      </c>
      <c r="B127" s="135" t="s">
        <v>83</v>
      </c>
      <c r="C127" s="134">
        <v>79</v>
      </c>
      <c r="D127" s="138" t="s">
        <v>90</v>
      </c>
      <c r="E127" s="138" t="s">
        <v>661</v>
      </c>
      <c r="F127" s="135" t="s">
        <v>620</v>
      </c>
      <c r="G127" s="274">
        <v>5</v>
      </c>
      <c r="H127" s="261">
        <v>6481</v>
      </c>
      <c r="I127" s="261">
        <v>32407</v>
      </c>
      <c r="J127" s="261">
        <v>0</v>
      </c>
      <c r="K127" s="261">
        <f t="shared" si="2"/>
        <v>32407</v>
      </c>
      <c r="L127" s="261">
        <v>2593</v>
      </c>
      <c r="M127" s="261">
        <f t="shared" si="3"/>
        <v>35000</v>
      </c>
      <c r="N127" s="137">
        <v>5.8999999999999999E-3</v>
      </c>
    </row>
    <row r="128" spans="1:14" ht="18" customHeight="1">
      <c r="A128" s="134">
        <v>2</v>
      </c>
      <c r="B128" s="135" t="s">
        <v>83</v>
      </c>
      <c r="C128" s="134">
        <v>82</v>
      </c>
      <c r="D128" s="138" t="s">
        <v>90</v>
      </c>
      <c r="E128" s="138" t="s">
        <v>691</v>
      </c>
      <c r="F128" s="135" t="s">
        <v>620</v>
      </c>
      <c r="G128" s="274">
        <v>6</v>
      </c>
      <c r="H128" s="261">
        <v>6481</v>
      </c>
      <c r="I128" s="261">
        <v>38889</v>
      </c>
      <c r="J128" s="261">
        <v>0</v>
      </c>
      <c r="K128" s="261">
        <f t="shared" si="2"/>
        <v>38889</v>
      </c>
      <c r="L128" s="261">
        <v>3111</v>
      </c>
      <c r="M128" s="261">
        <f t="shared" si="3"/>
        <v>42000</v>
      </c>
      <c r="N128" s="137">
        <v>7.1000000000000004E-3</v>
      </c>
    </row>
    <row r="129" spans="1:14" ht="18" customHeight="1">
      <c r="A129" s="134">
        <v>2</v>
      </c>
      <c r="B129" s="135" t="s">
        <v>83</v>
      </c>
      <c r="C129" s="134">
        <v>62</v>
      </c>
      <c r="D129" s="138" t="s">
        <v>90</v>
      </c>
      <c r="E129" s="138" t="s">
        <v>662</v>
      </c>
      <c r="F129" s="135" t="s">
        <v>620</v>
      </c>
      <c r="G129" s="274">
        <v>5</v>
      </c>
      <c r="H129" s="261">
        <v>6944</v>
      </c>
      <c r="I129" s="261">
        <v>34722</v>
      </c>
      <c r="J129" s="261">
        <v>0</v>
      </c>
      <c r="K129" s="261">
        <f t="shared" si="2"/>
        <v>34722</v>
      </c>
      <c r="L129" s="261">
        <v>2778</v>
      </c>
      <c r="M129" s="261">
        <f t="shared" si="3"/>
        <v>37500</v>
      </c>
      <c r="N129" s="137">
        <v>6.4000000000000003E-3</v>
      </c>
    </row>
    <row r="130" spans="1:14" ht="18" customHeight="1">
      <c r="A130" s="134">
        <v>2</v>
      </c>
      <c r="B130" s="135" t="s">
        <v>83</v>
      </c>
      <c r="C130" s="134">
        <v>137</v>
      </c>
      <c r="D130" s="138" t="s">
        <v>90</v>
      </c>
      <c r="E130" s="138" t="s">
        <v>692</v>
      </c>
      <c r="F130" s="135" t="s">
        <v>620</v>
      </c>
      <c r="G130" s="274">
        <v>11</v>
      </c>
      <c r="H130" s="261">
        <v>6481</v>
      </c>
      <c r="I130" s="261">
        <v>71296</v>
      </c>
      <c r="J130" s="261">
        <v>0</v>
      </c>
      <c r="K130" s="261">
        <f t="shared" ref="K130:K193" si="4">I130-J130</f>
        <v>71296</v>
      </c>
      <c r="L130" s="261">
        <v>5704</v>
      </c>
      <c r="M130" s="261">
        <f t="shared" ref="M130:M193" si="5">K130+L130</f>
        <v>77000</v>
      </c>
      <c r="N130" s="137">
        <v>1.3100000000000001E-2</v>
      </c>
    </row>
    <row r="131" spans="1:14" ht="18" customHeight="1">
      <c r="A131" s="134">
        <v>2</v>
      </c>
      <c r="B131" s="135" t="s">
        <v>83</v>
      </c>
      <c r="C131" s="134">
        <v>222</v>
      </c>
      <c r="D131" s="138" t="s">
        <v>88</v>
      </c>
      <c r="E131" s="138" t="s">
        <v>667</v>
      </c>
      <c r="F131" s="135" t="s">
        <v>620</v>
      </c>
      <c r="G131" s="274">
        <v>1</v>
      </c>
      <c r="H131" s="261">
        <v>63426</v>
      </c>
      <c r="I131" s="261">
        <v>63426</v>
      </c>
      <c r="J131" s="261">
        <v>0</v>
      </c>
      <c r="K131" s="261">
        <f t="shared" si="4"/>
        <v>63426</v>
      </c>
      <c r="L131" s="261">
        <v>5074</v>
      </c>
      <c r="M131" s="261">
        <f t="shared" si="5"/>
        <v>68500</v>
      </c>
      <c r="N131" s="137">
        <v>1.1599999999999999E-2</v>
      </c>
    </row>
    <row r="132" spans="1:14" ht="18" customHeight="1">
      <c r="A132" s="134">
        <v>2</v>
      </c>
      <c r="B132" s="135" t="s">
        <v>83</v>
      </c>
      <c r="C132" s="134">
        <v>223</v>
      </c>
      <c r="D132" s="138" t="s">
        <v>82</v>
      </c>
      <c r="E132" s="138" t="s">
        <v>136</v>
      </c>
      <c r="F132" s="135" t="s">
        <v>620</v>
      </c>
      <c r="G132" s="274">
        <v>1</v>
      </c>
      <c r="H132" s="261">
        <v>69444</v>
      </c>
      <c r="I132" s="261">
        <v>69444</v>
      </c>
      <c r="J132" s="261">
        <v>0</v>
      </c>
      <c r="K132" s="261">
        <f t="shared" si="4"/>
        <v>69444</v>
      </c>
      <c r="L132" s="261">
        <v>5556</v>
      </c>
      <c r="M132" s="261">
        <f t="shared" si="5"/>
        <v>75000</v>
      </c>
      <c r="N132" s="137">
        <v>1.2699999999999999E-2</v>
      </c>
    </row>
    <row r="133" spans="1:14" ht="18" customHeight="1">
      <c r="A133" s="134">
        <v>2</v>
      </c>
      <c r="B133" s="135" t="s">
        <v>83</v>
      </c>
      <c r="C133" s="134">
        <v>50</v>
      </c>
      <c r="D133" s="138" t="s">
        <v>82</v>
      </c>
      <c r="E133" s="138" t="s">
        <v>154</v>
      </c>
      <c r="F133" s="135" t="s">
        <v>620</v>
      </c>
      <c r="G133" s="274">
        <v>2</v>
      </c>
      <c r="H133" s="261">
        <v>49074</v>
      </c>
      <c r="I133" s="261">
        <v>98148</v>
      </c>
      <c r="J133" s="261">
        <v>0</v>
      </c>
      <c r="K133" s="261">
        <f t="shared" si="4"/>
        <v>98148</v>
      </c>
      <c r="L133" s="261">
        <v>7852</v>
      </c>
      <c r="M133" s="261">
        <f t="shared" si="5"/>
        <v>106000</v>
      </c>
      <c r="N133" s="137">
        <v>1.7999999999999999E-2</v>
      </c>
    </row>
    <row r="134" spans="1:14" ht="18" customHeight="1">
      <c r="A134" s="134">
        <v>2</v>
      </c>
      <c r="B134" s="135" t="s">
        <v>83</v>
      </c>
      <c r="C134" s="134">
        <v>120</v>
      </c>
      <c r="D134" s="138" t="s">
        <v>88</v>
      </c>
      <c r="E134" s="138" t="s">
        <v>668</v>
      </c>
      <c r="F134" s="135" t="s">
        <v>620</v>
      </c>
      <c r="G134" s="274">
        <v>1</v>
      </c>
      <c r="H134" s="261">
        <v>41667</v>
      </c>
      <c r="I134" s="261">
        <v>41667</v>
      </c>
      <c r="J134" s="261">
        <v>0</v>
      </c>
      <c r="K134" s="261">
        <f t="shared" si="4"/>
        <v>41667</v>
      </c>
      <c r="L134" s="261">
        <v>3333</v>
      </c>
      <c r="M134" s="261">
        <f t="shared" si="5"/>
        <v>45000</v>
      </c>
      <c r="N134" s="137">
        <v>7.6E-3</v>
      </c>
    </row>
    <row r="135" spans="1:14" ht="18" customHeight="1">
      <c r="A135" s="134">
        <v>2</v>
      </c>
      <c r="B135" s="135" t="s">
        <v>83</v>
      </c>
      <c r="C135" s="134">
        <v>129</v>
      </c>
      <c r="D135" s="138" t="s">
        <v>88</v>
      </c>
      <c r="E135" s="138" t="s">
        <v>669</v>
      </c>
      <c r="F135" s="135" t="s">
        <v>620</v>
      </c>
      <c r="G135" s="274">
        <v>3</v>
      </c>
      <c r="H135" s="261">
        <v>44444</v>
      </c>
      <c r="I135" s="261">
        <v>133333</v>
      </c>
      <c r="J135" s="261">
        <v>0</v>
      </c>
      <c r="K135" s="261">
        <f t="shared" si="4"/>
        <v>133333</v>
      </c>
      <c r="L135" s="261">
        <v>10667</v>
      </c>
      <c r="M135" s="261">
        <f t="shared" si="5"/>
        <v>144000</v>
      </c>
      <c r="N135" s="137">
        <v>2.4500000000000001E-2</v>
      </c>
    </row>
    <row r="136" spans="1:14" ht="18" customHeight="1">
      <c r="A136" s="134">
        <v>2</v>
      </c>
      <c r="B136" s="135" t="s">
        <v>83</v>
      </c>
      <c r="C136" s="134">
        <v>36</v>
      </c>
      <c r="D136" s="138" t="s">
        <v>86</v>
      </c>
      <c r="E136" s="138" t="s">
        <v>670</v>
      </c>
      <c r="F136" s="135" t="s">
        <v>620</v>
      </c>
      <c r="G136" s="274">
        <v>1</v>
      </c>
      <c r="H136" s="261">
        <v>3704</v>
      </c>
      <c r="I136" s="261">
        <v>3704</v>
      </c>
      <c r="J136" s="261">
        <v>0</v>
      </c>
      <c r="K136" s="261">
        <f t="shared" si="4"/>
        <v>3704</v>
      </c>
      <c r="L136" s="261">
        <v>296</v>
      </c>
      <c r="M136" s="261">
        <f t="shared" si="5"/>
        <v>4000</v>
      </c>
      <c r="N136" s="137">
        <v>7.000000000000001E-4</v>
      </c>
    </row>
    <row r="137" spans="1:14" ht="18" customHeight="1">
      <c r="A137" s="134">
        <v>2</v>
      </c>
      <c r="B137" s="135" t="s">
        <v>83</v>
      </c>
      <c r="C137" s="134">
        <v>61</v>
      </c>
      <c r="D137" s="138" t="s">
        <v>92</v>
      </c>
      <c r="E137" s="138" t="s">
        <v>671</v>
      </c>
      <c r="F137" s="135" t="s">
        <v>620</v>
      </c>
      <c r="G137" s="274">
        <v>17</v>
      </c>
      <c r="H137" s="261">
        <v>4630</v>
      </c>
      <c r="I137" s="261">
        <v>78704</v>
      </c>
      <c r="J137" s="261">
        <v>0</v>
      </c>
      <c r="K137" s="261">
        <f t="shared" si="4"/>
        <v>78704</v>
      </c>
      <c r="L137" s="261">
        <v>6296</v>
      </c>
      <c r="M137" s="261">
        <f t="shared" si="5"/>
        <v>85000</v>
      </c>
      <c r="N137" s="137">
        <v>1.44E-2</v>
      </c>
    </row>
    <row r="138" spans="1:14" ht="18" customHeight="1">
      <c r="A138" s="134">
        <v>2</v>
      </c>
      <c r="B138" s="135" t="s">
        <v>83</v>
      </c>
      <c r="C138" s="134">
        <v>215</v>
      </c>
      <c r="D138" s="138" t="s">
        <v>82</v>
      </c>
      <c r="E138" s="138" t="s">
        <v>127</v>
      </c>
      <c r="F138" s="135" t="s">
        <v>620</v>
      </c>
      <c r="G138" s="274">
        <v>5</v>
      </c>
      <c r="H138" s="261">
        <v>37500</v>
      </c>
      <c r="I138" s="261">
        <v>187500</v>
      </c>
      <c r="J138" s="261">
        <v>0</v>
      </c>
      <c r="K138" s="261">
        <f t="shared" si="4"/>
        <v>187500</v>
      </c>
      <c r="L138" s="261">
        <v>15000</v>
      </c>
      <c r="M138" s="261">
        <f t="shared" si="5"/>
        <v>202500</v>
      </c>
      <c r="N138" s="137">
        <v>3.44E-2</v>
      </c>
    </row>
    <row r="139" spans="1:14" ht="18" customHeight="1">
      <c r="A139" s="134">
        <v>2</v>
      </c>
      <c r="B139" s="135" t="s">
        <v>83</v>
      </c>
      <c r="C139" s="134">
        <v>214</v>
      </c>
      <c r="D139" s="138" t="s">
        <v>82</v>
      </c>
      <c r="E139" s="138" t="s">
        <v>693</v>
      </c>
      <c r="F139" s="135" t="s">
        <v>620</v>
      </c>
      <c r="G139" s="274">
        <v>1</v>
      </c>
      <c r="H139" s="261">
        <v>37500</v>
      </c>
      <c r="I139" s="261">
        <v>37500</v>
      </c>
      <c r="J139" s="261">
        <v>0</v>
      </c>
      <c r="K139" s="261">
        <f t="shared" si="4"/>
        <v>37500</v>
      </c>
      <c r="L139" s="261">
        <v>3000</v>
      </c>
      <c r="M139" s="261">
        <f t="shared" si="5"/>
        <v>40500</v>
      </c>
      <c r="N139" s="137">
        <v>6.8999999999999999E-3</v>
      </c>
    </row>
    <row r="140" spans="1:14" ht="18" customHeight="1">
      <c r="A140" s="134">
        <v>2</v>
      </c>
      <c r="B140" s="135" t="s">
        <v>83</v>
      </c>
      <c r="C140" s="134">
        <v>315</v>
      </c>
      <c r="D140" s="138" t="s">
        <v>82</v>
      </c>
      <c r="E140" s="138" t="s">
        <v>694</v>
      </c>
      <c r="F140" s="135" t="s">
        <v>620</v>
      </c>
      <c r="G140" s="274">
        <v>1</v>
      </c>
      <c r="H140" s="261">
        <v>1852</v>
      </c>
      <c r="I140" s="261">
        <v>1852</v>
      </c>
      <c r="J140" s="261">
        <v>0</v>
      </c>
      <c r="K140" s="261">
        <f t="shared" si="4"/>
        <v>1852</v>
      </c>
      <c r="L140" s="261">
        <v>148</v>
      </c>
      <c r="M140" s="261">
        <f t="shared" si="5"/>
        <v>2000</v>
      </c>
      <c r="N140" s="137">
        <v>2.9999999999999997E-4</v>
      </c>
    </row>
    <row r="141" spans="1:14" ht="18" customHeight="1">
      <c r="A141" s="134">
        <v>2</v>
      </c>
      <c r="B141" s="135" t="s">
        <v>83</v>
      </c>
      <c r="C141" s="134">
        <v>96</v>
      </c>
      <c r="D141" s="138" t="s">
        <v>88</v>
      </c>
      <c r="E141" s="138" t="s">
        <v>695</v>
      </c>
      <c r="F141" s="135" t="s">
        <v>620</v>
      </c>
      <c r="G141" s="274">
        <v>2</v>
      </c>
      <c r="H141" s="261">
        <v>35648</v>
      </c>
      <c r="I141" s="261">
        <v>71296</v>
      </c>
      <c r="J141" s="261">
        <v>0</v>
      </c>
      <c r="K141" s="261">
        <f t="shared" si="4"/>
        <v>71296</v>
      </c>
      <c r="L141" s="261">
        <v>5704</v>
      </c>
      <c r="M141" s="261">
        <f t="shared" si="5"/>
        <v>77000</v>
      </c>
      <c r="N141" s="137">
        <v>1.3100000000000001E-2</v>
      </c>
    </row>
    <row r="142" spans="1:14" ht="18" customHeight="1">
      <c r="A142" s="134">
        <v>2</v>
      </c>
      <c r="B142" s="135" t="s">
        <v>83</v>
      </c>
      <c r="C142" s="134">
        <v>33</v>
      </c>
      <c r="D142" s="138" t="s">
        <v>86</v>
      </c>
      <c r="E142" s="138" t="s">
        <v>673</v>
      </c>
      <c r="F142" s="135" t="s">
        <v>620</v>
      </c>
      <c r="G142" s="274">
        <v>5</v>
      </c>
      <c r="H142" s="261">
        <v>1852</v>
      </c>
      <c r="I142" s="261">
        <v>9259</v>
      </c>
      <c r="J142" s="261">
        <v>0</v>
      </c>
      <c r="K142" s="261">
        <f t="shared" si="4"/>
        <v>9259</v>
      </c>
      <c r="L142" s="261">
        <v>741</v>
      </c>
      <c r="M142" s="261">
        <f t="shared" si="5"/>
        <v>10000</v>
      </c>
      <c r="N142" s="137">
        <v>1.6999999999999999E-3</v>
      </c>
    </row>
    <row r="143" spans="1:14" ht="18" customHeight="1">
      <c r="A143" s="134">
        <v>2</v>
      </c>
      <c r="B143" s="135" t="s">
        <v>83</v>
      </c>
      <c r="C143" s="134">
        <v>255</v>
      </c>
      <c r="D143" s="138" t="s">
        <v>88</v>
      </c>
      <c r="E143" s="138" t="s">
        <v>696</v>
      </c>
      <c r="F143" s="135" t="s">
        <v>620</v>
      </c>
      <c r="G143" s="274">
        <v>1</v>
      </c>
      <c r="H143" s="261">
        <v>35648</v>
      </c>
      <c r="I143" s="261">
        <v>35648</v>
      </c>
      <c r="J143" s="261">
        <v>0</v>
      </c>
      <c r="K143" s="261">
        <f t="shared" si="4"/>
        <v>35648</v>
      </c>
      <c r="L143" s="261">
        <v>2852</v>
      </c>
      <c r="M143" s="261">
        <f t="shared" si="5"/>
        <v>38500</v>
      </c>
      <c r="N143" s="137">
        <v>6.5000000000000006E-3</v>
      </c>
    </row>
    <row r="144" spans="1:14" ht="18" customHeight="1">
      <c r="A144" s="134">
        <v>2</v>
      </c>
      <c r="B144" s="135" t="s">
        <v>83</v>
      </c>
      <c r="C144" s="134">
        <v>67</v>
      </c>
      <c r="D144" s="138" t="s">
        <v>88</v>
      </c>
      <c r="E144" s="138" t="s">
        <v>674</v>
      </c>
      <c r="F144" s="135" t="s">
        <v>620</v>
      </c>
      <c r="G144" s="274">
        <v>1</v>
      </c>
      <c r="H144" s="261">
        <v>41667</v>
      </c>
      <c r="I144" s="261">
        <v>41667</v>
      </c>
      <c r="J144" s="261">
        <v>0</v>
      </c>
      <c r="K144" s="261">
        <f t="shared" si="4"/>
        <v>41667</v>
      </c>
      <c r="L144" s="261">
        <v>3333</v>
      </c>
      <c r="M144" s="261">
        <f t="shared" si="5"/>
        <v>45000</v>
      </c>
      <c r="N144" s="137">
        <v>7.6E-3</v>
      </c>
    </row>
    <row r="145" spans="1:14" ht="18" customHeight="1">
      <c r="A145" s="134">
        <v>2</v>
      </c>
      <c r="B145" s="135" t="s">
        <v>83</v>
      </c>
      <c r="C145" s="134">
        <v>39</v>
      </c>
      <c r="D145" s="138" t="s">
        <v>86</v>
      </c>
      <c r="E145" s="138" t="s">
        <v>697</v>
      </c>
      <c r="F145" s="135" t="s">
        <v>620</v>
      </c>
      <c r="G145" s="274">
        <v>2</v>
      </c>
      <c r="H145" s="261">
        <v>3333</v>
      </c>
      <c r="I145" s="261">
        <v>6667</v>
      </c>
      <c r="J145" s="261">
        <v>0</v>
      </c>
      <c r="K145" s="261">
        <f t="shared" si="4"/>
        <v>6667</v>
      </c>
      <c r="L145" s="261">
        <v>533</v>
      </c>
      <c r="M145" s="261">
        <f t="shared" si="5"/>
        <v>7200</v>
      </c>
      <c r="N145" s="137">
        <v>1.1999999999999999E-3</v>
      </c>
    </row>
    <row r="146" spans="1:14" ht="18" customHeight="1">
      <c r="A146" s="134">
        <v>3</v>
      </c>
      <c r="B146" s="135" t="s">
        <v>85</v>
      </c>
      <c r="C146" s="134">
        <v>73</v>
      </c>
      <c r="D146" s="138" t="s">
        <v>86</v>
      </c>
      <c r="E146" s="138" t="s">
        <v>619</v>
      </c>
      <c r="F146" s="135" t="s">
        <v>620</v>
      </c>
      <c r="G146" s="274">
        <v>9</v>
      </c>
      <c r="H146" s="261">
        <v>2593</v>
      </c>
      <c r="I146" s="261">
        <v>23333</v>
      </c>
      <c r="J146" s="261">
        <v>0</v>
      </c>
      <c r="K146" s="261">
        <f t="shared" si="4"/>
        <v>23333</v>
      </c>
      <c r="L146" s="261">
        <v>1867</v>
      </c>
      <c r="M146" s="261">
        <f t="shared" si="5"/>
        <v>25200</v>
      </c>
      <c r="N146" s="137">
        <v>4.0999999999999986E-3</v>
      </c>
    </row>
    <row r="147" spans="1:14" ht="18" customHeight="1">
      <c r="A147" s="134">
        <v>3</v>
      </c>
      <c r="B147" s="135" t="s">
        <v>85</v>
      </c>
      <c r="C147" s="134">
        <v>65</v>
      </c>
      <c r="D147" s="138" t="s">
        <v>86</v>
      </c>
      <c r="E147" s="138" t="s">
        <v>621</v>
      </c>
      <c r="F147" s="135" t="s">
        <v>620</v>
      </c>
      <c r="G147" s="274">
        <v>1</v>
      </c>
      <c r="H147" s="261">
        <v>2778</v>
      </c>
      <c r="I147" s="261">
        <v>2778</v>
      </c>
      <c r="J147" s="261">
        <v>0</v>
      </c>
      <c r="K147" s="261">
        <f t="shared" si="4"/>
        <v>2778</v>
      </c>
      <c r="L147" s="261">
        <v>222</v>
      </c>
      <c r="M147" s="261">
        <f t="shared" si="5"/>
        <v>3000</v>
      </c>
      <c r="N147" s="137">
        <v>5.0000000000000001E-4</v>
      </c>
    </row>
    <row r="148" spans="1:14" ht="18" customHeight="1">
      <c r="A148" s="134">
        <v>3</v>
      </c>
      <c r="B148" s="135" t="s">
        <v>85</v>
      </c>
      <c r="C148" s="134">
        <v>1</v>
      </c>
      <c r="D148" s="138" t="s">
        <v>82</v>
      </c>
      <c r="E148" s="138" t="s">
        <v>622</v>
      </c>
      <c r="F148" s="135" t="s">
        <v>620</v>
      </c>
      <c r="G148" s="274">
        <v>1</v>
      </c>
      <c r="H148" s="261">
        <v>18519</v>
      </c>
      <c r="I148" s="261">
        <v>18519</v>
      </c>
      <c r="J148" s="261">
        <v>0</v>
      </c>
      <c r="K148" s="261">
        <f t="shared" si="4"/>
        <v>18519</v>
      </c>
      <c r="L148" s="261">
        <v>1481</v>
      </c>
      <c r="M148" s="261">
        <f t="shared" si="5"/>
        <v>20000</v>
      </c>
      <c r="N148" s="137">
        <v>3.3E-3</v>
      </c>
    </row>
    <row r="149" spans="1:14" ht="18" customHeight="1">
      <c r="A149" s="134">
        <v>3</v>
      </c>
      <c r="B149" s="135" t="s">
        <v>85</v>
      </c>
      <c r="C149" s="134">
        <v>3</v>
      </c>
      <c r="D149" s="138" t="s">
        <v>82</v>
      </c>
      <c r="E149" s="138" t="s">
        <v>698</v>
      </c>
      <c r="F149" s="135" t="s">
        <v>620</v>
      </c>
      <c r="G149" s="274">
        <v>1</v>
      </c>
      <c r="H149" s="261">
        <v>18519</v>
      </c>
      <c r="I149" s="261">
        <v>18519</v>
      </c>
      <c r="J149" s="261">
        <v>0</v>
      </c>
      <c r="K149" s="261">
        <f t="shared" si="4"/>
        <v>18519</v>
      </c>
      <c r="L149" s="261">
        <v>1481</v>
      </c>
      <c r="M149" s="261">
        <f t="shared" si="5"/>
        <v>20000</v>
      </c>
      <c r="N149" s="137">
        <v>3.3E-3</v>
      </c>
    </row>
    <row r="150" spans="1:14" ht="18" customHeight="1">
      <c r="A150" s="134">
        <v>3</v>
      </c>
      <c r="B150" s="135" t="s">
        <v>85</v>
      </c>
      <c r="C150" s="134">
        <v>131</v>
      </c>
      <c r="D150" s="138" t="s">
        <v>82</v>
      </c>
      <c r="E150" s="138" t="s">
        <v>677</v>
      </c>
      <c r="F150" s="135" t="s">
        <v>620</v>
      </c>
      <c r="G150" s="274">
        <v>1</v>
      </c>
      <c r="H150" s="261">
        <v>278</v>
      </c>
      <c r="I150" s="261">
        <v>278</v>
      </c>
      <c r="J150" s="261">
        <v>0</v>
      </c>
      <c r="K150" s="261">
        <f t="shared" si="4"/>
        <v>278</v>
      </c>
      <c r="L150" s="261">
        <v>22</v>
      </c>
      <c r="M150" s="261">
        <f t="shared" si="5"/>
        <v>300</v>
      </c>
      <c r="N150" s="137">
        <v>0</v>
      </c>
    </row>
    <row r="151" spans="1:14" ht="18" customHeight="1">
      <c r="A151" s="134">
        <v>3</v>
      </c>
      <c r="B151" s="135" t="s">
        <v>85</v>
      </c>
      <c r="C151" s="134">
        <v>104</v>
      </c>
      <c r="D151" s="138" t="s">
        <v>84</v>
      </c>
      <c r="E151" s="138" t="s">
        <v>157</v>
      </c>
      <c r="F151" s="135" t="s">
        <v>620</v>
      </c>
      <c r="G151" s="274">
        <v>18</v>
      </c>
      <c r="H151" s="261">
        <v>16007</v>
      </c>
      <c r="I151" s="261">
        <v>288889</v>
      </c>
      <c r="J151" s="261">
        <v>768</v>
      </c>
      <c r="K151" s="261">
        <f t="shared" si="4"/>
        <v>288121</v>
      </c>
      <c r="L151" s="261">
        <v>23050</v>
      </c>
      <c r="M151" s="261">
        <f t="shared" si="5"/>
        <v>311171</v>
      </c>
      <c r="N151" s="137">
        <v>5.0599999999999999E-2</v>
      </c>
    </row>
    <row r="152" spans="1:14" ht="18" customHeight="1">
      <c r="A152" s="134">
        <v>3</v>
      </c>
      <c r="B152" s="135" t="s">
        <v>85</v>
      </c>
      <c r="C152" s="134">
        <v>95</v>
      </c>
      <c r="D152" s="138" t="s">
        <v>82</v>
      </c>
      <c r="E152" s="138" t="s">
        <v>624</v>
      </c>
      <c r="F152" s="135" t="s">
        <v>620</v>
      </c>
      <c r="G152" s="274">
        <v>4</v>
      </c>
      <c r="H152" s="261">
        <v>926</v>
      </c>
      <c r="I152" s="261">
        <v>3704</v>
      </c>
      <c r="J152" s="261">
        <v>0</v>
      </c>
      <c r="K152" s="261">
        <f t="shared" si="4"/>
        <v>3704</v>
      </c>
      <c r="L152" s="261">
        <v>296</v>
      </c>
      <c r="M152" s="261">
        <f t="shared" si="5"/>
        <v>4000</v>
      </c>
      <c r="N152" s="137">
        <v>7.000000000000001E-4</v>
      </c>
    </row>
    <row r="153" spans="1:14" ht="18" customHeight="1">
      <c r="A153" s="134">
        <v>3</v>
      </c>
      <c r="B153" s="135" t="s">
        <v>85</v>
      </c>
      <c r="C153" s="134">
        <v>2</v>
      </c>
      <c r="D153" s="138" t="s">
        <v>82</v>
      </c>
      <c r="E153" s="138" t="s">
        <v>699</v>
      </c>
      <c r="F153" s="135" t="s">
        <v>620</v>
      </c>
      <c r="G153" s="274">
        <v>16</v>
      </c>
      <c r="H153" s="261">
        <v>18692</v>
      </c>
      <c r="I153" s="261">
        <v>299074</v>
      </c>
      <c r="J153" s="261">
        <v>0</v>
      </c>
      <c r="K153" s="261">
        <f t="shared" si="4"/>
        <v>299074</v>
      </c>
      <c r="L153" s="261">
        <v>23926</v>
      </c>
      <c r="M153" s="261">
        <f t="shared" si="5"/>
        <v>323000</v>
      </c>
      <c r="N153" s="137">
        <v>5.2499999999999998E-2</v>
      </c>
    </row>
    <row r="154" spans="1:14" ht="18" customHeight="1">
      <c r="A154" s="134">
        <v>3</v>
      </c>
      <c r="B154" s="135" t="s">
        <v>85</v>
      </c>
      <c r="C154" s="134">
        <v>136</v>
      </c>
      <c r="D154" s="138" t="s">
        <v>84</v>
      </c>
      <c r="E154" s="138" t="s">
        <v>625</v>
      </c>
      <c r="F154" s="135" t="s">
        <v>620</v>
      </c>
      <c r="G154" s="274">
        <v>1</v>
      </c>
      <c r="H154" s="261">
        <v>24074</v>
      </c>
      <c r="I154" s="261">
        <v>24074</v>
      </c>
      <c r="J154" s="261">
        <v>0</v>
      </c>
      <c r="K154" s="261">
        <f t="shared" si="4"/>
        <v>24074</v>
      </c>
      <c r="L154" s="261">
        <v>1926</v>
      </c>
      <c r="M154" s="261">
        <f t="shared" si="5"/>
        <v>26000</v>
      </c>
      <c r="N154" s="137">
        <v>4.1999999999999997E-3</v>
      </c>
    </row>
    <row r="155" spans="1:14" ht="18" customHeight="1">
      <c r="A155" s="134">
        <v>3</v>
      </c>
      <c r="B155" s="135" t="s">
        <v>85</v>
      </c>
      <c r="C155" s="134">
        <v>6</v>
      </c>
      <c r="D155" s="138" t="s">
        <v>84</v>
      </c>
      <c r="E155" s="138" t="s">
        <v>680</v>
      </c>
      <c r="F155" s="135" t="s">
        <v>620</v>
      </c>
      <c r="G155" s="274">
        <v>4</v>
      </c>
      <c r="H155" s="261">
        <v>14815</v>
      </c>
      <c r="I155" s="261">
        <v>59259</v>
      </c>
      <c r="J155" s="261">
        <v>0</v>
      </c>
      <c r="K155" s="261">
        <f t="shared" si="4"/>
        <v>59259</v>
      </c>
      <c r="L155" s="261">
        <v>4741</v>
      </c>
      <c r="M155" s="261">
        <f t="shared" si="5"/>
        <v>64000</v>
      </c>
      <c r="N155" s="137">
        <v>1.04E-2</v>
      </c>
    </row>
    <row r="156" spans="1:14" ht="18" customHeight="1">
      <c r="A156" s="134">
        <v>3</v>
      </c>
      <c r="B156" s="135" t="s">
        <v>85</v>
      </c>
      <c r="C156" s="134">
        <v>8</v>
      </c>
      <c r="D156" s="138" t="s">
        <v>82</v>
      </c>
      <c r="E156" s="138" t="s">
        <v>151</v>
      </c>
      <c r="F156" s="135" t="s">
        <v>620</v>
      </c>
      <c r="G156" s="274">
        <v>19</v>
      </c>
      <c r="H156" s="261">
        <v>18374</v>
      </c>
      <c r="I156" s="261">
        <v>353704</v>
      </c>
      <c r="J156" s="261">
        <v>4607</v>
      </c>
      <c r="K156" s="261">
        <f t="shared" si="4"/>
        <v>349097</v>
      </c>
      <c r="L156" s="261">
        <v>27928</v>
      </c>
      <c r="M156" s="261">
        <f t="shared" si="5"/>
        <v>377025</v>
      </c>
      <c r="N156" s="137">
        <v>6.13E-2</v>
      </c>
    </row>
    <row r="157" spans="1:14" ht="18" customHeight="1">
      <c r="A157" s="134">
        <v>3</v>
      </c>
      <c r="B157" s="135" t="s">
        <v>85</v>
      </c>
      <c r="C157" s="134">
        <v>311</v>
      </c>
      <c r="D157" s="138" t="s">
        <v>88</v>
      </c>
      <c r="E157" s="138" t="s">
        <v>626</v>
      </c>
      <c r="F157" s="135" t="s">
        <v>620</v>
      </c>
      <c r="G157" s="274">
        <v>1</v>
      </c>
      <c r="H157" s="261">
        <v>44907</v>
      </c>
      <c r="I157" s="261">
        <v>44907</v>
      </c>
      <c r="J157" s="261">
        <v>0</v>
      </c>
      <c r="K157" s="261">
        <f t="shared" si="4"/>
        <v>44907</v>
      </c>
      <c r="L157" s="261">
        <v>3593</v>
      </c>
      <c r="M157" s="261">
        <f t="shared" si="5"/>
        <v>48500</v>
      </c>
      <c r="N157" s="137">
        <v>7.9000000000000008E-3</v>
      </c>
    </row>
    <row r="158" spans="1:14" ht="18" customHeight="1">
      <c r="A158" s="134">
        <v>3</v>
      </c>
      <c r="B158" s="135" t="s">
        <v>85</v>
      </c>
      <c r="C158" s="134">
        <v>87</v>
      </c>
      <c r="D158" s="138" t="s">
        <v>84</v>
      </c>
      <c r="E158" s="138" t="s">
        <v>139</v>
      </c>
      <c r="F158" s="135" t="s">
        <v>620</v>
      </c>
      <c r="G158" s="274">
        <v>1</v>
      </c>
      <c r="H158" s="261">
        <v>37500</v>
      </c>
      <c r="I158" s="261">
        <v>37500</v>
      </c>
      <c r="J158" s="261">
        <v>0</v>
      </c>
      <c r="K158" s="261">
        <f t="shared" si="4"/>
        <v>37500</v>
      </c>
      <c r="L158" s="261">
        <v>3000</v>
      </c>
      <c r="M158" s="261">
        <f t="shared" si="5"/>
        <v>40500</v>
      </c>
      <c r="N158" s="137">
        <v>6.6E-3</v>
      </c>
    </row>
    <row r="159" spans="1:14" ht="18" customHeight="1">
      <c r="A159" s="134">
        <v>3</v>
      </c>
      <c r="B159" s="135" t="s">
        <v>85</v>
      </c>
      <c r="C159" s="134">
        <v>206</v>
      </c>
      <c r="D159" s="138" t="s">
        <v>88</v>
      </c>
      <c r="E159" s="138" t="s">
        <v>627</v>
      </c>
      <c r="F159" s="135" t="s">
        <v>620</v>
      </c>
      <c r="G159" s="274">
        <v>1</v>
      </c>
      <c r="H159" s="261">
        <v>44907</v>
      </c>
      <c r="I159" s="261">
        <v>44907</v>
      </c>
      <c r="J159" s="261">
        <v>0</v>
      </c>
      <c r="K159" s="261">
        <f t="shared" si="4"/>
        <v>44907</v>
      </c>
      <c r="L159" s="261">
        <v>3593</v>
      </c>
      <c r="M159" s="261">
        <f t="shared" si="5"/>
        <v>48500</v>
      </c>
      <c r="N159" s="137">
        <v>7.9000000000000008E-3</v>
      </c>
    </row>
    <row r="160" spans="1:14" ht="18" customHeight="1">
      <c r="A160" s="134">
        <v>3</v>
      </c>
      <c r="B160" s="135" t="s">
        <v>85</v>
      </c>
      <c r="C160" s="134">
        <v>13</v>
      </c>
      <c r="D160" s="138" t="s">
        <v>82</v>
      </c>
      <c r="E160" s="138" t="s">
        <v>628</v>
      </c>
      <c r="F160" s="135" t="s">
        <v>620</v>
      </c>
      <c r="G160" s="274">
        <v>1</v>
      </c>
      <c r="H160" s="261">
        <v>18519</v>
      </c>
      <c r="I160" s="261">
        <v>18519</v>
      </c>
      <c r="J160" s="261">
        <v>0</v>
      </c>
      <c r="K160" s="261">
        <f t="shared" si="4"/>
        <v>18519</v>
      </c>
      <c r="L160" s="261">
        <v>1481</v>
      </c>
      <c r="M160" s="261">
        <f t="shared" si="5"/>
        <v>20000</v>
      </c>
      <c r="N160" s="137">
        <v>3.3E-3</v>
      </c>
    </row>
    <row r="161" spans="1:14" ht="18" customHeight="1">
      <c r="A161" s="134">
        <v>3</v>
      </c>
      <c r="B161" s="135" t="s">
        <v>85</v>
      </c>
      <c r="C161" s="134">
        <v>70</v>
      </c>
      <c r="D161" s="138" t="s">
        <v>86</v>
      </c>
      <c r="E161" s="138" t="s">
        <v>630</v>
      </c>
      <c r="F161" s="135" t="s">
        <v>620</v>
      </c>
      <c r="G161" s="274">
        <v>4</v>
      </c>
      <c r="H161" s="261">
        <v>4630</v>
      </c>
      <c r="I161" s="261">
        <v>18519</v>
      </c>
      <c r="J161" s="261">
        <v>0</v>
      </c>
      <c r="K161" s="261">
        <f t="shared" si="4"/>
        <v>18519</v>
      </c>
      <c r="L161" s="261">
        <v>1481</v>
      </c>
      <c r="M161" s="261">
        <f t="shared" si="5"/>
        <v>20000</v>
      </c>
      <c r="N161" s="137">
        <v>3.3E-3</v>
      </c>
    </row>
    <row r="162" spans="1:14" ht="18" customHeight="1">
      <c r="A162" s="134">
        <v>3</v>
      </c>
      <c r="B162" s="135" t="s">
        <v>85</v>
      </c>
      <c r="C162" s="134">
        <v>71</v>
      </c>
      <c r="D162" s="138" t="s">
        <v>86</v>
      </c>
      <c r="E162" s="138" t="s">
        <v>631</v>
      </c>
      <c r="F162" s="135" t="s">
        <v>620</v>
      </c>
      <c r="G162" s="274">
        <v>4</v>
      </c>
      <c r="H162" s="261">
        <v>5556</v>
      </c>
      <c r="I162" s="261">
        <v>22222</v>
      </c>
      <c r="J162" s="261">
        <v>0</v>
      </c>
      <c r="K162" s="261">
        <f t="shared" si="4"/>
        <v>22222</v>
      </c>
      <c r="L162" s="261">
        <v>1778</v>
      </c>
      <c r="M162" s="261">
        <f t="shared" si="5"/>
        <v>24000</v>
      </c>
      <c r="N162" s="137">
        <v>3.8999999999999998E-3</v>
      </c>
    </row>
    <row r="163" spans="1:14" ht="18" customHeight="1">
      <c r="A163" s="134">
        <v>3</v>
      </c>
      <c r="B163" s="135" t="s">
        <v>85</v>
      </c>
      <c r="C163" s="134">
        <v>83</v>
      </c>
      <c r="D163" s="138" t="s">
        <v>82</v>
      </c>
      <c r="E163" s="138" t="s">
        <v>632</v>
      </c>
      <c r="F163" s="135" t="s">
        <v>620</v>
      </c>
      <c r="G163" s="274">
        <v>5</v>
      </c>
      <c r="H163" s="261">
        <v>20833</v>
      </c>
      <c r="I163" s="261">
        <v>104167</v>
      </c>
      <c r="J163" s="261">
        <v>0</v>
      </c>
      <c r="K163" s="261">
        <f t="shared" si="4"/>
        <v>104167</v>
      </c>
      <c r="L163" s="261">
        <v>8333</v>
      </c>
      <c r="M163" s="261">
        <f t="shared" si="5"/>
        <v>112500</v>
      </c>
      <c r="N163" s="137">
        <v>1.83E-2</v>
      </c>
    </row>
    <row r="164" spans="1:14" ht="18" customHeight="1">
      <c r="A164" s="134">
        <v>3</v>
      </c>
      <c r="B164" s="135" t="s">
        <v>85</v>
      </c>
      <c r="C164" s="134">
        <v>41</v>
      </c>
      <c r="D164" s="138" t="s">
        <v>82</v>
      </c>
      <c r="E164" s="138" t="s">
        <v>163</v>
      </c>
      <c r="F164" s="135" t="s">
        <v>620</v>
      </c>
      <c r="G164" s="274">
        <v>2</v>
      </c>
      <c r="H164" s="261">
        <v>49074</v>
      </c>
      <c r="I164" s="261">
        <v>98148</v>
      </c>
      <c r="J164" s="261">
        <v>0</v>
      </c>
      <c r="K164" s="261">
        <f t="shared" si="4"/>
        <v>98148</v>
      </c>
      <c r="L164" s="261">
        <v>7852</v>
      </c>
      <c r="M164" s="261">
        <f t="shared" si="5"/>
        <v>106000</v>
      </c>
      <c r="N164" s="137">
        <v>1.72E-2</v>
      </c>
    </row>
    <row r="165" spans="1:14" ht="18" customHeight="1">
      <c r="A165" s="134">
        <v>3</v>
      </c>
      <c r="B165" s="135" t="s">
        <v>85</v>
      </c>
      <c r="C165" s="134">
        <v>122</v>
      </c>
      <c r="D165" s="138" t="s">
        <v>86</v>
      </c>
      <c r="E165" s="138" t="s">
        <v>634</v>
      </c>
      <c r="F165" s="135" t="s">
        <v>620</v>
      </c>
      <c r="G165" s="274">
        <v>5</v>
      </c>
      <c r="H165" s="261">
        <v>2778</v>
      </c>
      <c r="I165" s="261">
        <v>13889</v>
      </c>
      <c r="J165" s="261">
        <v>0</v>
      </c>
      <c r="K165" s="261">
        <f t="shared" si="4"/>
        <v>13889</v>
      </c>
      <c r="L165" s="261">
        <v>1111</v>
      </c>
      <c r="M165" s="261">
        <f t="shared" si="5"/>
        <v>15000</v>
      </c>
      <c r="N165" s="137">
        <v>2.3999999999999998E-3</v>
      </c>
    </row>
    <row r="166" spans="1:14" ht="18" customHeight="1">
      <c r="A166" s="134">
        <v>3</v>
      </c>
      <c r="B166" s="135" t="s">
        <v>85</v>
      </c>
      <c r="C166" s="134">
        <v>247</v>
      </c>
      <c r="D166" s="138" t="s">
        <v>82</v>
      </c>
      <c r="E166" s="138" t="s">
        <v>700</v>
      </c>
      <c r="F166" s="135" t="s">
        <v>620</v>
      </c>
      <c r="G166" s="274">
        <v>1</v>
      </c>
      <c r="H166" s="261">
        <v>3056</v>
      </c>
      <c r="I166" s="261">
        <v>3056</v>
      </c>
      <c r="J166" s="261">
        <v>0</v>
      </c>
      <c r="K166" s="261">
        <f t="shared" si="4"/>
        <v>3056</v>
      </c>
      <c r="L166" s="261">
        <v>244</v>
      </c>
      <c r="M166" s="261">
        <f t="shared" si="5"/>
        <v>3300</v>
      </c>
      <c r="N166" s="137">
        <v>5.0000000000000001E-4</v>
      </c>
    </row>
    <row r="167" spans="1:14" ht="18" customHeight="1">
      <c r="A167" s="134">
        <v>3</v>
      </c>
      <c r="B167" s="135" t="s">
        <v>85</v>
      </c>
      <c r="C167" s="134">
        <v>44</v>
      </c>
      <c r="D167" s="138" t="s">
        <v>82</v>
      </c>
      <c r="E167" s="138" t="s">
        <v>133</v>
      </c>
      <c r="F167" s="135" t="s">
        <v>620</v>
      </c>
      <c r="G167" s="274">
        <v>1</v>
      </c>
      <c r="H167" s="261">
        <v>28241</v>
      </c>
      <c r="I167" s="261">
        <v>28241</v>
      </c>
      <c r="J167" s="261">
        <v>0</v>
      </c>
      <c r="K167" s="261">
        <f t="shared" si="4"/>
        <v>28241</v>
      </c>
      <c r="L167" s="261">
        <v>2259</v>
      </c>
      <c r="M167" s="261">
        <f t="shared" si="5"/>
        <v>30500</v>
      </c>
      <c r="N167" s="137">
        <v>5.0000000000000001E-3</v>
      </c>
    </row>
    <row r="168" spans="1:14" ht="18" customHeight="1">
      <c r="A168" s="134">
        <v>3</v>
      </c>
      <c r="B168" s="135" t="s">
        <v>85</v>
      </c>
      <c r="C168" s="134">
        <v>110</v>
      </c>
      <c r="D168" s="138" t="s">
        <v>94</v>
      </c>
      <c r="E168" s="138" t="s">
        <v>635</v>
      </c>
      <c r="F168" s="135" t="s">
        <v>620</v>
      </c>
      <c r="G168" s="274">
        <v>15</v>
      </c>
      <c r="H168" s="261">
        <v>926</v>
      </c>
      <c r="I168" s="261">
        <v>13889</v>
      </c>
      <c r="J168" s="261">
        <v>0</v>
      </c>
      <c r="K168" s="261">
        <f t="shared" si="4"/>
        <v>13889</v>
      </c>
      <c r="L168" s="261">
        <v>1111</v>
      </c>
      <c r="M168" s="261">
        <f t="shared" si="5"/>
        <v>15000</v>
      </c>
      <c r="N168" s="137">
        <v>2.3999999999999998E-3</v>
      </c>
    </row>
    <row r="169" spans="1:14" ht="18" customHeight="1">
      <c r="A169" s="134">
        <v>3</v>
      </c>
      <c r="B169" s="135" t="s">
        <v>85</v>
      </c>
      <c r="C169" s="134">
        <v>4</v>
      </c>
      <c r="D169" s="138" t="s">
        <v>82</v>
      </c>
      <c r="E169" s="138" t="s">
        <v>701</v>
      </c>
      <c r="F169" s="135" t="s">
        <v>620</v>
      </c>
      <c r="G169" s="274">
        <v>1</v>
      </c>
      <c r="H169" s="261">
        <v>18519</v>
      </c>
      <c r="I169" s="261">
        <v>18519</v>
      </c>
      <c r="J169" s="261">
        <v>0</v>
      </c>
      <c r="K169" s="261">
        <f t="shared" si="4"/>
        <v>18519</v>
      </c>
      <c r="L169" s="261">
        <v>1481</v>
      </c>
      <c r="M169" s="261">
        <f t="shared" si="5"/>
        <v>20000</v>
      </c>
      <c r="N169" s="137">
        <v>3.3E-3</v>
      </c>
    </row>
    <row r="170" spans="1:14" ht="18" customHeight="1">
      <c r="A170" s="134">
        <v>3</v>
      </c>
      <c r="B170" s="135" t="s">
        <v>85</v>
      </c>
      <c r="C170" s="134">
        <v>26</v>
      </c>
      <c r="D170" s="138" t="s">
        <v>82</v>
      </c>
      <c r="E170" s="138" t="s">
        <v>702</v>
      </c>
      <c r="F170" s="135" t="s">
        <v>620</v>
      </c>
      <c r="G170" s="274">
        <v>20</v>
      </c>
      <c r="H170" s="261">
        <v>18889</v>
      </c>
      <c r="I170" s="261">
        <v>377778</v>
      </c>
      <c r="J170" s="261">
        <v>0</v>
      </c>
      <c r="K170" s="261">
        <f t="shared" si="4"/>
        <v>377778</v>
      </c>
      <c r="L170" s="261">
        <v>30222</v>
      </c>
      <c r="M170" s="261">
        <f t="shared" si="5"/>
        <v>408000</v>
      </c>
      <c r="N170" s="137">
        <v>6.6400000000000001E-2</v>
      </c>
    </row>
    <row r="171" spans="1:14" ht="18" customHeight="1">
      <c r="A171" s="134">
        <v>3</v>
      </c>
      <c r="B171" s="135" t="s">
        <v>85</v>
      </c>
      <c r="C171" s="134">
        <v>30</v>
      </c>
      <c r="D171" s="138" t="s">
        <v>90</v>
      </c>
      <c r="E171" s="138" t="s">
        <v>637</v>
      </c>
      <c r="F171" s="135" t="s">
        <v>620</v>
      </c>
      <c r="G171" s="274">
        <v>2</v>
      </c>
      <c r="H171" s="261">
        <v>6481</v>
      </c>
      <c r="I171" s="261">
        <v>12963</v>
      </c>
      <c r="J171" s="261">
        <v>0</v>
      </c>
      <c r="K171" s="261">
        <f t="shared" si="4"/>
        <v>12963</v>
      </c>
      <c r="L171" s="261">
        <v>1037</v>
      </c>
      <c r="M171" s="261">
        <f t="shared" si="5"/>
        <v>14000</v>
      </c>
      <c r="N171" s="137">
        <v>2.3E-3</v>
      </c>
    </row>
    <row r="172" spans="1:14" ht="18" customHeight="1">
      <c r="A172" s="134">
        <v>3</v>
      </c>
      <c r="B172" s="135" t="s">
        <v>85</v>
      </c>
      <c r="C172" s="134">
        <v>305</v>
      </c>
      <c r="D172" s="138" t="s">
        <v>86</v>
      </c>
      <c r="E172" s="138" t="s">
        <v>638</v>
      </c>
      <c r="F172" s="135" t="s">
        <v>620</v>
      </c>
      <c r="G172" s="274">
        <v>1</v>
      </c>
      <c r="H172" s="261">
        <v>9259</v>
      </c>
      <c r="I172" s="261">
        <v>9259</v>
      </c>
      <c r="J172" s="261">
        <v>0</v>
      </c>
      <c r="K172" s="261">
        <f t="shared" si="4"/>
        <v>9259</v>
      </c>
      <c r="L172" s="261">
        <v>741</v>
      </c>
      <c r="M172" s="261">
        <f t="shared" si="5"/>
        <v>10000</v>
      </c>
      <c r="N172" s="137">
        <v>1.6000000000000001E-3</v>
      </c>
    </row>
    <row r="173" spans="1:14" ht="18" customHeight="1">
      <c r="A173" s="134">
        <v>3</v>
      </c>
      <c r="B173" s="135" t="s">
        <v>85</v>
      </c>
      <c r="C173" s="134">
        <v>94</v>
      </c>
      <c r="D173" s="138" t="s">
        <v>84</v>
      </c>
      <c r="E173" s="138" t="s">
        <v>145</v>
      </c>
      <c r="F173" s="135" t="s">
        <v>620</v>
      </c>
      <c r="G173" s="274">
        <v>8</v>
      </c>
      <c r="H173" s="261">
        <v>18519</v>
      </c>
      <c r="I173" s="261">
        <v>148148</v>
      </c>
      <c r="J173" s="261">
        <v>0</v>
      </c>
      <c r="K173" s="261">
        <f t="shared" si="4"/>
        <v>148148</v>
      </c>
      <c r="L173" s="261">
        <v>11852</v>
      </c>
      <c r="M173" s="261">
        <f t="shared" si="5"/>
        <v>160000</v>
      </c>
      <c r="N173" s="137">
        <v>2.5999999999999999E-2</v>
      </c>
    </row>
    <row r="174" spans="1:14" ht="18" customHeight="1">
      <c r="A174" s="134">
        <v>3</v>
      </c>
      <c r="B174" s="135" t="s">
        <v>85</v>
      </c>
      <c r="C174" s="134">
        <v>233</v>
      </c>
      <c r="D174" s="138" t="s">
        <v>84</v>
      </c>
      <c r="E174" s="138" t="s">
        <v>112</v>
      </c>
      <c r="F174" s="135" t="s">
        <v>620</v>
      </c>
      <c r="G174" s="274">
        <v>12</v>
      </c>
      <c r="H174" s="261">
        <v>18596</v>
      </c>
      <c r="I174" s="261">
        <v>223148</v>
      </c>
      <c r="J174" s="261">
        <v>0</v>
      </c>
      <c r="K174" s="261">
        <f t="shared" si="4"/>
        <v>223148</v>
      </c>
      <c r="L174" s="261">
        <v>17852</v>
      </c>
      <c r="M174" s="261">
        <f t="shared" si="5"/>
        <v>241000</v>
      </c>
      <c r="N174" s="137">
        <v>3.9199999999999999E-2</v>
      </c>
    </row>
    <row r="175" spans="1:14" ht="18" customHeight="1">
      <c r="A175" s="134">
        <v>3</v>
      </c>
      <c r="B175" s="135" t="s">
        <v>85</v>
      </c>
      <c r="C175" s="134">
        <v>217</v>
      </c>
      <c r="D175" s="138" t="s">
        <v>84</v>
      </c>
      <c r="E175" s="138" t="s">
        <v>639</v>
      </c>
      <c r="F175" s="135" t="s">
        <v>620</v>
      </c>
      <c r="G175" s="274">
        <v>2</v>
      </c>
      <c r="H175" s="261">
        <v>27778</v>
      </c>
      <c r="I175" s="261">
        <v>55556</v>
      </c>
      <c r="J175" s="261">
        <v>0</v>
      </c>
      <c r="K175" s="261">
        <f t="shared" si="4"/>
        <v>55556</v>
      </c>
      <c r="L175" s="261">
        <v>4444</v>
      </c>
      <c r="M175" s="261">
        <f t="shared" si="5"/>
        <v>60000</v>
      </c>
      <c r="N175" s="137">
        <v>9.7999999999999997E-3</v>
      </c>
    </row>
    <row r="176" spans="1:14" ht="18" customHeight="1">
      <c r="A176" s="134">
        <v>3</v>
      </c>
      <c r="B176" s="135" t="s">
        <v>85</v>
      </c>
      <c r="C176" s="134">
        <v>218</v>
      </c>
      <c r="D176" s="138" t="s">
        <v>84</v>
      </c>
      <c r="E176" s="138" t="s">
        <v>640</v>
      </c>
      <c r="F176" s="135" t="s">
        <v>620</v>
      </c>
      <c r="G176" s="274">
        <v>9</v>
      </c>
      <c r="H176" s="261">
        <v>18724</v>
      </c>
      <c r="I176" s="261">
        <v>168519</v>
      </c>
      <c r="J176" s="261">
        <v>0</v>
      </c>
      <c r="K176" s="261">
        <f t="shared" si="4"/>
        <v>168519</v>
      </c>
      <c r="L176" s="261">
        <v>13481</v>
      </c>
      <c r="M176" s="261">
        <f t="shared" si="5"/>
        <v>182000</v>
      </c>
      <c r="N176" s="137">
        <v>2.9600000000000001E-2</v>
      </c>
    </row>
    <row r="177" spans="1:14" ht="18" customHeight="1">
      <c r="A177" s="134">
        <v>3</v>
      </c>
      <c r="B177" s="135" t="s">
        <v>85</v>
      </c>
      <c r="C177" s="134">
        <v>34</v>
      </c>
      <c r="D177" s="138" t="s">
        <v>86</v>
      </c>
      <c r="E177" s="138" t="s">
        <v>641</v>
      </c>
      <c r="F177" s="135" t="s">
        <v>620</v>
      </c>
      <c r="G177" s="274">
        <v>4</v>
      </c>
      <c r="H177" s="261">
        <v>6481</v>
      </c>
      <c r="I177" s="261">
        <v>25926</v>
      </c>
      <c r="J177" s="261">
        <v>0</v>
      </c>
      <c r="K177" s="261">
        <f t="shared" si="4"/>
        <v>25926</v>
      </c>
      <c r="L177" s="261">
        <v>2074</v>
      </c>
      <c r="M177" s="261">
        <f t="shared" si="5"/>
        <v>28000</v>
      </c>
      <c r="N177" s="137">
        <v>4.5999999999999999E-3</v>
      </c>
    </row>
    <row r="178" spans="1:14" ht="18" customHeight="1">
      <c r="A178" s="134">
        <v>3</v>
      </c>
      <c r="B178" s="135" t="s">
        <v>85</v>
      </c>
      <c r="C178" s="134">
        <v>121</v>
      </c>
      <c r="D178" s="138" t="s">
        <v>86</v>
      </c>
      <c r="E178" s="138" t="s">
        <v>642</v>
      </c>
      <c r="F178" s="135" t="s">
        <v>620</v>
      </c>
      <c r="G178" s="274">
        <v>11</v>
      </c>
      <c r="H178" s="261">
        <v>2778</v>
      </c>
      <c r="I178" s="261">
        <v>30556</v>
      </c>
      <c r="J178" s="261">
        <v>0</v>
      </c>
      <c r="K178" s="261">
        <f t="shared" si="4"/>
        <v>30556</v>
      </c>
      <c r="L178" s="261">
        <v>2444</v>
      </c>
      <c r="M178" s="261">
        <f t="shared" si="5"/>
        <v>33000</v>
      </c>
      <c r="N178" s="137">
        <v>5.4000000000000003E-3</v>
      </c>
    </row>
    <row r="179" spans="1:14" ht="18" customHeight="1">
      <c r="A179" s="134">
        <v>3</v>
      </c>
      <c r="B179" s="135" t="s">
        <v>85</v>
      </c>
      <c r="C179" s="134">
        <v>208</v>
      </c>
      <c r="D179" s="138" t="s">
        <v>86</v>
      </c>
      <c r="E179" s="138" t="s">
        <v>643</v>
      </c>
      <c r="F179" s="135" t="s">
        <v>620</v>
      </c>
      <c r="G179" s="274">
        <v>9</v>
      </c>
      <c r="H179" s="261">
        <v>3684</v>
      </c>
      <c r="I179" s="261">
        <v>33333</v>
      </c>
      <c r="J179" s="261">
        <v>181</v>
      </c>
      <c r="K179" s="261">
        <f t="shared" si="4"/>
        <v>33152</v>
      </c>
      <c r="L179" s="261">
        <v>2652</v>
      </c>
      <c r="M179" s="261">
        <f t="shared" si="5"/>
        <v>35804</v>
      </c>
      <c r="N179" s="137">
        <v>5.7999999999999996E-3</v>
      </c>
    </row>
    <row r="180" spans="1:14" ht="18" customHeight="1">
      <c r="A180" s="134">
        <v>3</v>
      </c>
      <c r="B180" s="135" t="s">
        <v>85</v>
      </c>
      <c r="C180" s="134">
        <v>90</v>
      </c>
      <c r="D180" s="138" t="s">
        <v>86</v>
      </c>
      <c r="E180" s="138" t="s">
        <v>439</v>
      </c>
      <c r="F180" s="135" t="s">
        <v>620</v>
      </c>
      <c r="G180" s="274">
        <v>3</v>
      </c>
      <c r="H180" s="261">
        <v>4259</v>
      </c>
      <c r="I180" s="261">
        <v>12778</v>
      </c>
      <c r="J180" s="261">
        <v>0</v>
      </c>
      <c r="K180" s="261">
        <f t="shared" si="4"/>
        <v>12778</v>
      </c>
      <c r="L180" s="261">
        <v>1022</v>
      </c>
      <c r="M180" s="261">
        <f t="shared" si="5"/>
        <v>13800</v>
      </c>
      <c r="N180" s="137">
        <v>2.2000000000000001E-3</v>
      </c>
    </row>
    <row r="181" spans="1:14" ht="18" customHeight="1">
      <c r="A181" s="134">
        <v>3</v>
      </c>
      <c r="B181" s="135" t="s">
        <v>85</v>
      </c>
      <c r="C181" s="134">
        <v>123</v>
      </c>
      <c r="D181" s="138" t="s">
        <v>86</v>
      </c>
      <c r="E181" s="138" t="s">
        <v>644</v>
      </c>
      <c r="F181" s="135" t="s">
        <v>620</v>
      </c>
      <c r="G181" s="274">
        <v>2</v>
      </c>
      <c r="H181" s="261">
        <v>2778</v>
      </c>
      <c r="I181" s="261">
        <v>5556</v>
      </c>
      <c r="J181" s="261">
        <v>0</v>
      </c>
      <c r="K181" s="261">
        <f t="shared" si="4"/>
        <v>5556</v>
      </c>
      <c r="L181" s="261">
        <v>444</v>
      </c>
      <c r="M181" s="261">
        <f t="shared" si="5"/>
        <v>6000</v>
      </c>
      <c r="N181" s="137">
        <v>1E-3</v>
      </c>
    </row>
    <row r="182" spans="1:14" ht="18" customHeight="1">
      <c r="A182" s="134">
        <v>3</v>
      </c>
      <c r="B182" s="135" t="s">
        <v>85</v>
      </c>
      <c r="C182" s="134">
        <v>31</v>
      </c>
      <c r="D182" s="138" t="s">
        <v>90</v>
      </c>
      <c r="E182" s="138" t="s">
        <v>645</v>
      </c>
      <c r="F182" s="135" t="s">
        <v>620</v>
      </c>
      <c r="G182" s="274">
        <v>12</v>
      </c>
      <c r="H182" s="261">
        <v>1204</v>
      </c>
      <c r="I182" s="261">
        <v>14444</v>
      </c>
      <c r="J182" s="261">
        <v>0</v>
      </c>
      <c r="K182" s="261">
        <f t="shared" si="4"/>
        <v>14444</v>
      </c>
      <c r="L182" s="261">
        <v>1156</v>
      </c>
      <c r="M182" s="261">
        <f t="shared" si="5"/>
        <v>15600</v>
      </c>
      <c r="N182" s="137">
        <v>2.5000000000000001E-3</v>
      </c>
    </row>
    <row r="183" spans="1:14" ht="18" customHeight="1">
      <c r="A183" s="134">
        <v>3</v>
      </c>
      <c r="B183" s="135" t="s">
        <v>85</v>
      </c>
      <c r="C183" s="134">
        <v>74</v>
      </c>
      <c r="D183" s="138" t="s">
        <v>86</v>
      </c>
      <c r="E183" s="138" t="s">
        <v>686</v>
      </c>
      <c r="F183" s="135" t="s">
        <v>620</v>
      </c>
      <c r="G183" s="274">
        <v>5</v>
      </c>
      <c r="H183" s="261">
        <v>6481</v>
      </c>
      <c r="I183" s="261">
        <v>32407</v>
      </c>
      <c r="J183" s="261">
        <v>0</v>
      </c>
      <c r="K183" s="261">
        <f t="shared" si="4"/>
        <v>32407</v>
      </c>
      <c r="L183" s="261">
        <v>2593</v>
      </c>
      <c r="M183" s="261">
        <f t="shared" si="5"/>
        <v>35000</v>
      </c>
      <c r="N183" s="137">
        <v>5.6999999999999993E-3</v>
      </c>
    </row>
    <row r="184" spans="1:14" ht="18" customHeight="1">
      <c r="A184" s="134">
        <v>3</v>
      </c>
      <c r="B184" s="135" t="s">
        <v>85</v>
      </c>
      <c r="C184" s="134">
        <v>134</v>
      </c>
      <c r="D184" s="138" t="s">
        <v>86</v>
      </c>
      <c r="E184" s="138" t="s">
        <v>703</v>
      </c>
      <c r="F184" s="135" t="s">
        <v>620</v>
      </c>
      <c r="G184" s="274">
        <v>1</v>
      </c>
      <c r="H184" s="261">
        <v>12963</v>
      </c>
      <c r="I184" s="261">
        <v>12963</v>
      </c>
      <c r="J184" s="261">
        <v>0</v>
      </c>
      <c r="K184" s="261">
        <f t="shared" si="4"/>
        <v>12963</v>
      </c>
      <c r="L184" s="261">
        <v>1037</v>
      </c>
      <c r="M184" s="261">
        <f t="shared" si="5"/>
        <v>14000</v>
      </c>
      <c r="N184" s="137">
        <v>2.3E-3</v>
      </c>
    </row>
    <row r="185" spans="1:14" ht="18" customHeight="1">
      <c r="A185" s="134">
        <v>3</v>
      </c>
      <c r="B185" s="135" t="s">
        <v>85</v>
      </c>
      <c r="C185" s="134">
        <v>75</v>
      </c>
      <c r="D185" s="138" t="s">
        <v>86</v>
      </c>
      <c r="E185" s="138" t="s">
        <v>647</v>
      </c>
      <c r="F185" s="135" t="s">
        <v>620</v>
      </c>
      <c r="G185" s="274">
        <v>1</v>
      </c>
      <c r="H185" s="261">
        <v>9259</v>
      </c>
      <c r="I185" s="261">
        <v>9259</v>
      </c>
      <c r="J185" s="261">
        <v>0</v>
      </c>
      <c r="K185" s="261">
        <f t="shared" si="4"/>
        <v>9259</v>
      </c>
      <c r="L185" s="261">
        <v>741</v>
      </c>
      <c r="M185" s="261">
        <f t="shared" si="5"/>
        <v>10000</v>
      </c>
      <c r="N185" s="137">
        <v>1.6000000000000001E-3</v>
      </c>
    </row>
    <row r="186" spans="1:14" ht="18" customHeight="1">
      <c r="A186" s="134">
        <v>3</v>
      </c>
      <c r="B186" s="135" t="s">
        <v>85</v>
      </c>
      <c r="C186" s="134">
        <v>118</v>
      </c>
      <c r="D186" s="138" t="s">
        <v>82</v>
      </c>
      <c r="E186" s="138" t="s">
        <v>121</v>
      </c>
      <c r="F186" s="135" t="s">
        <v>620</v>
      </c>
      <c r="G186" s="274">
        <v>4</v>
      </c>
      <c r="H186" s="261">
        <v>41667</v>
      </c>
      <c r="I186" s="261">
        <v>166667</v>
      </c>
      <c r="J186" s="261">
        <v>0</v>
      </c>
      <c r="K186" s="261">
        <f t="shared" si="4"/>
        <v>166667</v>
      </c>
      <c r="L186" s="261">
        <v>13333</v>
      </c>
      <c r="M186" s="261">
        <f t="shared" si="5"/>
        <v>180000</v>
      </c>
      <c r="N186" s="137">
        <v>2.93E-2</v>
      </c>
    </row>
    <row r="187" spans="1:14" ht="18" customHeight="1">
      <c r="A187" s="134">
        <v>3</v>
      </c>
      <c r="B187" s="135" t="s">
        <v>85</v>
      </c>
      <c r="C187" s="134">
        <v>204</v>
      </c>
      <c r="D187" s="138" t="s">
        <v>86</v>
      </c>
      <c r="E187" s="138" t="s">
        <v>648</v>
      </c>
      <c r="F187" s="135" t="s">
        <v>620</v>
      </c>
      <c r="G187" s="274">
        <v>3</v>
      </c>
      <c r="H187" s="261">
        <v>12037</v>
      </c>
      <c r="I187" s="261">
        <v>36111</v>
      </c>
      <c r="J187" s="261">
        <v>0</v>
      </c>
      <c r="K187" s="261">
        <f t="shared" si="4"/>
        <v>36111</v>
      </c>
      <c r="L187" s="261">
        <v>2889</v>
      </c>
      <c r="M187" s="261">
        <f t="shared" si="5"/>
        <v>39000</v>
      </c>
      <c r="N187" s="137">
        <v>6.3E-3</v>
      </c>
    </row>
    <row r="188" spans="1:14" ht="18" customHeight="1">
      <c r="A188" s="134">
        <v>3</v>
      </c>
      <c r="B188" s="135" t="s">
        <v>85</v>
      </c>
      <c r="C188" s="134">
        <v>109</v>
      </c>
      <c r="D188" s="138" t="s">
        <v>86</v>
      </c>
      <c r="E188" s="138" t="s">
        <v>142</v>
      </c>
      <c r="F188" s="135" t="s">
        <v>620</v>
      </c>
      <c r="G188" s="274">
        <v>4</v>
      </c>
      <c r="H188" s="261">
        <v>12963</v>
      </c>
      <c r="I188" s="261">
        <v>51852</v>
      </c>
      <c r="J188" s="261">
        <v>0</v>
      </c>
      <c r="K188" s="261">
        <f t="shared" si="4"/>
        <v>51852</v>
      </c>
      <c r="L188" s="261">
        <v>4148</v>
      </c>
      <c r="M188" s="261">
        <f t="shared" si="5"/>
        <v>56000</v>
      </c>
      <c r="N188" s="137">
        <v>9.1000000000000004E-3</v>
      </c>
    </row>
    <row r="189" spans="1:14" ht="18" customHeight="1">
      <c r="A189" s="134">
        <v>3</v>
      </c>
      <c r="B189" s="135" t="s">
        <v>85</v>
      </c>
      <c r="C189" s="134">
        <v>147</v>
      </c>
      <c r="D189" s="138" t="s">
        <v>86</v>
      </c>
      <c r="E189" s="138" t="s">
        <v>649</v>
      </c>
      <c r="F189" s="135" t="s">
        <v>620</v>
      </c>
      <c r="G189" s="274">
        <v>2</v>
      </c>
      <c r="H189" s="261">
        <v>6481</v>
      </c>
      <c r="I189" s="261">
        <v>12963</v>
      </c>
      <c r="J189" s="261">
        <v>0</v>
      </c>
      <c r="K189" s="261">
        <f t="shared" si="4"/>
        <v>12963</v>
      </c>
      <c r="L189" s="261">
        <v>1037</v>
      </c>
      <c r="M189" s="261">
        <f t="shared" si="5"/>
        <v>14000</v>
      </c>
      <c r="N189" s="137">
        <v>2.3E-3</v>
      </c>
    </row>
    <row r="190" spans="1:14" ht="18" customHeight="1">
      <c r="A190" s="134">
        <v>3</v>
      </c>
      <c r="B190" s="135" t="s">
        <v>85</v>
      </c>
      <c r="C190" s="134">
        <v>72</v>
      </c>
      <c r="D190" s="138" t="s">
        <v>92</v>
      </c>
      <c r="E190" s="138" t="s">
        <v>651</v>
      </c>
      <c r="F190" s="135" t="s">
        <v>620</v>
      </c>
      <c r="G190" s="274">
        <v>10</v>
      </c>
      <c r="H190" s="261">
        <v>3704</v>
      </c>
      <c r="I190" s="261">
        <v>37037</v>
      </c>
      <c r="J190" s="261">
        <v>0</v>
      </c>
      <c r="K190" s="261">
        <f t="shared" si="4"/>
        <v>37037</v>
      </c>
      <c r="L190" s="261">
        <v>2963</v>
      </c>
      <c r="M190" s="261">
        <f t="shared" si="5"/>
        <v>40000</v>
      </c>
      <c r="N190" s="137">
        <v>6.5000000000000006E-3</v>
      </c>
    </row>
    <row r="191" spans="1:14" ht="18" customHeight="1">
      <c r="A191" s="134">
        <v>3</v>
      </c>
      <c r="B191" s="135" t="s">
        <v>85</v>
      </c>
      <c r="C191" s="134">
        <v>227</v>
      </c>
      <c r="D191" s="138" t="s">
        <v>82</v>
      </c>
      <c r="E191" s="138" t="s">
        <v>704</v>
      </c>
      <c r="F191" s="135" t="s">
        <v>620</v>
      </c>
      <c r="G191" s="274">
        <v>2</v>
      </c>
      <c r="H191" s="261">
        <v>1389</v>
      </c>
      <c r="I191" s="261">
        <v>2778</v>
      </c>
      <c r="J191" s="261">
        <v>0</v>
      </c>
      <c r="K191" s="261">
        <f t="shared" si="4"/>
        <v>2778</v>
      </c>
      <c r="L191" s="261">
        <v>222</v>
      </c>
      <c r="M191" s="261">
        <f t="shared" si="5"/>
        <v>3000</v>
      </c>
      <c r="N191" s="137">
        <v>5.0000000000000001E-4</v>
      </c>
    </row>
    <row r="192" spans="1:14" ht="18" customHeight="1">
      <c r="A192" s="134">
        <v>3</v>
      </c>
      <c r="B192" s="135" t="s">
        <v>85</v>
      </c>
      <c r="C192" s="134">
        <v>93</v>
      </c>
      <c r="D192" s="138" t="s">
        <v>84</v>
      </c>
      <c r="E192" s="138" t="s">
        <v>118</v>
      </c>
      <c r="F192" s="135" t="s">
        <v>620</v>
      </c>
      <c r="G192" s="274">
        <v>78</v>
      </c>
      <c r="H192" s="261">
        <v>20370</v>
      </c>
      <c r="I192" s="261">
        <v>1588889</v>
      </c>
      <c r="J192" s="261">
        <v>0</v>
      </c>
      <c r="K192" s="261">
        <f t="shared" si="4"/>
        <v>1588889</v>
      </c>
      <c r="L192" s="261">
        <v>127111</v>
      </c>
      <c r="M192" s="261">
        <f t="shared" si="5"/>
        <v>1716000</v>
      </c>
      <c r="N192" s="137">
        <v>0.27910000000000001</v>
      </c>
    </row>
    <row r="193" spans="1:14" ht="18" customHeight="1">
      <c r="A193" s="134">
        <v>3</v>
      </c>
      <c r="B193" s="135" t="s">
        <v>85</v>
      </c>
      <c r="C193" s="134">
        <v>119</v>
      </c>
      <c r="D193" s="138" t="s">
        <v>84</v>
      </c>
      <c r="E193" s="138" t="s">
        <v>109</v>
      </c>
      <c r="F193" s="135" t="s">
        <v>620</v>
      </c>
      <c r="G193" s="274">
        <v>7</v>
      </c>
      <c r="H193" s="261">
        <v>44444</v>
      </c>
      <c r="I193" s="261">
        <v>311111</v>
      </c>
      <c r="J193" s="261">
        <v>0</v>
      </c>
      <c r="K193" s="261">
        <f t="shared" si="4"/>
        <v>311111</v>
      </c>
      <c r="L193" s="261">
        <v>24889</v>
      </c>
      <c r="M193" s="261">
        <f t="shared" si="5"/>
        <v>336000</v>
      </c>
      <c r="N193" s="137">
        <v>5.4600000000000003E-2</v>
      </c>
    </row>
    <row r="194" spans="1:14" ht="18" customHeight="1">
      <c r="A194" s="134">
        <v>3</v>
      </c>
      <c r="B194" s="135" t="s">
        <v>85</v>
      </c>
      <c r="C194" s="134">
        <v>19</v>
      </c>
      <c r="D194" s="138" t="s">
        <v>82</v>
      </c>
      <c r="E194" s="138" t="s">
        <v>654</v>
      </c>
      <c r="F194" s="135" t="s">
        <v>620</v>
      </c>
      <c r="G194" s="274">
        <v>3</v>
      </c>
      <c r="H194" s="261">
        <v>9259</v>
      </c>
      <c r="I194" s="261">
        <v>27778</v>
      </c>
      <c r="J194" s="261">
        <v>0</v>
      </c>
      <c r="K194" s="261">
        <f t="shared" ref="K194:K257" si="6">I194-J194</f>
        <v>27778</v>
      </c>
      <c r="L194" s="261">
        <v>2222</v>
      </c>
      <c r="M194" s="261">
        <f t="shared" ref="M194:M257" si="7">K194+L194</f>
        <v>30000</v>
      </c>
      <c r="N194" s="137">
        <v>4.8999999999999998E-3</v>
      </c>
    </row>
    <row r="195" spans="1:14" ht="18" customHeight="1">
      <c r="A195" s="134">
        <v>3</v>
      </c>
      <c r="B195" s="135" t="s">
        <v>85</v>
      </c>
      <c r="C195" s="134">
        <v>20</v>
      </c>
      <c r="D195" s="138" t="s">
        <v>82</v>
      </c>
      <c r="E195" s="138" t="s">
        <v>705</v>
      </c>
      <c r="F195" s="135" t="s">
        <v>620</v>
      </c>
      <c r="G195" s="274">
        <v>1</v>
      </c>
      <c r="H195" s="261">
        <v>6481</v>
      </c>
      <c r="I195" s="261">
        <v>6481</v>
      </c>
      <c r="J195" s="261">
        <v>0</v>
      </c>
      <c r="K195" s="261">
        <f t="shared" si="6"/>
        <v>6481</v>
      </c>
      <c r="L195" s="261">
        <v>519</v>
      </c>
      <c r="M195" s="261">
        <f t="shared" si="7"/>
        <v>7000</v>
      </c>
      <c r="N195" s="137">
        <v>1.1000000000000001E-3</v>
      </c>
    </row>
    <row r="196" spans="1:14" ht="18" customHeight="1">
      <c r="A196" s="134">
        <v>3</v>
      </c>
      <c r="B196" s="135" t="s">
        <v>85</v>
      </c>
      <c r="C196" s="134">
        <v>77</v>
      </c>
      <c r="D196" s="138" t="s">
        <v>82</v>
      </c>
      <c r="E196" s="138" t="s">
        <v>655</v>
      </c>
      <c r="F196" s="135" t="s">
        <v>620</v>
      </c>
      <c r="G196" s="274">
        <v>1</v>
      </c>
      <c r="H196" s="261">
        <v>2778</v>
      </c>
      <c r="I196" s="261">
        <v>2778</v>
      </c>
      <c r="J196" s="261">
        <v>0</v>
      </c>
      <c r="K196" s="261">
        <f t="shared" si="6"/>
        <v>2778</v>
      </c>
      <c r="L196" s="261">
        <v>222</v>
      </c>
      <c r="M196" s="261">
        <f t="shared" si="7"/>
        <v>3000</v>
      </c>
      <c r="N196" s="137">
        <v>5.0000000000000001E-4</v>
      </c>
    </row>
    <row r="197" spans="1:14" ht="18" customHeight="1">
      <c r="A197" s="134">
        <v>3</v>
      </c>
      <c r="B197" s="135" t="s">
        <v>85</v>
      </c>
      <c r="C197" s="134">
        <v>81</v>
      </c>
      <c r="D197" s="138" t="s">
        <v>90</v>
      </c>
      <c r="E197" s="138" t="s">
        <v>657</v>
      </c>
      <c r="F197" s="135" t="s">
        <v>620</v>
      </c>
      <c r="G197" s="274">
        <v>1</v>
      </c>
      <c r="H197" s="261">
        <v>1389</v>
      </c>
      <c r="I197" s="261">
        <v>1389</v>
      </c>
      <c r="J197" s="261">
        <v>0</v>
      </c>
      <c r="K197" s="261">
        <f t="shared" si="6"/>
        <v>1389</v>
      </c>
      <c r="L197" s="261">
        <v>111</v>
      </c>
      <c r="M197" s="261">
        <f t="shared" si="7"/>
        <v>1500</v>
      </c>
      <c r="N197" s="137">
        <v>2.0000000000000001E-4</v>
      </c>
    </row>
    <row r="198" spans="1:14" ht="18" customHeight="1">
      <c r="A198" s="134">
        <v>3</v>
      </c>
      <c r="B198" s="135" t="s">
        <v>85</v>
      </c>
      <c r="C198" s="134">
        <v>86</v>
      </c>
      <c r="D198" s="138" t="s">
        <v>90</v>
      </c>
      <c r="E198" s="138" t="s">
        <v>658</v>
      </c>
      <c r="F198" s="135" t="s">
        <v>620</v>
      </c>
      <c r="G198" s="274">
        <v>17</v>
      </c>
      <c r="H198" s="261">
        <v>3241</v>
      </c>
      <c r="I198" s="261">
        <v>55093</v>
      </c>
      <c r="J198" s="261">
        <v>0</v>
      </c>
      <c r="K198" s="261">
        <f t="shared" si="6"/>
        <v>55093</v>
      </c>
      <c r="L198" s="261">
        <v>4407</v>
      </c>
      <c r="M198" s="261">
        <f t="shared" si="7"/>
        <v>59500</v>
      </c>
      <c r="N198" s="137">
        <v>9.7000000000000003E-3</v>
      </c>
    </row>
    <row r="199" spans="1:14" ht="18" customHeight="1">
      <c r="A199" s="134">
        <v>3</v>
      </c>
      <c r="B199" s="135" t="s">
        <v>85</v>
      </c>
      <c r="C199" s="134">
        <v>79</v>
      </c>
      <c r="D199" s="138" t="s">
        <v>90</v>
      </c>
      <c r="E199" s="138" t="s">
        <v>661</v>
      </c>
      <c r="F199" s="135" t="s">
        <v>620</v>
      </c>
      <c r="G199" s="274">
        <v>5</v>
      </c>
      <c r="H199" s="261">
        <v>6481</v>
      </c>
      <c r="I199" s="261">
        <v>32407</v>
      </c>
      <c r="J199" s="261">
        <v>0</v>
      </c>
      <c r="K199" s="261">
        <f t="shared" si="6"/>
        <v>32407</v>
      </c>
      <c r="L199" s="261">
        <v>2593</v>
      </c>
      <c r="M199" s="261">
        <f t="shared" si="7"/>
        <v>35000</v>
      </c>
      <c r="N199" s="137">
        <v>5.6999999999999993E-3</v>
      </c>
    </row>
    <row r="200" spans="1:14" ht="18" customHeight="1">
      <c r="A200" s="134">
        <v>3</v>
      </c>
      <c r="B200" s="135" t="s">
        <v>85</v>
      </c>
      <c r="C200" s="134">
        <v>62</v>
      </c>
      <c r="D200" s="138" t="s">
        <v>90</v>
      </c>
      <c r="E200" s="138" t="s">
        <v>662</v>
      </c>
      <c r="F200" s="135" t="s">
        <v>620</v>
      </c>
      <c r="G200" s="274">
        <v>2</v>
      </c>
      <c r="H200" s="261">
        <v>6944</v>
      </c>
      <c r="I200" s="261">
        <v>13889</v>
      </c>
      <c r="J200" s="261">
        <v>0</v>
      </c>
      <c r="K200" s="261">
        <f t="shared" si="6"/>
        <v>13889</v>
      </c>
      <c r="L200" s="261">
        <v>1111</v>
      </c>
      <c r="M200" s="261">
        <f t="shared" si="7"/>
        <v>15000</v>
      </c>
      <c r="N200" s="137">
        <v>2.3999999999999998E-3</v>
      </c>
    </row>
    <row r="201" spans="1:14" ht="18" customHeight="1">
      <c r="A201" s="134">
        <v>3</v>
      </c>
      <c r="B201" s="135" t="s">
        <v>85</v>
      </c>
      <c r="C201" s="134">
        <v>170</v>
      </c>
      <c r="D201" s="138" t="s">
        <v>90</v>
      </c>
      <c r="E201" s="138" t="s">
        <v>706</v>
      </c>
      <c r="F201" s="135" t="s">
        <v>620</v>
      </c>
      <c r="G201" s="274">
        <v>10</v>
      </c>
      <c r="H201" s="261">
        <v>6481</v>
      </c>
      <c r="I201" s="261">
        <v>64815</v>
      </c>
      <c r="J201" s="261">
        <v>0</v>
      </c>
      <c r="K201" s="261">
        <f t="shared" si="6"/>
        <v>64815</v>
      </c>
      <c r="L201" s="261">
        <v>5185</v>
      </c>
      <c r="M201" s="261">
        <f t="shared" si="7"/>
        <v>70000</v>
      </c>
      <c r="N201" s="137">
        <v>1.14E-2</v>
      </c>
    </row>
    <row r="202" spans="1:14" ht="18" customHeight="1">
      <c r="A202" s="134">
        <v>3</v>
      </c>
      <c r="B202" s="135" t="s">
        <v>85</v>
      </c>
      <c r="C202" s="134">
        <v>137</v>
      </c>
      <c r="D202" s="138" t="s">
        <v>90</v>
      </c>
      <c r="E202" s="138" t="s">
        <v>692</v>
      </c>
      <c r="F202" s="135" t="s">
        <v>620</v>
      </c>
      <c r="G202" s="274">
        <v>17</v>
      </c>
      <c r="H202" s="261">
        <v>6481</v>
      </c>
      <c r="I202" s="261">
        <v>110185</v>
      </c>
      <c r="J202" s="261">
        <v>0</v>
      </c>
      <c r="K202" s="261">
        <f t="shared" si="6"/>
        <v>110185</v>
      </c>
      <c r="L202" s="261">
        <v>8815</v>
      </c>
      <c r="M202" s="261">
        <f t="shared" si="7"/>
        <v>119000</v>
      </c>
      <c r="N202" s="137">
        <v>1.9400000000000001E-2</v>
      </c>
    </row>
    <row r="203" spans="1:14" ht="18" customHeight="1">
      <c r="A203" s="134">
        <v>3</v>
      </c>
      <c r="B203" s="135" t="s">
        <v>85</v>
      </c>
      <c r="C203" s="134">
        <v>224</v>
      </c>
      <c r="D203" s="138" t="s">
        <v>82</v>
      </c>
      <c r="E203" s="138" t="s">
        <v>707</v>
      </c>
      <c r="F203" s="135" t="s">
        <v>620</v>
      </c>
      <c r="G203" s="274">
        <v>1</v>
      </c>
      <c r="H203" s="261">
        <v>62500</v>
      </c>
      <c r="I203" s="261">
        <v>62500</v>
      </c>
      <c r="J203" s="261">
        <v>0</v>
      </c>
      <c r="K203" s="261">
        <f t="shared" si="6"/>
        <v>62500</v>
      </c>
      <c r="L203" s="261">
        <v>5000</v>
      </c>
      <c r="M203" s="261">
        <f t="shared" si="7"/>
        <v>67500</v>
      </c>
      <c r="N203" s="137">
        <v>1.0999999999999999E-2</v>
      </c>
    </row>
    <row r="204" spans="1:14" ht="18" customHeight="1">
      <c r="A204" s="134">
        <v>3</v>
      </c>
      <c r="B204" s="135" t="s">
        <v>85</v>
      </c>
      <c r="C204" s="134">
        <v>222</v>
      </c>
      <c r="D204" s="138" t="s">
        <v>88</v>
      </c>
      <c r="E204" s="138" t="s">
        <v>667</v>
      </c>
      <c r="F204" s="135" t="s">
        <v>620</v>
      </c>
      <c r="G204" s="274">
        <v>1</v>
      </c>
      <c r="H204" s="261">
        <v>63426</v>
      </c>
      <c r="I204" s="261">
        <v>63426</v>
      </c>
      <c r="J204" s="261">
        <v>0</v>
      </c>
      <c r="K204" s="261">
        <f t="shared" si="6"/>
        <v>63426</v>
      </c>
      <c r="L204" s="261">
        <v>5074</v>
      </c>
      <c r="M204" s="261">
        <f t="shared" si="7"/>
        <v>68500</v>
      </c>
      <c r="N204" s="137">
        <v>1.11E-2</v>
      </c>
    </row>
    <row r="205" spans="1:14" ht="18" customHeight="1">
      <c r="A205" s="134">
        <v>3</v>
      </c>
      <c r="B205" s="135" t="s">
        <v>85</v>
      </c>
      <c r="C205" s="134">
        <v>117</v>
      </c>
      <c r="D205" s="138" t="s">
        <v>82</v>
      </c>
      <c r="E205" s="138" t="s">
        <v>115</v>
      </c>
      <c r="F205" s="135" t="s">
        <v>620</v>
      </c>
      <c r="G205" s="274">
        <v>3</v>
      </c>
      <c r="H205" s="261">
        <v>41667</v>
      </c>
      <c r="I205" s="261">
        <v>125000</v>
      </c>
      <c r="J205" s="261">
        <v>0</v>
      </c>
      <c r="K205" s="261">
        <f t="shared" si="6"/>
        <v>125000</v>
      </c>
      <c r="L205" s="261">
        <v>10000</v>
      </c>
      <c r="M205" s="261">
        <f t="shared" si="7"/>
        <v>135000</v>
      </c>
      <c r="N205" s="137">
        <v>2.1999999999999999E-2</v>
      </c>
    </row>
    <row r="206" spans="1:14" ht="18" customHeight="1">
      <c r="A206" s="134">
        <v>3</v>
      </c>
      <c r="B206" s="135" t="s">
        <v>85</v>
      </c>
      <c r="C206" s="134">
        <v>36</v>
      </c>
      <c r="D206" s="138" t="s">
        <v>86</v>
      </c>
      <c r="E206" s="138" t="s">
        <v>670</v>
      </c>
      <c r="F206" s="135" t="s">
        <v>620</v>
      </c>
      <c r="G206" s="274">
        <v>3</v>
      </c>
      <c r="H206" s="261">
        <v>3704</v>
      </c>
      <c r="I206" s="261">
        <v>11111</v>
      </c>
      <c r="J206" s="261">
        <v>0</v>
      </c>
      <c r="K206" s="261">
        <f t="shared" si="6"/>
        <v>11111</v>
      </c>
      <c r="L206" s="261">
        <v>889</v>
      </c>
      <c r="M206" s="261">
        <f t="shared" si="7"/>
        <v>12000</v>
      </c>
      <c r="N206" s="137">
        <v>2E-3</v>
      </c>
    </row>
    <row r="207" spans="1:14" ht="18" customHeight="1">
      <c r="A207" s="134">
        <v>3</v>
      </c>
      <c r="B207" s="135" t="s">
        <v>85</v>
      </c>
      <c r="C207" s="134">
        <v>61</v>
      </c>
      <c r="D207" s="138" t="s">
        <v>92</v>
      </c>
      <c r="E207" s="138" t="s">
        <v>671</v>
      </c>
      <c r="F207" s="135" t="s">
        <v>620</v>
      </c>
      <c r="G207" s="274">
        <v>6</v>
      </c>
      <c r="H207" s="261">
        <v>4630</v>
      </c>
      <c r="I207" s="261">
        <v>27778</v>
      </c>
      <c r="J207" s="261">
        <v>0</v>
      </c>
      <c r="K207" s="261">
        <f t="shared" si="6"/>
        <v>27778</v>
      </c>
      <c r="L207" s="261">
        <v>2222</v>
      </c>
      <c r="M207" s="261">
        <f t="shared" si="7"/>
        <v>30000</v>
      </c>
      <c r="N207" s="137">
        <v>4.8999999999999998E-3</v>
      </c>
    </row>
    <row r="208" spans="1:14" ht="18" customHeight="1">
      <c r="A208" s="134">
        <v>3</v>
      </c>
      <c r="B208" s="135" t="s">
        <v>85</v>
      </c>
      <c r="C208" s="134">
        <v>214</v>
      </c>
      <c r="D208" s="138" t="s">
        <v>82</v>
      </c>
      <c r="E208" s="138" t="s">
        <v>693</v>
      </c>
      <c r="F208" s="135" t="s">
        <v>620</v>
      </c>
      <c r="G208" s="274">
        <v>3</v>
      </c>
      <c r="H208" s="261">
        <v>37500</v>
      </c>
      <c r="I208" s="261">
        <v>112500</v>
      </c>
      <c r="J208" s="261">
        <v>0</v>
      </c>
      <c r="K208" s="261">
        <f t="shared" si="6"/>
        <v>112500</v>
      </c>
      <c r="L208" s="261">
        <v>9000</v>
      </c>
      <c r="M208" s="261">
        <f t="shared" si="7"/>
        <v>121500</v>
      </c>
      <c r="N208" s="137">
        <v>1.9800000000000002E-2</v>
      </c>
    </row>
    <row r="209" spans="1:14" ht="18" customHeight="1">
      <c r="A209" s="134">
        <v>3</v>
      </c>
      <c r="B209" s="135" t="s">
        <v>85</v>
      </c>
      <c r="C209" s="134">
        <v>96</v>
      </c>
      <c r="D209" s="138" t="s">
        <v>88</v>
      </c>
      <c r="E209" s="138" t="s">
        <v>695</v>
      </c>
      <c r="F209" s="135" t="s">
        <v>620</v>
      </c>
      <c r="G209" s="274">
        <v>1</v>
      </c>
      <c r="H209" s="261">
        <v>32407</v>
      </c>
      <c r="I209" s="261">
        <v>35648</v>
      </c>
      <c r="J209" s="261">
        <v>3241</v>
      </c>
      <c r="K209" s="261">
        <f t="shared" si="6"/>
        <v>32407</v>
      </c>
      <c r="L209" s="261">
        <v>2593</v>
      </c>
      <c r="M209" s="261">
        <f t="shared" si="7"/>
        <v>35000</v>
      </c>
      <c r="N209" s="137">
        <v>5.6999999999999993E-3</v>
      </c>
    </row>
    <row r="210" spans="1:14" ht="18" customHeight="1">
      <c r="A210" s="134">
        <v>3</v>
      </c>
      <c r="B210" s="135" t="s">
        <v>85</v>
      </c>
      <c r="C210" s="134">
        <v>33</v>
      </c>
      <c r="D210" s="138" t="s">
        <v>86</v>
      </c>
      <c r="E210" s="138" t="s">
        <v>673</v>
      </c>
      <c r="F210" s="135" t="s">
        <v>620</v>
      </c>
      <c r="G210" s="274">
        <v>2</v>
      </c>
      <c r="H210" s="261">
        <v>1852</v>
      </c>
      <c r="I210" s="261">
        <v>3704</v>
      </c>
      <c r="J210" s="261">
        <v>0</v>
      </c>
      <c r="K210" s="261">
        <f t="shared" si="6"/>
        <v>3704</v>
      </c>
      <c r="L210" s="261">
        <v>296</v>
      </c>
      <c r="M210" s="261">
        <f t="shared" si="7"/>
        <v>4000</v>
      </c>
      <c r="N210" s="137">
        <v>7.000000000000001E-4</v>
      </c>
    </row>
    <row r="211" spans="1:14" ht="18" customHeight="1">
      <c r="A211" s="134">
        <v>3</v>
      </c>
      <c r="B211" s="135" t="s">
        <v>85</v>
      </c>
      <c r="C211" s="134">
        <v>1050</v>
      </c>
      <c r="D211" s="138" t="s">
        <v>86</v>
      </c>
      <c r="E211" s="138" t="s">
        <v>708</v>
      </c>
      <c r="F211" s="135" t="s">
        <v>620</v>
      </c>
      <c r="G211" s="274">
        <v>2</v>
      </c>
      <c r="H211" s="261">
        <v>3333</v>
      </c>
      <c r="I211" s="261">
        <v>6667</v>
      </c>
      <c r="J211" s="261">
        <v>0</v>
      </c>
      <c r="K211" s="261">
        <f t="shared" si="6"/>
        <v>6667</v>
      </c>
      <c r="L211" s="261">
        <v>533</v>
      </c>
      <c r="M211" s="261">
        <f t="shared" si="7"/>
        <v>7200</v>
      </c>
      <c r="N211" s="137">
        <v>1.1999999999999999E-3</v>
      </c>
    </row>
    <row r="212" spans="1:14" ht="18" customHeight="1">
      <c r="A212" s="134">
        <v>4</v>
      </c>
      <c r="B212" s="135" t="s">
        <v>87</v>
      </c>
      <c r="C212" s="134">
        <v>316</v>
      </c>
      <c r="D212" s="138" t="s">
        <v>82</v>
      </c>
      <c r="E212" s="138" t="s">
        <v>709</v>
      </c>
      <c r="F212" s="135" t="s">
        <v>620</v>
      </c>
      <c r="G212" s="274">
        <v>0</v>
      </c>
      <c r="H212" s="261">
        <v>0</v>
      </c>
      <c r="I212" s="261">
        <v>0</v>
      </c>
      <c r="J212" s="261">
        <v>0</v>
      </c>
      <c r="K212" s="261">
        <f t="shared" si="6"/>
        <v>0</v>
      </c>
      <c r="L212" s="261">
        <v>0</v>
      </c>
      <c r="M212" s="261">
        <f t="shared" si="7"/>
        <v>0</v>
      </c>
      <c r="N212" s="137">
        <v>0</v>
      </c>
    </row>
    <row r="213" spans="1:14" ht="18" customHeight="1">
      <c r="A213" s="134">
        <v>4</v>
      </c>
      <c r="B213" s="135" t="s">
        <v>87</v>
      </c>
      <c r="C213" s="134">
        <v>73</v>
      </c>
      <c r="D213" s="138" t="s">
        <v>86</v>
      </c>
      <c r="E213" s="138" t="s">
        <v>619</v>
      </c>
      <c r="F213" s="135" t="s">
        <v>620</v>
      </c>
      <c r="G213" s="274">
        <v>18</v>
      </c>
      <c r="H213" s="261">
        <v>2593</v>
      </c>
      <c r="I213" s="261">
        <v>46667</v>
      </c>
      <c r="J213" s="261">
        <v>0</v>
      </c>
      <c r="K213" s="261">
        <f t="shared" si="6"/>
        <v>46667</v>
      </c>
      <c r="L213" s="261">
        <v>3733</v>
      </c>
      <c r="M213" s="261">
        <f t="shared" si="7"/>
        <v>50400</v>
      </c>
      <c r="N213" s="137">
        <v>7.9000000000000008E-3</v>
      </c>
    </row>
    <row r="214" spans="1:14" ht="18" customHeight="1">
      <c r="A214" s="134">
        <v>4</v>
      </c>
      <c r="B214" s="135" t="s">
        <v>87</v>
      </c>
      <c r="C214" s="134">
        <v>3</v>
      </c>
      <c r="D214" s="138" t="s">
        <v>82</v>
      </c>
      <c r="E214" s="138" t="s">
        <v>698</v>
      </c>
      <c r="F214" s="135" t="s">
        <v>620</v>
      </c>
      <c r="G214" s="274">
        <v>28</v>
      </c>
      <c r="H214" s="261">
        <v>18585</v>
      </c>
      <c r="I214" s="261">
        <v>522222</v>
      </c>
      <c r="J214" s="261">
        <v>1852</v>
      </c>
      <c r="K214" s="261">
        <f t="shared" si="6"/>
        <v>520370</v>
      </c>
      <c r="L214" s="261">
        <v>41630</v>
      </c>
      <c r="M214" s="261">
        <f t="shared" si="7"/>
        <v>562000</v>
      </c>
      <c r="N214" s="137">
        <v>8.8000000000000009E-2</v>
      </c>
    </row>
    <row r="215" spans="1:14" ht="18" customHeight="1">
      <c r="A215" s="134">
        <v>4</v>
      </c>
      <c r="B215" s="135" t="s">
        <v>87</v>
      </c>
      <c r="C215" s="134">
        <v>40</v>
      </c>
      <c r="D215" s="138" t="s">
        <v>82</v>
      </c>
      <c r="E215" s="138" t="s">
        <v>165</v>
      </c>
      <c r="F215" s="135" t="s">
        <v>620</v>
      </c>
      <c r="G215" s="274">
        <v>1</v>
      </c>
      <c r="H215" s="261">
        <v>55093</v>
      </c>
      <c r="I215" s="261">
        <v>55093</v>
      </c>
      <c r="J215" s="261">
        <v>0</v>
      </c>
      <c r="K215" s="261">
        <f t="shared" si="6"/>
        <v>55093</v>
      </c>
      <c r="L215" s="261">
        <v>4407</v>
      </c>
      <c r="M215" s="261">
        <f t="shared" si="7"/>
        <v>59500</v>
      </c>
      <c r="N215" s="137">
        <v>9.300000000000001E-3</v>
      </c>
    </row>
    <row r="216" spans="1:14" ht="18" customHeight="1">
      <c r="A216" s="134">
        <v>4</v>
      </c>
      <c r="B216" s="135" t="s">
        <v>87</v>
      </c>
      <c r="C216" s="134">
        <v>131</v>
      </c>
      <c r="D216" s="138" t="s">
        <v>82</v>
      </c>
      <c r="E216" s="138" t="s">
        <v>677</v>
      </c>
      <c r="F216" s="135" t="s">
        <v>620</v>
      </c>
      <c r="G216" s="274">
        <v>2</v>
      </c>
      <c r="H216" s="261">
        <v>278</v>
      </c>
      <c r="I216" s="261">
        <v>556</v>
      </c>
      <c r="J216" s="261">
        <v>0</v>
      </c>
      <c r="K216" s="261">
        <f t="shared" si="6"/>
        <v>556</v>
      </c>
      <c r="L216" s="261">
        <v>44</v>
      </c>
      <c r="M216" s="261">
        <f t="shared" si="7"/>
        <v>600</v>
      </c>
      <c r="N216" s="137">
        <v>1E-4</v>
      </c>
    </row>
    <row r="217" spans="1:14" ht="18" customHeight="1">
      <c r="A217" s="134">
        <v>4</v>
      </c>
      <c r="B217" s="135" t="s">
        <v>87</v>
      </c>
      <c r="C217" s="134">
        <v>104</v>
      </c>
      <c r="D217" s="138" t="s">
        <v>84</v>
      </c>
      <c r="E217" s="138" t="s">
        <v>157</v>
      </c>
      <c r="F217" s="135" t="s">
        <v>620</v>
      </c>
      <c r="G217" s="274">
        <v>9</v>
      </c>
      <c r="H217" s="261">
        <v>16049</v>
      </c>
      <c r="I217" s="261">
        <v>144444</v>
      </c>
      <c r="J217" s="261">
        <v>0</v>
      </c>
      <c r="K217" s="261">
        <f t="shared" si="6"/>
        <v>144444</v>
      </c>
      <c r="L217" s="261">
        <v>11556</v>
      </c>
      <c r="M217" s="261">
        <f t="shared" si="7"/>
        <v>156000</v>
      </c>
      <c r="N217" s="137">
        <v>2.4400000000000002E-2</v>
      </c>
    </row>
    <row r="218" spans="1:14" ht="18" customHeight="1">
      <c r="A218" s="134">
        <v>4</v>
      </c>
      <c r="B218" s="135" t="s">
        <v>87</v>
      </c>
      <c r="C218" s="134">
        <v>95</v>
      </c>
      <c r="D218" s="138" t="s">
        <v>82</v>
      </c>
      <c r="E218" s="138" t="s">
        <v>624</v>
      </c>
      <c r="F218" s="135" t="s">
        <v>620</v>
      </c>
      <c r="G218" s="274">
        <v>4</v>
      </c>
      <c r="H218" s="261">
        <v>926</v>
      </c>
      <c r="I218" s="261">
        <v>3704</v>
      </c>
      <c r="J218" s="261">
        <v>0</v>
      </c>
      <c r="K218" s="261">
        <f t="shared" si="6"/>
        <v>3704</v>
      </c>
      <c r="L218" s="261">
        <v>296</v>
      </c>
      <c r="M218" s="261">
        <f t="shared" si="7"/>
        <v>4000</v>
      </c>
      <c r="N218" s="137">
        <v>5.9999999999999995E-4</v>
      </c>
    </row>
    <row r="219" spans="1:14" ht="18" customHeight="1">
      <c r="A219" s="134">
        <v>4</v>
      </c>
      <c r="B219" s="135" t="s">
        <v>87</v>
      </c>
      <c r="C219" s="134">
        <v>5</v>
      </c>
      <c r="D219" s="138" t="s">
        <v>84</v>
      </c>
      <c r="E219" s="138" t="s">
        <v>679</v>
      </c>
      <c r="F219" s="135" t="s">
        <v>620</v>
      </c>
      <c r="G219" s="274">
        <v>1</v>
      </c>
      <c r="H219" s="261">
        <v>11111</v>
      </c>
      <c r="I219" s="261">
        <v>11111</v>
      </c>
      <c r="J219" s="261">
        <v>0</v>
      </c>
      <c r="K219" s="261">
        <f t="shared" si="6"/>
        <v>11111</v>
      </c>
      <c r="L219" s="261">
        <v>889</v>
      </c>
      <c r="M219" s="261">
        <f t="shared" si="7"/>
        <v>12000</v>
      </c>
      <c r="N219" s="137">
        <v>1.9E-3</v>
      </c>
    </row>
    <row r="220" spans="1:14" ht="18" customHeight="1">
      <c r="A220" s="134">
        <v>4</v>
      </c>
      <c r="B220" s="135" t="s">
        <v>87</v>
      </c>
      <c r="C220" s="134">
        <v>136</v>
      </c>
      <c r="D220" s="138" t="s">
        <v>84</v>
      </c>
      <c r="E220" s="138" t="s">
        <v>625</v>
      </c>
      <c r="F220" s="135" t="s">
        <v>620</v>
      </c>
      <c r="G220" s="274">
        <v>2</v>
      </c>
      <c r="H220" s="261">
        <v>24074</v>
      </c>
      <c r="I220" s="261">
        <v>48148</v>
      </c>
      <c r="J220" s="261">
        <v>0</v>
      </c>
      <c r="K220" s="261">
        <f t="shared" si="6"/>
        <v>48148</v>
      </c>
      <c r="L220" s="261">
        <v>3852</v>
      </c>
      <c r="M220" s="261">
        <f t="shared" si="7"/>
        <v>52000</v>
      </c>
      <c r="N220" s="137">
        <v>8.1000000000000013E-3</v>
      </c>
    </row>
    <row r="221" spans="1:14" ht="18" customHeight="1">
      <c r="A221" s="134">
        <v>4</v>
      </c>
      <c r="B221" s="135" t="s">
        <v>87</v>
      </c>
      <c r="C221" s="134">
        <v>135</v>
      </c>
      <c r="D221" s="138" t="s">
        <v>84</v>
      </c>
      <c r="E221" s="138" t="s">
        <v>710</v>
      </c>
      <c r="F221" s="135" t="s">
        <v>620</v>
      </c>
      <c r="G221" s="274">
        <v>1</v>
      </c>
      <c r="H221" s="261">
        <v>13889</v>
      </c>
      <c r="I221" s="261">
        <v>13889</v>
      </c>
      <c r="J221" s="261">
        <v>0</v>
      </c>
      <c r="K221" s="261">
        <f t="shared" si="6"/>
        <v>13889</v>
      </c>
      <c r="L221" s="261">
        <v>1111</v>
      </c>
      <c r="M221" s="261">
        <f t="shared" si="7"/>
        <v>15000</v>
      </c>
      <c r="N221" s="137">
        <v>2.3E-3</v>
      </c>
    </row>
    <row r="222" spans="1:14" ht="18" customHeight="1">
      <c r="A222" s="134">
        <v>4</v>
      </c>
      <c r="B222" s="135" t="s">
        <v>87</v>
      </c>
      <c r="C222" s="134">
        <v>6</v>
      </c>
      <c r="D222" s="138" t="s">
        <v>84</v>
      </c>
      <c r="E222" s="138" t="s">
        <v>680</v>
      </c>
      <c r="F222" s="135" t="s">
        <v>620</v>
      </c>
      <c r="G222" s="274">
        <v>1</v>
      </c>
      <c r="H222" s="261">
        <v>14815</v>
      </c>
      <c r="I222" s="261">
        <v>14815</v>
      </c>
      <c r="J222" s="261">
        <v>0</v>
      </c>
      <c r="K222" s="261">
        <f t="shared" si="6"/>
        <v>14815</v>
      </c>
      <c r="L222" s="261">
        <v>1185</v>
      </c>
      <c r="M222" s="261">
        <f t="shared" si="7"/>
        <v>16000</v>
      </c>
      <c r="N222" s="137">
        <v>2.5000000000000001E-3</v>
      </c>
    </row>
    <row r="223" spans="1:14" ht="18" customHeight="1">
      <c r="A223" s="134">
        <v>4</v>
      </c>
      <c r="B223" s="135" t="s">
        <v>87</v>
      </c>
      <c r="C223" s="134">
        <v>8</v>
      </c>
      <c r="D223" s="138" t="s">
        <v>82</v>
      </c>
      <c r="E223" s="138" t="s">
        <v>151</v>
      </c>
      <c r="F223" s="135" t="s">
        <v>620</v>
      </c>
      <c r="G223" s="274">
        <v>7</v>
      </c>
      <c r="H223" s="261">
        <v>18783</v>
      </c>
      <c r="I223" s="261">
        <v>131481</v>
      </c>
      <c r="J223" s="261">
        <v>0</v>
      </c>
      <c r="K223" s="261">
        <f t="shared" si="6"/>
        <v>131481</v>
      </c>
      <c r="L223" s="261">
        <v>10519</v>
      </c>
      <c r="M223" s="261">
        <f t="shared" si="7"/>
        <v>142000</v>
      </c>
      <c r="N223" s="137">
        <v>2.2200000000000001E-2</v>
      </c>
    </row>
    <row r="224" spans="1:14" ht="18" customHeight="1">
      <c r="A224" s="134">
        <v>4</v>
      </c>
      <c r="B224" s="135" t="s">
        <v>87</v>
      </c>
      <c r="C224" s="134">
        <v>87</v>
      </c>
      <c r="D224" s="138" t="s">
        <v>84</v>
      </c>
      <c r="E224" s="138" t="s">
        <v>139</v>
      </c>
      <c r="F224" s="135" t="s">
        <v>620</v>
      </c>
      <c r="G224" s="274">
        <v>3</v>
      </c>
      <c r="H224" s="261">
        <v>37500</v>
      </c>
      <c r="I224" s="261">
        <v>112500</v>
      </c>
      <c r="J224" s="261">
        <v>0</v>
      </c>
      <c r="K224" s="261">
        <f t="shared" si="6"/>
        <v>112500</v>
      </c>
      <c r="L224" s="261">
        <v>9000</v>
      </c>
      <c r="M224" s="261">
        <f t="shared" si="7"/>
        <v>121500</v>
      </c>
      <c r="N224" s="137">
        <v>1.9E-2</v>
      </c>
    </row>
    <row r="225" spans="1:14" ht="18" customHeight="1">
      <c r="A225" s="134">
        <v>4</v>
      </c>
      <c r="B225" s="135" t="s">
        <v>87</v>
      </c>
      <c r="C225" s="134">
        <v>206</v>
      </c>
      <c r="D225" s="138" t="s">
        <v>88</v>
      </c>
      <c r="E225" s="138" t="s">
        <v>627</v>
      </c>
      <c r="F225" s="135" t="s">
        <v>620</v>
      </c>
      <c r="G225" s="274">
        <v>1</v>
      </c>
      <c r="H225" s="261">
        <v>44907</v>
      </c>
      <c r="I225" s="261">
        <v>44907</v>
      </c>
      <c r="J225" s="261">
        <v>0</v>
      </c>
      <c r="K225" s="261">
        <f t="shared" si="6"/>
        <v>44907</v>
      </c>
      <c r="L225" s="261">
        <v>3593</v>
      </c>
      <c r="M225" s="261">
        <f t="shared" si="7"/>
        <v>48500</v>
      </c>
      <c r="N225" s="137">
        <v>7.6E-3</v>
      </c>
    </row>
    <row r="226" spans="1:14" ht="18" customHeight="1">
      <c r="A226" s="134">
        <v>4</v>
      </c>
      <c r="B226" s="135" t="s">
        <v>87</v>
      </c>
      <c r="C226" s="134">
        <v>246</v>
      </c>
      <c r="D226" s="138" t="s">
        <v>86</v>
      </c>
      <c r="E226" s="138" t="s">
        <v>629</v>
      </c>
      <c r="F226" s="135" t="s">
        <v>620</v>
      </c>
      <c r="G226" s="274">
        <v>4</v>
      </c>
      <c r="H226" s="261">
        <v>6481</v>
      </c>
      <c r="I226" s="261">
        <v>25926</v>
      </c>
      <c r="J226" s="261">
        <v>0</v>
      </c>
      <c r="K226" s="261">
        <f t="shared" si="6"/>
        <v>25926</v>
      </c>
      <c r="L226" s="261">
        <v>2074</v>
      </c>
      <c r="M226" s="261">
        <f t="shared" si="7"/>
        <v>28000</v>
      </c>
      <c r="N226" s="137">
        <v>4.4000000000000003E-3</v>
      </c>
    </row>
    <row r="227" spans="1:14" ht="18" customHeight="1">
      <c r="A227" s="134">
        <v>4</v>
      </c>
      <c r="B227" s="135" t="s">
        <v>87</v>
      </c>
      <c r="C227" s="134">
        <v>264</v>
      </c>
      <c r="D227" s="138" t="s">
        <v>86</v>
      </c>
      <c r="E227" s="138" t="s">
        <v>681</v>
      </c>
      <c r="F227" s="135" t="s">
        <v>620</v>
      </c>
      <c r="G227" s="274">
        <v>1</v>
      </c>
      <c r="H227" s="261">
        <v>4630</v>
      </c>
      <c r="I227" s="261">
        <v>4630</v>
      </c>
      <c r="J227" s="261">
        <v>0</v>
      </c>
      <c r="K227" s="261">
        <f t="shared" si="6"/>
        <v>4630</v>
      </c>
      <c r="L227" s="261">
        <v>370</v>
      </c>
      <c r="M227" s="261">
        <f t="shared" si="7"/>
        <v>5000</v>
      </c>
      <c r="N227" s="137">
        <v>8.0000000000000004E-4</v>
      </c>
    </row>
    <row r="228" spans="1:14" ht="18" customHeight="1">
      <c r="A228" s="134">
        <v>4</v>
      </c>
      <c r="B228" s="135" t="s">
        <v>87</v>
      </c>
      <c r="C228" s="134">
        <v>70</v>
      </c>
      <c r="D228" s="138" t="s">
        <v>86</v>
      </c>
      <c r="E228" s="138" t="s">
        <v>630</v>
      </c>
      <c r="F228" s="135" t="s">
        <v>620</v>
      </c>
      <c r="G228" s="274">
        <v>2</v>
      </c>
      <c r="H228" s="261">
        <v>4630</v>
      </c>
      <c r="I228" s="261">
        <v>9259</v>
      </c>
      <c r="J228" s="261">
        <v>0</v>
      </c>
      <c r="K228" s="261">
        <f t="shared" si="6"/>
        <v>9259</v>
      </c>
      <c r="L228" s="261">
        <v>741</v>
      </c>
      <c r="M228" s="261">
        <f t="shared" si="7"/>
        <v>10000</v>
      </c>
      <c r="N228" s="137">
        <v>1.6000000000000001E-3</v>
      </c>
    </row>
    <row r="229" spans="1:14" ht="18" customHeight="1">
      <c r="A229" s="134">
        <v>4</v>
      </c>
      <c r="B229" s="135" t="s">
        <v>87</v>
      </c>
      <c r="C229" s="134">
        <v>71</v>
      </c>
      <c r="D229" s="138" t="s">
        <v>86</v>
      </c>
      <c r="E229" s="138" t="s">
        <v>631</v>
      </c>
      <c r="F229" s="135" t="s">
        <v>620</v>
      </c>
      <c r="G229" s="274">
        <v>9</v>
      </c>
      <c r="H229" s="261">
        <v>5556</v>
      </c>
      <c r="I229" s="261">
        <v>50000</v>
      </c>
      <c r="J229" s="261">
        <v>0</v>
      </c>
      <c r="K229" s="261">
        <f t="shared" si="6"/>
        <v>50000</v>
      </c>
      <c r="L229" s="261">
        <v>4000</v>
      </c>
      <c r="M229" s="261">
        <f t="shared" si="7"/>
        <v>54000</v>
      </c>
      <c r="N229" s="137">
        <v>8.5000000000000006E-3</v>
      </c>
    </row>
    <row r="230" spans="1:14" ht="18" customHeight="1">
      <c r="A230" s="134">
        <v>4</v>
      </c>
      <c r="B230" s="135" t="s">
        <v>87</v>
      </c>
      <c r="C230" s="134">
        <v>83</v>
      </c>
      <c r="D230" s="138" t="s">
        <v>82</v>
      </c>
      <c r="E230" s="138" t="s">
        <v>632</v>
      </c>
      <c r="F230" s="135" t="s">
        <v>620</v>
      </c>
      <c r="G230" s="274">
        <v>6</v>
      </c>
      <c r="H230" s="261">
        <v>20833</v>
      </c>
      <c r="I230" s="261">
        <v>125000</v>
      </c>
      <c r="J230" s="261">
        <v>0</v>
      </c>
      <c r="K230" s="261">
        <f t="shared" si="6"/>
        <v>125000</v>
      </c>
      <c r="L230" s="261">
        <v>10000</v>
      </c>
      <c r="M230" s="261">
        <f t="shared" si="7"/>
        <v>135000</v>
      </c>
      <c r="N230" s="137">
        <v>2.1100000000000001E-2</v>
      </c>
    </row>
    <row r="231" spans="1:14" ht="18" customHeight="1">
      <c r="A231" s="134">
        <v>4</v>
      </c>
      <c r="B231" s="135" t="s">
        <v>87</v>
      </c>
      <c r="C231" s="134">
        <v>41</v>
      </c>
      <c r="D231" s="138" t="s">
        <v>82</v>
      </c>
      <c r="E231" s="138" t="s">
        <v>163</v>
      </c>
      <c r="F231" s="135" t="s">
        <v>620</v>
      </c>
      <c r="G231" s="274">
        <v>3</v>
      </c>
      <c r="H231" s="261">
        <v>49074</v>
      </c>
      <c r="I231" s="261">
        <v>147222</v>
      </c>
      <c r="J231" s="261">
        <v>0</v>
      </c>
      <c r="K231" s="261">
        <f t="shared" si="6"/>
        <v>147222</v>
      </c>
      <c r="L231" s="261">
        <v>11778</v>
      </c>
      <c r="M231" s="261">
        <f t="shared" si="7"/>
        <v>159000</v>
      </c>
      <c r="N231" s="137">
        <v>2.4899999999999999E-2</v>
      </c>
    </row>
    <row r="232" spans="1:14" ht="18" customHeight="1">
      <c r="A232" s="134">
        <v>4</v>
      </c>
      <c r="B232" s="135" t="s">
        <v>87</v>
      </c>
      <c r="C232" s="134">
        <v>122</v>
      </c>
      <c r="D232" s="138" t="s">
        <v>86</v>
      </c>
      <c r="E232" s="138" t="s">
        <v>634</v>
      </c>
      <c r="F232" s="135" t="s">
        <v>620</v>
      </c>
      <c r="G232" s="274">
        <v>1</v>
      </c>
      <c r="H232" s="261">
        <v>2778</v>
      </c>
      <c r="I232" s="261">
        <v>2778</v>
      </c>
      <c r="J232" s="261">
        <v>0</v>
      </c>
      <c r="K232" s="261">
        <f t="shared" si="6"/>
        <v>2778</v>
      </c>
      <c r="L232" s="261">
        <v>222</v>
      </c>
      <c r="M232" s="261">
        <f t="shared" si="7"/>
        <v>3000</v>
      </c>
      <c r="N232" s="137">
        <v>5.0000000000000001E-4</v>
      </c>
    </row>
    <row r="233" spans="1:14" ht="18" customHeight="1">
      <c r="A233" s="134">
        <v>4</v>
      </c>
      <c r="B233" s="135" t="s">
        <v>87</v>
      </c>
      <c r="C233" s="134">
        <v>42</v>
      </c>
      <c r="D233" s="138" t="s">
        <v>82</v>
      </c>
      <c r="E233" s="138" t="s">
        <v>354</v>
      </c>
      <c r="F233" s="135" t="s">
        <v>620</v>
      </c>
      <c r="G233" s="274">
        <v>1</v>
      </c>
      <c r="H233" s="261">
        <v>32407</v>
      </c>
      <c r="I233" s="261">
        <v>32407</v>
      </c>
      <c r="J233" s="261">
        <v>0</v>
      </c>
      <c r="K233" s="261">
        <f t="shared" si="6"/>
        <v>32407</v>
      </c>
      <c r="L233" s="261">
        <v>2593</v>
      </c>
      <c r="M233" s="261">
        <f t="shared" si="7"/>
        <v>35000</v>
      </c>
      <c r="N233" s="137">
        <v>5.5000000000000014E-3</v>
      </c>
    </row>
    <row r="234" spans="1:14" ht="18" customHeight="1">
      <c r="A234" s="134">
        <v>4</v>
      </c>
      <c r="B234" s="135" t="s">
        <v>87</v>
      </c>
      <c r="C234" s="134">
        <v>44</v>
      </c>
      <c r="D234" s="138" t="s">
        <v>82</v>
      </c>
      <c r="E234" s="138" t="s">
        <v>133</v>
      </c>
      <c r="F234" s="135" t="s">
        <v>620</v>
      </c>
      <c r="G234" s="274">
        <v>2</v>
      </c>
      <c r="H234" s="261">
        <v>28241</v>
      </c>
      <c r="I234" s="261">
        <v>56481</v>
      </c>
      <c r="J234" s="261">
        <v>0</v>
      </c>
      <c r="K234" s="261">
        <f t="shared" si="6"/>
        <v>56481</v>
      </c>
      <c r="L234" s="261">
        <v>4519</v>
      </c>
      <c r="M234" s="261">
        <f t="shared" si="7"/>
        <v>61000</v>
      </c>
      <c r="N234" s="137">
        <v>9.5999999999999992E-3</v>
      </c>
    </row>
    <row r="235" spans="1:14" ht="18" customHeight="1">
      <c r="A235" s="134">
        <v>4</v>
      </c>
      <c r="B235" s="135" t="s">
        <v>87</v>
      </c>
      <c r="C235" s="134">
        <v>110</v>
      </c>
      <c r="D235" s="138" t="s">
        <v>94</v>
      </c>
      <c r="E235" s="138" t="s">
        <v>635</v>
      </c>
      <c r="F235" s="135" t="s">
        <v>620</v>
      </c>
      <c r="G235" s="274">
        <v>16</v>
      </c>
      <c r="H235" s="261">
        <v>926</v>
      </c>
      <c r="I235" s="261">
        <v>14815</v>
      </c>
      <c r="J235" s="261">
        <v>0</v>
      </c>
      <c r="K235" s="261">
        <f t="shared" si="6"/>
        <v>14815</v>
      </c>
      <c r="L235" s="261">
        <v>1185</v>
      </c>
      <c r="M235" s="261">
        <f t="shared" si="7"/>
        <v>16000</v>
      </c>
      <c r="N235" s="137">
        <v>2.5000000000000001E-3</v>
      </c>
    </row>
    <row r="236" spans="1:14" ht="18" customHeight="1">
      <c r="A236" s="134">
        <v>4</v>
      </c>
      <c r="B236" s="135" t="s">
        <v>87</v>
      </c>
      <c r="C236" s="134">
        <v>102</v>
      </c>
      <c r="D236" s="138" t="s">
        <v>82</v>
      </c>
      <c r="E236" s="138" t="s">
        <v>684</v>
      </c>
      <c r="F236" s="135" t="s">
        <v>620</v>
      </c>
      <c r="G236" s="274">
        <v>2</v>
      </c>
      <c r="H236" s="261">
        <v>6944</v>
      </c>
      <c r="I236" s="261">
        <v>13889</v>
      </c>
      <c r="J236" s="261">
        <v>0</v>
      </c>
      <c r="K236" s="261">
        <f t="shared" si="6"/>
        <v>13889</v>
      </c>
      <c r="L236" s="261">
        <v>1111</v>
      </c>
      <c r="M236" s="261">
        <f t="shared" si="7"/>
        <v>15000</v>
      </c>
      <c r="N236" s="137">
        <v>2.3E-3</v>
      </c>
    </row>
    <row r="237" spans="1:14" ht="18" customHeight="1">
      <c r="A237" s="134">
        <v>4</v>
      </c>
      <c r="B237" s="135" t="s">
        <v>87</v>
      </c>
      <c r="C237" s="134">
        <v>45</v>
      </c>
      <c r="D237" s="138" t="s">
        <v>82</v>
      </c>
      <c r="E237" s="138" t="s">
        <v>636</v>
      </c>
      <c r="F237" s="135" t="s">
        <v>620</v>
      </c>
      <c r="G237" s="274">
        <v>2</v>
      </c>
      <c r="H237" s="261">
        <v>35648</v>
      </c>
      <c r="I237" s="261">
        <v>71296</v>
      </c>
      <c r="J237" s="261">
        <v>0</v>
      </c>
      <c r="K237" s="261">
        <f t="shared" si="6"/>
        <v>71296</v>
      </c>
      <c r="L237" s="261">
        <v>5704</v>
      </c>
      <c r="M237" s="261">
        <f t="shared" si="7"/>
        <v>77000</v>
      </c>
      <c r="N237" s="137">
        <v>1.21E-2</v>
      </c>
    </row>
    <row r="238" spans="1:14" ht="18" customHeight="1">
      <c r="A238" s="134">
        <v>4</v>
      </c>
      <c r="B238" s="135" t="s">
        <v>87</v>
      </c>
      <c r="C238" s="134">
        <v>30</v>
      </c>
      <c r="D238" s="138" t="s">
        <v>90</v>
      </c>
      <c r="E238" s="138" t="s">
        <v>637</v>
      </c>
      <c r="F238" s="135" t="s">
        <v>620</v>
      </c>
      <c r="G238" s="274">
        <v>1</v>
      </c>
      <c r="H238" s="261">
        <v>6481</v>
      </c>
      <c r="I238" s="261">
        <v>6481</v>
      </c>
      <c r="J238" s="261">
        <v>0</v>
      </c>
      <c r="K238" s="261">
        <f t="shared" si="6"/>
        <v>6481</v>
      </c>
      <c r="L238" s="261">
        <v>519</v>
      </c>
      <c r="M238" s="261">
        <f t="shared" si="7"/>
        <v>7000</v>
      </c>
      <c r="N238" s="137">
        <v>1.1000000000000001E-3</v>
      </c>
    </row>
    <row r="239" spans="1:14" ht="18" customHeight="1">
      <c r="A239" s="134">
        <v>4</v>
      </c>
      <c r="B239" s="135" t="s">
        <v>87</v>
      </c>
      <c r="C239" s="134">
        <v>305</v>
      </c>
      <c r="D239" s="138" t="s">
        <v>86</v>
      </c>
      <c r="E239" s="138" t="s">
        <v>638</v>
      </c>
      <c r="F239" s="135" t="s">
        <v>620</v>
      </c>
      <c r="G239" s="274">
        <v>1</v>
      </c>
      <c r="H239" s="261">
        <v>9259</v>
      </c>
      <c r="I239" s="261">
        <v>9259</v>
      </c>
      <c r="J239" s="261">
        <v>0</v>
      </c>
      <c r="K239" s="261">
        <f t="shared" si="6"/>
        <v>9259</v>
      </c>
      <c r="L239" s="261">
        <v>741</v>
      </c>
      <c r="M239" s="261">
        <f t="shared" si="7"/>
        <v>10000</v>
      </c>
      <c r="N239" s="137">
        <v>1.6000000000000001E-3</v>
      </c>
    </row>
    <row r="240" spans="1:14" ht="18" customHeight="1">
      <c r="A240" s="134">
        <v>4</v>
      </c>
      <c r="B240" s="135" t="s">
        <v>87</v>
      </c>
      <c r="C240" s="134">
        <v>94</v>
      </c>
      <c r="D240" s="138" t="s">
        <v>84</v>
      </c>
      <c r="E240" s="138" t="s">
        <v>145</v>
      </c>
      <c r="F240" s="135" t="s">
        <v>620</v>
      </c>
      <c r="G240" s="274">
        <v>12</v>
      </c>
      <c r="H240" s="261">
        <v>18596</v>
      </c>
      <c r="I240" s="261">
        <v>223148</v>
      </c>
      <c r="J240" s="261">
        <v>0</v>
      </c>
      <c r="K240" s="261">
        <f t="shared" si="6"/>
        <v>223148</v>
      </c>
      <c r="L240" s="261">
        <v>17852</v>
      </c>
      <c r="M240" s="261">
        <f t="shared" si="7"/>
        <v>241000</v>
      </c>
      <c r="N240" s="137">
        <v>3.7699999999999997E-2</v>
      </c>
    </row>
    <row r="241" spans="1:14" ht="18" customHeight="1">
      <c r="A241" s="134">
        <v>4</v>
      </c>
      <c r="B241" s="135" t="s">
        <v>87</v>
      </c>
      <c r="C241" s="134">
        <v>233</v>
      </c>
      <c r="D241" s="138" t="s">
        <v>84</v>
      </c>
      <c r="E241" s="138" t="s">
        <v>112</v>
      </c>
      <c r="F241" s="135" t="s">
        <v>620</v>
      </c>
      <c r="G241" s="274">
        <v>31</v>
      </c>
      <c r="H241" s="261">
        <v>18668</v>
      </c>
      <c r="I241" s="261">
        <v>578704</v>
      </c>
      <c r="J241" s="261">
        <v>0</v>
      </c>
      <c r="K241" s="261">
        <f t="shared" si="6"/>
        <v>578704</v>
      </c>
      <c r="L241" s="261">
        <v>46296</v>
      </c>
      <c r="M241" s="261">
        <f t="shared" si="7"/>
        <v>625000</v>
      </c>
      <c r="N241" s="137">
        <v>9.7899999999999987E-2</v>
      </c>
    </row>
    <row r="242" spans="1:14" ht="18" customHeight="1">
      <c r="A242" s="134">
        <v>4</v>
      </c>
      <c r="B242" s="135" t="s">
        <v>87</v>
      </c>
      <c r="C242" s="134">
        <v>217</v>
      </c>
      <c r="D242" s="138" t="s">
        <v>84</v>
      </c>
      <c r="E242" s="138" t="s">
        <v>639</v>
      </c>
      <c r="F242" s="135" t="s">
        <v>620</v>
      </c>
      <c r="G242" s="274">
        <v>2</v>
      </c>
      <c r="H242" s="261">
        <v>27778</v>
      </c>
      <c r="I242" s="261">
        <v>55556</v>
      </c>
      <c r="J242" s="261">
        <v>0</v>
      </c>
      <c r="K242" s="261">
        <f t="shared" si="6"/>
        <v>55556</v>
      </c>
      <c r="L242" s="261">
        <v>4444</v>
      </c>
      <c r="M242" s="261">
        <f t="shared" si="7"/>
        <v>60000</v>
      </c>
      <c r="N242" s="137">
        <v>9.3999999999999986E-3</v>
      </c>
    </row>
    <row r="243" spans="1:14" ht="18" customHeight="1">
      <c r="A243" s="134">
        <v>4</v>
      </c>
      <c r="B243" s="135" t="s">
        <v>87</v>
      </c>
      <c r="C243" s="134">
        <v>218</v>
      </c>
      <c r="D243" s="138" t="s">
        <v>84</v>
      </c>
      <c r="E243" s="138" t="s">
        <v>640</v>
      </c>
      <c r="F243" s="135" t="s">
        <v>620</v>
      </c>
      <c r="G243" s="274">
        <v>5</v>
      </c>
      <c r="H243" s="261">
        <v>18889</v>
      </c>
      <c r="I243" s="261">
        <v>94444</v>
      </c>
      <c r="J243" s="261">
        <v>0</v>
      </c>
      <c r="K243" s="261">
        <f t="shared" si="6"/>
        <v>94444</v>
      </c>
      <c r="L243" s="261">
        <v>7556</v>
      </c>
      <c r="M243" s="261">
        <f t="shared" si="7"/>
        <v>102000</v>
      </c>
      <c r="N243" s="137">
        <v>1.6E-2</v>
      </c>
    </row>
    <row r="244" spans="1:14" ht="18" customHeight="1">
      <c r="A244" s="134">
        <v>4</v>
      </c>
      <c r="B244" s="135" t="s">
        <v>87</v>
      </c>
      <c r="C244" s="134">
        <v>34</v>
      </c>
      <c r="D244" s="138" t="s">
        <v>86</v>
      </c>
      <c r="E244" s="138" t="s">
        <v>641</v>
      </c>
      <c r="F244" s="135" t="s">
        <v>620</v>
      </c>
      <c r="G244" s="274">
        <v>3</v>
      </c>
      <c r="H244" s="261">
        <v>6481</v>
      </c>
      <c r="I244" s="261">
        <v>19444</v>
      </c>
      <c r="J244" s="261">
        <v>0</v>
      </c>
      <c r="K244" s="261">
        <f t="shared" si="6"/>
        <v>19444</v>
      </c>
      <c r="L244" s="261">
        <v>1556</v>
      </c>
      <c r="M244" s="261">
        <f t="shared" si="7"/>
        <v>21000</v>
      </c>
      <c r="N244" s="137">
        <v>3.3E-3</v>
      </c>
    </row>
    <row r="245" spans="1:14" ht="18" customHeight="1">
      <c r="A245" s="134">
        <v>4</v>
      </c>
      <c r="B245" s="135" t="s">
        <v>87</v>
      </c>
      <c r="C245" s="134">
        <v>121</v>
      </c>
      <c r="D245" s="138" t="s">
        <v>86</v>
      </c>
      <c r="E245" s="138" t="s">
        <v>642</v>
      </c>
      <c r="F245" s="135" t="s">
        <v>620</v>
      </c>
      <c r="G245" s="274">
        <v>5</v>
      </c>
      <c r="H245" s="261">
        <v>2778</v>
      </c>
      <c r="I245" s="261">
        <v>13889</v>
      </c>
      <c r="J245" s="261">
        <v>0</v>
      </c>
      <c r="K245" s="261">
        <f t="shared" si="6"/>
        <v>13889</v>
      </c>
      <c r="L245" s="261">
        <v>1111</v>
      </c>
      <c r="M245" s="261">
        <f t="shared" si="7"/>
        <v>15000</v>
      </c>
      <c r="N245" s="137">
        <v>2.3E-3</v>
      </c>
    </row>
    <row r="246" spans="1:14" ht="18" customHeight="1">
      <c r="A246" s="134">
        <v>4</v>
      </c>
      <c r="B246" s="135" t="s">
        <v>87</v>
      </c>
      <c r="C246" s="134">
        <v>208</v>
      </c>
      <c r="D246" s="138" t="s">
        <v>86</v>
      </c>
      <c r="E246" s="138" t="s">
        <v>643</v>
      </c>
      <c r="F246" s="135" t="s">
        <v>620</v>
      </c>
      <c r="G246" s="274">
        <v>3</v>
      </c>
      <c r="H246" s="261">
        <v>3704</v>
      </c>
      <c r="I246" s="261">
        <v>11111</v>
      </c>
      <c r="J246" s="261">
        <v>0</v>
      </c>
      <c r="K246" s="261">
        <f t="shared" si="6"/>
        <v>11111</v>
      </c>
      <c r="L246" s="261">
        <v>889</v>
      </c>
      <c r="M246" s="261">
        <f t="shared" si="7"/>
        <v>12000</v>
      </c>
      <c r="N246" s="137">
        <v>1.9E-3</v>
      </c>
    </row>
    <row r="247" spans="1:14" ht="18" customHeight="1">
      <c r="A247" s="134">
        <v>4</v>
      </c>
      <c r="B247" s="135" t="s">
        <v>87</v>
      </c>
      <c r="C247" s="134">
        <v>90</v>
      </c>
      <c r="D247" s="138" t="s">
        <v>86</v>
      </c>
      <c r="E247" s="138" t="s">
        <v>439</v>
      </c>
      <c r="F247" s="135" t="s">
        <v>620</v>
      </c>
      <c r="G247" s="274">
        <v>2</v>
      </c>
      <c r="H247" s="261">
        <v>4259</v>
      </c>
      <c r="I247" s="261">
        <v>8519</v>
      </c>
      <c r="J247" s="261">
        <v>0</v>
      </c>
      <c r="K247" s="261">
        <f t="shared" si="6"/>
        <v>8519</v>
      </c>
      <c r="L247" s="261">
        <v>681</v>
      </c>
      <c r="M247" s="261">
        <f t="shared" si="7"/>
        <v>9200</v>
      </c>
      <c r="N247" s="137">
        <v>1.4E-3</v>
      </c>
    </row>
    <row r="248" spans="1:14" ht="18" customHeight="1">
      <c r="A248" s="134">
        <v>4</v>
      </c>
      <c r="B248" s="135" t="s">
        <v>87</v>
      </c>
      <c r="C248" s="134">
        <v>123</v>
      </c>
      <c r="D248" s="138" t="s">
        <v>86</v>
      </c>
      <c r="E248" s="138" t="s">
        <v>644</v>
      </c>
      <c r="F248" s="135" t="s">
        <v>620</v>
      </c>
      <c r="G248" s="274">
        <v>1</v>
      </c>
      <c r="H248" s="261">
        <v>2778</v>
      </c>
      <c r="I248" s="261">
        <v>2778</v>
      </c>
      <c r="J248" s="261">
        <v>0</v>
      </c>
      <c r="K248" s="261">
        <f t="shared" si="6"/>
        <v>2778</v>
      </c>
      <c r="L248" s="261">
        <v>222</v>
      </c>
      <c r="M248" s="261">
        <f t="shared" si="7"/>
        <v>3000</v>
      </c>
      <c r="N248" s="137">
        <v>5.0000000000000001E-4</v>
      </c>
    </row>
    <row r="249" spans="1:14" ht="18" customHeight="1">
      <c r="A249" s="134">
        <v>4</v>
      </c>
      <c r="B249" s="135" t="s">
        <v>87</v>
      </c>
      <c r="C249" s="134">
        <v>314</v>
      </c>
      <c r="D249" s="138" t="s">
        <v>82</v>
      </c>
      <c r="E249" s="138" t="s">
        <v>685</v>
      </c>
      <c r="F249" s="135" t="s">
        <v>620</v>
      </c>
      <c r="G249" s="274">
        <v>3</v>
      </c>
      <c r="H249" s="261">
        <v>4167</v>
      </c>
      <c r="I249" s="261">
        <v>12500</v>
      </c>
      <c r="J249" s="261">
        <v>0</v>
      </c>
      <c r="K249" s="261">
        <f t="shared" si="6"/>
        <v>12500</v>
      </c>
      <c r="L249" s="261">
        <v>1000</v>
      </c>
      <c r="M249" s="261">
        <f t="shared" si="7"/>
        <v>13500</v>
      </c>
      <c r="N249" s="137">
        <v>2.0999999999999999E-3</v>
      </c>
    </row>
    <row r="250" spans="1:14" ht="18" customHeight="1">
      <c r="A250" s="134">
        <v>4</v>
      </c>
      <c r="B250" s="135" t="s">
        <v>87</v>
      </c>
      <c r="C250" s="134">
        <v>31</v>
      </c>
      <c r="D250" s="138" t="s">
        <v>90</v>
      </c>
      <c r="E250" s="138" t="s">
        <v>645</v>
      </c>
      <c r="F250" s="135" t="s">
        <v>620</v>
      </c>
      <c r="G250" s="274">
        <v>11</v>
      </c>
      <c r="H250" s="261">
        <v>1164</v>
      </c>
      <c r="I250" s="261">
        <v>13241</v>
      </c>
      <c r="J250" s="261">
        <v>434</v>
      </c>
      <c r="K250" s="261">
        <f t="shared" si="6"/>
        <v>12807</v>
      </c>
      <c r="L250" s="261">
        <v>1025</v>
      </c>
      <c r="M250" s="261">
        <f t="shared" si="7"/>
        <v>13832</v>
      </c>
      <c r="N250" s="137">
        <v>2.2000000000000001E-3</v>
      </c>
    </row>
    <row r="251" spans="1:14" ht="18" customHeight="1">
      <c r="A251" s="134">
        <v>4</v>
      </c>
      <c r="B251" s="135" t="s">
        <v>87</v>
      </c>
      <c r="C251" s="134">
        <v>212</v>
      </c>
      <c r="D251" s="138" t="s">
        <v>86</v>
      </c>
      <c r="E251" s="138" t="s">
        <v>160</v>
      </c>
      <c r="F251" s="135" t="s">
        <v>620</v>
      </c>
      <c r="G251" s="274">
        <v>3</v>
      </c>
      <c r="H251" s="261">
        <v>22222</v>
      </c>
      <c r="I251" s="261">
        <v>66667</v>
      </c>
      <c r="J251" s="261">
        <v>0</v>
      </c>
      <c r="K251" s="261">
        <f t="shared" si="6"/>
        <v>66667</v>
      </c>
      <c r="L251" s="261">
        <v>5333</v>
      </c>
      <c r="M251" s="261">
        <f t="shared" si="7"/>
        <v>72000</v>
      </c>
      <c r="N251" s="137">
        <v>1.1299999999999999E-2</v>
      </c>
    </row>
    <row r="252" spans="1:14" ht="18" customHeight="1">
      <c r="A252" s="134">
        <v>4</v>
      </c>
      <c r="B252" s="135" t="s">
        <v>87</v>
      </c>
      <c r="C252" s="134">
        <v>74</v>
      </c>
      <c r="D252" s="138" t="s">
        <v>86</v>
      </c>
      <c r="E252" s="138" t="s">
        <v>686</v>
      </c>
      <c r="F252" s="135" t="s">
        <v>620</v>
      </c>
      <c r="G252" s="274">
        <v>1</v>
      </c>
      <c r="H252" s="261">
        <v>6481</v>
      </c>
      <c r="I252" s="261">
        <v>6481</v>
      </c>
      <c r="J252" s="261">
        <v>0</v>
      </c>
      <c r="K252" s="261">
        <f t="shared" si="6"/>
        <v>6481</v>
      </c>
      <c r="L252" s="261">
        <v>519</v>
      </c>
      <c r="M252" s="261">
        <f t="shared" si="7"/>
        <v>7000</v>
      </c>
      <c r="N252" s="137">
        <v>1.1000000000000001E-3</v>
      </c>
    </row>
    <row r="253" spans="1:14" ht="18" customHeight="1">
      <c r="A253" s="134">
        <v>4</v>
      </c>
      <c r="B253" s="135" t="s">
        <v>87</v>
      </c>
      <c r="C253" s="134">
        <v>306</v>
      </c>
      <c r="D253" s="138" t="s">
        <v>86</v>
      </c>
      <c r="E253" s="138" t="s">
        <v>711</v>
      </c>
      <c r="F253" s="135" t="s">
        <v>620</v>
      </c>
      <c r="G253" s="274">
        <v>1</v>
      </c>
      <c r="H253" s="261">
        <v>2315</v>
      </c>
      <c r="I253" s="261">
        <v>2315</v>
      </c>
      <c r="J253" s="261">
        <v>0</v>
      </c>
      <c r="K253" s="261">
        <f t="shared" si="6"/>
        <v>2315</v>
      </c>
      <c r="L253" s="261">
        <v>185</v>
      </c>
      <c r="M253" s="261">
        <f t="shared" si="7"/>
        <v>2500</v>
      </c>
      <c r="N253" s="137">
        <v>4.0000000000000002E-4</v>
      </c>
    </row>
    <row r="254" spans="1:14" ht="18" customHeight="1">
      <c r="A254" s="134">
        <v>4</v>
      </c>
      <c r="B254" s="135" t="s">
        <v>87</v>
      </c>
      <c r="C254" s="134">
        <v>235</v>
      </c>
      <c r="D254" s="138" t="s">
        <v>86</v>
      </c>
      <c r="E254" s="138" t="s">
        <v>687</v>
      </c>
      <c r="F254" s="135" t="s">
        <v>620</v>
      </c>
      <c r="G254" s="274">
        <v>2</v>
      </c>
      <c r="H254" s="261">
        <v>3426</v>
      </c>
      <c r="I254" s="261">
        <v>6852</v>
      </c>
      <c r="J254" s="261">
        <v>0</v>
      </c>
      <c r="K254" s="261">
        <f t="shared" si="6"/>
        <v>6852</v>
      </c>
      <c r="L254" s="261">
        <v>548</v>
      </c>
      <c r="M254" s="261">
        <f t="shared" si="7"/>
        <v>7400</v>
      </c>
      <c r="N254" s="137">
        <v>1.1999999999999999E-3</v>
      </c>
    </row>
    <row r="255" spans="1:14" ht="18" customHeight="1">
      <c r="A255" s="134">
        <v>4</v>
      </c>
      <c r="B255" s="135" t="s">
        <v>87</v>
      </c>
      <c r="C255" s="134">
        <v>134</v>
      </c>
      <c r="D255" s="138" t="s">
        <v>86</v>
      </c>
      <c r="E255" s="138" t="s">
        <v>703</v>
      </c>
      <c r="F255" s="135" t="s">
        <v>620</v>
      </c>
      <c r="G255" s="274">
        <v>2</v>
      </c>
      <c r="H255" s="261">
        <v>12963</v>
      </c>
      <c r="I255" s="261">
        <v>25926</v>
      </c>
      <c r="J255" s="261">
        <v>0</v>
      </c>
      <c r="K255" s="261">
        <f t="shared" si="6"/>
        <v>25926</v>
      </c>
      <c r="L255" s="261">
        <v>2074</v>
      </c>
      <c r="M255" s="261">
        <f t="shared" si="7"/>
        <v>28000</v>
      </c>
      <c r="N255" s="137">
        <v>4.4000000000000003E-3</v>
      </c>
    </row>
    <row r="256" spans="1:14" ht="18" customHeight="1">
      <c r="A256" s="134">
        <v>4</v>
      </c>
      <c r="B256" s="135" t="s">
        <v>87</v>
      </c>
      <c r="C256" s="134">
        <v>118</v>
      </c>
      <c r="D256" s="138" t="s">
        <v>82</v>
      </c>
      <c r="E256" s="138" t="s">
        <v>121</v>
      </c>
      <c r="F256" s="135" t="s">
        <v>620</v>
      </c>
      <c r="G256" s="274">
        <v>4</v>
      </c>
      <c r="H256" s="261">
        <v>41667</v>
      </c>
      <c r="I256" s="261">
        <v>166667</v>
      </c>
      <c r="J256" s="261">
        <v>0</v>
      </c>
      <c r="K256" s="261">
        <f t="shared" si="6"/>
        <v>166667</v>
      </c>
      <c r="L256" s="261">
        <v>13333</v>
      </c>
      <c r="M256" s="261">
        <f t="shared" si="7"/>
        <v>180000</v>
      </c>
      <c r="N256" s="137">
        <v>2.8199999999999999E-2</v>
      </c>
    </row>
    <row r="257" spans="1:14" ht="18" customHeight="1">
      <c r="A257" s="134">
        <v>4</v>
      </c>
      <c r="B257" s="135" t="s">
        <v>87</v>
      </c>
      <c r="C257" s="134">
        <v>204</v>
      </c>
      <c r="D257" s="138" t="s">
        <v>86</v>
      </c>
      <c r="E257" s="138" t="s">
        <v>648</v>
      </c>
      <c r="F257" s="135" t="s">
        <v>620</v>
      </c>
      <c r="G257" s="274">
        <v>2</v>
      </c>
      <c r="H257" s="261">
        <v>12037</v>
      </c>
      <c r="I257" s="261">
        <v>24074</v>
      </c>
      <c r="J257" s="261">
        <v>0</v>
      </c>
      <c r="K257" s="261">
        <f t="shared" si="6"/>
        <v>24074</v>
      </c>
      <c r="L257" s="261">
        <v>1926</v>
      </c>
      <c r="M257" s="261">
        <f t="shared" si="7"/>
        <v>26000</v>
      </c>
      <c r="N257" s="137">
        <v>4.0999999999999986E-3</v>
      </c>
    </row>
    <row r="258" spans="1:14" ht="18" customHeight="1">
      <c r="A258" s="134">
        <v>4</v>
      </c>
      <c r="B258" s="135" t="s">
        <v>87</v>
      </c>
      <c r="C258" s="134">
        <v>109</v>
      </c>
      <c r="D258" s="138" t="s">
        <v>86</v>
      </c>
      <c r="E258" s="138" t="s">
        <v>142</v>
      </c>
      <c r="F258" s="135" t="s">
        <v>620</v>
      </c>
      <c r="G258" s="274">
        <v>5</v>
      </c>
      <c r="H258" s="261">
        <v>12963</v>
      </c>
      <c r="I258" s="261">
        <v>64815</v>
      </c>
      <c r="J258" s="261">
        <v>0</v>
      </c>
      <c r="K258" s="261">
        <f t="shared" ref="K258:K321" si="8">I258-J258</f>
        <v>64815</v>
      </c>
      <c r="L258" s="261">
        <v>5185</v>
      </c>
      <c r="M258" s="261">
        <f t="shared" ref="M258:M321" si="9">K258+L258</f>
        <v>70000</v>
      </c>
      <c r="N258" s="137">
        <v>1.0999999999999999E-2</v>
      </c>
    </row>
    <row r="259" spans="1:14" ht="18" customHeight="1">
      <c r="A259" s="134">
        <v>4</v>
      </c>
      <c r="B259" s="135" t="s">
        <v>87</v>
      </c>
      <c r="C259" s="134">
        <v>147</v>
      </c>
      <c r="D259" s="138" t="s">
        <v>86</v>
      </c>
      <c r="E259" s="138" t="s">
        <v>649</v>
      </c>
      <c r="F259" s="135" t="s">
        <v>620</v>
      </c>
      <c r="G259" s="274">
        <v>2</v>
      </c>
      <c r="H259" s="261">
        <v>6481</v>
      </c>
      <c r="I259" s="261">
        <v>12963</v>
      </c>
      <c r="J259" s="261">
        <v>0</v>
      </c>
      <c r="K259" s="261">
        <f t="shared" si="8"/>
        <v>12963</v>
      </c>
      <c r="L259" s="261">
        <v>1037</v>
      </c>
      <c r="M259" s="261">
        <f t="shared" si="9"/>
        <v>14000</v>
      </c>
      <c r="N259" s="137">
        <v>2.2000000000000001E-3</v>
      </c>
    </row>
    <row r="260" spans="1:14" ht="18" customHeight="1">
      <c r="A260" s="134">
        <v>4</v>
      </c>
      <c r="B260" s="135" t="s">
        <v>87</v>
      </c>
      <c r="C260" s="134">
        <v>72</v>
      </c>
      <c r="D260" s="138" t="s">
        <v>92</v>
      </c>
      <c r="E260" s="138" t="s">
        <v>651</v>
      </c>
      <c r="F260" s="135" t="s">
        <v>620</v>
      </c>
      <c r="G260" s="274">
        <v>3</v>
      </c>
      <c r="H260" s="261">
        <v>3704</v>
      </c>
      <c r="I260" s="261">
        <v>11111</v>
      </c>
      <c r="J260" s="261">
        <v>0</v>
      </c>
      <c r="K260" s="261">
        <f t="shared" si="8"/>
        <v>11111</v>
      </c>
      <c r="L260" s="261">
        <v>889</v>
      </c>
      <c r="M260" s="261">
        <f t="shared" si="9"/>
        <v>12000</v>
      </c>
      <c r="N260" s="137">
        <v>1.9E-3</v>
      </c>
    </row>
    <row r="261" spans="1:14" ht="18" customHeight="1">
      <c r="A261" s="134">
        <v>4</v>
      </c>
      <c r="B261" s="135" t="s">
        <v>87</v>
      </c>
      <c r="C261" s="134">
        <v>227</v>
      </c>
      <c r="D261" s="138" t="s">
        <v>82</v>
      </c>
      <c r="E261" s="138" t="s">
        <v>704</v>
      </c>
      <c r="F261" s="135" t="s">
        <v>620</v>
      </c>
      <c r="G261" s="274">
        <v>1</v>
      </c>
      <c r="H261" s="261">
        <v>1389</v>
      </c>
      <c r="I261" s="261">
        <v>1389</v>
      </c>
      <c r="J261" s="261">
        <v>0</v>
      </c>
      <c r="K261" s="261">
        <f t="shared" si="8"/>
        <v>1389</v>
      </c>
      <c r="L261" s="261">
        <v>111</v>
      </c>
      <c r="M261" s="261">
        <f t="shared" si="9"/>
        <v>1500</v>
      </c>
      <c r="N261" s="137">
        <v>2.0000000000000001E-4</v>
      </c>
    </row>
    <row r="262" spans="1:14" ht="18" customHeight="1">
      <c r="A262" s="134">
        <v>4</v>
      </c>
      <c r="B262" s="135" t="s">
        <v>87</v>
      </c>
      <c r="C262" s="134">
        <v>93</v>
      </c>
      <c r="D262" s="138" t="s">
        <v>84</v>
      </c>
      <c r="E262" s="138" t="s">
        <v>118</v>
      </c>
      <c r="F262" s="135" t="s">
        <v>620</v>
      </c>
      <c r="G262" s="274">
        <v>2</v>
      </c>
      <c r="H262" s="261">
        <v>20370</v>
      </c>
      <c r="I262" s="261">
        <v>40741</v>
      </c>
      <c r="J262" s="261">
        <v>0</v>
      </c>
      <c r="K262" s="261">
        <f t="shared" si="8"/>
        <v>40741</v>
      </c>
      <c r="L262" s="261">
        <v>3259</v>
      </c>
      <c r="M262" s="261">
        <f t="shared" si="9"/>
        <v>44000</v>
      </c>
      <c r="N262" s="137">
        <v>6.8999999999999999E-3</v>
      </c>
    </row>
    <row r="263" spans="1:14" ht="18" customHeight="1">
      <c r="A263" s="134">
        <v>4</v>
      </c>
      <c r="B263" s="135" t="s">
        <v>87</v>
      </c>
      <c r="C263" s="134">
        <v>119</v>
      </c>
      <c r="D263" s="138" t="s">
        <v>84</v>
      </c>
      <c r="E263" s="138" t="s">
        <v>109</v>
      </c>
      <c r="F263" s="135" t="s">
        <v>620</v>
      </c>
      <c r="G263" s="274">
        <v>8</v>
      </c>
      <c r="H263" s="261">
        <v>44444</v>
      </c>
      <c r="I263" s="261">
        <v>355556</v>
      </c>
      <c r="J263" s="261">
        <v>0</v>
      </c>
      <c r="K263" s="261">
        <f t="shared" si="8"/>
        <v>355556</v>
      </c>
      <c r="L263" s="261">
        <v>28444</v>
      </c>
      <c r="M263" s="261">
        <f t="shared" si="9"/>
        <v>384000</v>
      </c>
      <c r="N263" s="137">
        <v>6.0100000000000001E-2</v>
      </c>
    </row>
    <row r="264" spans="1:14" ht="18" customHeight="1">
      <c r="A264" s="134">
        <v>4</v>
      </c>
      <c r="B264" s="135" t="s">
        <v>87</v>
      </c>
      <c r="C264" s="134">
        <v>20</v>
      </c>
      <c r="D264" s="138" t="s">
        <v>82</v>
      </c>
      <c r="E264" s="138" t="s">
        <v>705</v>
      </c>
      <c r="F264" s="135" t="s">
        <v>620</v>
      </c>
      <c r="G264" s="274">
        <v>1</v>
      </c>
      <c r="H264" s="261">
        <v>6481</v>
      </c>
      <c r="I264" s="261">
        <v>6481</v>
      </c>
      <c r="J264" s="261">
        <v>0</v>
      </c>
      <c r="K264" s="261">
        <f t="shared" si="8"/>
        <v>6481</v>
      </c>
      <c r="L264" s="261">
        <v>519</v>
      </c>
      <c r="M264" s="261">
        <f t="shared" si="9"/>
        <v>7000</v>
      </c>
      <c r="N264" s="137">
        <v>1.1000000000000001E-3</v>
      </c>
    </row>
    <row r="265" spans="1:14" ht="18" customHeight="1">
      <c r="A265" s="134">
        <v>4</v>
      </c>
      <c r="B265" s="135" t="s">
        <v>87</v>
      </c>
      <c r="C265" s="134">
        <v>22</v>
      </c>
      <c r="D265" s="138" t="s">
        <v>88</v>
      </c>
      <c r="E265" s="138" t="s">
        <v>712</v>
      </c>
      <c r="F265" s="135" t="s">
        <v>620</v>
      </c>
      <c r="G265" s="274">
        <v>11</v>
      </c>
      <c r="H265" s="261">
        <v>18855</v>
      </c>
      <c r="I265" s="261">
        <v>207407</v>
      </c>
      <c r="J265" s="261">
        <v>0</v>
      </c>
      <c r="K265" s="261">
        <f t="shared" si="8"/>
        <v>207407</v>
      </c>
      <c r="L265" s="261">
        <v>16593</v>
      </c>
      <c r="M265" s="261">
        <f t="shared" si="9"/>
        <v>224000</v>
      </c>
      <c r="N265" s="137">
        <v>3.5099999999999999E-2</v>
      </c>
    </row>
    <row r="266" spans="1:14" ht="18" customHeight="1">
      <c r="A266" s="134">
        <v>4</v>
      </c>
      <c r="B266" s="135" t="s">
        <v>87</v>
      </c>
      <c r="C266" s="134">
        <v>239</v>
      </c>
      <c r="D266" s="138" t="s">
        <v>82</v>
      </c>
      <c r="E266" s="138" t="s">
        <v>713</v>
      </c>
      <c r="F266" s="135" t="s">
        <v>620</v>
      </c>
      <c r="G266" s="274">
        <v>17</v>
      </c>
      <c r="H266" s="261">
        <v>18627</v>
      </c>
      <c r="I266" s="261">
        <v>316667</v>
      </c>
      <c r="J266" s="261">
        <v>0</v>
      </c>
      <c r="K266" s="261">
        <f t="shared" si="8"/>
        <v>316667</v>
      </c>
      <c r="L266" s="261">
        <v>25333</v>
      </c>
      <c r="M266" s="261">
        <f t="shared" si="9"/>
        <v>342000</v>
      </c>
      <c r="N266" s="137">
        <v>5.3600000000000002E-2</v>
      </c>
    </row>
    <row r="267" spans="1:14" ht="18" customHeight="1">
      <c r="A267" s="134">
        <v>4</v>
      </c>
      <c r="B267" s="135" t="s">
        <v>87</v>
      </c>
      <c r="C267" s="134">
        <v>145</v>
      </c>
      <c r="D267" s="138" t="s">
        <v>82</v>
      </c>
      <c r="E267" s="138" t="s">
        <v>714</v>
      </c>
      <c r="F267" s="135" t="s">
        <v>620</v>
      </c>
      <c r="G267" s="274">
        <v>8</v>
      </c>
      <c r="H267" s="261">
        <v>18866</v>
      </c>
      <c r="I267" s="261">
        <v>150926</v>
      </c>
      <c r="J267" s="261">
        <v>0</v>
      </c>
      <c r="K267" s="261">
        <f t="shared" si="8"/>
        <v>150926</v>
      </c>
      <c r="L267" s="261">
        <v>12074</v>
      </c>
      <c r="M267" s="261">
        <f t="shared" si="9"/>
        <v>163000</v>
      </c>
      <c r="N267" s="137">
        <v>2.5499999999999998E-2</v>
      </c>
    </row>
    <row r="268" spans="1:14" ht="18" customHeight="1">
      <c r="A268" s="134">
        <v>4</v>
      </c>
      <c r="B268" s="135" t="s">
        <v>87</v>
      </c>
      <c r="C268" s="134">
        <v>77</v>
      </c>
      <c r="D268" s="138" t="s">
        <v>82</v>
      </c>
      <c r="E268" s="138" t="s">
        <v>655</v>
      </c>
      <c r="F268" s="135" t="s">
        <v>620</v>
      </c>
      <c r="G268" s="274">
        <v>1</v>
      </c>
      <c r="H268" s="261">
        <v>2778</v>
      </c>
      <c r="I268" s="261">
        <v>2778</v>
      </c>
      <c r="J268" s="261">
        <v>0</v>
      </c>
      <c r="K268" s="261">
        <f t="shared" si="8"/>
        <v>2778</v>
      </c>
      <c r="L268" s="261">
        <v>222</v>
      </c>
      <c r="M268" s="261">
        <f t="shared" si="9"/>
        <v>3000</v>
      </c>
      <c r="N268" s="137">
        <v>5.0000000000000001E-4</v>
      </c>
    </row>
    <row r="269" spans="1:14" ht="18" customHeight="1">
      <c r="A269" s="134">
        <v>4</v>
      </c>
      <c r="B269" s="135" t="s">
        <v>87</v>
      </c>
      <c r="C269" s="134">
        <v>240</v>
      </c>
      <c r="D269" s="138" t="s">
        <v>82</v>
      </c>
      <c r="E269" s="138" t="s">
        <v>715</v>
      </c>
      <c r="F269" s="135" t="s">
        <v>620</v>
      </c>
      <c r="G269" s="274">
        <v>2</v>
      </c>
      <c r="H269" s="261">
        <v>6481</v>
      </c>
      <c r="I269" s="261">
        <v>12963</v>
      </c>
      <c r="J269" s="261">
        <v>0</v>
      </c>
      <c r="K269" s="261">
        <f t="shared" si="8"/>
        <v>12963</v>
      </c>
      <c r="L269" s="261">
        <v>1037</v>
      </c>
      <c r="M269" s="261">
        <f t="shared" si="9"/>
        <v>14000</v>
      </c>
      <c r="N269" s="137">
        <v>2.2000000000000001E-3</v>
      </c>
    </row>
    <row r="270" spans="1:14" ht="18" customHeight="1">
      <c r="A270" s="134">
        <v>4</v>
      </c>
      <c r="B270" s="135" t="s">
        <v>87</v>
      </c>
      <c r="C270" s="134">
        <v>156</v>
      </c>
      <c r="D270" s="138" t="s">
        <v>88</v>
      </c>
      <c r="E270" s="138" t="s">
        <v>716</v>
      </c>
      <c r="F270" s="135" t="s">
        <v>620</v>
      </c>
      <c r="G270" s="274">
        <v>5</v>
      </c>
      <c r="H270" s="261">
        <v>6481</v>
      </c>
      <c r="I270" s="261">
        <v>32407</v>
      </c>
      <c r="J270" s="261">
        <v>0</v>
      </c>
      <c r="K270" s="261">
        <f t="shared" si="8"/>
        <v>32407</v>
      </c>
      <c r="L270" s="261">
        <v>2593</v>
      </c>
      <c r="M270" s="261">
        <f t="shared" si="9"/>
        <v>35000</v>
      </c>
      <c r="N270" s="137">
        <v>5.5000000000000014E-3</v>
      </c>
    </row>
    <row r="271" spans="1:14" ht="18" customHeight="1">
      <c r="A271" s="134">
        <v>4</v>
      </c>
      <c r="B271" s="135" t="s">
        <v>87</v>
      </c>
      <c r="C271" s="134">
        <v>86</v>
      </c>
      <c r="D271" s="138" t="s">
        <v>90</v>
      </c>
      <c r="E271" s="138" t="s">
        <v>658</v>
      </c>
      <c r="F271" s="135" t="s">
        <v>620</v>
      </c>
      <c r="G271" s="274">
        <v>23</v>
      </c>
      <c r="H271" s="261">
        <v>3215</v>
      </c>
      <c r="I271" s="261">
        <v>74537</v>
      </c>
      <c r="J271" s="261">
        <v>584</v>
      </c>
      <c r="K271" s="261">
        <f t="shared" si="8"/>
        <v>73953</v>
      </c>
      <c r="L271" s="261">
        <v>5916</v>
      </c>
      <c r="M271" s="261">
        <f t="shared" si="9"/>
        <v>79869</v>
      </c>
      <c r="N271" s="137">
        <v>1.2500000000000001E-2</v>
      </c>
    </row>
    <row r="272" spans="1:14" ht="18" customHeight="1">
      <c r="A272" s="134">
        <v>4</v>
      </c>
      <c r="B272" s="135" t="s">
        <v>87</v>
      </c>
      <c r="C272" s="134">
        <v>63</v>
      </c>
      <c r="D272" s="138" t="s">
        <v>90</v>
      </c>
      <c r="E272" s="138" t="s">
        <v>717</v>
      </c>
      <c r="F272" s="135" t="s">
        <v>620</v>
      </c>
      <c r="G272" s="274">
        <v>2</v>
      </c>
      <c r="H272" s="261">
        <v>3704</v>
      </c>
      <c r="I272" s="261">
        <v>7407</v>
      </c>
      <c r="J272" s="261">
        <v>0</v>
      </c>
      <c r="K272" s="261">
        <f t="shared" si="8"/>
        <v>7407</v>
      </c>
      <c r="L272" s="261">
        <v>593</v>
      </c>
      <c r="M272" s="261">
        <f t="shared" si="9"/>
        <v>8000</v>
      </c>
      <c r="N272" s="137">
        <v>1.2999999999999999E-3</v>
      </c>
    </row>
    <row r="273" spans="1:14" ht="18" customHeight="1">
      <c r="A273" s="134">
        <v>4</v>
      </c>
      <c r="B273" s="135" t="s">
        <v>87</v>
      </c>
      <c r="C273" s="134">
        <v>79</v>
      </c>
      <c r="D273" s="138" t="s">
        <v>90</v>
      </c>
      <c r="E273" s="138" t="s">
        <v>661</v>
      </c>
      <c r="F273" s="135" t="s">
        <v>620</v>
      </c>
      <c r="G273" s="274">
        <v>5</v>
      </c>
      <c r="H273" s="261">
        <v>6481</v>
      </c>
      <c r="I273" s="261">
        <v>32407</v>
      </c>
      <c r="J273" s="261">
        <v>0</v>
      </c>
      <c r="K273" s="261">
        <f t="shared" si="8"/>
        <v>32407</v>
      </c>
      <c r="L273" s="261">
        <v>2593</v>
      </c>
      <c r="M273" s="261">
        <f t="shared" si="9"/>
        <v>35000</v>
      </c>
      <c r="N273" s="137">
        <v>5.5000000000000014E-3</v>
      </c>
    </row>
    <row r="274" spans="1:14" ht="18" customHeight="1">
      <c r="A274" s="134">
        <v>4</v>
      </c>
      <c r="B274" s="135" t="s">
        <v>87</v>
      </c>
      <c r="C274" s="134">
        <v>62</v>
      </c>
      <c r="D274" s="138" t="s">
        <v>90</v>
      </c>
      <c r="E274" s="138" t="s">
        <v>662</v>
      </c>
      <c r="F274" s="135" t="s">
        <v>620</v>
      </c>
      <c r="G274" s="274">
        <v>7</v>
      </c>
      <c r="H274" s="261">
        <v>6944</v>
      </c>
      <c r="I274" s="261">
        <v>48611</v>
      </c>
      <c r="J274" s="261">
        <v>0</v>
      </c>
      <c r="K274" s="261">
        <f t="shared" si="8"/>
        <v>48611</v>
      </c>
      <c r="L274" s="261">
        <v>3889</v>
      </c>
      <c r="M274" s="261">
        <f t="shared" si="9"/>
        <v>52500</v>
      </c>
      <c r="N274" s="137">
        <v>8.199999999999999E-3</v>
      </c>
    </row>
    <row r="275" spans="1:14" ht="18" customHeight="1">
      <c r="A275" s="134">
        <v>4</v>
      </c>
      <c r="B275" s="135" t="s">
        <v>87</v>
      </c>
      <c r="C275" s="134">
        <v>78</v>
      </c>
      <c r="D275" s="138" t="s">
        <v>90</v>
      </c>
      <c r="E275" s="138" t="s">
        <v>663</v>
      </c>
      <c r="F275" s="135" t="s">
        <v>620</v>
      </c>
      <c r="G275" s="274">
        <v>18</v>
      </c>
      <c r="H275" s="261">
        <v>6481</v>
      </c>
      <c r="I275" s="261">
        <v>116667</v>
      </c>
      <c r="J275" s="261">
        <v>0</v>
      </c>
      <c r="K275" s="261">
        <f t="shared" si="8"/>
        <v>116667</v>
      </c>
      <c r="L275" s="261">
        <v>9333</v>
      </c>
      <c r="M275" s="261">
        <f t="shared" si="9"/>
        <v>126000</v>
      </c>
      <c r="N275" s="137">
        <v>1.9699999999999999E-2</v>
      </c>
    </row>
    <row r="276" spans="1:14" ht="18" customHeight="1">
      <c r="A276" s="134">
        <v>4</v>
      </c>
      <c r="B276" s="135" t="s">
        <v>87</v>
      </c>
      <c r="C276" s="134">
        <v>137</v>
      </c>
      <c r="D276" s="138" t="s">
        <v>90</v>
      </c>
      <c r="E276" s="138" t="s">
        <v>692</v>
      </c>
      <c r="F276" s="135" t="s">
        <v>620</v>
      </c>
      <c r="G276" s="274">
        <v>7</v>
      </c>
      <c r="H276" s="261">
        <v>6481</v>
      </c>
      <c r="I276" s="261">
        <v>45370</v>
      </c>
      <c r="J276" s="261">
        <v>0</v>
      </c>
      <c r="K276" s="261">
        <f t="shared" si="8"/>
        <v>45370</v>
      </c>
      <c r="L276" s="261">
        <v>3630</v>
      </c>
      <c r="M276" s="261">
        <f t="shared" si="9"/>
        <v>49000</v>
      </c>
      <c r="N276" s="137">
        <v>7.7000000000000002E-3</v>
      </c>
    </row>
    <row r="277" spans="1:14" ht="18" customHeight="1">
      <c r="A277" s="134">
        <v>4</v>
      </c>
      <c r="B277" s="135" t="s">
        <v>87</v>
      </c>
      <c r="C277" s="134">
        <v>226</v>
      </c>
      <c r="D277" s="138" t="s">
        <v>82</v>
      </c>
      <c r="E277" s="138" t="s">
        <v>718</v>
      </c>
      <c r="F277" s="135" t="s">
        <v>620</v>
      </c>
      <c r="G277" s="274">
        <v>1</v>
      </c>
      <c r="H277" s="261">
        <v>90741</v>
      </c>
      <c r="I277" s="261">
        <v>90741</v>
      </c>
      <c r="J277" s="261">
        <v>0</v>
      </c>
      <c r="K277" s="261">
        <f t="shared" si="8"/>
        <v>90741</v>
      </c>
      <c r="L277" s="261">
        <v>7259</v>
      </c>
      <c r="M277" s="261">
        <f t="shared" si="9"/>
        <v>98000</v>
      </c>
      <c r="N277" s="137">
        <v>1.5299999999999999E-2</v>
      </c>
    </row>
    <row r="278" spans="1:14" ht="18" customHeight="1">
      <c r="A278" s="134">
        <v>4</v>
      </c>
      <c r="B278" s="135" t="s">
        <v>87</v>
      </c>
      <c r="C278" s="134">
        <v>222</v>
      </c>
      <c r="D278" s="138" t="s">
        <v>88</v>
      </c>
      <c r="E278" s="138" t="s">
        <v>667</v>
      </c>
      <c r="F278" s="135" t="s">
        <v>620</v>
      </c>
      <c r="G278" s="274">
        <v>1</v>
      </c>
      <c r="H278" s="261">
        <v>63426</v>
      </c>
      <c r="I278" s="261">
        <v>63426</v>
      </c>
      <c r="J278" s="261">
        <v>0</v>
      </c>
      <c r="K278" s="261">
        <f t="shared" si="8"/>
        <v>63426</v>
      </c>
      <c r="L278" s="261">
        <v>5074</v>
      </c>
      <c r="M278" s="261">
        <f t="shared" si="9"/>
        <v>68500</v>
      </c>
      <c r="N278" s="137">
        <v>1.0699999999999999E-2</v>
      </c>
    </row>
    <row r="279" spans="1:14" ht="18" customHeight="1">
      <c r="A279" s="134">
        <v>4</v>
      </c>
      <c r="B279" s="135" t="s">
        <v>87</v>
      </c>
      <c r="C279" s="134">
        <v>223</v>
      </c>
      <c r="D279" s="138" t="s">
        <v>82</v>
      </c>
      <c r="E279" s="138" t="s">
        <v>136</v>
      </c>
      <c r="F279" s="135" t="s">
        <v>620</v>
      </c>
      <c r="G279" s="274">
        <v>6</v>
      </c>
      <c r="H279" s="261">
        <v>69444</v>
      </c>
      <c r="I279" s="261">
        <v>416667</v>
      </c>
      <c r="J279" s="261">
        <v>0</v>
      </c>
      <c r="K279" s="261">
        <f t="shared" si="8"/>
        <v>416667</v>
      </c>
      <c r="L279" s="261">
        <v>33333</v>
      </c>
      <c r="M279" s="261">
        <f t="shared" si="9"/>
        <v>450000</v>
      </c>
      <c r="N279" s="137">
        <v>7.0499999999999993E-2</v>
      </c>
    </row>
    <row r="280" spans="1:14" ht="18" customHeight="1">
      <c r="A280" s="134">
        <v>4</v>
      </c>
      <c r="B280" s="135" t="s">
        <v>87</v>
      </c>
      <c r="C280" s="134">
        <v>50</v>
      </c>
      <c r="D280" s="138" t="s">
        <v>82</v>
      </c>
      <c r="E280" s="138" t="s">
        <v>154</v>
      </c>
      <c r="F280" s="135" t="s">
        <v>620</v>
      </c>
      <c r="G280" s="274">
        <v>1</v>
      </c>
      <c r="H280" s="261">
        <v>49074</v>
      </c>
      <c r="I280" s="261">
        <v>49074</v>
      </c>
      <c r="J280" s="261">
        <v>0</v>
      </c>
      <c r="K280" s="261">
        <f t="shared" si="8"/>
        <v>49074</v>
      </c>
      <c r="L280" s="261">
        <v>3926</v>
      </c>
      <c r="M280" s="261">
        <f t="shared" si="9"/>
        <v>53000</v>
      </c>
      <c r="N280" s="137">
        <v>8.3000000000000001E-3</v>
      </c>
    </row>
    <row r="281" spans="1:14" ht="18" customHeight="1">
      <c r="A281" s="134">
        <v>4</v>
      </c>
      <c r="B281" s="135" t="s">
        <v>87</v>
      </c>
      <c r="C281" s="134">
        <v>10</v>
      </c>
      <c r="D281" s="138" t="s">
        <v>82</v>
      </c>
      <c r="E281" s="138" t="s">
        <v>719</v>
      </c>
      <c r="F281" s="135" t="s">
        <v>620</v>
      </c>
      <c r="G281" s="274">
        <v>2</v>
      </c>
      <c r="H281" s="261">
        <v>13889</v>
      </c>
      <c r="I281" s="261">
        <v>27778</v>
      </c>
      <c r="J281" s="261">
        <v>0</v>
      </c>
      <c r="K281" s="261">
        <f t="shared" si="8"/>
        <v>27778</v>
      </c>
      <c r="L281" s="261">
        <v>2222</v>
      </c>
      <c r="M281" s="261">
        <f t="shared" si="9"/>
        <v>30000</v>
      </c>
      <c r="N281" s="137">
        <v>4.6999999999999993E-3</v>
      </c>
    </row>
    <row r="282" spans="1:14" ht="18" customHeight="1">
      <c r="A282" s="134">
        <v>4</v>
      </c>
      <c r="B282" s="135" t="s">
        <v>87</v>
      </c>
      <c r="C282" s="134">
        <v>120</v>
      </c>
      <c r="D282" s="138" t="s">
        <v>88</v>
      </c>
      <c r="E282" s="138" t="s">
        <v>668</v>
      </c>
      <c r="F282" s="135" t="s">
        <v>620</v>
      </c>
      <c r="G282" s="274">
        <v>1</v>
      </c>
      <c r="H282" s="261">
        <v>41667</v>
      </c>
      <c r="I282" s="261">
        <v>41667</v>
      </c>
      <c r="J282" s="261">
        <v>0</v>
      </c>
      <c r="K282" s="261">
        <f t="shared" si="8"/>
        <v>41667</v>
      </c>
      <c r="L282" s="261">
        <v>3333</v>
      </c>
      <c r="M282" s="261">
        <f t="shared" si="9"/>
        <v>45000</v>
      </c>
      <c r="N282" s="137">
        <v>6.9999999999999993E-3</v>
      </c>
    </row>
    <row r="283" spans="1:14" ht="18" customHeight="1">
      <c r="A283" s="134">
        <v>4</v>
      </c>
      <c r="B283" s="135" t="s">
        <v>87</v>
      </c>
      <c r="C283" s="134">
        <v>129</v>
      </c>
      <c r="D283" s="138" t="s">
        <v>88</v>
      </c>
      <c r="E283" s="138" t="s">
        <v>669</v>
      </c>
      <c r="F283" s="135" t="s">
        <v>620</v>
      </c>
      <c r="G283" s="274">
        <v>1</v>
      </c>
      <c r="H283" s="261">
        <v>44444</v>
      </c>
      <c r="I283" s="261">
        <v>44444</v>
      </c>
      <c r="J283" s="261">
        <v>0</v>
      </c>
      <c r="K283" s="261">
        <f t="shared" si="8"/>
        <v>44444</v>
      </c>
      <c r="L283" s="261">
        <v>3556</v>
      </c>
      <c r="M283" s="261">
        <f t="shared" si="9"/>
        <v>48000</v>
      </c>
      <c r="N283" s="137">
        <v>7.4999999999999997E-3</v>
      </c>
    </row>
    <row r="284" spans="1:14" ht="18" customHeight="1">
      <c r="A284" s="134">
        <v>4</v>
      </c>
      <c r="B284" s="135" t="s">
        <v>87</v>
      </c>
      <c r="C284" s="134">
        <v>117</v>
      </c>
      <c r="D284" s="138" t="s">
        <v>82</v>
      </c>
      <c r="E284" s="138" t="s">
        <v>115</v>
      </c>
      <c r="F284" s="135" t="s">
        <v>620</v>
      </c>
      <c r="G284" s="274">
        <v>4</v>
      </c>
      <c r="H284" s="261">
        <v>41667</v>
      </c>
      <c r="I284" s="261">
        <v>166667</v>
      </c>
      <c r="J284" s="261">
        <v>0</v>
      </c>
      <c r="K284" s="261">
        <f t="shared" si="8"/>
        <v>166667</v>
      </c>
      <c r="L284" s="261">
        <v>13333</v>
      </c>
      <c r="M284" s="261">
        <f t="shared" si="9"/>
        <v>180000</v>
      </c>
      <c r="N284" s="137">
        <v>2.8199999999999999E-2</v>
      </c>
    </row>
    <row r="285" spans="1:14" ht="18" customHeight="1">
      <c r="A285" s="134">
        <v>4</v>
      </c>
      <c r="B285" s="135" t="s">
        <v>87</v>
      </c>
      <c r="C285" s="134">
        <v>36</v>
      </c>
      <c r="D285" s="138" t="s">
        <v>86</v>
      </c>
      <c r="E285" s="138" t="s">
        <v>670</v>
      </c>
      <c r="F285" s="135" t="s">
        <v>620</v>
      </c>
      <c r="G285" s="274">
        <v>5</v>
      </c>
      <c r="H285" s="261">
        <v>3704</v>
      </c>
      <c r="I285" s="261">
        <v>18519</v>
      </c>
      <c r="J285" s="261">
        <v>0</v>
      </c>
      <c r="K285" s="261">
        <f t="shared" si="8"/>
        <v>18519</v>
      </c>
      <c r="L285" s="261">
        <v>1481</v>
      </c>
      <c r="M285" s="261">
        <f t="shared" si="9"/>
        <v>20000</v>
      </c>
      <c r="N285" s="137">
        <v>3.0999999999999999E-3</v>
      </c>
    </row>
    <row r="286" spans="1:14" ht="18" customHeight="1">
      <c r="A286" s="134">
        <v>4</v>
      </c>
      <c r="B286" s="135" t="s">
        <v>87</v>
      </c>
      <c r="C286" s="134">
        <v>61</v>
      </c>
      <c r="D286" s="138" t="s">
        <v>92</v>
      </c>
      <c r="E286" s="138" t="s">
        <v>671</v>
      </c>
      <c r="F286" s="135" t="s">
        <v>620</v>
      </c>
      <c r="G286" s="274">
        <v>18</v>
      </c>
      <c r="H286" s="261">
        <v>4630</v>
      </c>
      <c r="I286" s="261">
        <v>83333</v>
      </c>
      <c r="J286" s="261">
        <v>0</v>
      </c>
      <c r="K286" s="261">
        <f t="shared" si="8"/>
        <v>83333</v>
      </c>
      <c r="L286" s="261">
        <v>6667</v>
      </c>
      <c r="M286" s="261">
        <f t="shared" si="9"/>
        <v>90000</v>
      </c>
      <c r="N286" s="137">
        <v>1.41E-2</v>
      </c>
    </row>
    <row r="287" spans="1:14" ht="18" customHeight="1">
      <c r="A287" s="134">
        <v>4</v>
      </c>
      <c r="B287" s="135" t="s">
        <v>87</v>
      </c>
      <c r="C287" s="134">
        <v>215</v>
      </c>
      <c r="D287" s="138" t="s">
        <v>82</v>
      </c>
      <c r="E287" s="138" t="s">
        <v>127</v>
      </c>
      <c r="F287" s="135" t="s">
        <v>620</v>
      </c>
      <c r="G287" s="274">
        <v>4</v>
      </c>
      <c r="H287" s="261">
        <v>33912</v>
      </c>
      <c r="I287" s="261">
        <v>150000</v>
      </c>
      <c r="J287" s="261">
        <v>14352</v>
      </c>
      <c r="K287" s="261">
        <f t="shared" si="8"/>
        <v>135648</v>
      </c>
      <c r="L287" s="261">
        <v>10852</v>
      </c>
      <c r="M287" s="261">
        <f t="shared" si="9"/>
        <v>146500</v>
      </c>
      <c r="N287" s="137">
        <v>2.29E-2</v>
      </c>
    </row>
    <row r="288" spans="1:14" ht="18" customHeight="1">
      <c r="A288" s="134">
        <v>4</v>
      </c>
      <c r="B288" s="135" t="s">
        <v>87</v>
      </c>
      <c r="C288" s="134">
        <v>214</v>
      </c>
      <c r="D288" s="138" t="s">
        <v>82</v>
      </c>
      <c r="E288" s="138" t="s">
        <v>693</v>
      </c>
      <c r="F288" s="135" t="s">
        <v>620</v>
      </c>
      <c r="G288" s="274">
        <v>3</v>
      </c>
      <c r="H288" s="261">
        <v>37500</v>
      </c>
      <c r="I288" s="261">
        <v>112500</v>
      </c>
      <c r="J288" s="261">
        <v>0</v>
      </c>
      <c r="K288" s="261">
        <f t="shared" si="8"/>
        <v>112500</v>
      </c>
      <c r="L288" s="261">
        <v>9000</v>
      </c>
      <c r="M288" s="261">
        <f t="shared" si="9"/>
        <v>121500</v>
      </c>
      <c r="N288" s="137">
        <v>1.9E-2</v>
      </c>
    </row>
    <row r="289" spans="1:14" ht="18" customHeight="1">
      <c r="A289" s="134">
        <v>4</v>
      </c>
      <c r="B289" s="135" t="s">
        <v>87</v>
      </c>
      <c r="C289" s="134">
        <v>96</v>
      </c>
      <c r="D289" s="138" t="s">
        <v>88</v>
      </c>
      <c r="E289" s="138" t="s">
        <v>695</v>
      </c>
      <c r="F289" s="135" t="s">
        <v>620</v>
      </c>
      <c r="G289" s="274">
        <v>2</v>
      </c>
      <c r="H289" s="261">
        <v>35648</v>
      </c>
      <c r="I289" s="261">
        <v>71296</v>
      </c>
      <c r="J289" s="261">
        <v>0</v>
      </c>
      <c r="K289" s="261">
        <f t="shared" si="8"/>
        <v>71296</v>
      </c>
      <c r="L289" s="261">
        <v>5704</v>
      </c>
      <c r="M289" s="261">
        <f t="shared" si="9"/>
        <v>77000</v>
      </c>
      <c r="N289" s="137">
        <v>1.21E-2</v>
      </c>
    </row>
    <row r="290" spans="1:14" ht="18" customHeight="1">
      <c r="A290" s="134">
        <v>4</v>
      </c>
      <c r="B290" s="135" t="s">
        <v>87</v>
      </c>
      <c r="C290" s="134">
        <v>33</v>
      </c>
      <c r="D290" s="138" t="s">
        <v>86</v>
      </c>
      <c r="E290" s="138" t="s">
        <v>673</v>
      </c>
      <c r="F290" s="135" t="s">
        <v>620</v>
      </c>
      <c r="G290" s="274">
        <v>1</v>
      </c>
      <c r="H290" s="261">
        <v>1852</v>
      </c>
      <c r="I290" s="261">
        <v>1852</v>
      </c>
      <c r="J290" s="261">
        <v>0</v>
      </c>
      <c r="K290" s="261">
        <f t="shared" si="8"/>
        <v>1852</v>
      </c>
      <c r="L290" s="261">
        <v>148</v>
      </c>
      <c r="M290" s="261">
        <f t="shared" si="9"/>
        <v>2000</v>
      </c>
      <c r="N290" s="137">
        <v>2.9999999999999997E-4</v>
      </c>
    </row>
    <row r="291" spans="1:14" ht="18" customHeight="1">
      <c r="A291" s="134">
        <v>5</v>
      </c>
      <c r="B291" s="135" t="s">
        <v>89</v>
      </c>
      <c r="C291" s="134">
        <v>73</v>
      </c>
      <c r="D291" s="138" t="s">
        <v>86</v>
      </c>
      <c r="E291" s="138" t="s">
        <v>619</v>
      </c>
      <c r="F291" s="135" t="s">
        <v>620</v>
      </c>
      <c r="G291" s="274">
        <v>29</v>
      </c>
      <c r="H291" s="261">
        <v>2593</v>
      </c>
      <c r="I291" s="261">
        <v>75185</v>
      </c>
      <c r="J291" s="261">
        <v>0</v>
      </c>
      <c r="K291" s="261">
        <f t="shared" si="8"/>
        <v>75185</v>
      </c>
      <c r="L291" s="261">
        <v>6015</v>
      </c>
      <c r="M291" s="261">
        <f t="shared" si="9"/>
        <v>81200</v>
      </c>
      <c r="N291" s="137">
        <v>7.3000000000000001E-3</v>
      </c>
    </row>
    <row r="292" spans="1:14" ht="18" customHeight="1">
      <c r="A292" s="134">
        <v>5</v>
      </c>
      <c r="B292" s="135" t="s">
        <v>89</v>
      </c>
      <c r="C292" s="134">
        <v>65</v>
      </c>
      <c r="D292" s="138" t="s">
        <v>86</v>
      </c>
      <c r="E292" s="138" t="s">
        <v>621</v>
      </c>
      <c r="F292" s="135" t="s">
        <v>620</v>
      </c>
      <c r="G292" s="274">
        <v>2</v>
      </c>
      <c r="H292" s="261">
        <v>2778</v>
      </c>
      <c r="I292" s="261">
        <v>5556</v>
      </c>
      <c r="J292" s="261">
        <v>0</v>
      </c>
      <c r="K292" s="261">
        <f t="shared" si="8"/>
        <v>5556</v>
      </c>
      <c r="L292" s="261">
        <v>444</v>
      </c>
      <c r="M292" s="261">
        <f t="shared" si="9"/>
        <v>6000</v>
      </c>
      <c r="N292" s="137">
        <v>5.0000000000000001E-4</v>
      </c>
    </row>
    <row r="293" spans="1:14" ht="18" customHeight="1">
      <c r="A293" s="134">
        <v>5</v>
      </c>
      <c r="B293" s="135" t="s">
        <v>89</v>
      </c>
      <c r="C293" s="134">
        <v>12</v>
      </c>
      <c r="D293" s="138" t="s">
        <v>88</v>
      </c>
      <c r="E293" s="138" t="s">
        <v>623</v>
      </c>
      <c r="F293" s="135" t="s">
        <v>620</v>
      </c>
      <c r="G293" s="274">
        <v>3</v>
      </c>
      <c r="H293" s="261">
        <v>41667</v>
      </c>
      <c r="I293" s="261">
        <v>125000</v>
      </c>
      <c r="J293" s="261">
        <v>0</v>
      </c>
      <c r="K293" s="261">
        <f t="shared" si="8"/>
        <v>125000</v>
      </c>
      <c r="L293" s="261">
        <v>10000</v>
      </c>
      <c r="M293" s="261">
        <f t="shared" si="9"/>
        <v>135000</v>
      </c>
      <c r="N293" s="137">
        <v>1.21E-2</v>
      </c>
    </row>
    <row r="294" spans="1:14" ht="18" customHeight="1">
      <c r="A294" s="134">
        <v>5</v>
      </c>
      <c r="B294" s="135" t="s">
        <v>89</v>
      </c>
      <c r="C294" s="134">
        <v>40</v>
      </c>
      <c r="D294" s="138" t="s">
        <v>82</v>
      </c>
      <c r="E294" s="138" t="s">
        <v>165</v>
      </c>
      <c r="F294" s="135" t="s">
        <v>620</v>
      </c>
      <c r="G294" s="274">
        <v>2</v>
      </c>
      <c r="H294" s="261">
        <v>55093</v>
      </c>
      <c r="I294" s="261">
        <v>110185</v>
      </c>
      <c r="J294" s="261">
        <v>0</v>
      </c>
      <c r="K294" s="261">
        <f t="shared" si="8"/>
        <v>110185</v>
      </c>
      <c r="L294" s="261">
        <v>8815</v>
      </c>
      <c r="M294" s="261">
        <f t="shared" si="9"/>
        <v>119000</v>
      </c>
      <c r="N294" s="137">
        <v>1.0699999999999999E-2</v>
      </c>
    </row>
    <row r="295" spans="1:14" ht="18" customHeight="1">
      <c r="A295" s="134">
        <v>5</v>
      </c>
      <c r="B295" s="135" t="s">
        <v>89</v>
      </c>
      <c r="C295" s="134">
        <v>131</v>
      </c>
      <c r="D295" s="138" t="s">
        <v>82</v>
      </c>
      <c r="E295" s="138" t="s">
        <v>677</v>
      </c>
      <c r="F295" s="135" t="s">
        <v>620</v>
      </c>
      <c r="G295" s="274">
        <v>1</v>
      </c>
      <c r="H295" s="261">
        <v>278</v>
      </c>
      <c r="I295" s="261">
        <v>278</v>
      </c>
      <c r="J295" s="261">
        <v>0</v>
      </c>
      <c r="K295" s="261">
        <f t="shared" si="8"/>
        <v>278</v>
      </c>
      <c r="L295" s="261">
        <v>22</v>
      </c>
      <c r="M295" s="261">
        <f t="shared" si="9"/>
        <v>300</v>
      </c>
      <c r="N295" s="137">
        <v>0</v>
      </c>
    </row>
    <row r="296" spans="1:14" ht="18" customHeight="1">
      <c r="A296" s="134">
        <v>5</v>
      </c>
      <c r="B296" s="135" t="s">
        <v>89</v>
      </c>
      <c r="C296" s="134">
        <v>95</v>
      </c>
      <c r="D296" s="138" t="s">
        <v>82</v>
      </c>
      <c r="E296" s="138" t="s">
        <v>624</v>
      </c>
      <c r="F296" s="135" t="s">
        <v>620</v>
      </c>
      <c r="G296" s="274">
        <v>4</v>
      </c>
      <c r="H296" s="261">
        <v>926</v>
      </c>
      <c r="I296" s="261">
        <v>3704</v>
      </c>
      <c r="J296" s="261">
        <v>0</v>
      </c>
      <c r="K296" s="261">
        <f t="shared" si="8"/>
        <v>3704</v>
      </c>
      <c r="L296" s="261">
        <v>296</v>
      </c>
      <c r="M296" s="261">
        <f t="shared" si="9"/>
        <v>4000</v>
      </c>
      <c r="N296" s="137">
        <v>4.0000000000000002E-4</v>
      </c>
    </row>
    <row r="297" spans="1:14" ht="18" customHeight="1">
      <c r="A297" s="134">
        <v>5</v>
      </c>
      <c r="B297" s="135" t="s">
        <v>89</v>
      </c>
      <c r="C297" s="134">
        <v>54</v>
      </c>
      <c r="D297" s="138" t="s">
        <v>86</v>
      </c>
      <c r="E297" s="138" t="s">
        <v>678</v>
      </c>
      <c r="F297" s="135" t="s">
        <v>620</v>
      </c>
      <c r="G297" s="274">
        <v>1</v>
      </c>
      <c r="H297" s="261">
        <v>2315</v>
      </c>
      <c r="I297" s="261">
        <v>2315</v>
      </c>
      <c r="J297" s="261">
        <v>0</v>
      </c>
      <c r="K297" s="261">
        <f t="shared" si="8"/>
        <v>2315</v>
      </c>
      <c r="L297" s="261">
        <v>185</v>
      </c>
      <c r="M297" s="261">
        <f t="shared" si="9"/>
        <v>2500</v>
      </c>
      <c r="N297" s="137">
        <v>2.0000000000000001E-4</v>
      </c>
    </row>
    <row r="298" spans="1:14" ht="18" customHeight="1">
      <c r="A298" s="134">
        <v>5</v>
      </c>
      <c r="B298" s="135" t="s">
        <v>89</v>
      </c>
      <c r="C298" s="134">
        <v>5</v>
      </c>
      <c r="D298" s="138" t="s">
        <v>84</v>
      </c>
      <c r="E298" s="138" t="s">
        <v>679</v>
      </c>
      <c r="F298" s="135" t="s">
        <v>620</v>
      </c>
      <c r="G298" s="274">
        <v>1</v>
      </c>
      <c r="H298" s="261">
        <v>11111</v>
      </c>
      <c r="I298" s="261">
        <v>11111</v>
      </c>
      <c r="J298" s="261">
        <v>0</v>
      </c>
      <c r="K298" s="261">
        <f t="shared" si="8"/>
        <v>11111</v>
      </c>
      <c r="L298" s="261">
        <v>889</v>
      </c>
      <c r="M298" s="261">
        <f t="shared" si="9"/>
        <v>12000</v>
      </c>
      <c r="N298" s="137">
        <v>1.1000000000000001E-3</v>
      </c>
    </row>
    <row r="299" spans="1:14" ht="18" customHeight="1">
      <c r="A299" s="134">
        <v>5</v>
      </c>
      <c r="B299" s="135" t="s">
        <v>89</v>
      </c>
      <c r="C299" s="134">
        <v>136</v>
      </c>
      <c r="D299" s="138" t="s">
        <v>84</v>
      </c>
      <c r="E299" s="138" t="s">
        <v>625</v>
      </c>
      <c r="F299" s="135" t="s">
        <v>620</v>
      </c>
      <c r="G299" s="274">
        <v>5</v>
      </c>
      <c r="H299" s="261">
        <v>24074</v>
      </c>
      <c r="I299" s="261">
        <v>120370</v>
      </c>
      <c r="J299" s="261">
        <v>0</v>
      </c>
      <c r="K299" s="261">
        <f t="shared" si="8"/>
        <v>120370</v>
      </c>
      <c r="L299" s="261">
        <v>9630</v>
      </c>
      <c r="M299" s="261">
        <f t="shared" si="9"/>
        <v>130000</v>
      </c>
      <c r="N299" s="137">
        <v>1.1599999999999999E-2</v>
      </c>
    </row>
    <row r="300" spans="1:14" ht="18" customHeight="1">
      <c r="A300" s="134">
        <v>5</v>
      </c>
      <c r="B300" s="135" t="s">
        <v>89</v>
      </c>
      <c r="C300" s="134">
        <v>135</v>
      </c>
      <c r="D300" s="138" t="s">
        <v>84</v>
      </c>
      <c r="E300" s="138" t="s">
        <v>710</v>
      </c>
      <c r="F300" s="135" t="s">
        <v>620</v>
      </c>
      <c r="G300" s="274">
        <v>2</v>
      </c>
      <c r="H300" s="261">
        <v>13889</v>
      </c>
      <c r="I300" s="261">
        <v>27778</v>
      </c>
      <c r="J300" s="261">
        <v>0</v>
      </c>
      <c r="K300" s="261">
        <f t="shared" si="8"/>
        <v>27778</v>
      </c>
      <c r="L300" s="261">
        <v>2222</v>
      </c>
      <c r="M300" s="261">
        <f t="shared" si="9"/>
        <v>30000</v>
      </c>
      <c r="N300" s="137">
        <v>2.7000000000000001E-3</v>
      </c>
    </row>
    <row r="301" spans="1:14" ht="18" customHeight="1">
      <c r="A301" s="134">
        <v>5</v>
      </c>
      <c r="B301" s="135" t="s">
        <v>89</v>
      </c>
      <c r="C301" s="134">
        <v>6</v>
      </c>
      <c r="D301" s="138" t="s">
        <v>84</v>
      </c>
      <c r="E301" s="138" t="s">
        <v>680</v>
      </c>
      <c r="F301" s="135" t="s">
        <v>620</v>
      </c>
      <c r="G301" s="274">
        <v>1</v>
      </c>
      <c r="H301" s="261">
        <v>14815</v>
      </c>
      <c r="I301" s="261">
        <v>14815</v>
      </c>
      <c r="J301" s="261">
        <v>0</v>
      </c>
      <c r="K301" s="261">
        <f t="shared" si="8"/>
        <v>14815</v>
      </c>
      <c r="L301" s="261">
        <v>1185</v>
      </c>
      <c r="M301" s="261">
        <f t="shared" si="9"/>
        <v>16000</v>
      </c>
      <c r="N301" s="137">
        <v>1.4E-3</v>
      </c>
    </row>
    <row r="302" spans="1:14" ht="18" customHeight="1">
      <c r="A302" s="134">
        <v>5</v>
      </c>
      <c r="B302" s="135" t="s">
        <v>89</v>
      </c>
      <c r="C302" s="134">
        <v>311</v>
      </c>
      <c r="D302" s="138" t="s">
        <v>88</v>
      </c>
      <c r="E302" s="138" t="s">
        <v>626</v>
      </c>
      <c r="F302" s="135" t="s">
        <v>620</v>
      </c>
      <c r="G302" s="274">
        <v>1</v>
      </c>
      <c r="H302" s="261">
        <v>44907</v>
      </c>
      <c r="I302" s="261">
        <v>44907</v>
      </c>
      <c r="J302" s="261">
        <v>0</v>
      </c>
      <c r="K302" s="261">
        <f t="shared" si="8"/>
        <v>44907</v>
      </c>
      <c r="L302" s="261">
        <v>3593</v>
      </c>
      <c r="M302" s="261">
        <f t="shared" si="9"/>
        <v>48500</v>
      </c>
      <c r="N302" s="137">
        <v>4.3E-3</v>
      </c>
    </row>
    <row r="303" spans="1:14" ht="18" customHeight="1">
      <c r="A303" s="134">
        <v>5</v>
      </c>
      <c r="B303" s="135" t="s">
        <v>89</v>
      </c>
      <c r="C303" s="134">
        <v>87</v>
      </c>
      <c r="D303" s="138" t="s">
        <v>84</v>
      </c>
      <c r="E303" s="138" t="s">
        <v>139</v>
      </c>
      <c r="F303" s="135" t="s">
        <v>620</v>
      </c>
      <c r="G303" s="274">
        <v>6</v>
      </c>
      <c r="H303" s="261">
        <v>37500</v>
      </c>
      <c r="I303" s="261">
        <v>225000</v>
      </c>
      <c r="J303" s="261">
        <v>0</v>
      </c>
      <c r="K303" s="261">
        <f t="shared" si="8"/>
        <v>225000</v>
      </c>
      <c r="L303" s="261">
        <v>18000</v>
      </c>
      <c r="M303" s="261">
        <f t="shared" si="9"/>
        <v>243000</v>
      </c>
      <c r="N303" s="137">
        <v>2.18E-2</v>
      </c>
    </row>
    <row r="304" spans="1:14" ht="18" customHeight="1">
      <c r="A304" s="134">
        <v>5</v>
      </c>
      <c r="B304" s="135" t="s">
        <v>89</v>
      </c>
      <c r="C304" s="134">
        <v>206</v>
      </c>
      <c r="D304" s="138" t="s">
        <v>88</v>
      </c>
      <c r="E304" s="138" t="s">
        <v>627</v>
      </c>
      <c r="F304" s="135" t="s">
        <v>620</v>
      </c>
      <c r="G304" s="274">
        <v>3</v>
      </c>
      <c r="H304" s="261">
        <v>44907</v>
      </c>
      <c r="I304" s="261">
        <v>134722</v>
      </c>
      <c r="J304" s="261">
        <v>0</v>
      </c>
      <c r="K304" s="261">
        <f t="shared" si="8"/>
        <v>134722</v>
      </c>
      <c r="L304" s="261">
        <v>10778</v>
      </c>
      <c r="M304" s="261">
        <f t="shared" si="9"/>
        <v>145500</v>
      </c>
      <c r="N304" s="137">
        <v>1.2999999999999999E-2</v>
      </c>
    </row>
    <row r="305" spans="1:14" ht="18" customHeight="1">
      <c r="A305" s="134">
        <v>5</v>
      </c>
      <c r="B305" s="135" t="s">
        <v>89</v>
      </c>
      <c r="C305" s="134">
        <v>246</v>
      </c>
      <c r="D305" s="138" t="s">
        <v>86</v>
      </c>
      <c r="E305" s="138" t="s">
        <v>629</v>
      </c>
      <c r="F305" s="135" t="s">
        <v>620</v>
      </c>
      <c r="G305" s="274">
        <v>1</v>
      </c>
      <c r="H305" s="261">
        <v>6481</v>
      </c>
      <c r="I305" s="261">
        <v>6481</v>
      </c>
      <c r="J305" s="261">
        <v>0</v>
      </c>
      <c r="K305" s="261">
        <f t="shared" si="8"/>
        <v>6481</v>
      </c>
      <c r="L305" s="261">
        <v>519</v>
      </c>
      <c r="M305" s="261">
        <f t="shared" si="9"/>
        <v>7000</v>
      </c>
      <c r="N305" s="137">
        <v>5.9999999999999995E-4</v>
      </c>
    </row>
    <row r="306" spans="1:14" ht="18" customHeight="1">
      <c r="A306" s="134">
        <v>5</v>
      </c>
      <c r="B306" s="135" t="s">
        <v>89</v>
      </c>
      <c r="C306" s="134">
        <v>264</v>
      </c>
      <c r="D306" s="138" t="s">
        <v>86</v>
      </c>
      <c r="E306" s="138" t="s">
        <v>681</v>
      </c>
      <c r="F306" s="135" t="s">
        <v>620</v>
      </c>
      <c r="G306" s="274">
        <v>1</v>
      </c>
      <c r="H306" s="261">
        <v>4630</v>
      </c>
      <c r="I306" s="261">
        <v>4630</v>
      </c>
      <c r="J306" s="261">
        <v>0</v>
      </c>
      <c r="K306" s="261">
        <f t="shared" si="8"/>
        <v>4630</v>
      </c>
      <c r="L306" s="261">
        <v>370</v>
      </c>
      <c r="M306" s="261">
        <f t="shared" si="9"/>
        <v>5000</v>
      </c>
      <c r="N306" s="137">
        <v>4.0000000000000002E-4</v>
      </c>
    </row>
    <row r="307" spans="1:14" ht="18" customHeight="1">
      <c r="A307" s="134">
        <v>5</v>
      </c>
      <c r="B307" s="135" t="s">
        <v>89</v>
      </c>
      <c r="C307" s="134">
        <v>70</v>
      </c>
      <c r="D307" s="138" t="s">
        <v>86</v>
      </c>
      <c r="E307" s="138" t="s">
        <v>630</v>
      </c>
      <c r="F307" s="135" t="s">
        <v>620</v>
      </c>
      <c r="G307" s="274">
        <v>5</v>
      </c>
      <c r="H307" s="261">
        <v>4630</v>
      </c>
      <c r="I307" s="261">
        <v>23148</v>
      </c>
      <c r="J307" s="261">
        <v>0</v>
      </c>
      <c r="K307" s="261">
        <f t="shared" si="8"/>
        <v>23148</v>
      </c>
      <c r="L307" s="261">
        <v>1852</v>
      </c>
      <c r="M307" s="261">
        <f t="shared" si="9"/>
        <v>25000</v>
      </c>
      <c r="N307" s="137">
        <v>2.2000000000000001E-3</v>
      </c>
    </row>
    <row r="308" spans="1:14" ht="18" customHeight="1">
      <c r="A308" s="134">
        <v>5</v>
      </c>
      <c r="B308" s="135" t="s">
        <v>89</v>
      </c>
      <c r="C308" s="134">
        <v>71</v>
      </c>
      <c r="D308" s="138" t="s">
        <v>86</v>
      </c>
      <c r="E308" s="138" t="s">
        <v>631</v>
      </c>
      <c r="F308" s="135" t="s">
        <v>620</v>
      </c>
      <c r="G308" s="274">
        <v>4</v>
      </c>
      <c r="H308" s="261">
        <v>5556</v>
      </c>
      <c r="I308" s="261">
        <v>22222</v>
      </c>
      <c r="J308" s="261">
        <v>0</v>
      </c>
      <c r="K308" s="261">
        <f t="shared" si="8"/>
        <v>22222</v>
      </c>
      <c r="L308" s="261">
        <v>1778</v>
      </c>
      <c r="M308" s="261">
        <f t="shared" si="9"/>
        <v>24000</v>
      </c>
      <c r="N308" s="137">
        <v>2.2000000000000001E-3</v>
      </c>
    </row>
    <row r="309" spans="1:14" ht="18" customHeight="1">
      <c r="A309" s="134">
        <v>5</v>
      </c>
      <c r="B309" s="135" t="s">
        <v>89</v>
      </c>
      <c r="C309" s="134">
        <v>83</v>
      </c>
      <c r="D309" s="138" t="s">
        <v>82</v>
      </c>
      <c r="E309" s="138" t="s">
        <v>632</v>
      </c>
      <c r="F309" s="135" t="s">
        <v>620</v>
      </c>
      <c r="G309" s="274">
        <v>2</v>
      </c>
      <c r="H309" s="261">
        <v>20833</v>
      </c>
      <c r="I309" s="261">
        <v>41667</v>
      </c>
      <c r="J309" s="261">
        <v>0</v>
      </c>
      <c r="K309" s="261">
        <f t="shared" si="8"/>
        <v>41667</v>
      </c>
      <c r="L309" s="261">
        <v>3333</v>
      </c>
      <c r="M309" s="261">
        <f t="shared" si="9"/>
        <v>45000</v>
      </c>
      <c r="N309" s="137">
        <v>4.0000000000000001E-3</v>
      </c>
    </row>
    <row r="310" spans="1:14" ht="18" customHeight="1">
      <c r="A310" s="134">
        <v>5</v>
      </c>
      <c r="B310" s="135" t="s">
        <v>89</v>
      </c>
      <c r="C310" s="134">
        <v>43</v>
      </c>
      <c r="D310" s="138" t="s">
        <v>82</v>
      </c>
      <c r="E310" s="138" t="s">
        <v>633</v>
      </c>
      <c r="F310" s="135" t="s">
        <v>620</v>
      </c>
      <c r="G310" s="274">
        <v>1</v>
      </c>
      <c r="H310" s="261">
        <v>8333</v>
      </c>
      <c r="I310" s="261">
        <v>8333</v>
      </c>
      <c r="J310" s="261">
        <v>0</v>
      </c>
      <c r="K310" s="261">
        <f t="shared" si="8"/>
        <v>8333</v>
      </c>
      <c r="L310" s="261">
        <v>667</v>
      </c>
      <c r="M310" s="261">
        <f t="shared" si="9"/>
        <v>9000</v>
      </c>
      <c r="N310" s="137">
        <v>8.0000000000000004E-4</v>
      </c>
    </row>
    <row r="311" spans="1:14" ht="18" customHeight="1">
      <c r="A311" s="134">
        <v>5</v>
      </c>
      <c r="B311" s="135" t="s">
        <v>89</v>
      </c>
      <c r="C311" s="134">
        <v>37</v>
      </c>
      <c r="D311" s="138" t="s">
        <v>82</v>
      </c>
      <c r="E311" s="138" t="s">
        <v>720</v>
      </c>
      <c r="F311" s="135" t="s">
        <v>620</v>
      </c>
      <c r="G311" s="274">
        <v>1</v>
      </c>
      <c r="H311" s="261">
        <v>8333</v>
      </c>
      <c r="I311" s="261">
        <v>8333</v>
      </c>
      <c r="J311" s="261">
        <v>0</v>
      </c>
      <c r="K311" s="261">
        <f t="shared" si="8"/>
        <v>8333</v>
      </c>
      <c r="L311" s="261">
        <v>667</v>
      </c>
      <c r="M311" s="261">
        <f t="shared" si="9"/>
        <v>9000</v>
      </c>
      <c r="N311" s="137">
        <v>8.0000000000000004E-4</v>
      </c>
    </row>
    <row r="312" spans="1:14" ht="18" customHeight="1">
      <c r="A312" s="134">
        <v>5</v>
      </c>
      <c r="B312" s="135" t="s">
        <v>89</v>
      </c>
      <c r="C312" s="134">
        <v>41</v>
      </c>
      <c r="D312" s="138" t="s">
        <v>82</v>
      </c>
      <c r="E312" s="138" t="s">
        <v>163</v>
      </c>
      <c r="F312" s="135" t="s">
        <v>620</v>
      </c>
      <c r="G312" s="274">
        <v>5</v>
      </c>
      <c r="H312" s="261">
        <v>49074</v>
      </c>
      <c r="I312" s="261">
        <v>245370</v>
      </c>
      <c r="J312" s="261">
        <v>0</v>
      </c>
      <c r="K312" s="261">
        <f t="shared" si="8"/>
        <v>245370</v>
      </c>
      <c r="L312" s="261">
        <v>19630</v>
      </c>
      <c r="M312" s="261">
        <f t="shared" si="9"/>
        <v>265000</v>
      </c>
      <c r="N312" s="137">
        <v>2.3699999999999999E-2</v>
      </c>
    </row>
    <row r="313" spans="1:14" ht="18" customHeight="1">
      <c r="A313" s="134">
        <v>5</v>
      </c>
      <c r="B313" s="135" t="s">
        <v>89</v>
      </c>
      <c r="C313" s="134">
        <v>122</v>
      </c>
      <c r="D313" s="138" t="s">
        <v>86</v>
      </c>
      <c r="E313" s="138" t="s">
        <v>634</v>
      </c>
      <c r="F313" s="135" t="s">
        <v>620</v>
      </c>
      <c r="G313" s="274">
        <v>7</v>
      </c>
      <c r="H313" s="261">
        <v>2778</v>
      </c>
      <c r="I313" s="261">
        <v>19444</v>
      </c>
      <c r="J313" s="261">
        <v>0</v>
      </c>
      <c r="K313" s="261">
        <f t="shared" si="8"/>
        <v>19444</v>
      </c>
      <c r="L313" s="261">
        <v>1556</v>
      </c>
      <c r="M313" s="261">
        <f t="shared" si="9"/>
        <v>21000</v>
      </c>
      <c r="N313" s="137">
        <v>1.9E-3</v>
      </c>
    </row>
    <row r="314" spans="1:14" ht="18" customHeight="1">
      <c r="A314" s="134">
        <v>5</v>
      </c>
      <c r="B314" s="135" t="s">
        <v>89</v>
      </c>
      <c r="C314" s="134">
        <v>42</v>
      </c>
      <c r="D314" s="138" t="s">
        <v>82</v>
      </c>
      <c r="E314" s="138" t="s">
        <v>354</v>
      </c>
      <c r="F314" s="135" t="s">
        <v>620</v>
      </c>
      <c r="G314" s="274">
        <v>5</v>
      </c>
      <c r="H314" s="261">
        <v>32407</v>
      </c>
      <c r="I314" s="261">
        <v>162037</v>
      </c>
      <c r="J314" s="261">
        <v>0</v>
      </c>
      <c r="K314" s="261">
        <f t="shared" si="8"/>
        <v>162037</v>
      </c>
      <c r="L314" s="261">
        <v>12963</v>
      </c>
      <c r="M314" s="261">
        <f t="shared" si="9"/>
        <v>175000</v>
      </c>
      <c r="N314" s="137">
        <v>1.5699999999999999E-2</v>
      </c>
    </row>
    <row r="315" spans="1:14" ht="18" customHeight="1">
      <c r="A315" s="134">
        <v>5</v>
      </c>
      <c r="B315" s="135" t="s">
        <v>89</v>
      </c>
      <c r="C315" s="134">
        <v>44</v>
      </c>
      <c r="D315" s="138" t="s">
        <v>82</v>
      </c>
      <c r="E315" s="138" t="s">
        <v>133</v>
      </c>
      <c r="F315" s="135" t="s">
        <v>620</v>
      </c>
      <c r="G315" s="274">
        <v>16</v>
      </c>
      <c r="H315" s="261">
        <v>28241</v>
      </c>
      <c r="I315" s="261">
        <v>451852</v>
      </c>
      <c r="J315" s="261">
        <v>0</v>
      </c>
      <c r="K315" s="261">
        <f t="shared" si="8"/>
        <v>451852</v>
      </c>
      <c r="L315" s="261">
        <v>36148</v>
      </c>
      <c r="M315" s="261">
        <f t="shared" si="9"/>
        <v>488000</v>
      </c>
      <c r="N315" s="137">
        <v>4.3700000000000003E-2</v>
      </c>
    </row>
    <row r="316" spans="1:14" ht="18" customHeight="1">
      <c r="A316" s="134">
        <v>5</v>
      </c>
      <c r="B316" s="135" t="s">
        <v>89</v>
      </c>
      <c r="C316" s="134">
        <v>110</v>
      </c>
      <c r="D316" s="138" t="s">
        <v>94</v>
      </c>
      <c r="E316" s="138" t="s">
        <v>635</v>
      </c>
      <c r="F316" s="135" t="s">
        <v>620</v>
      </c>
      <c r="G316" s="274">
        <v>25</v>
      </c>
      <c r="H316" s="261">
        <v>926</v>
      </c>
      <c r="I316" s="261">
        <v>23148</v>
      </c>
      <c r="J316" s="261">
        <v>0</v>
      </c>
      <c r="K316" s="261">
        <f t="shared" si="8"/>
        <v>23148</v>
      </c>
      <c r="L316" s="261">
        <v>1852</v>
      </c>
      <c r="M316" s="261">
        <f t="shared" si="9"/>
        <v>25000</v>
      </c>
      <c r="N316" s="137">
        <v>2.2000000000000001E-3</v>
      </c>
    </row>
    <row r="317" spans="1:14" ht="18" customHeight="1">
      <c r="A317" s="134">
        <v>5</v>
      </c>
      <c r="B317" s="135" t="s">
        <v>89</v>
      </c>
      <c r="C317" s="134">
        <v>102</v>
      </c>
      <c r="D317" s="138" t="s">
        <v>82</v>
      </c>
      <c r="E317" s="138" t="s">
        <v>684</v>
      </c>
      <c r="F317" s="135" t="s">
        <v>620</v>
      </c>
      <c r="G317" s="274">
        <v>6</v>
      </c>
      <c r="H317" s="261">
        <v>6944</v>
      </c>
      <c r="I317" s="261">
        <v>41667</v>
      </c>
      <c r="J317" s="261">
        <v>0</v>
      </c>
      <c r="K317" s="261">
        <f t="shared" si="8"/>
        <v>41667</v>
      </c>
      <c r="L317" s="261">
        <v>3333</v>
      </c>
      <c r="M317" s="261">
        <f t="shared" si="9"/>
        <v>45000</v>
      </c>
      <c r="N317" s="137">
        <v>4.0000000000000001E-3</v>
      </c>
    </row>
    <row r="318" spans="1:14" ht="18" customHeight="1">
      <c r="A318" s="134">
        <v>5</v>
      </c>
      <c r="B318" s="135" t="s">
        <v>89</v>
      </c>
      <c r="C318" s="134">
        <v>45</v>
      </c>
      <c r="D318" s="138" t="s">
        <v>82</v>
      </c>
      <c r="E318" s="138" t="s">
        <v>636</v>
      </c>
      <c r="F318" s="135" t="s">
        <v>620</v>
      </c>
      <c r="G318" s="274">
        <v>4</v>
      </c>
      <c r="H318" s="261">
        <v>35648</v>
      </c>
      <c r="I318" s="261">
        <v>142593</v>
      </c>
      <c r="J318" s="261">
        <v>0</v>
      </c>
      <c r="K318" s="261">
        <f t="shared" si="8"/>
        <v>142593</v>
      </c>
      <c r="L318" s="261">
        <v>11407</v>
      </c>
      <c r="M318" s="261">
        <f t="shared" si="9"/>
        <v>154000</v>
      </c>
      <c r="N318" s="137">
        <v>1.38E-2</v>
      </c>
    </row>
    <row r="319" spans="1:14" ht="18" customHeight="1">
      <c r="A319" s="134">
        <v>5</v>
      </c>
      <c r="B319" s="135" t="s">
        <v>89</v>
      </c>
      <c r="C319" s="134">
        <v>30</v>
      </c>
      <c r="D319" s="138" t="s">
        <v>90</v>
      </c>
      <c r="E319" s="138" t="s">
        <v>637</v>
      </c>
      <c r="F319" s="135" t="s">
        <v>620</v>
      </c>
      <c r="G319" s="274">
        <v>1</v>
      </c>
      <c r="H319" s="261">
        <v>6481</v>
      </c>
      <c r="I319" s="261">
        <v>6481</v>
      </c>
      <c r="J319" s="261">
        <v>0</v>
      </c>
      <c r="K319" s="261">
        <f t="shared" si="8"/>
        <v>6481</v>
      </c>
      <c r="L319" s="261">
        <v>519</v>
      </c>
      <c r="M319" s="261">
        <f t="shared" si="9"/>
        <v>7000</v>
      </c>
      <c r="N319" s="137">
        <v>5.9999999999999995E-4</v>
      </c>
    </row>
    <row r="320" spans="1:14" ht="18" customHeight="1">
      <c r="A320" s="134">
        <v>5</v>
      </c>
      <c r="B320" s="135" t="s">
        <v>89</v>
      </c>
      <c r="C320" s="134">
        <v>305</v>
      </c>
      <c r="D320" s="138" t="s">
        <v>86</v>
      </c>
      <c r="E320" s="138" t="s">
        <v>638</v>
      </c>
      <c r="F320" s="135" t="s">
        <v>620</v>
      </c>
      <c r="G320" s="274">
        <v>2</v>
      </c>
      <c r="H320" s="261">
        <v>9259</v>
      </c>
      <c r="I320" s="261">
        <v>18519</v>
      </c>
      <c r="J320" s="261">
        <v>0</v>
      </c>
      <c r="K320" s="261">
        <f t="shared" si="8"/>
        <v>18519</v>
      </c>
      <c r="L320" s="261">
        <v>1481</v>
      </c>
      <c r="M320" s="261">
        <f t="shared" si="9"/>
        <v>20000</v>
      </c>
      <c r="N320" s="137">
        <v>1.8E-3</v>
      </c>
    </row>
    <row r="321" spans="1:14" ht="18" customHeight="1">
      <c r="A321" s="134">
        <v>5</v>
      </c>
      <c r="B321" s="135" t="s">
        <v>89</v>
      </c>
      <c r="C321" s="134">
        <v>217</v>
      </c>
      <c r="D321" s="138" t="s">
        <v>84</v>
      </c>
      <c r="E321" s="138" t="s">
        <v>639</v>
      </c>
      <c r="F321" s="135" t="s">
        <v>620</v>
      </c>
      <c r="G321" s="274">
        <v>5</v>
      </c>
      <c r="H321" s="261">
        <v>27778</v>
      </c>
      <c r="I321" s="261">
        <v>138889</v>
      </c>
      <c r="J321" s="261">
        <v>0</v>
      </c>
      <c r="K321" s="261">
        <f t="shared" si="8"/>
        <v>138889</v>
      </c>
      <c r="L321" s="261">
        <v>11111</v>
      </c>
      <c r="M321" s="261">
        <f t="shared" si="9"/>
        <v>150000</v>
      </c>
      <c r="N321" s="137">
        <v>1.34E-2</v>
      </c>
    </row>
    <row r="322" spans="1:14" ht="18" customHeight="1">
      <c r="A322" s="134">
        <v>5</v>
      </c>
      <c r="B322" s="135" t="s">
        <v>89</v>
      </c>
      <c r="C322" s="134">
        <v>34</v>
      </c>
      <c r="D322" s="138" t="s">
        <v>86</v>
      </c>
      <c r="E322" s="138" t="s">
        <v>641</v>
      </c>
      <c r="F322" s="135" t="s">
        <v>620</v>
      </c>
      <c r="G322" s="274">
        <v>5</v>
      </c>
      <c r="H322" s="261">
        <v>6481</v>
      </c>
      <c r="I322" s="261">
        <v>32407</v>
      </c>
      <c r="J322" s="261">
        <v>0</v>
      </c>
      <c r="K322" s="261">
        <f t="shared" ref="K322:K385" si="10">I322-J322</f>
        <v>32407</v>
      </c>
      <c r="L322" s="261">
        <v>2593</v>
      </c>
      <c r="M322" s="261">
        <f t="shared" ref="M322:M385" si="11">K322+L322</f>
        <v>35000</v>
      </c>
      <c r="N322" s="137">
        <v>3.0999999999999999E-3</v>
      </c>
    </row>
    <row r="323" spans="1:14" ht="18" customHeight="1">
      <c r="A323" s="134">
        <v>5</v>
      </c>
      <c r="B323" s="135" t="s">
        <v>89</v>
      </c>
      <c r="C323" s="134">
        <v>66</v>
      </c>
      <c r="D323" s="138" t="s">
        <v>86</v>
      </c>
      <c r="E323" s="138" t="s">
        <v>721</v>
      </c>
      <c r="F323" s="135" t="s">
        <v>620</v>
      </c>
      <c r="G323" s="274">
        <v>0</v>
      </c>
      <c r="H323" s="261">
        <v>0</v>
      </c>
      <c r="I323" s="261">
        <v>0</v>
      </c>
      <c r="J323" s="261">
        <v>0</v>
      </c>
      <c r="K323" s="261">
        <f t="shared" si="10"/>
        <v>0</v>
      </c>
      <c r="L323" s="261">
        <v>0</v>
      </c>
      <c r="M323" s="261">
        <f t="shared" si="11"/>
        <v>0</v>
      </c>
      <c r="N323" s="137">
        <v>0</v>
      </c>
    </row>
    <row r="324" spans="1:14" ht="18" customHeight="1">
      <c r="A324" s="134">
        <v>5</v>
      </c>
      <c r="B324" s="135" t="s">
        <v>89</v>
      </c>
      <c r="C324" s="134">
        <v>121</v>
      </c>
      <c r="D324" s="138" t="s">
        <v>86</v>
      </c>
      <c r="E324" s="138" t="s">
        <v>642</v>
      </c>
      <c r="F324" s="135" t="s">
        <v>620</v>
      </c>
      <c r="G324" s="274">
        <v>15</v>
      </c>
      <c r="H324" s="261">
        <v>2778</v>
      </c>
      <c r="I324" s="261">
        <v>41667</v>
      </c>
      <c r="J324" s="261">
        <v>0</v>
      </c>
      <c r="K324" s="261">
        <f t="shared" si="10"/>
        <v>41667</v>
      </c>
      <c r="L324" s="261">
        <v>3333</v>
      </c>
      <c r="M324" s="261">
        <f t="shared" si="11"/>
        <v>45000</v>
      </c>
      <c r="N324" s="137">
        <v>4.0000000000000001E-3</v>
      </c>
    </row>
    <row r="325" spans="1:14" ht="18" customHeight="1">
      <c r="A325" s="134">
        <v>5</v>
      </c>
      <c r="B325" s="135" t="s">
        <v>89</v>
      </c>
      <c r="C325" s="134">
        <v>208</v>
      </c>
      <c r="D325" s="138" t="s">
        <v>86</v>
      </c>
      <c r="E325" s="138" t="s">
        <v>643</v>
      </c>
      <c r="F325" s="135" t="s">
        <v>620</v>
      </c>
      <c r="G325" s="274">
        <v>26</v>
      </c>
      <c r="H325" s="261">
        <v>3704</v>
      </c>
      <c r="I325" s="261">
        <v>96296</v>
      </c>
      <c r="J325" s="261">
        <v>0</v>
      </c>
      <c r="K325" s="261">
        <f t="shared" si="10"/>
        <v>96296</v>
      </c>
      <c r="L325" s="261">
        <v>7704</v>
      </c>
      <c r="M325" s="261">
        <f t="shared" si="11"/>
        <v>104000</v>
      </c>
      <c r="N325" s="137">
        <v>9.300000000000001E-3</v>
      </c>
    </row>
    <row r="326" spans="1:14" ht="18" customHeight="1">
      <c r="A326" s="134">
        <v>5</v>
      </c>
      <c r="B326" s="135" t="s">
        <v>89</v>
      </c>
      <c r="C326" s="134">
        <v>90</v>
      </c>
      <c r="D326" s="138" t="s">
        <v>86</v>
      </c>
      <c r="E326" s="138" t="s">
        <v>439</v>
      </c>
      <c r="F326" s="135" t="s">
        <v>620</v>
      </c>
      <c r="G326" s="274">
        <v>2</v>
      </c>
      <c r="H326" s="261">
        <v>4259</v>
      </c>
      <c r="I326" s="261">
        <v>8519</v>
      </c>
      <c r="J326" s="261">
        <v>0</v>
      </c>
      <c r="K326" s="261">
        <f t="shared" si="10"/>
        <v>8519</v>
      </c>
      <c r="L326" s="261">
        <v>681</v>
      </c>
      <c r="M326" s="261">
        <f t="shared" si="11"/>
        <v>9200</v>
      </c>
      <c r="N326" s="137">
        <v>8.0000000000000004E-4</v>
      </c>
    </row>
    <row r="327" spans="1:14" ht="18" customHeight="1">
      <c r="A327" s="134">
        <v>5</v>
      </c>
      <c r="B327" s="135" t="s">
        <v>89</v>
      </c>
      <c r="C327" s="134">
        <v>123</v>
      </c>
      <c r="D327" s="138" t="s">
        <v>86</v>
      </c>
      <c r="E327" s="138" t="s">
        <v>644</v>
      </c>
      <c r="F327" s="135" t="s">
        <v>620</v>
      </c>
      <c r="G327" s="274">
        <v>6</v>
      </c>
      <c r="H327" s="261">
        <v>2778</v>
      </c>
      <c r="I327" s="261">
        <v>16667</v>
      </c>
      <c r="J327" s="261">
        <v>0</v>
      </c>
      <c r="K327" s="261">
        <f t="shared" si="10"/>
        <v>16667</v>
      </c>
      <c r="L327" s="261">
        <v>1333</v>
      </c>
      <c r="M327" s="261">
        <f t="shared" si="11"/>
        <v>18000</v>
      </c>
      <c r="N327" s="137">
        <v>1.6000000000000001E-3</v>
      </c>
    </row>
    <row r="328" spans="1:14" ht="18" customHeight="1">
      <c r="A328" s="134">
        <v>5</v>
      </c>
      <c r="B328" s="135" t="s">
        <v>89</v>
      </c>
      <c r="C328" s="134">
        <v>31</v>
      </c>
      <c r="D328" s="138" t="s">
        <v>90</v>
      </c>
      <c r="E328" s="138" t="s">
        <v>645</v>
      </c>
      <c r="F328" s="135" t="s">
        <v>620</v>
      </c>
      <c r="G328" s="274">
        <v>8</v>
      </c>
      <c r="H328" s="261">
        <v>1204</v>
      </c>
      <c r="I328" s="261">
        <v>9630</v>
      </c>
      <c r="J328" s="261">
        <v>0</v>
      </c>
      <c r="K328" s="261">
        <f t="shared" si="10"/>
        <v>9630</v>
      </c>
      <c r="L328" s="261">
        <v>770</v>
      </c>
      <c r="M328" s="261">
        <f t="shared" si="11"/>
        <v>10400</v>
      </c>
      <c r="N328" s="137">
        <v>8.9999999999999998E-4</v>
      </c>
    </row>
    <row r="329" spans="1:14" ht="18" customHeight="1">
      <c r="A329" s="134">
        <v>5</v>
      </c>
      <c r="B329" s="135" t="s">
        <v>89</v>
      </c>
      <c r="C329" s="134">
        <v>201</v>
      </c>
      <c r="D329" s="138" t="s">
        <v>86</v>
      </c>
      <c r="E329" s="138" t="s">
        <v>722</v>
      </c>
      <c r="F329" s="135" t="s">
        <v>620</v>
      </c>
      <c r="G329" s="274">
        <v>5</v>
      </c>
      <c r="H329" s="261">
        <v>18519</v>
      </c>
      <c r="I329" s="261">
        <v>92593</v>
      </c>
      <c r="J329" s="261">
        <v>0</v>
      </c>
      <c r="K329" s="261">
        <f t="shared" si="10"/>
        <v>92593</v>
      </c>
      <c r="L329" s="261">
        <v>7407</v>
      </c>
      <c r="M329" s="261">
        <f t="shared" si="11"/>
        <v>100000</v>
      </c>
      <c r="N329" s="137">
        <v>9.0000000000000011E-3</v>
      </c>
    </row>
    <row r="330" spans="1:14" ht="18" customHeight="1">
      <c r="A330" s="134">
        <v>5</v>
      </c>
      <c r="B330" s="135" t="s">
        <v>89</v>
      </c>
      <c r="C330" s="134">
        <v>202</v>
      </c>
      <c r="D330" s="138" t="s">
        <v>86</v>
      </c>
      <c r="E330" s="138" t="s">
        <v>723</v>
      </c>
      <c r="F330" s="135" t="s">
        <v>620</v>
      </c>
      <c r="G330" s="274">
        <v>1</v>
      </c>
      <c r="H330" s="261">
        <v>32407</v>
      </c>
      <c r="I330" s="261">
        <v>32407</v>
      </c>
      <c r="J330" s="261">
        <v>0</v>
      </c>
      <c r="K330" s="261">
        <f t="shared" si="10"/>
        <v>32407</v>
      </c>
      <c r="L330" s="261">
        <v>2593</v>
      </c>
      <c r="M330" s="261">
        <f t="shared" si="11"/>
        <v>35000</v>
      </c>
      <c r="N330" s="137">
        <v>3.0999999999999999E-3</v>
      </c>
    </row>
    <row r="331" spans="1:14" ht="18" customHeight="1">
      <c r="A331" s="134">
        <v>5</v>
      </c>
      <c r="B331" s="135" t="s">
        <v>89</v>
      </c>
      <c r="C331" s="134">
        <v>212</v>
      </c>
      <c r="D331" s="138" t="s">
        <v>86</v>
      </c>
      <c r="E331" s="138" t="s">
        <v>160</v>
      </c>
      <c r="F331" s="135" t="s">
        <v>620</v>
      </c>
      <c r="G331" s="274">
        <v>6</v>
      </c>
      <c r="H331" s="261">
        <v>22222</v>
      </c>
      <c r="I331" s="261">
        <v>133333</v>
      </c>
      <c r="J331" s="261">
        <v>0</v>
      </c>
      <c r="K331" s="261">
        <f t="shared" si="10"/>
        <v>133333</v>
      </c>
      <c r="L331" s="261">
        <v>10667</v>
      </c>
      <c r="M331" s="261">
        <f t="shared" si="11"/>
        <v>144000</v>
      </c>
      <c r="N331" s="137">
        <v>1.29E-2</v>
      </c>
    </row>
    <row r="332" spans="1:14" ht="18" customHeight="1">
      <c r="A332" s="134">
        <v>5</v>
      </c>
      <c r="B332" s="135" t="s">
        <v>89</v>
      </c>
      <c r="C332" s="134">
        <v>74</v>
      </c>
      <c r="D332" s="138" t="s">
        <v>86</v>
      </c>
      <c r="E332" s="138" t="s">
        <v>686</v>
      </c>
      <c r="F332" s="135" t="s">
        <v>620</v>
      </c>
      <c r="G332" s="274">
        <v>2</v>
      </c>
      <c r="H332" s="261">
        <v>6481</v>
      </c>
      <c r="I332" s="261">
        <v>12963</v>
      </c>
      <c r="J332" s="261">
        <v>0</v>
      </c>
      <c r="K332" s="261">
        <f t="shared" si="10"/>
        <v>12963</v>
      </c>
      <c r="L332" s="261">
        <v>1037</v>
      </c>
      <c r="M332" s="261">
        <f t="shared" si="11"/>
        <v>14000</v>
      </c>
      <c r="N332" s="137">
        <v>1.2999999999999999E-3</v>
      </c>
    </row>
    <row r="333" spans="1:14" ht="18" customHeight="1">
      <c r="A333" s="134">
        <v>5</v>
      </c>
      <c r="B333" s="135" t="s">
        <v>89</v>
      </c>
      <c r="C333" s="134">
        <v>134</v>
      </c>
      <c r="D333" s="138" t="s">
        <v>86</v>
      </c>
      <c r="E333" s="138" t="s">
        <v>703</v>
      </c>
      <c r="F333" s="135" t="s">
        <v>620</v>
      </c>
      <c r="G333" s="274">
        <v>5</v>
      </c>
      <c r="H333" s="261">
        <v>12963</v>
      </c>
      <c r="I333" s="261">
        <v>64815</v>
      </c>
      <c r="J333" s="261">
        <v>0</v>
      </c>
      <c r="K333" s="261">
        <f t="shared" si="10"/>
        <v>64815</v>
      </c>
      <c r="L333" s="261">
        <v>5185</v>
      </c>
      <c r="M333" s="261">
        <f t="shared" si="11"/>
        <v>70000</v>
      </c>
      <c r="N333" s="137">
        <v>6.3E-3</v>
      </c>
    </row>
    <row r="334" spans="1:14" ht="18" customHeight="1">
      <c r="A334" s="134">
        <v>5</v>
      </c>
      <c r="B334" s="135" t="s">
        <v>89</v>
      </c>
      <c r="C334" s="134">
        <v>501</v>
      </c>
      <c r="D334" s="138" t="s">
        <v>86</v>
      </c>
      <c r="E334" s="138" t="s">
        <v>646</v>
      </c>
      <c r="F334" s="135" t="s">
        <v>620</v>
      </c>
      <c r="G334" s="274">
        <v>1</v>
      </c>
      <c r="H334" s="261">
        <v>22222</v>
      </c>
      <c r="I334" s="261">
        <v>22222</v>
      </c>
      <c r="J334" s="261">
        <v>0</v>
      </c>
      <c r="K334" s="261">
        <f t="shared" si="10"/>
        <v>22222</v>
      </c>
      <c r="L334" s="261">
        <v>1778</v>
      </c>
      <c r="M334" s="261">
        <f t="shared" si="11"/>
        <v>24000</v>
      </c>
      <c r="N334" s="137">
        <v>2.2000000000000001E-3</v>
      </c>
    </row>
    <row r="335" spans="1:14" ht="18" customHeight="1">
      <c r="A335" s="134">
        <v>5</v>
      </c>
      <c r="B335" s="135" t="s">
        <v>89</v>
      </c>
      <c r="C335" s="134">
        <v>75</v>
      </c>
      <c r="D335" s="138" t="s">
        <v>86</v>
      </c>
      <c r="E335" s="138" t="s">
        <v>647</v>
      </c>
      <c r="F335" s="135" t="s">
        <v>620</v>
      </c>
      <c r="G335" s="274">
        <v>1</v>
      </c>
      <c r="H335" s="261">
        <v>9259</v>
      </c>
      <c r="I335" s="261">
        <v>9259</v>
      </c>
      <c r="J335" s="261">
        <v>0</v>
      </c>
      <c r="K335" s="261">
        <f t="shared" si="10"/>
        <v>9259</v>
      </c>
      <c r="L335" s="261">
        <v>741</v>
      </c>
      <c r="M335" s="261">
        <f t="shared" si="11"/>
        <v>10000</v>
      </c>
      <c r="N335" s="137">
        <v>8.9999999999999998E-4</v>
      </c>
    </row>
    <row r="336" spans="1:14" ht="18" customHeight="1">
      <c r="A336" s="134">
        <v>5</v>
      </c>
      <c r="B336" s="135" t="s">
        <v>89</v>
      </c>
      <c r="C336" s="134">
        <v>51</v>
      </c>
      <c r="D336" s="138" t="s">
        <v>82</v>
      </c>
      <c r="E336" s="138" t="s">
        <v>724</v>
      </c>
      <c r="F336" s="135" t="s">
        <v>620</v>
      </c>
      <c r="G336" s="274">
        <v>5</v>
      </c>
      <c r="H336" s="261">
        <v>29167</v>
      </c>
      <c r="I336" s="261">
        <v>145833</v>
      </c>
      <c r="J336" s="261">
        <v>0</v>
      </c>
      <c r="K336" s="261">
        <f t="shared" si="10"/>
        <v>145833</v>
      </c>
      <c r="L336" s="261">
        <v>11667</v>
      </c>
      <c r="M336" s="261">
        <f t="shared" si="11"/>
        <v>157500</v>
      </c>
      <c r="N336" s="137">
        <v>1.41E-2</v>
      </c>
    </row>
    <row r="337" spans="1:14" ht="18" customHeight="1">
      <c r="A337" s="134">
        <v>5</v>
      </c>
      <c r="B337" s="135" t="s">
        <v>89</v>
      </c>
      <c r="C337" s="134">
        <v>88</v>
      </c>
      <c r="D337" s="138" t="s">
        <v>82</v>
      </c>
      <c r="E337" s="138" t="s">
        <v>124</v>
      </c>
      <c r="F337" s="135" t="s">
        <v>620</v>
      </c>
      <c r="G337" s="274">
        <v>21</v>
      </c>
      <c r="H337" s="261">
        <v>32870</v>
      </c>
      <c r="I337" s="261">
        <v>690278</v>
      </c>
      <c r="J337" s="261">
        <v>0</v>
      </c>
      <c r="K337" s="261">
        <f t="shared" si="10"/>
        <v>690278</v>
      </c>
      <c r="L337" s="261">
        <v>55222</v>
      </c>
      <c r="M337" s="261">
        <f t="shared" si="11"/>
        <v>745500</v>
      </c>
      <c r="N337" s="137">
        <v>6.6799999999999998E-2</v>
      </c>
    </row>
    <row r="338" spans="1:14" ht="18" customHeight="1">
      <c r="A338" s="134">
        <v>5</v>
      </c>
      <c r="B338" s="135" t="s">
        <v>89</v>
      </c>
      <c r="C338" s="134">
        <v>118</v>
      </c>
      <c r="D338" s="138" t="s">
        <v>82</v>
      </c>
      <c r="E338" s="138" t="s">
        <v>121</v>
      </c>
      <c r="F338" s="135" t="s">
        <v>620</v>
      </c>
      <c r="G338" s="274">
        <v>10</v>
      </c>
      <c r="H338" s="261">
        <v>41667</v>
      </c>
      <c r="I338" s="261">
        <v>416667</v>
      </c>
      <c r="J338" s="261">
        <v>0</v>
      </c>
      <c r="K338" s="261">
        <f t="shared" si="10"/>
        <v>416667</v>
      </c>
      <c r="L338" s="261">
        <v>33333</v>
      </c>
      <c r="M338" s="261">
        <f t="shared" si="11"/>
        <v>450000</v>
      </c>
      <c r="N338" s="137">
        <v>4.0300000000000002E-2</v>
      </c>
    </row>
    <row r="339" spans="1:14" ht="18" customHeight="1">
      <c r="A339" s="134">
        <v>5</v>
      </c>
      <c r="B339" s="135" t="s">
        <v>89</v>
      </c>
      <c r="C339" s="134">
        <v>205</v>
      </c>
      <c r="D339" s="138" t="s">
        <v>86</v>
      </c>
      <c r="E339" s="138" t="s">
        <v>688</v>
      </c>
      <c r="F339" s="135" t="s">
        <v>620</v>
      </c>
      <c r="G339" s="274">
        <v>1</v>
      </c>
      <c r="H339" s="261">
        <v>12037</v>
      </c>
      <c r="I339" s="261">
        <v>12037</v>
      </c>
      <c r="J339" s="261">
        <v>0</v>
      </c>
      <c r="K339" s="261">
        <f t="shared" si="10"/>
        <v>12037</v>
      </c>
      <c r="L339" s="261">
        <v>963</v>
      </c>
      <c r="M339" s="261">
        <f t="shared" si="11"/>
        <v>13000</v>
      </c>
      <c r="N339" s="137">
        <v>1.1999999999999999E-3</v>
      </c>
    </row>
    <row r="340" spans="1:14" ht="18" customHeight="1">
      <c r="A340" s="134">
        <v>5</v>
      </c>
      <c r="B340" s="135" t="s">
        <v>89</v>
      </c>
      <c r="C340" s="134">
        <v>204</v>
      </c>
      <c r="D340" s="138" t="s">
        <v>86</v>
      </c>
      <c r="E340" s="138" t="s">
        <v>648</v>
      </c>
      <c r="F340" s="135" t="s">
        <v>620</v>
      </c>
      <c r="G340" s="274">
        <v>5</v>
      </c>
      <c r="H340" s="261">
        <v>12037</v>
      </c>
      <c r="I340" s="261">
        <v>60185</v>
      </c>
      <c r="J340" s="261">
        <v>0</v>
      </c>
      <c r="K340" s="261">
        <f t="shared" si="10"/>
        <v>60185</v>
      </c>
      <c r="L340" s="261">
        <v>4815</v>
      </c>
      <c r="M340" s="261">
        <f t="shared" si="11"/>
        <v>65000</v>
      </c>
      <c r="N340" s="137">
        <v>5.7999999999999996E-3</v>
      </c>
    </row>
    <row r="341" spans="1:14" ht="18" customHeight="1">
      <c r="A341" s="134">
        <v>5</v>
      </c>
      <c r="B341" s="135" t="s">
        <v>89</v>
      </c>
      <c r="C341" s="134">
        <v>109</v>
      </c>
      <c r="D341" s="138" t="s">
        <v>86</v>
      </c>
      <c r="E341" s="138" t="s">
        <v>142</v>
      </c>
      <c r="F341" s="135" t="s">
        <v>620</v>
      </c>
      <c r="G341" s="274">
        <v>32</v>
      </c>
      <c r="H341" s="261">
        <v>12963</v>
      </c>
      <c r="I341" s="261">
        <v>414815</v>
      </c>
      <c r="J341" s="261">
        <v>0</v>
      </c>
      <c r="K341" s="261">
        <f t="shared" si="10"/>
        <v>414815</v>
      </c>
      <c r="L341" s="261">
        <v>33185</v>
      </c>
      <c r="M341" s="261">
        <f t="shared" si="11"/>
        <v>448000</v>
      </c>
      <c r="N341" s="137">
        <v>4.0099999999999997E-2</v>
      </c>
    </row>
    <row r="342" spans="1:14" ht="18" customHeight="1">
      <c r="A342" s="134">
        <v>5</v>
      </c>
      <c r="B342" s="135" t="s">
        <v>89</v>
      </c>
      <c r="C342" s="134">
        <v>147</v>
      </c>
      <c r="D342" s="138" t="s">
        <v>86</v>
      </c>
      <c r="E342" s="138" t="s">
        <v>649</v>
      </c>
      <c r="F342" s="135" t="s">
        <v>620</v>
      </c>
      <c r="G342" s="274">
        <v>13</v>
      </c>
      <c r="H342" s="261">
        <v>6481</v>
      </c>
      <c r="I342" s="261">
        <v>84259</v>
      </c>
      <c r="J342" s="261">
        <v>0</v>
      </c>
      <c r="K342" s="261">
        <f t="shared" si="10"/>
        <v>84259</v>
      </c>
      <c r="L342" s="261">
        <v>6741</v>
      </c>
      <c r="M342" s="261">
        <f t="shared" si="11"/>
        <v>91000</v>
      </c>
      <c r="N342" s="137">
        <v>8.199999999999999E-3</v>
      </c>
    </row>
    <row r="343" spans="1:14" ht="18" customHeight="1">
      <c r="A343" s="134">
        <v>5</v>
      </c>
      <c r="B343" s="135" t="s">
        <v>89</v>
      </c>
      <c r="C343" s="134">
        <v>46</v>
      </c>
      <c r="D343" s="138" t="s">
        <v>82</v>
      </c>
      <c r="E343" s="138" t="s">
        <v>650</v>
      </c>
      <c r="F343" s="135" t="s">
        <v>620</v>
      </c>
      <c r="G343" s="274">
        <v>1</v>
      </c>
      <c r="H343" s="261">
        <v>35648</v>
      </c>
      <c r="I343" s="261">
        <v>35648</v>
      </c>
      <c r="J343" s="261">
        <v>0</v>
      </c>
      <c r="K343" s="261">
        <f t="shared" si="10"/>
        <v>35648</v>
      </c>
      <c r="L343" s="261">
        <v>2852</v>
      </c>
      <c r="M343" s="261">
        <f t="shared" si="11"/>
        <v>38500</v>
      </c>
      <c r="N343" s="137">
        <v>3.3999999999999998E-3</v>
      </c>
    </row>
    <row r="344" spans="1:14" ht="18" customHeight="1">
      <c r="A344" s="134">
        <v>5</v>
      </c>
      <c r="B344" s="135" t="s">
        <v>89</v>
      </c>
      <c r="C344" s="134">
        <v>72</v>
      </c>
      <c r="D344" s="138" t="s">
        <v>92</v>
      </c>
      <c r="E344" s="138" t="s">
        <v>651</v>
      </c>
      <c r="F344" s="135" t="s">
        <v>620</v>
      </c>
      <c r="G344" s="274">
        <v>14</v>
      </c>
      <c r="H344" s="261">
        <v>3704</v>
      </c>
      <c r="I344" s="261">
        <v>51852</v>
      </c>
      <c r="J344" s="261">
        <v>0</v>
      </c>
      <c r="K344" s="261">
        <f t="shared" si="10"/>
        <v>51852</v>
      </c>
      <c r="L344" s="261">
        <v>4148</v>
      </c>
      <c r="M344" s="261">
        <f t="shared" si="11"/>
        <v>56000</v>
      </c>
      <c r="N344" s="137">
        <v>5.0000000000000001E-3</v>
      </c>
    </row>
    <row r="345" spans="1:14" ht="18" customHeight="1">
      <c r="A345" s="134">
        <v>5</v>
      </c>
      <c r="B345" s="135" t="s">
        <v>89</v>
      </c>
      <c r="C345" s="134">
        <v>112</v>
      </c>
      <c r="D345" s="138" t="s">
        <v>82</v>
      </c>
      <c r="E345" s="138" t="s">
        <v>652</v>
      </c>
      <c r="F345" s="135" t="s">
        <v>620</v>
      </c>
      <c r="G345" s="274">
        <v>1</v>
      </c>
      <c r="H345" s="261">
        <v>41667</v>
      </c>
      <c r="I345" s="261">
        <v>41667</v>
      </c>
      <c r="J345" s="261">
        <v>0</v>
      </c>
      <c r="K345" s="261">
        <f t="shared" si="10"/>
        <v>41667</v>
      </c>
      <c r="L345" s="261">
        <v>3333</v>
      </c>
      <c r="M345" s="261">
        <f t="shared" si="11"/>
        <v>45000</v>
      </c>
      <c r="N345" s="137">
        <v>4.0000000000000001E-3</v>
      </c>
    </row>
    <row r="346" spans="1:14" ht="18" customHeight="1">
      <c r="A346" s="134">
        <v>5</v>
      </c>
      <c r="B346" s="135" t="s">
        <v>89</v>
      </c>
      <c r="C346" s="134">
        <v>227</v>
      </c>
      <c r="D346" s="138" t="s">
        <v>82</v>
      </c>
      <c r="E346" s="138" t="s">
        <v>704</v>
      </c>
      <c r="F346" s="135" t="s">
        <v>620</v>
      </c>
      <c r="G346" s="274">
        <v>2</v>
      </c>
      <c r="H346" s="261">
        <v>1389</v>
      </c>
      <c r="I346" s="261">
        <v>2778</v>
      </c>
      <c r="J346" s="261">
        <v>0</v>
      </c>
      <c r="K346" s="261">
        <f t="shared" si="10"/>
        <v>2778</v>
      </c>
      <c r="L346" s="261">
        <v>222</v>
      </c>
      <c r="M346" s="261">
        <f t="shared" si="11"/>
        <v>3000</v>
      </c>
      <c r="N346" s="137">
        <v>2.9999999999999997E-4</v>
      </c>
    </row>
    <row r="347" spans="1:14" ht="18" customHeight="1">
      <c r="A347" s="134">
        <v>5</v>
      </c>
      <c r="B347" s="135" t="s">
        <v>89</v>
      </c>
      <c r="C347" s="134">
        <v>101</v>
      </c>
      <c r="D347" s="138" t="s">
        <v>82</v>
      </c>
      <c r="E347" s="138" t="s">
        <v>653</v>
      </c>
      <c r="F347" s="135" t="s">
        <v>620</v>
      </c>
      <c r="G347" s="274">
        <v>2</v>
      </c>
      <c r="H347" s="261">
        <v>2315</v>
      </c>
      <c r="I347" s="261">
        <v>4630</v>
      </c>
      <c r="J347" s="261">
        <v>0</v>
      </c>
      <c r="K347" s="261">
        <f t="shared" si="10"/>
        <v>4630</v>
      </c>
      <c r="L347" s="261">
        <v>370</v>
      </c>
      <c r="M347" s="261">
        <f t="shared" si="11"/>
        <v>5000</v>
      </c>
      <c r="N347" s="137">
        <v>4.0000000000000002E-4</v>
      </c>
    </row>
    <row r="348" spans="1:14" ht="18" customHeight="1">
      <c r="A348" s="134">
        <v>5</v>
      </c>
      <c r="B348" s="135" t="s">
        <v>89</v>
      </c>
      <c r="C348" s="134">
        <v>119</v>
      </c>
      <c r="D348" s="138" t="s">
        <v>84</v>
      </c>
      <c r="E348" s="138" t="s">
        <v>109</v>
      </c>
      <c r="F348" s="135" t="s">
        <v>620</v>
      </c>
      <c r="G348" s="274">
        <v>19</v>
      </c>
      <c r="H348" s="261">
        <v>44444</v>
      </c>
      <c r="I348" s="261">
        <v>844444</v>
      </c>
      <c r="J348" s="261">
        <v>0</v>
      </c>
      <c r="K348" s="261">
        <f t="shared" si="10"/>
        <v>844444</v>
      </c>
      <c r="L348" s="261">
        <v>67556</v>
      </c>
      <c r="M348" s="261">
        <f t="shared" si="11"/>
        <v>912000</v>
      </c>
      <c r="N348" s="137">
        <v>8.1699999999999995E-2</v>
      </c>
    </row>
    <row r="349" spans="1:14" ht="18" customHeight="1">
      <c r="A349" s="134">
        <v>5</v>
      </c>
      <c r="B349" s="135" t="s">
        <v>89</v>
      </c>
      <c r="C349" s="134">
        <v>19</v>
      </c>
      <c r="D349" s="138" t="s">
        <v>82</v>
      </c>
      <c r="E349" s="138" t="s">
        <v>654</v>
      </c>
      <c r="F349" s="135" t="s">
        <v>620</v>
      </c>
      <c r="G349" s="274">
        <v>4</v>
      </c>
      <c r="H349" s="261">
        <v>9259</v>
      </c>
      <c r="I349" s="261">
        <v>37037</v>
      </c>
      <c r="J349" s="261">
        <v>0</v>
      </c>
      <c r="K349" s="261">
        <f t="shared" si="10"/>
        <v>37037</v>
      </c>
      <c r="L349" s="261">
        <v>2963</v>
      </c>
      <c r="M349" s="261">
        <f t="shared" si="11"/>
        <v>40000</v>
      </c>
      <c r="N349" s="137">
        <v>3.5999999999999999E-3</v>
      </c>
    </row>
    <row r="350" spans="1:14" ht="18" customHeight="1">
      <c r="A350" s="134">
        <v>5</v>
      </c>
      <c r="B350" s="135" t="s">
        <v>89</v>
      </c>
      <c r="C350" s="134">
        <v>20</v>
      </c>
      <c r="D350" s="138" t="s">
        <v>82</v>
      </c>
      <c r="E350" s="138" t="s">
        <v>705</v>
      </c>
      <c r="F350" s="135" t="s">
        <v>620</v>
      </c>
      <c r="G350" s="274">
        <v>1</v>
      </c>
      <c r="H350" s="261">
        <v>6481</v>
      </c>
      <c r="I350" s="261">
        <v>6481</v>
      </c>
      <c r="J350" s="261">
        <v>0</v>
      </c>
      <c r="K350" s="261">
        <f t="shared" si="10"/>
        <v>6481</v>
      </c>
      <c r="L350" s="261">
        <v>519</v>
      </c>
      <c r="M350" s="261">
        <f t="shared" si="11"/>
        <v>7000</v>
      </c>
      <c r="N350" s="137">
        <v>5.9999999999999995E-4</v>
      </c>
    </row>
    <row r="351" spans="1:14" ht="18" customHeight="1">
      <c r="A351" s="134">
        <v>5</v>
      </c>
      <c r="B351" s="135" t="s">
        <v>89</v>
      </c>
      <c r="C351" s="134">
        <v>48</v>
      </c>
      <c r="D351" s="138" t="s">
        <v>82</v>
      </c>
      <c r="E351" s="138" t="s">
        <v>725</v>
      </c>
      <c r="F351" s="135" t="s">
        <v>620</v>
      </c>
      <c r="G351" s="274">
        <v>1</v>
      </c>
      <c r="H351" s="261">
        <v>129630</v>
      </c>
      <c r="I351" s="261">
        <v>129630</v>
      </c>
      <c r="J351" s="261">
        <v>0</v>
      </c>
      <c r="K351" s="261">
        <f t="shared" si="10"/>
        <v>129630</v>
      </c>
      <c r="L351" s="261">
        <v>10370</v>
      </c>
      <c r="M351" s="261">
        <f t="shared" si="11"/>
        <v>140000</v>
      </c>
      <c r="N351" s="137">
        <v>1.2500000000000001E-2</v>
      </c>
    </row>
    <row r="352" spans="1:14" ht="18" customHeight="1">
      <c r="A352" s="134">
        <v>5</v>
      </c>
      <c r="B352" s="135" t="s">
        <v>89</v>
      </c>
      <c r="C352" s="134">
        <v>47</v>
      </c>
      <c r="D352" s="138" t="s">
        <v>82</v>
      </c>
      <c r="E352" s="138" t="s">
        <v>726</v>
      </c>
      <c r="F352" s="135" t="s">
        <v>620</v>
      </c>
      <c r="G352" s="274">
        <v>1</v>
      </c>
      <c r="H352" s="261">
        <v>64815</v>
      </c>
      <c r="I352" s="261">
        <v>64815</v>
      </c>
      <c r="J352" s="261">
        <v>0</v>
      </c>
      <c r="K352" s="261">
        <f t="shared" si="10"/>
        <v>64815</v>
      </c>
      <c r="L352" s="261">
        <v>5185</v>
      </c>
      <c r="M352" s="261">
        <f t="shared" si="11"/>
        <v>70000</v>
      </c>
      <c r="N352" s="137">
        <v>6.3E-3</v>
      </c>
    </row>
    <row r="353" spans="1:14" ht="18" customHeight="1">
      <c r="A353" s="134">
        <v>5</v>
      </c>
      <c r="B353" s="135" t="s">
        <v>89</v>
      </c>
      <c r="C353" s="134">
        <v>77</v>
      </c>
      <c r="D353" s="138" t="s">
        <v>82</v>
      </c>
      <c r="E353" s="138" t="s">
        <v>655</v>
      </c>
      <c r="F353" s="135" t="s">
        <v>620</v>
      </c>
      <c r="G353" s="274">
        <v>2</v>
      </c>
      <c r="H353" s="261">
        <v>2778</v>
      </c>
      <c r="I353" s="261">
        <v>5556</v>
      </c>
      <c r="J353" s="261">
        <v>0</v>
      </c>
      <c r="K353" s="261">
        <f t="shared" si="10"/>
        <v>5556</v>
      </c>
      <c r="L353" s="261">
        <v>444</v>
      </c>
      <c r="M353" s="261">
        <f t="shared" si="11"/>
        <v>6000</v>
      </c>
      <c r="N353" s="137">
        <v>5.0000000000000001E-4</v>
      </c>
    </row>
    <row r="354" spans="1:14" ht="18" customHeight="1">
      <c r="A354" s="134">
        <v>5</v>
      </c>
      <c r="B354" s="135" t="s">
        <v>89</v>
      </c>
      <c r="C354" s="134">
        <v>111</v>
      </c>
      <c r="D354" s="138" t="s">
        <v>82</v>
      </c>
      <c r="E354" s="138" t="s">
        <v>727</v>
      </c>
      <c r="F354" s="135" t="s">
        <v>620</v>
      </c>
      <c r="G354" s="274">
        <v>0</v>
      </c>
      <c r="H354" s="261">
        <v>0</v>
      </c>
      <c r="I354" s="261">
        <v>0</v>
      </c>
      <c r="J354" s="261">
        <v>0</v>
      </c>
      <c r="K354" s="261">
        <f t="shared" si="10"/>
        <v>0</v>
      </c>
      <c r="L354" s="261">
        <v>0</v>
      </c>
      <c r="M354" s="261">
        <f t="shared" si="11"/>
        <v>0</v>
      </c>
      <c r="N354" s="137">
        <v>0</v>
      </c>
    </row>
    <row r="355" spans="1:14" ht="18" customHeight="1">
      <c r="A355" s="134">
        <v>5</v>
      </c>
      <c r="B355" s="135" t="s">
        <v>89</v>
      </c>
      <c r="C355" s="134">
        <v>86</v>
      </c>
      <c r="D355" s="138" t="s">
        <v>90</v>
      </c>
      <c r="E355" s="138" t="s">
        <v>658</v>
      </c>
      <c r="F355" s="135" t="s">
        <v>620</v>
      </c>
      <c r="G355" s="274">
        <v>15</v>
      </c>
      <c r="H355" s="261">
        <v>3241</v>
      </c>
      <c r="I355" s="261">
        <v>48611</v>
      </c>
      <c r="J355" s="261">
        <v>0</v>
      </c>
      <c r="K355" s="261">
        <f t="shared" si="10"/>
        <v>48611</v>
      </c>
      <c r="L355" s="261">
        <v>3889</v>
      </c>
      <c r="M355" s="261">
        <f t="shared" si="11"/>
        <v>52500</v>
      </c>
      <c r="N355" s="137">
        <v>4.6999999999999993E-3</v>
      </c>
    </row>
    <row r="356" spans="1:14" ht="18" customHeight="1">
      <c r="A356" s="134">
        <v>5</v>
      </c>
      <c r="B356" s="135" t="s">
        <v>89</v>
      </c>
      <c r="C356" s="134">
        <v>80</v>
      </c>
      <c r="D356" s="138" t="s">
        <v>90</v>
      </c>
      <c r="E356" s="138" t="s">
        <v>659</v>
      </c>
      <c r="F356" s="135" t="s">
        <v>620</v>
      </c>
      <c r="G356" s="274">
        <v>0</v>
      </c>
      <c r="H356" s="261">
        <v>0</v>
      </c>
      <c r="I356" s="261">
        <v>0</v>
      </c>
      <c r="J356" s="261">
        <v>0</v>
      </c>
      <c r="K356" s="261">
        <f t="shared" si="10"/>
        <v>0</v>
      </c>
      <c r="L356" s="261">
        <v>0</v>
      </c>
      <c r="M356" s="261">
        <f t="shared" si="11"/>
        <v>0</v>
      </c>
      <c r="N356" s="137">
        <v>0</v>
      </c>
    </row>
    <row r="357" spans="1:14" ht="18" customHeight="1">
      <c r="A357" s="134">
        <v>5</v>
      </c>
      <c r="B357" s="135" t="s">
        <v>89</v>
      </c>
      <c r="C357" s="134">
        <v>91</v>
      </c>
      <c r="D357" s="138" t="s">
        <v>90</v>
      </c>
      <c r="E357" s="138" t="s">
        <v>728</v>
      </c>
      <c r="F357" s="135" t="s">
        <v>620</v>
      </c>
      <c r="G357" s="274">
        <v>0</v>
      </c>
      <c r="H357" s="261">
        <v>0</v>
      </c>
      <c r="I357" s="261">
        <v>0</v>
      </c>
      <c r="J357" s="261">
        <v>0</v>
      </c>
      <c r="K357" s="261">
        <f t="shared" si="10"/>
        <v>0</v>
      </c>
      <c r="L357" s="261">
        <v>0</v>
      </c>
      <c r="M357" s="261">
        <f t="shared" si="11"/>
        <v>0</v>
      </c>
      <c r="N357" s="137">
        <v>0</v>
      </c>
    </row>
    <row r="358" spans="1:14" ht="18" customHeight="1">
      <c r="A358" s="134">
        <v>5</v>
      </c>
      <c r="B358" s="135" t="s">
        <v>89</v>
      </c>
      <c r="C358" s="134">
        <v>100</v>
      </c>
      <c r="D358" s="138" t="s">
        <v>90</v>
      </c>
      <c r="E358" s="138" t="s">
        <v>729</v>
      </c>
      <c r="F358" s="135" t="s">
        <v>620</v>
      </c>
      <c r="G358" s="274">
        <v>4</v>
      </c>
      <c r="H358" s="261">
        <v>19444</v>
      </c>
      <c r="I358" s="261">
        <v>77778</v>
      </c>
      <c r="J358" s="261">
        <v>0</v>
      </c>
      <c r="K358" s="261">
        <f t="shared" si="10"/>
        <v>77778</v>
      </c>
      <c r="L358" s="261">
        <v>6222</v>
      </c>
      <c r="M358" s="261">
        <f t="shared" si="11"/>
        <v>84000</v>
      </c>
      <c r="N358" s="137">
        <v>7.4999999999999997E-3</v>
      </c>
    </row>
    <row r="359" spans="1:14" ht="18" customHeight="1">
      <c r="A359" s="134">
        <v>5</v>
      </c>
      <c r="B359" s="135" t="s">
        <v>89</v>
      </c>
      <c r="C359" s="134">
        <v>63</v>
      </c>
      <c r="D359" s="138" t="s">
        <v>90</v>
      </c>
      <c r="E359" s="138" t="s">
        <v>717</v>
      </c>
      <c r="F359" s="135" t="s">
        <v>620</v>
      </c>
      <c r="G359" s="274">
        <v>1</v>
      </c>
      <c r="H359" s="261">
        <v>3704</v>
      </c>
      <c r="I359" s="261">
        <v>3704</v>
      </c>
      <c r="J359" s="261">
        <v>0</v>
      </c>
      <c r="K359" s="261">
        <f t="shared" si="10"/>
        <v>3704</v>
      </c>
      <c r="L359" s="261">
        <v>296</v>
      </c>
      <c r="M359" s="261">
        <f t="shared" si="11"/>
        <v>4000</v>
      </c>
      <c r="N359" s="137">
        <v>4.0000000000000002E-4</v>
      </c>
    </row>
    <row r="360" spans="1:14" ht="18" customHeight="1">
      <c r="A360" s="134">
        <v>5</v>
      </c>
      <c r="B360" s="135" t="s">
        <v>89</v>
      </c>
      <c r="C360" s="134">
        <v>79</v>
      </c>
      <c r="D360" s="138" t="s">
        <v>90</v>
      </c>
      <c r="E360" s="138" t="s">
        <v>661</v>
      </c>
      <c r="F360" s="135" t="s">
        <v>620</v>
      </c>
      <c r="G360" s="274">
        <v>2</v>
      </c>
      <c r="H360" s="261">
        <v>6481</v>
      </c>
      <c r="I360" s="261">
        <v>12963</v>
      </c>
      <c r="J360" s="261">
        <v>0</v>
      </c>
      <c r="K360" s="261">
        <f t="shared" si="10"/>
        <v>12963</v>
      </c>
      <c r="L360" s="261">
        <v>1037</v>
      </c>
      <c r="M360" s="261">
        <f t="shared" si="11"/>
        <v>14000</v>
      </c>
      <c r="N360" s="137">
        <v>1.2999999999999999E-3</v>
      </c>
    </row>
    <row r="361" spans="1:14" ht="18" customHeight="1">
      <c r="A361" s="134">
        <v>5</v>
      </c>
      <c r="B361" s="135" t="s">
        <v>89</v>
      </c>
      <c r="C361" s="134">
        <v>62</v>
      </c>
      <c r="D361" s="138" t="s">
        <v>90</v>
      </c>
      <c r="E361" s="138" t="s">
        <v>662</v>
      </c>
      <c r="F361" s="135" t="s">
        <v>620</v>
      </c>
      <c r="G361" s="274">
        <v>4</v>
      </c>
      <c r="H361" s="261">
        <v>6944</v>
      </c>
      <c r="I361" s="261">
        <v>27778</v>
      </c>
      <c r="J361" s="261">
        <v>0</v>
      </c>
      <c r="K361" s="261">
        <f t="shared" si="10"/>
        <v>27778</v>
      </c>
      <c r="L361" s="261">
        <v>2222</v>
      </c>
      <c r="M361" s="261">
        <f t="shared" si="11"/>
        <v>30000</v>
      </c>
      <c r="N361" s="137">
        <v>2.7000000000000001E-3</v>
      </c>
    </row>
    <row r="362" spans="1:14" ht="18" customHeight="1">
      <c r="A362" s="134">
        <v>5</v>
      </c>
      <c r="B362" s="135" t="s">
        <v>89</v>
      </c>
      <c r="C362" s="134">
        <v>78</v>
      </c>
      <c r="D362" s="138" t="s">
        <v>90</v>
      </c>
      <c r="E362" s="138" t="s">
        <v>663</v>
      </c>
      <c r="F362" s="135" t="s">
        <v>620</v>
      </c>
      <c r="G362" s="274">
        <v>0</v>
      </c>
      <c r="H362" s="261">
        <v>0</v>
      </c>
      <c r="I362" s="261">
        <v>0</v>
      </c>
      <c r="J362" s="261">
        <v>0</v>
      </c>
      <c r="K362" s="261">
        <f t="shared" si="10"/>
        <v>0</v>
      </c>
      <c r="L362" s="261">
        <v>0</v>
      </c>
      <c r="M362" s="261">
        <f t="shared" si="11"/>
        <v>0</v>
      </c>
      <c r="N362" s="137">
        <v>0</v>
      </c>
    </row>
    <row r="363" spans="1:14" ht="18" customHeight="1">
      <c r="A363" s="134">
        <v>5</v>
      </c>
      <c r="B363" s="135" t="s">
        <v>89</v>
      </c>
      <c r="C363" s="134">
        <v>137</v>
      </c>
      <c r="D363" s="138" t="s">
        <v>90</v>
      </c>
      <c r="E363" s="138" t="s">
        <v>692</v>
      </c>
      <c r="F363" s="135" t="s">
        <v>620</v>
      </c>
      <c r="G363" s="274">
        <v>0</v>
      </c>
      <c r="H363" s="261">
        <v>0</v>
      </c>
      <c r="I363" s="261">
        <v>0</v>
      </c>
      <c r="J363" s="261">
        <v>0</v>
      </c>
      <c r="K363" s="261">
        <f t="shared" si="10"/>
        <v>0</v>
      </c>
      <c r="L363" s="261">
        <v>0</v>
      </c>
      <c r="M363" s="261">
        <f t="shared" si="11"/>
        <v>0</v>
      </c>
      <c r="N363" s="137">
        <v>0</v>
      </c>
    </row>
    <row r="364" spans="1:14" ht="18" customHeight="1">
      <c r="A364" s="134">
        <v>5</v>
      </c>
      <c r="B364" s="135" t="s">
        <v>89</v>
      </c>
      <c r="C364" s="134">
        <v>219</v>
      </c>
      <c r="D364" s="138" t="s">
        <v>82</v>
      </c>
      <c r="E364" s="138" t="s">
        <v>148</v>
      </c>
      <c r="F364" s="135" t="s">
        <v>620</v>
      </c>
      <c r="G364" s="274">
        <v>4</v>
      </c>
      <c r="H364" s="261">
        <v>69444</v>
      </c>
      <c r="I364" s="261">
        <v>277778</v>
      </c>
      <c r="J364" s="261">
        <v>0</v>
      </c>
      <c r="K364" s="261">
        <f t="shared" si="10"/>
        <v>277778</v>
      </c>
      <c r="L364" s="261">
        <v>22222</v>
      </c>
      <c r="M364" s="261">
        <f t="shared" si="11"/>
        <v>300000</v>
      </c>
      <c r="N364" s="137">
        <v>2.69E-2</v>
      </c>
    </row>
    <row r="365" spans="1:14" ht="18" customHeight="1">
      <c r="A365" s="134">
        <v>5</v>
      </c>
      <c r="B365" s="135" t="s">
        <v>89</v>
      </c>
      <c r="C365" s="134">
        <v>220</v>
      </c>
      <c r="D365" s="138" t="s">
        <v>82</v>
      </c>
      <c r="E365" s="138" t="s">
        <v>730</v>
      </c>
      <c r="F365" s="135" t="s">
        <v>620</v>
      </c>
      <c r="G365" s="274">
        <v>2</v>
      </c>
      <c r="H365" s="261">
        <v>69444</v>
      </c>
      <c r="I365" s="261">
        <v>138889</v>
      </c>
      <c r="J365" s="261">
        <v>0</v>
      </c>
      <c r="K365" s="261">
        <f t="shared" si="10"/>
        <v>138889</v>
      </c>
      <c r="L365" s="261">
        <v>11111</v>
      </c>
      <c r="M365" s="261">
        <f t="shared" si="11"/>
        <v>150000</v>
      </c>
      <c r="N365" s="137">
        <v>1.34E-2</v>
      </c>
    </row>
    <row r="366" spans="1:14" ht="18" customHeight="1">
      <c r="A366" s="134">
        <v>5</v>
      </c>
      <c r="B366" s="135" t="s">
        <v>89</v>
      </c>
      <c r="C366" s="134">
        <v>140</v>
      </c>
      <c r="D366" s="138" t="s">
        <v>82</v>
      </c>
      <c r="E366" s="138" t="s">
        <v>665</v>
      </c>
      <c r="F366" s="135" t="s">
        <v>620</v>
      </c>
      <c r="G366" s="274">
        <v>1</v>
      </c>
      <c r="H366" s="261">
        <v>90741</v>
      </c>
      <c r="I366" s="261">
        <v>90741</v>
      </c>
      <c r="J366" s="261">
        <v>0</v>
      </c>
      <c r="K366" s="261">
        <f t="shared" si="10"/>
        <v>90741</v>
      </c>
      <c r="L366" s="261">
        <v>7259</v>
      </c>
      <c r="M366" s="261">
        <f t="shared" si="11"/>
        <v>98000</v>
      </c>
      <c r="N366" s="137">
        <v>8.8000000000000005E-3</v>
      </c>
    </row>
    <row r="367" spans="1:14" ht="18" customHeight="1">
      <c r="A367" s="134">
        <v>5</v>
      </c>
      <c r="B367" s="135" t="s">
        <v>89</v>
      </c>
      <c r="C367" s="134">
        <v>221</v>
      </c>
      <c r="D367" s="138" t="s">
        <v>82</v>
      </c>
      <c r="E367" s="138" t="s">
        <v>666</v>
      </c>
      <c r="F367" s="135" t="s">
        <v>620</v>
      </c>
      <c r="G367" s="274">
        <v>4</v>
      </c>
      <c r="H367" s="261">
        <v>54167</v>
      </c>
      <c r="I367" s="261">
        <v>216667</v>
      </c>
      <c r="J367" s="261">
        <v>0</v>
      </c>
      <c r="K367" s="261">
        <f t="shared" si="10"/>
        <v>216667</v>
      </c>
      <c r="L367" s="261">
        <v>17333</v>
      </c>
      <c r="M367" s="261">
        <f t="shared" si="11"/>
        <v>234000</v>
      </c>
      <c r="N367" s="137">
        <v>2.1000000000000001E-2</v>
      </c>
    </row>
    <row r="368" spans="1:14" ht="18" customHeight="1">
      <c r="A368" s="134">
        <v>5</v>
      </c>
      <c r="B368" s="135" t="s">
        <v>89</v>
      </c>
      <c r="C368" s="134">
        <v>225</v>
      </c>
      <c r="D368" s="138" t="s">
        <v>82</v>
      </c>
      <c r="E368" s="138" t="s">
        <v>731</v>
      </c>
      <c r="F368" s="135" t="s">
        <v>620</v>
      </c>
      <c r="G368" s="274">
        <v>1</v>
      </c>
      <c r="H368" s="261">
        <v>62500</v>
      </c>
      <c r="I368" s="261">
        <v>62500</v>
      </c>
      <c r="J368" s="261">
        <v>0</v>
      </c>
      <c r="K368" s="261">
        <f t="shared" si="10"/>
        <v>62500</v>
      </c>
      <c r="L368" s="261">
        <v>5000</v>
      </c>
      <c r="M368" s="261">
        <f t="shared" si="11"/>
        <v>67500</v>
      </c>
      <c r="N368" s="137">
        <v>6.0000000000000001E-3</v>
      </c>
    </row>
    <row r="369" spans="1:14" ht="18" customHeight="1">
      <c r="A369" s="134">
        <v>5</v>
      </c>
      <c r="B369" s="135" t="s">
        <v>89</v>
      </c>
      <c r="C369" s="134">
        <v>226</v>
      </c>
      <c r="D369" s="138" t="s">
        <v>82</v>
      </c>
      <c r="E369" s="138" t="s">
        <v>718</v>
      </c>
      <c r="F369" s="135" t="s">
        <v>620</v>
      </c>
      <c r="G369" s="274">
        <v>1</v>
      </c>
      <c r="H369" s="261">
        <v>90741</v>
      </c>
      <c r="I369" s="261">
        <v>90741</v>
      </c>
      <c r="J369" s="261">
        <v>0</v>
      </c>
      <c r="K369" s="261">
        <f t="shared" si="10"/>
        <v>90741</v>
      </c>
      <c r="L369" s="261">
        <v>7259</v>
      </c>
      <c r="M369" s="261">
        <f t="shared" si="11"/>
        <v>98000</v>
      </c>
      <c r="N369" s="137">
        <v>8.8000000000000005E-3</v>
      </c>
    </row>
    <row r="370" spans="1:14" ht="18" customHeight="1">
      <c r="A370" s="134">
        <v>5</v>
      </c>
      <c r="B370" s="135" t="s">
        <v>89</v>
      </c>
      <c r="C370" s="134">
        <v>222</v>
      </c>
      <c r="D370" s="138" t="s">
        <v>88</v>
      </c>
      <c r="E370" s="138" t="s">
        <v>667</v>
      </c>
      <c r="F370" s="135" t="s">
        <v>620</v>
      </c>
      <c r="G370" s="274">
        <v>6</v>
      </c>
      <c r="H370" s="261">
        <v>63426</v>
      </c>
      <c r="I370" s="261">
        <v>380556</v>
      </c>
      <c r="J370" s="261">
        <v>0</v>
      </c>
      <c r="K370" s="261">
        <f t="shared" si="10"/>
        <v>380556</v>
      </c>
      <c r="L370" s="261">
        <v>30444</v>
      </c>
      <c r="M370" s="261">
        <f t="shared" si="11"/>
        <v>411000</v>
      </c>
      <c r="N370" s="137">
        <v>3.6799999999999999E-2</v>
      </c>
    </row>
    <row r="371" spans="1:14" ht="18" customHeight="1">
      <c r="A371" s="134">
        <v>5</v>
      </c>
      <c r="B371" s="135" t="s">
        <v>89</v>
      </c>
      <c r="C371" s="134">
        <v>223</v>
      </c>
      <c r="D371" s="138" t="s">
        <v>82</v>
      </c>
      <c r="E371" s="138" t="s">
        <v>136</v>
      </c>
      <c r="F371" s="135" t="s">
        <v>620</v>
      </c>
      <c r="G371" s="274">
        <v>4</v>
      </c>
      <c r="H371" s="261">
        <v>69444</v>
      </c>
      <c r="I371" s="261">
        <v>277778</v>
      </c>
      <c r="J371" s="261">
        <v>0</v>
      </c>
      <c r="K371" s="261">
        <f t="shared" si="10"/>
        <v>277778</v>
      </c>
      <c r="L371" s="261">
        <v>22222</v>
      </c>
      <c r="M371" s="261">
        <f t="shared" si="11"/>
        <v>300000</v>
      </c>
      <c r="N371" s="137">
        <v>2.69E-2</v>
      </c>
    </row>
    <row r="372" spans="1:14" ht="18" customHeight="1">
      <c r="A372" s="134">
        <v>5</v>
      </c>
      <c r="B372" s="135" t="s">
        <v>89</v>
      </c>
      <c r="C372" s="134">
        <v>229</v>
      </c>
      <c r="D372" s="138" t="s">
        <v>82</v>
      </c>
      <c r="E372" s="138" t="s">
        <v>732</v>
      </c>
      <c r="F372" s="135" t="s">
        <v>620</v>
      </c>
      <c r="G372" s="274">
        <v>2</v>
      </c>
      <c r="H372" s="261">
        <v>66204</v>
      </c>
      <c r="I372" s="261">
        <v>132407</v>
      </c>
      <c r="J372" s="261">
        <v>0</v>
      </c>
      <c r="K372" s="261">
        <f t="shared" si="10"/>
        <v>132407</v>
      </c>
      <c r="L372" s="261">
        <v>10593</v>
      </c>
      <c r="M372" s="261">
        <f t="shared" si="11"/>
        <v>143000</v>
      </c>
      <c r="N372" s="137">
        <v>1.2800000000000001E-2</v>
      </c>
    </row>
    <row r="373" spans="1:14" ht="18" customHeight="1">
      <c r="A373" s="134">
        <v>5</v>
      </c>
      <c r="B373" s="135" t="s">
        <v>89</v>
      </c>
      <c r="C373" s="134">
        <v>50</v>
      </c>
      <c r="D373" s="138" t="s">
        <v>82</v>
      </c>
      <c r="E373" s="138" t="s">
        <v>154</v>
      </c>
      <c r="F373" s="135" t="s">
        <v>620</v>
      </c>
      <c r="G373" s="274">
        <v>9</v>
      </c>
      <c r="H373" s="261">
        <v>49074</v>
      </c>
      <c r="I373" s="261">
        <v>441667</v>
      </c>
      <c r="J373" s="261">
        <v>0</v>
      </c>
      <c r="K373" s="261">
        <f t="shared" si="10"/>
        <v>441667</v>
      </c>
      <c r="L373" s="261">
        <v>35333</v>
      </c>
      <c r="M373" s="261">
        <f t="shared" si="11"/>
        <v>477000</v>
      </c>
      <c r="N373" s="137">
        <v>4.2699999999999988E-2</v>
      </c>
    </row>
    <row r="374" spans="1:14" ht="18" customHeight="1">
      <c r="A374" s="134">
        <v>5</v>
      </c>
      <c r="B374" s="135" t="s">
        <v>89</v>
      </c>
      <c r="C374" s="134">
        <v>10</v>
      </c>
      <c r="D374" s="138" t="s">
        <v>82</v>
      </c>
      <c r="E374" s="138" t="s">
        <v>719</v>
      </c>
      <c r="F374" s="135" t="s">
        <v>620</v>
      </c>
      <c r="G374" s="274">
        <v>2</v>
      </c>
      <c r="H374" s="261">
        <v>13889</v>
      </c>
      <c r="I374" s="261">
        <v>27778</v>
      </c>
      <c r="J374" s="261">
        <v>0</v>
      </c>
      <c r="K374" s="261">
        <f t="shared" si="10"/>
        <v>27778</v>
      </c>
      <c r="L374" s="261">
        <v>2222</v>
      </c>
      <c r="M374" s="261">
        <f t="shared" si="11"/>
        <v>30000</v>
      </c>
      <c r="N374" s="137">
        <v>2.7000000000000001E-3</v>
      </c>
    </row>
    <row r="375" spans="1:14" ht="18" customHeight="1">
      <c r="A375" s="134">
        <v>5</v>
      </c>
      <c r="B375" s="135" t="s">
        <v>89</v>
      </c>
      <c r="C375" s="134">
        <v>120</v>
      </c>
      <c r="D375" s="138" t="s">
        <v>88</v>
      </c>
      <c r="E375" s="138" t="s">
        <v>668</v>
      </c>
      <c r="F375" s="135" t="s">
        <v>620</v>
      </c>
      <c r="G375" s="274">
        <v>1</v>
      </c>
      <c r="H375" s="261">
        <v>41667</v>
      </c>
      <c r="I375" s="261">
        <v>41667</v>
      </c>
      <c r="J375" s="261">
        <v>0</v>
      </c>
      <c r="K375" s="261">
        <f t="shared" si="10"/>
        <v>41667</v>
      </c>
      <c r="L375" s="261">
        <v>3333</v>
      </c>
      <c r="M375" s="261">
        <f t="shared" si="11"/>
        <v>45000</v>
      </c>
      <c r="N375" s="137">
        <v>4.0000000000000001E-3</v>
      </c>
    </row>
    <row r="376" spans="1:14" ht="18" customHeight="1">
      <c r="A376" s="134">
        <v>5</v>
      </c>
      <c r="B376" s="135" t="s">
        <v>89</v>
      </c>
      <c r="C376" s="134">
        <v>129</v>
      </c>
      <c r="D376" s="138" t="s">
        <v>88</v>
      </c>
      <c r="E376" s="138" t="s">
        <v>669</v>
      </c>
      <c r="F376" s="135" t="s">
        <v>620</v>
      </c>
      <c r="G376" s="274">
        <v>1</v>
      </c>
      <c r="H376" s="261">
        <v>44444</v>
      </c>
      <c r="I376" s="261">
        <v>44444</v>
      </c>
      <c r="J376" s="261">
        <v>0</v>
      </c>
      <c r="K376" s="261">
        <f t="shared" si="10"/>
        <v>44444</v>
      </c>
      <c r="L376" s="261">
        <v>3556</v>
      </c>
      <c r="M376" s="261">
        <f t="shared" si="11"/>
        <v>48000</v>
      </c>
      <c r="N376" s="137">
        <v>4.3E-3</v>
      </c>
    </row>
    <row r="377" spans="1:14" ht="18" customHeight="1">
      <c r="A377" s="134">
        <v>5</v>
      </c>
      <c r="B377" s="135" t="s">
        <v>89</v>
      </c>
      <c r="C377" s="134">
        <v>116</v>
      </c>
      <c r="D377" s="138" t="s">
        <v>84</v>
      </c>
      <c r="E377" s="138" t="s">
        <v>733</v>
      </c>
      <c r="F377" s="135" t="s">
        <v>620</v>
      </c>
      <c r="G377" s="274">
        <v>14</v>
      </c>
      <c r="H377" s="261">
        <v>5556</v>
      </c>
      <c r="I377" s="261">
        <v>77778</v>
      </c>
      <c r="J377" s="261">
        <v>0</v>
      </c>
      <c r="K377" s="261">
        <f t="shared" si="10"/>
        <v>77778</v>
      </c>
      <c r="L377" s="261">
        <v>6222</v>
      </c>
      <c r="M377" s="261">
        <f t="shared" si="11"/>
        <v>84000</v>
      </c>
      <c r="N377" s="137">
        <v>7.4999999999999997E-3</v>
      </c>
    </row>
    <row r="378" spans="1:14" ht="18" customHeight="1">
      <c r="A378" s="134">
        <v>5</v>
      </c>
      <c r="B378" s="135" t="s">
        <v>89</v>
      </c>
      <c r="C378" s="134">
        <v>117</v>
      </c>
      <c r="D378" s="138" t="s">
        <v>82</v>
      </c>
      <c r="E378" s="138" t="s">
        <v>115</v>
      </c>
      <c r="F378" s="135" t="s">
        <v>620</v>
      </c>
      <c r="G378" s="274">
        <v>7</v>
      </c>
      <c r="H378" s="261">
        <v>41667</v>
      </c>
      <c r="I378" s="261">
        <v>291667</v>
      </c>
      <c r="J378" s="261">
        <v>0</v>
      </c>
      <c r="K378" s="261">
        <f t="shared" si="10"/>
        <v>291667</v>
      </c>
      <c r="L378" s="261">
        <v>23333</v>
      </c>
      <c r="M378" s="261">
        <f t="shared" si="11"/>
        <v>315000</v>
      </c>
      <c r="N378" s="137">
        <v>2.8199999999999999E-2</v>
      </c>
    </row>
    <row r="379" spans="1:14" ht="18" customHeight="1">
      <c r="A379" s="134">
        <v>5</v>
      </c>
      <c r="B379" s="135" t="s">
        <v>89</v>
      </c>
      <c r="C379" s="134">
        <v>36</v>
      </c>
      <c r="D379" s="138" t="s">
        <v>86</v>
      </c>
      <c r="E379" s="138" t="s">
        <v>670</v>
      </c>
      <c r="F379" s="135" t="s">
        <v>620</v>
      </c>
      <c r="G379" s="274">
        <v>4</v>
      </c>
      <c r="H379" s="261">
        <v>3704</v>
      </c>
      <c r="I379" s="261">
        <v>14815</v>
      </c>
      <c r="J379" s="261">
        <v>0</v>
      </c>
      <c r="K379" s="261">
        <f t="shared" si="10"/>
        <v>14815</v>
      </c>
      <c r="L379" s="261">
        <v>1185</v>
      </c>
      <c r="M379" s="261">
        <f t="shared" si="11"/>
        <v>16000</v>
      </c>
      <c r="N379" s="137">
        <v>1.4E-3</v>
      </c>
    </row>
    <row r="380" spans="1:14" ht="18" customHeight="1">
      <c r="A380" s="134">
        <v>5</v>
      </c>
      <c r="B380" s="135" t="s">
        <v>89</v>
      </c>
      <c r="C380" s="134">
        <v>61</v>
      </c>
      <c r="D380" s="138" t="s">
        <v>92</v>
      </c>
      <c r="E380" s="138" t="s">
        <v>671</v>
      </c>
      <c r="F380" s="135" t="s">
        <v>620</v>
      </c>
      <c r="G380" s="274">
        <v>1</v>
      </c>
      <c r="H380" s="261">
        <v>4630</v>
      </c>
      <c r="I380" s="261">
        <v>4630</v>
      </c>
      <c r="J380" s="261">
        <v>0</v>
      </c>
      <c r="K380" s="261">
        <f t="shared" si="10"/>
        <v>4630</v>
      </c>
      <c r="L380" s="261">
        <v>370</v>
      </c>
      <c r="M380" s="261">
        <f t="shared" si="11"/>
        <v>5000</v>
      </c>
      <c r="N380" s="137">
        <v>4.0000000000000002E-4</v>
      </c>
    </row>
    <row r="381" spans="1:14" ht="18" customHeight="1">
      <c r="A381" s="134">
        <v>5</v>
      </c>
      <c r="B381" s="135" t="s">
        <v>89</v>
      </c>
      <c r="C381" s="134">
        <v>215</v>
      </c>
      <c r="D381" s="138" t="s">
        <v>82</v>
      </c>
      <c r="E381" s="138" t="s">
        <v>127</v>
      </c>
      <c r="F381" s="135" t="s">
        <v>620</v>
      </c>
      <c r="G381" s="274">
        <v>11</v>
      </c>
      <c r="H381" s="261">
        <v>37500</v>
      </c>
      <c r="I381" s="261">
        <v>412500</v>
      </c>
      <c r="J381" s="261">
        <v>0</v>
      </c>
      <c r="K381" s="261">
        <f t="shared" si="10"/>
        <v>412500</v>
      </c>
      <c r="L381" s="261">
        <v>33000</v>
      </c>
      <c r="M381" s="261">
        <f t="shared" si="11"/>
        <v>445500</v>
      </c>
      <c r="N381" s="137">
        <v>3.9899999999999998E-2</v>
      </c>
    </row>
    <row r="382" spans="1:14" ht="18" customHeight="1">
      <c r="A382" s="134">
        <v>5</v>
      </c>
      <c r="B382" s="135" t="s">
        <v>89</v>
      </c>
      <c r="C382" s="134">
        <v>214</v>
      </c>
      <c r="D382" s="138" t="s">
        <v>82</v>
      </c>
      <c r="E382" s="138" t="s">
        <v>693</v>
      </c>
      <c r="F382" s="135" t="s">
        <v>620</v>
      </c>
      <c r="G382" s="274">
        <v>7</v>
      </c>
      <c r="H382" s="261">
        <v>37500</v>
      </c>
      <c r="I382" s="261">
        <v>262500</v>
      </c>
      <c r="J382" s="261">
        <v>0</v>
      </c>
      <c r="K382" s="261">
        <f t="shared" si="10"/>
        <v>262500</v>
      </c>
      <c r="L382" s="261">
        <v>21000</v>
      </c>
      <c r="M382" s="261">
        <f t="shared" si="11"/>
        <v>283500</v>
      </c>
      <c r="N382" s="137">
        <v>2.5399999999999999E-2</v>
      </c>
    </row>
    <row r="383" spans="1:14" ht="18" customHeight="1">
      <c r="A383" s="134">
        <v>5</v>
      </c>
      <c r="B383" s="135" t="s">
        <v>89</v>
      </c>
      <c r="C383" s="134">
        <v>113</v>
      </c>
      <c r="D383" s="138" t="s">
        <v>84</v>
      </c>
      <c r="E383" s="138" t="s">
        <v>130</v>
      </c>
      <c r="F383" s="135" t="s">
        <v>620</v>
      </c>
      <c r="G383" s="274">
        <v>26</v>
      </c>
      <c r="H383" s="261">
        <v>22222</v>
      </c>
      <c r="I383" s="261">
        <v>577778</v>
      </c>
      <c r="J383" s="261">
        <v>0</v>
      </c>
      <c r="K383" s="261">
        <f t="shared" si="10"/>
        <v>577778</v>
      </c>
      <c r="L383" s="261">
        <v>46222</v>
      </c>
      <c r="M383" s="261">
        <f t="shared" si="11"/>
        <v>624000</v>
      </c>
      <c r="N383" s="137">
        <v>5.5899999999999998E-2</v>
      </c>
    </row>
    <row r="384" spans="1:14" ht="18" customHeight="1">
      <c r="A384" s="134">
        <v>5</v>
      </c>
      <c r="B384" s="135" t="s">
        <v>89</v>
      </c>
      <c r="C384" s="134">
        <v>96</v>
      </c>
      <c r="D384" s="138" t="s">
        <v>88</v>
      </c>
      <c r="E384" s="138" t="s">
        <v>695</v>
      </c>
      <c r="F384" s="135" t="s">
        <v>620</v>
      </c>
      <c r="G384" s="274">
        <v>7</v>
      </c>
      <c r="H384" s="261">
        <v>35648</v>
      </c>
      <c r="I384" s="261">
        <v>249537</v>
      </c>
      <c r="J384" s="261">
        <v>0</v>
      </c>
      <c r="K384" s="261">
        <f t="shared" si="10"/>
        <v>249537</v>
      </c>
      <c r="L384" s="261">
        <v>19963</v>
      </c>
      <c r="M384" s="261">
        <f t="shared" si="11"/>
        <v>269500</v>
      </c>
      <c r="N384" s="137">
        <v>2.41E-2</v>
      </c>
    </row>
    <row r="385" spans="1:14" ht="18" customHeight="1">
      <c r="A385" s="134">
        <v>5</v>
      </c>
      <c r="B385" s="135" t="s">
        <v>89</v>
      </c>
      <c r="C385" s="134">
        <v>68</v>
      </c>
      <c r="D385" s="138" t="s">
        <v>88</v>
      </c>
      <c r="E385" s="138" t="s">
        <v>672</v>
      </c>
      <c r="F385" s="135" t="s">
        <v>620</v>
      </c>
      <c r="G385" s="274">
        <v>2</v>
      </c>
      <c r="H385" s="261">
        <v>41667</v>
      </c>
      <c r="I385" s="261">
        <v>83333</v>
      </c>
      <c r="J385" s="261">
        <v>0</v>
      </c>
      <c r="K385" s="261">
        <f t="shared" si="10"/>
        <v>83333</v>
      </c>
      <c r="L385" s="261">
        <v>6667</v>
      </c>
      <c r="M385" s="261">
        <f t="shared" si="11"/>
        <v>90000</v>
      </c>
      <c r="N385" s="137">
        <v>8.1000000000000013E-3</v>
      </c>
    </row>
    <row r="386" spans="1:14" ht="18" customHeight="1">
      <c r="A386" s="134">
        <v>5</v>
      </c>
      <c r="B386" s="135" t="s">
        <v>89</v>
      </c>
      <c r="C386" s="134">
        <v>33</v>
      </c>
      <c r="D386" s="138" t="s">
        <v>86</v>
      </c>
      <c r="E386" s="138" t="s">
        <v>673</v>
      </c>
      <c r="F386" s="135" t="s">
        <v>620</v>
      </c>
      <c r="G386" s="274">
        <v>4</v>
      </c>
      <c r="H386" s="261">
        <v>1852</v>
      </c>
      <c r="I386" s="261">
        <v>7407</v>
      </c>
      <c r="J386" s="261">
        <v>0</v>
      </c>
      <c r="K386" s="261">
        <f t="shared" ref="K386:K449" si="12">I386-J386</f>
        <v>7407</v>
      </c>
      <c r="L386" s="261">
        <v>593</v>
      </c>
      <c r="M386" s="261">
        <f t="shared" ref="M386:M449" si="13">K386+L386</f>
        <v>8000</v>
      </c>
      <c r="N386" s="137">
        <v>7.000000000000001E-4</v>
      </c>
    </row>
    <row r="387" spans="1:14" ht="18" customHeight="1">
      <c r="A387" s="134">
        <v>5</v>
      </c>
      <c r="B387" s="135" t="s">
        <v>89</v>
      </c>
      <c r="C387" s="134">
        <v>255</v>
      </c>
      <c r="D387" s="138" t="s">
        <v>88</v>
      </c>
      <c r="E387" s="138" t="s">
        <v>696</v>
      </c>
      <c r="F387" s="135" t="s">
        <v>620</v>
      </c>
      <c r="G387" s="274">
        <v>2</v>
      </c>
      <c r="H387" s="261">
        <v>35648</v>
      </c>
      <c r="I387" s="261">
        <v>71296</v>
      </c>
      <c r="J387" s="261">
        <v>0</v>
      </c>
      <c r="K387" s="261">
        <f t="shared" si="12"/>
        <v>71296</v>
      </c>
      <c r="L387" s="261">
        <v>5704</v>
      </c>
      <c r="M387" s="261">
        <f t="shared" si="13"/>
        <v>77000</v>
      </c>
      <c r="N387" s="137">
        <v>6.8999999999999999E-3</v>
      </c>
    </row>
    <row r="388" spans="1:14" ht="18" customHeight="1">
      <c r="A388" s="134">
        <v>6</v>
      </c>
      <c r="B388" s="135" t="s">
        <v>91</v>
      </c>
      <c r="C388" s="134">
        <v>73</v>
      </c>
      <c r="D388" s="138" t="s">
        <v>86</v>
      </c>
      <c r="E388" s="138" t="s">
        <v>619</v>
      </c>
      <c r="F388" s="135" t="s">
        <v>620</v>
      </c>
      <c r="G388" s="274">
        <v>30</v>
      </c>
      <c r="H388" s="261">
        <v>2593</v>
      </c>
      <c r="I388" s="261">
        <v>77778</v>
      </c>
      <c r="J388" s="261">
        <v>0</v>
      </c>
      <c r="K388" s="261">
        <f t="shared" si="12"/>
        <v>77778</v>
      </c>
      <c r="L388" s="261">
        <v>6222</v>
      </c>
      <c r="M388" s="261">
        <f t="shared" si="13"/>
        <v>84000</v>
      </c>
      <c r="N388" s="137">
        <v>4.0999999999999986E-3</v>
      </c>
    </row>
    <row r="389" spans="1:14" ht="18" customHeight="1">
      <c r="A389" s="134">
        <v>6</v>
      </c>
      <c r="B389" s="135" t="s">
        <v>91</v>
      </c>
      <c r="C389" s="134">
        <v>65</v>
      </c>
      <c r="D389" s="138" t="s">
        <v>86</v>
      </c>
      <c r="E389" s="138" t="s">
        <v>621</v>
      </c>
      <c r="F389" s="135" t="s">
        <v>620</v>
      </c>
      <c r="G389" s="274">
        <v>1</v>
      </c>
      <c r="H389" s="261">
        <v>2778</v>
      </c>
      <c r="I389" s="261">
        <v>2778</v>
      </c>
      <c r="J389" s="261">
        <v>0</v>
      </c>
      <c r="K389" s="261">
        <f t="shared" si="12"/>
        <v>2778</v>
      </c>
      <c r="L389" s="261">
        <v>222</v>
      </c>
      <c r="M389" s="261">
        <f t="shared" si="13"/>
        <v>3000</v>
      </c>
      <c r="N389" s="137">
        <v>1E-4</v>
      </c>
    </row>
    <row r="390" spans="1:14" ht="18" customHeight="1">
      <c r="A390" s="134">
        <v>6</v>
      </c>
      <c r="B390" s="135" t="s">
        <v>91</v>
      </c>
      <c r="C390" s="134">
        <v>12</v>
      </c>
      <c r="D390" s="138" t="s">
        <v>88</v>
      </c>
      <c r="E390" s="138" t="s">
        <v>623</v>
      </c>
      <c r="F390" s="135" t="s">
        <v>620</v>
      </c>
      <c r="G390" s="274">
        <v>4</v>
      </c>
      <c r="H390" s="261">
        <v>41667</v>
      </c>
      <c r="I390" s="261">
        <v>166667</v>
      </c>
      <c r="J390" s="261">
        <v>0</v>
      </c>
      <c r="K390" s="261">
        <f t="shared" si="12"/>
        <v>166667</v>
      </c>
      <c r="L390" s="261">
        <v>13333</v>
      </c>
      <c r="M390" s="261">
        <f t="shared" si="13"/>
        <v>180000</v>
      </c>
      <c r="N390" s="137">
        <v>8.8999999999999999E-3</v>
      </c>
    </row>
    <row r="391" spans="1:14" ht="18" customHeight="1">
      <c r="A391" s="134">
        <v>6</v>
      </c>
      <c r="B391" s="135" t="s">
        <v>91</v>
      </c>
      <c r="C391" s="134">
        <v>313</v>
      </c>
      <c r="D391" s="138" t="s">
        <v>82</v>
      </c>
      <c r="E391" s="138" t="s">
        <v>734</v>
      </c>
      <c r="F391" s="135" t="s">
        <v>620</v>
      </c>
      <c r="G391" s="274">
        <v>2</v>
      </c>
      <c r="H391" s="261">
        <v>4167</v>
      </c>
      <c r="I391" s="261">
        <v>8333</v>
      </c>
      <c r="J391" s="261">
        <v>0</v>
      </c>
      <c r="K391" s="261">
        <f t="shared" si="12"/>
        <v>8333</v>
      </c>
      <c r="L391" s="261">
        <v>667</v>
      </c>
      <c r="M391" s="261">
        <f t="shared" si="13"/>
        <v>9000</v>
      </c>
      <c r="N391" s="137">
        <v>4.0000000000000002E-4</v>
      </c>
    </row>
    <row r="392" spans="1:14" ht="18" customHeight="1">
      <c r="A392" s="134">
        <v>6</v>
      </c>
      <c r="B392" s="135" t="s">
        <v>91</v>
      </c>
      <c r="C392" s="134">
        <v>40</v>
      </c>
      <c r="D392" s="138" t="s">
        <v>82</v>
      </c>
      <c r="E392" s="138" t="s">
        <v>165</v>
      </c>
      <c r="F392" s="135" t="s">
        <v>620</v>
      </c>
      <c r="G392" s="274">
        <v>9</v>
      </c>
      <c r="H392" s="261">
        <v>55093</v>
      </c>
      <c r="I392" s="261">
        <v>495833</v>
      </c>
      <c r="J392" s="261">
        <v>0</v>
      </c>
      <c r="K392" s="261">
        <f t="shared" si="12"/>
        <v>495833</v>
      </c>
      <c r="L392" s="261">
        <v>39667</v>
      </c>
      <c r="M392" s="261">
        <f t="shared" si="13"/>
        <v>535500</v>
      </c>
      <c r="N392" s="137">
        <v>2.64E-2</v>
      </c>
    </row>
    <row r="393" spans="1:14" ht="18" customHeight="1">
      <c r="A393" s="134">
        <v>6</v>
      </c>
      <c r="B393" s="135" t="s">
        <v>91</v>
      </c>
      <c r="C393" s="134">
        <v>131</v>
      </c>
      <c r="D393" s="138" t="s">
        <v>82</v>
      </c>
      <c r="E393" s="138" t="s">
        <v>677</v>
      </c>
      <c r="F393" s="135" t="s">
        <v>620</v>
      </c>
      <c r="G393" s="274">
        <v>1</v>
      </c>
      <c r="H393" s="261">
        <v>278</v>
      </c>
      <c r="I393" s="261">
        <v>278</v>
      </c>
      <c r="J393" s="261">
        <v>0</v>
      </c>
      <c r="K393" s="261">
        <f t="shared" si="12"/>
        <v>278</v>
      </c>
      <c r="L393" s="261">
        <v>22</v>
      </c>
      <c r="M393" s="261">
        <f t="shared" si="13"/>
        <v>300</v>
      </c>
      <c r="N393" s="137">
        <v>0</v>
      </c>
    </row>
    <row r="394" spans="1:14" ht="18" customHeight="1">
      <c r="A394" s="134">
        <v>6</v>
      </c>
      <c r="B394" s="135" t="s">
        <v>91</v>
      </c>
      <c r="C394" s="134">
        <v>104</v>
      </c>
      <c r="D394" s="138" t="s">
        <v>84</v>
      </c>
      <c r="E394" s="138" t="s">
        <v>157</v>
      </c>
      <c r="F394" s="135" t="s">
        <v>620</v>
      </c>
      <c r="G394" s="274">
        <v>2</v>
      </c>
      <c r="H394" s="261">
        <v>15741</v>
      </c>
      <c r="I394" s="261">
        <v>31481</v>
      </c>
      <c r="J394" s="261">
        <v>0</v>
      </c>
      <c r="K394" s="261">
        <f t="shared" si="12"/>
        <v>31481</v>
      </c>
      <c r="L394" s="261">
        <v>2519</v>
      </c>
      <c r="M394" s="261">
        <f t="shared" si="13"/>
        <v>34000</v>
      </c>
      <c r="N394" s="137">
        <v>1.6999999999999999E-3</v>
      </c>
    </row>
    <row r="395" spans="1:14" ht="18" customHeight="1">
      <c r="A395" s="134">
        <v>6</v>
      </c>
      <c r="B395" s="135" t="s">
        <v>91</v>
      </c>
      <c r="C395" s="134">
        <v>5</v>
      </c>
      <c r="D395" s="138" t="s">
        <v>84</v>
      </c>
      <c r="E395" s="138" t="s">
        <v>679</v>
      </c>
      <c r="F395" s="135" t="s">
        <v>620</v>
      </c>
      <c r="G395" s="274">
        <v>3</v>
      </c>
      <c r="H395" s="261">
        <v>11111</v>
      </c>
      <c r="I395" s="261">
        <v>33333</v>
      </c>
      <c r="J395" s="261">
        <v>0</v>
      </c>
      <c r="K395" s="261">
        <f t="shared" si="12"/>
        <v>33333</v>
      </c>
      <c r="L395" s="261">
        <v>2667</v>
      </c>
      <c r="M395" s="261">
        <f t="shared" si="13"/>
        <v>36000</v>
      </c>
      <c r="N395" s="137">
        <v>1.8E-3</v>
      </c>
    </row>
    <row r="396" spans="1:14" ht="18" customHeight="1">
      <c r="A396" s="134">
        <v>6</v>
      </c>
      <c r="B396" s="135" t="s">
        <v>91</v>
      </c>
      <c r="C396" s="134">
        <v>136</v>
      </c>
      <c r="D396" s="138" t="s">
        <v>84</v>
      </c>
      <c r="E396" s="138" t="s">
        <v>625</v>
      </c>
      <c r="F396" s="135" t="s">
        <v>620</v>
      </c>
      <c r="G396" s="274">
        <v>11</v>
      </c>
      <c r="H396" s="261">
        <v>24074</v>
      </c>
      <c r="I396" s="261">
        <v>264815</v>
      </c>
      <c r="J396" s="261">
        <v>0</v>
      </c>
      <c r="K396" s="261">
        <f t="shared" si="12"/>
        <v>264815</v>
      </c>
      <c r="L396" s="261">
        <v>21185</v>
      </c>
      <c r="M396" s="261">
        <f t="shared" si="13"/>
        <v>286000</v>
      </c>
      <c r="N396" s="137">
        <v>1.41E-2</v>
      </c>
    </row>
    <row r="397" spans="1:14" ht="18" customHeight="1">
      <c r="A397" s="134">
        <v>6</v>
      </c>
      <c r="B397" s="135" t="s">
        <v>91</v>
      </c>
      <c r="C397" s="134">
        <v>135</v>
      </c>
      <c r="D397" s="138" t="s">
        <v>84</v>
      </c>
      <c r="E397" s="138" t="s">
        <v>710</v>
      </c>
      <c r="F397" s="135" t="s">
        <v>620</v>
      </c>
      <c r="G397" s="274">
        <v>1</v>
      </c>
      <c r="H397" s="261">
        <v>13889</v>
      </c>
      <c r="I397" s="261">
        <v>13889</v>
      </c>
      <c r="J397" s="261">
        <v>0</v>
      </c>
      <c r="K397" s="261">
        <f t="shared" si="12"/>
        <v>13889</v>
      </c>
      <c r="L397" s="261">
        <v>1111</v>
      </c>
      <c r="M397" s="261">
        <f t="shared" si="13"/>
        <v>15000</v>
      </c>
      <c r="N397" s="137">
        <v>7.000000000000001E-4</v>
      </c>
    </row>
    <row r="398" spans="1:14" ht="18" customHeight="1">
      <c r="A398" s="134">
        <v>6</v>
      </c>
      <c r="B398" s="135" t="s">
        <v>91</v>
      </c>
      <c r="C398" s="134">
        <v>6</v>
      </c>
      <c r="D398" s="138" t="s">
        <v>84</v>
      </c>
      <c r="E398" s="138" t="s">
        <v>680</v>
      </c>
      <c r="F398" s="135" t="s">
        <v>620</v>
      </c>
      <c r="G398" s="274">
        <v>4</v>
      </c>
      <c r="H398" s="261">
        <v>14815</v>
      </c>
      <c r="I398" s="261">
        <v>59259</v>
      </c>
      <c r="J398" s="261">
        <v>0</v>
      </c>
      <c r="K398" s="261">
        <f t="shared" si="12"/>
        <v>59259</v>
      </c>
      <c r="L398" s="261">
        <v>4741</v>
      </c>
      <c r="M398" s="261">
        <f t="shared" si="13"/>
        <v>64000</v>
      </c>
      <c r="N398" s="137">
        <v>3.2000000000000002E-3</v>
      </c>
    </row>
    <row r="399" spans="1:14" ht="18" customHeight="1">
      <c r="A399" s="134">
        <v>6</v>
      </c>
      <c r="B399" s="135" t="s">
        <v>91</v>
      </c>
      <c r="C399" s="134">
        <v>311</v>
      </c>
      <c r="D399" s="138" t="s">
        <v>88</v>
      </c>
      <c r="E399" s="138" t="s">
        <v>626</v>
      </c>
      <c r="F399" s="135" t="s">
        <v>620</v>
      </c>
      <c r="G399" s="274">
        <v>2</v>
      </c>
      <c r="H399" s="261">
        <v>44907</v>
      </c>
      <c r="I399" s="261">
        <v>89815</v>
      </c>
      <c r="J399" s="261">
        <v>0</v>
      </c>
      <c r="K399" s="261">
        <f t="shared" si="12"/>
        <v>89815</v>
      </c>
      <c r="L399" s="261">
        <v>7185</v>
      </c>
      <c r="M399" s="261">
        <f t="shared" si="13"/>
        <v>97000</v>
      </c>
      <c r="N399" s="137">
        <v>4.7999999999999996E-3</v>
      </c>
    </row>
    <row r="400" spans="1:14" ht="18" customHeight="1">
      <c r="A400" s="134">
        <v>6</v>
      </c>
      <c r="B400" s="135" t="s">
        <v>91</v>
      </c>
      <c r="C400" s="134">
        <v>87</v>
      </c>
      <c r="D400" s="138" t="s">
        <v>84</v>
      </c>
      <c r="E400" s="138" t="s">
        <v>139</v>
      </c>
      <c r="F400" s="135" t="s">
        <v>620</v>
      </c>
      <c r="G400" s="274">
        <v>23</v>
      </c>
      <c r="H400" s="261">
        <v>37500</v>
      </c>
      <c r="I400" s="261">
        <v>862500</v>
      </c>
      <c r="J400" s="261">
        <v>0</v>
      </c>
      <c r="K400" s="261">
        <f t="shared" si="12"/>
        <v>862500</v>
      </c>
      <c r="L400" s="261">
        <v>69000</v>
      </c>
      <c r="M400" s="261">
        <f t="shared" si="13"/>
        <v>931500</v>
      </c>
      <c r="N400" s="137">
        <v>4.5999999999999999E-2</v>
      </c>
    </row>
    <row r="401" spans="1:14" ht="18" customHeight="1">
      <c r="A401" s="134">
        <v>6</v>
      </c>
      <c r="B401" s="135" t="s">
        <v>91</v>
      </c>
      <c r="C401" s="134">
        <v>206</v>
      </c>
      <c r="D401" s="138" t="s">
        <v>88</v>
      </c>
      <c r="E401" s="138" t="s">
        <v>627</v>
      </c>
      <c r="F401" s="135" t="s">
        <v>620</v>
      </c>
      <c r="G401" s="274">
        <v>1</v>
      </c>
      <c r="H401" s="261">
        <v>44907</v>
      </c>
      <c r="I401" s="261">
        <v>44907</v>
      </c>
      <c r="J401" s="261">
        <v>0</v>
      </c>
      <c r="K401" s="261">
        <f t="shared" si="12"/>
        <v>44907</v>
      </c>
      <c r="L401" s="261">
        <v>3593</v>
      </c>
      <c r="M401" s="261">
        <f t="shared" si="13"/>
        <v>48500</v>
      </c>
      <c r="N401" s="137">
        <v>2.3999999999999998E-3</v>
      </c>
    </row>
    <row r="402" spans="1:14" ht="18" customHeight="1">
      <c r="A402" s="134">
        <v>6</v>
      </c>
      <c r="B402" s="135" t="s">
        <v>91</v>
      </c>
      <c r="C402" s="134">
        <v>246</v>
      </c>
      <c r="D402" s="138" t="s">
        <v>86</v>
      </c>
      <c r="E402" s="138" t="s">
        <v>629</v>
      </c>
      <c r="F402" s="135" t="s">
        <v>620</v>
      </c>
      <c r="G402" s="274">
        <v>10</v>
      </c>
      <c r="H402" s="261">
        <v>6481</v>
      </c>
      <c r="I402" s="261">
        <v>64815</v>
      </c>
      <c r="J402" s="261">
        <v>0</v>
      </c>
      <c r="K402" s="261">
        <f t="shared" si="12"/>
        <v>64815</v>
      </c>
      <c r="L402" s="261">
        <v>5185</v>
      </c>
      <c r="M402" s="261">
        <f t="shared" si="13"/>
        <v>70000</v>
      </c>
      <c r="N402" s="137">
        <v>3.5000000000000001E-3</v>
      </c>
    </row>
    <row r="403" spans="1:14" ht="18" customHeight="1">
      <c r="A403" s="134">
        <v>6</v>
      </c>
      <c r="B403" s="135" t="s">
        <v>91</v>
      </c>
      <c r="C403" s="134">
        <v>70</v>
      </c>
      <c r="D403" s="138" t="s">
        <v>86</v>
      </c>
      <c r="E403" s="138" t="s">
        <v>630</v>
      </c>
      <c r="F403" s="135" t="s">
        <v>620</v>
      </c>
      <c r="G403" s="274">
        <v>12</v>
      </c>
      <c r="H403" s="261">
        <v>4630</v>
      </c>
      <c r="I403" s="261">
        <v>55556</v>
      </c>
      <c r="J403" s="261">
        <v>0</v>
      </c>
      <c r="K403" s="261">
        <f t="shared" si="12"/>
        <v>55556</v>
      </c>
      <c r="L403" s="261">
        <v>4444</v>
      </c>
      <c r="M403" s="261">
        <f t="shared" si="13"/>
        <v>60000</v>
      </c>
      <c r="N403" s="137">
        <v>3.0000000000000001E-3</v>
      </c>
    </row>
    <row r="404" spans="1:14" ht="18" customHeight="1">
      <c r="A404" s="134">
        <v>6</v>
      </c>
      <c r="B404" s="135" t="s">
        <v>91</v>
      </c>
      <c r="C404" s="134">
        <v>71</v>
      </c>
      <c r="D404" s="138" t="s">
        <v>86</v>
      </c>
      <c r="E404" s="138" t="s">
        <v>631</v>
      </c>
      <c r="F404" s="135" t="s">
        <v>620</v>
      </c>
      <c r="G404" s="274">
        <v>5</v>
      </c>
      <c r="H404" s="261">
        <v>5556</v>
      </c>
      <c r="I404" s="261">
        <v>27778</v>
      </c>
      <c r="J404" s="261">
        <v>0</v>
      </c>
      <c r="K404" s="261">
        <f t="shared" si="12"/>
        <v>27778</v>
      </c>
      <c r="L404" s="261">
        <v>2222</v>
      </c>
      <c r="M404" s="261">
        <f t="shared" si="13"/>
        <v>30000</v>
      </c>
      <c r="N404" s="137">
        <v>1.5E-3</v>
      </c>
    </row>
    <row r="405" spans="1:14" ht="18" customHeight="1">
      <c r="A405" s="134">
        <v>6</v>
      </c>
      <c r="B405" s="135" t="s">
        <v>91</v>
      </c>
      <c r="C405" s="134">
        <v>83</v>
      </c>
      <c r="D405" s="138" t="s">
        <v>82</v>
      </c>
      <c r="E405" s="138" t="s">
        <v>632</v>
      </c>
      <c r="F405" s="135" t="s">
        <v>620</v>
      </c>
      <c r="G405" s="274">
        <v>8</v>
      </c>
      <c r="H405" s="261">
        <v>20833</v>
      </c>
      <c r="I405" s="261">
        <v>166667</v>
      </c>
      <c r="J405" s="261">
        <v>0</v>
      </c>
      <c r="K405" s="261">
        <f t="shared" si="12"/>
        <v>166667</v>
      </c>
      <c r="L405" s="261">
        <v>13333</v>
      </c>
      <c r="M405" s="261">
        <f t="shared" si="13"/>
        <v>180000</v>
      </c>
      <c r="N405" s="137">
        <v>8.8999999999999999E-3</v>
      </c>
    </row>
    <row r="406" spans="1:14" ht="18" customHeight="1">
      <c r="A406" s="134">
        <v>6</v>
      </c>
      <c r="B406" s="135" t="s">
        <v>91</v>
      </c>
      <c r="C406" s="134">
        <v>52</v>
      </c>
      <c r="D406" s="138" t="s">
        <v>82</v>
      </c>
      <c r="E406" s="138" t="s">
        <v>682</v>
      </c>
      <c r="F406" s="135" t="s">
        <v>620</v>
      </c>
      <c r="G406" s="274">
        <v>2</v>
      </c>
      <c r="H406" s="261">
        <v>5556</v>
      </c>
      <c r="I406" s="261">
        <v>11111</v>
      </c>
      <c r="J406" s="261">
        <v>0</v>
      </c>
      <c r="K406" s="261">
        <f t="shared" si="12"/>
        <v>11111</v>
      </c>
      <c r="L406" s="261">
        <v>889</v>
      </c>
      <c r="M406" s="261">
        <f t="shared" si="13"/>
        <v>12000</v>
      </c>
      <c r="N406" s="137">
        <v>5.9999999999999995E-4</v>
      </c>
    </row>
    <row r="407" spans="1:14" ht="18" customHeight="1">
      <c r="A407" s="134">
        <v>6</v>
      </c>
      <c r="B407" s="135" t="s">
        <v>91</v>
      </c>
      <c r="C407" s="134">
        <v>43</v>
      </c>
      <c r="D407" s="138" t="s">
        <v>82</v>
      </c>
      <c r="E407" s="138" t="s">
        <v>633</v>
      </c>
      <c r="F407" s="135" t="s">
        <v>620</v>
      </c>
      <c r="G407" s="274">
        <v>3</v>
      </c>
      <c r="H407" s="261">
        <v>8333</v>
      </c>
      <c r="I407" s="261">
        <v>25000</v>
      </c>
      <c r="J407" s="261">
        <v>0</v>
      </c>
      <c r="K407" s="261">
        <f t="shared" si="12"/>
        <v>25000</v>
      </c>
      <c r="L407" s="261">
        <v>2000</v>
      </c>
      <c r="M407" s="261">
        <f t="shared" si="13"/>
        <v>27000</v>
      </c>
      <c r="N407" s="137">
        <v>1.2999999999999999E-3</v>
      </c>
    </row>
    <row r="408" spans="1:14" ht="18" customHeight="1">
      <c r="A408" s="134">
        <v>6</v>
      </c>
      <c r="B408" s="135" t="s">
        <v>91</v>
      </c>
      <c r="C408" s="134">
        <v>41</v>
      </c>
      <c r="D408" s="138" t="s">
        <v>82</v>
      </c>
      <c r="E408" s="138" t="s">
        <v>163</v>
      </c>
      <c r="F408" s="135" t="s">
        <v>620</v>
      </c>
      <c r="G408" s="274">
        <v>5</v>
      </c>
      <c r="H408" s="261">
        <v>49074</v>
      </c>
      <c r="I408" s="261">
        <v>245370</v>
      </c>
      <c r="J408" s="261">
        <v>0</v>
      </c>
      <c r="K408" s="261">
        <f t="shared" si="12"/>
        <v>245370</v>
      </c>
      <c r="L408" s="261">
        <v>19630</v>
      </c>
      <c r="M408" s="261">
        <f t="shared" si="13"/>
        <v>265000</v>
      </c>
      <c r="N408" s="137">
        <v>1.3100000000000001E-2</v>
      </c>
    </row>
    <row r="409" spans="1:14" ht="18" customHeight="1">
      <c r="A409" s="134">
        <v>6</v>
      </c>
      <c r="B409" s="135" t="s">
        <v>91</v>
      </c>
      <c r="C409" s="134">
        <v>42</v>
      </c>
      <c r="D409" s="138" t="s">
        <v>82</v>
      </c>
      <c r="E409" s="138" t="s">
        <v>354</v>
      </c>
      <c r="F409" s="135" t="s">
        <v>620</v>
      </c>
      <c r="G409" s="274">
        <v>4</v>
      </c>
      <c r="H409" s="261">
        <v>32407</v>
      </c>
      <c r="I409" s="261">
        <v>129630</v>
      </c>
      <c r="J409" s="261">
        <v>0</v>
      </c>
      <c r="K409" s="261">
        <f t="shared" si="12"/>
        <v>129630</v>
      </c>
      <c r="L409" s="261">
        <v>10370</v>
      </c>
      <c r="M409" s="261">
        <f t="shared" si="13"/>
        <v>140000</v>
      </c>
      <c r="N409" s="137">
        <v>6.8999999999999999E-3</v>
      </c>
    </row>
    <row r="410" spans="1:14" ht="18" customHeight="1">
      <c r="A410" s="134">
        <v>6</v>
      </c>
      <c r="B410" s="135" t="s">
        <v>91</v>
      </c>
      <c r="C410" s="134">
        <v>44</v>
      </c>
      <c r="D410" s="138" t="s">
        <v>82</v>
      </c>
      <c r="E410" s="138" t="s">
        <v>133</v>
      </c>
      <c r="F410" s="135" t="s">
        <v>620</v>
      </c>
      <c r="G410" s="274">
        <v>26</v>
      </c>
      <c r="H410" s="261">
        <v>28241</v>
      </c>
      <c r="I410" s="261">
        <v>734259</v>
      </c>
      <c r="J410" s="261">
        <v>0</v>
      </c>
      <c r="K410" s="261">
        <f t="shared" si="12"/>
        <v>734259</v>
      </c>
      <c r="L410" s="261">
        <v>58741</v>
      </c>
      <c r="M410" s="261">
        <f t="shared" si="13"/>
        <v>793000</v>
      </c>
      <c r="N410" s="137">
        <v>3.9100000000000003E-2</v>
      </c>
    </row>
    <row r="411" spans="1:14" ht="18" customHeight="1">
      <c r="A411" s="134">
        <v>6</v>
      </c>
      <c r="B411" s="135" t="s">
        <v>91</v>
      </c>
      <c r="C411" s="134">
        <v>110</v>
      </c>
      <c r="D411" s="138" t="s">
        <v>94</v>
      </c>
      <c r="E411" s="138" t="s">
        <v>635</v>
      </c>
      <c r="F411" s="135" t="s">
        <v>620</v>
      </c>
      <c r="G411" s="274">
        <v>23</v>
      </c>
      <c r="H411" s="261">
        <v>926</v>
      </c>
      <c r="I411" s="261">
        <v>21296</v>
      </c>
      <c r="J411" s="261">
        <v>0</v>
      </c>
      <c r="K411" s="261">
        <f t="shared" si="12"/>
        <v>21296</v>
      </c>
      <c r="L411" s="261">
        <v>1704</v>
      </c>
      <c r="M411" s="261">
        <f t="shared" si="13"/>
        <v>23000</v>
      </c>
      <c r="N411" s="137">
        <v>1.1000000000000001E-3</v>
      </c>
    </row>
    <row r="412" spans="1:14" ht="18" customHeight="1">
      <c r="A412" s="134">
        <v>6</v>
      </c>
      <c r="B412" s="135" t="s">
        <v>91</v>
      </c>
      <c r="C412" s="134">
        <v>102</v>
      </c>
      <c r="D412" s="138" t="s">
        <v>82</v>
      </c>
      <c r="E412" s="138" t="s">
        <v>684</v>
      </c>
      <c r="F412" s="135" t="s">
        <v>620</v>
      </c>
      <c r="G412" s="274">
        <v>3</v>
      </c>
      <c r="H412" s="261">
        <v>6944</v>
      </c>
      <c r="I412" s="261">
        <v>20833</v>
      </c>
      <c r="J412" s="261">
        <v>0</v>
      </c>
      <c r="K412" s="261">
        <f t="shared" si="12"/>
        <v>20833</v>
      </c>
      <c r="L412" s="261">
        <v>1667</v>
      </c>
      <c r="M412" s="261">
        <f t="shared" si="13"/>
        <v>22500</v>
      </c>
      <c r="N412" s="137">
        <v>1.1000000000000001E-3</v>
      </c>
    </row>
    <row r="413" spans="1:14" ht="18" customHeight="1">
      <c r="A413" s="134">
        <v>6</v>
      </c>
      <c r="B413" s="135" t="s">
        <v>91</v>
      </c>
      <c r="C413" s="134">
        <v>45</v>
      </c>
      <c r="D413" s="138" t="s">
        <v>82</v>
      </c>
      <c r="E413" s="138" t="s">
        <v>636</v>
      </c>
      <c r="F413" s="135" t="s">
        <v>620</v>
      </c>
      <c r="G413" s="274">
        <v>5</v>
      </c>
      <c r="H413" s="261">
        <v>35648</v>
      </c>
      <c r="I413" s="261">
        <v>178241</v>
      </c>
      <c r="J413" s="261">
        <v>0</v>
      </c>
      <c r="K413" s="261">
        <f t="shared" si="12"/>
        <v>178241</v>
      </c>
      <c r="L413" s="261">
        <v>14259</v>
      </c>
      <c r="M413" s="261">
        <f t="shared" si="13"/>
        <v>192500</v>
      </c>
      <c r="N413" s="137">
        <v>9.4999999999999998E-3</v>
      </c>
    </row>
    <row r="414" spans="1:14" ht="18" customHeight="1">
      <c r="A414" s="134">
        <v>6</v>
      </c>
      <c r="B414" s="135" t="s">
        <v>91</v>
      </c>
      <c r="C414" s="134">
        <v>30</v>
      </c>
      <c r="D414" s="138" t="s">
        <v>90</v>
      </c>
      <c r="E414" s="138" t="s">
        <v>637</v>
      </c>
      <c r="F414" s="135" t="s">
        <v>620</v>
      </c>
      <c r="G414" s="274">
        <v>5</v>
      </c>
      <c r="H414" s="261">
        <v>6481</v>
      </c>
      <c r="I414" s="261">
        <v>32407</v>
      </c>
      <c r="J414" s="261">
        <v>0</v>
      </c>
      <c r="K414" s="261">
        <f t="shared" si="12"/>
        <v>32407</v>
      </c>
      <c r="L414" s="261">
        <v>2593</v>
      </c>
      <c r="M414" s="261">
        <f t="shared" si="13"/>
        <v>35000</v>
      </c>
      <c r="N414" s="137">
        <v>1.6999999999999999E-3</v>
      </c>
    </row>
    <row r="415" spans="1:14" ht="18" customHeight="1">
      <c r="A415" s="134">
        <v>6</v>
      </c>
      <c r="B415" s="135" t="s">
        <v>91</v>
      </c>
      <c r="C415" s="134">
        <v>217</v>
      </c>
      <c r="D415" s="138" t="s">
        <v>84</v>
      </c>
      <c r="E415" s="138" t="s">
        <v>639</v>
      </c>
      <c r="F415" s="135" t="s">
        <v>620</v>
      </c>
      <c r="G415" s="274">
        <v>6</v>
      </c>
      <c r="H415" s="261">
        <v>28086</v>
      </c>
      <c r="I415" s="261">
        <v>168519</v>
      </c>
      <c r="J415" s="261">
        <v>0</v>
      </c>
      <c r="K415" s="261">
        <f t="shared" si="12"/>
        <v>168519</v>
      </c>
      <c r="L415" s="261">
        <v>13481</v>
      </c>
      <c r="M415" s="261">
        <f t="shared" si="13"/>
        <v>182000</v>
      </c>
      <c r="N415" s="137">
        <v>9.0000000000000011E-3</v>
      </c>
    </row>
    <row r="416" spans="1:14" ht="18" customHeight="1">
      <c r="A416" s="134">
        <v>6</v>
      </c>
      <c r="B416" s="135" t="s">
        <v>91</v>
      </c>
      <c r="C416" s="134">
        <v>34</v>
      </c>
      <c r="D416" s="138" t="s">
        <v>86</v>
      </c>
      <c r="E416" s="138" t="s">
        <v>641</v>
      </c>
      <c r="F416" s="135" t="s">
        <v>620</v>
      </c>
      <c r="G416" s="274">
        <v>10</v>
      </c>
      <c r="H416" s="261">
        <v>6481</v>
      </c>
      <c r="I416" s="261">
        <v>64815</v>
      </c>
      <c r="J416" s="261">
        <v>0</v>
      </c>
      <c r="K416" s="261">
        <f t="shared" si="12"/>
        <v>64815</v>
      </c>
      <c r="L416" s="261">
        <v>5185</v>
      </c>
      <c r="M416" s="261">
        <f t="shared" si="13"/>
        <v>70000</v>
      </c>
      <c r="N416" s="137">
        <v>3.5000000000000001E-3</v>
      </c>
    </row>
    <row r="417" spans="1:14" ht="18" customHeight="1">
      <c r="A417" s="134">
        <v>6</v>
      </c>
      <c r="B417" s="135" t="s">
        <v>91</v>
      </c>
      <c r="C417" s="134">
        <v>66</v>
      </c>
      <c r="D417" s="138" t="s">
        <v>86</v>
      </c>
      <c r="E417" s="138" t="s">
        <v>721</v>
      </c>
      <c r="F417" s="135" t="s">
        <v>620</v>
      </c>
      <c r="G417" s="274">
        <v>2</v>
      </c>
      <c r="H417" s="261">
        <v>11574</v>
      </c>
      <c r="I417" s="261">
        <v>23148</v>
      </c>
      <c r="J417" s="261">
        <v>0</v>
      </c>
      <c r="K417" s="261">
        <f t="shared" si="12"/>
        <v>23148</v>
      </c>
      <c r="L417" s="261">
        <v>1852</v>
      </c>
      <c r="M417" s="261">
        <f t="shared" si="13"/>
        <v>25000</v>
      </c>
      <c r="N417" s="137">
        <v>1.1999999999999999E-3</v>
      </c>
    </row>
    <row r="418" spans="1:14" ht="18" customHeight="1">
      <c r="A418" s="134">
        <v>6</v>
      </c>
      <c r="B418" s="135" t="s">
        <v>91</v>
      </c>
      <c r="C418" s="134">
        <v>121</v>
      </c>
      <c r="D418" s="138" t="s">
        <v>86</v>
      </c>
      <c r="E418" s="138" t="s">
        <v>642</v>
      </c>
      <c r="F418" s="135" t="s">
        <v>620</v>
      </c>
      <c r="G418" s="274">
        <v>18</v>
      </c>
      <c r="H418" s="261">
        <v>2778</v>
      </c>
      <c r="I418" s="261">
        <v>50000</v>
      </c>
      <c r="J418" s="261">
        <v>0</v>
      </c>
      <c r="K418" s="261">
        <f t="shared" si="12"/>
        <v>50000</v>
      </c>
      <c r="L418" s="261">
        <v>4000</v>
      </c>
      <c r="M418" s="261">
        <f t="shared" si="13"/>
        <v>54000</v>
      </c>
      <c r="N418" s="137">
        <v>2.7000000000000001E-3</v>
      </c>
    </row>
    <row r="419" spans="1:14" ht="18" customHeight="1">
      <c r="A419" s="134">
        <v>6</v>
      </c>
      <c r="B419" s="135" t="s">
        <v>91</v>
      </c>
      <c r="C419" s="134">
        <v>208</v>
      </c>
      <c r="D419" s="138" t="s">
        <v>86</v>
      </c>
      <c r="E419" s="138" t="s">
        <v>643</v>
      </c>
      <c r="F419" s="135" t="s">
        <v>620</v>
      </c>
      <c r="G419" s="274">
        <v>34</v>
      </c>
      <c r="H419" s="261">
        <v>3704</v>
      </c>
      <c r="I419" s="261">
        <v>125926</v>
      </c>
      <c r="J419" s="261">
        <v>0</v>
      </c>
      <c r="K419" s="261">
        <f t="shared" si="12"/>
        <v>125926</v>
      </c>
      <c r="L419" s="261">
        <v>10074</v>
      </c>
      <c r="M419" s="261">
        <f t="shared" si="13"/>
        <v>136000</v>
      </c>
      <c r="N419" s="137">
        <v>6.7000000000000002E-3</v>
      </c>
    </row>
    <row r="420" spans="1:14" ht="18" customHeight="1">
      <c r="A420" s="134">
        <v>6</v>
      </c>
      <c r="B420" s="135" t="s">
        <v>91</v>
      </c>
      <c r="C420" s="134">
        <v>90</v>
      </c>
      <c r="D420" s="138" t="s">
        <v>86</v>
      </c>
      <c r="E420" s="138" t="s">
        <v>439</v>
      </c>
      <c r="F420" s="135" t="s">
        <v>620</v>
      </c>
      <c r="G420" s="274">
        <v>6</v>
      </c>
      <c r="H420" s="261">
        <v>4259</v>
      </c>
      <c r="I420" s="261">
        <v>25556</v>
      </c>
      <c r="J420" s="261">
        <v>0</v>
      </c>
      <c r="K420" s="261">
        <f t="shared" si="12"/>
        <v>25556</v>
      </c>
      <c r="L420" s="261">
        <v>2044</v>
      </c>
      <c r="M420" s="261">
        <f t="shared" si="13"/>
        <v>27600</v>
      </c>
      <c r="N420" s="137">
        <v>1.4E-3</v>
      </c>
    </row>
    <row r="421" spans="1:14" ht="18" customHeight="1">
      <c r="A421" s="134">
        <v>6</v>
      </c>
      <c r="B421" s="135" t="s">
        <v>91</v>
      </c>
      <c r="C421" s="134">
        <v>123</v>
      </c>
      <c r="D421" s="138" t="s">
        <v>86</v>
      </c>
      <c r="E421" s="138" t="s">
        <v>644</v>
      </c>
      <c r="F421" s="135" t="s">
        <v>620</v>
      </c>
      <c r="G421" s="274">
        <v>6</v>
      </c>
      <c r="H421" s="261">
        <v>2778</v>
      </c>
      <c r="I421" s="261">
        <v>16667</v>
      </c>
      <c r="J421" s="261">
        <v>0</v>
      </c>
      <c r="K421" s="261">
        <f t="shared" si="12"/>
        <v>16667</v>
      </c>
      <c r="L421" s="261">
        <v>1333</v>
      </c>
      <c r="M421" s="261">
        <f t="shared" si="13"/>
        <v>18000</v>
      </c>
      <c r="N421" s="137">
        <v>8.9999999999999998E-4</v>
      </c>
    </row>
    <row r="422" spans="1:14" ht="18" customHeight="1">
      <c r="A422" s="134">
        <v>6</v>
      </c>
      <c r="B422" s="135" t="s">
        <v>91</v>
      </c>
      <c r="C422" s="134">
        <v>31</v>
      </c>
      <c r="D422" s="138" t="s">
        <v>90</v>
      </c>
      <c r="E422" s="138" t="s">
        <v>645</v>
      </c>
      <c r="F422" s="135" t="s">
        <v>620</v>
      </c>
      <c r="G422" s="274">
        <v>6</v>
      </c>
      <c r="H422" s="261">
        <v>1204</v>
      </c>
      <c r="I422" s="261">
        <v>7222</v>
      </c>
      <c r="J422" s="261">
        <v>0</v>
      </c>
      <c r="K422" s="261">
        <f t="shared" si="12"/>
        <v>7222</v>
      </c>
      <c r="L422" s="261">
        <v>578</v>
      </c>
      <c r="M422" s="261">
        <f t="shared" si="13"/>
        <v>7800</v>
      </c>
      <c r="N422" s="137">
        <v>4.0000000000000002E-4</v>
      </c>
    </row>
    <row r="423" spans="1:14" ht="18" customHeight="1">
      <c r="A423" s="134">
        <v>6</v>
      </c>
      <c r="B423" s="135" t="s">
        <v>91</v>
      </c>
      <c r="C423" s="134">
        <v>202</v>
      </c>
      <c r="D423" s="138" t="s">
        <v>86</v>
      </c>
      <c r="E423" s="138" t="s">
        <v>723</v>
      </c>
      <c r="F423" s="135" t="s">
        <v>620</v>
      </c>
      <c r="G423" s="274">
        <v>2</v>
      </c>
      <c r="H423" s="261">
        <v>32407</v>
      </c>
      <c r="I423" s="261">
        <v>64815</v>
      </c>
      <c r="J423" s="261">
        <v>0</v>
      </c>
      <c r="K423" s="261">
        <f t="shared" si="12"/>
        <v>64815</v>
      </c>
      <c r="L423" s="261">
        <v>5185</v>
      </c>
      <c r="M423" s="261">
        <f t="shared" si="13"/>
        <v>70000</v>
      </c>
      <c r="N423" s="137">
        <v>3.5000000000000001E-3</v>
      </c>
    </row>
    <row r="424" spans="1:14" ht="18" customHeight="1">
      <c r="A424" s="134">
        <v>6</v>
      </c>
      <c r="B424" s="135" t="s">
        <v>91</v>
      </c>
      <c r="C424" s="134">
        <v>212</v>
      </c>
      <c r="D424" s="138" t="s">
        <v>86</v>
      </c>
      <c r="E424" s="138" t="s">
        <v>160</v>
      </c>
      <c r="F424" s="135" t="s">
        <v>620</v>
      </c>
      <c r="G424" s="274">
        <v>28</v>
      </c>
      <c r="H424" s="261">
        <v>22222</v>
      </c>
      <c r="I424" s="261">
        <v>622222</v>
      </c>
      <c r="J424" s="261">
        <v>0</v>
      </c>
      <c r="K424" s="261">
        <f t="shared" si="12"/>
        <v>622222</v>
      </c>
      <c r="L424" s="261">
        <v>49778</v>
      </c>
      <c r="M424" s="261">
        <f t="shared" si="13"/>
        <v>672000</v>
      </c>
      <c r="N424" s="137">
        <v>3.32E-2</v>
      </c>
    </row>
    <row r="425" spans="1:14" ht="18" customHeight="1">
      <c r="A425" s="134">
        <v>6</v>
      </c>
      <c r="B425" s="135" t="s">
        <v>91</v>
      </c>
      <c r="C425" s="134">
        <v>74</v>
      </c>
      <c r="D425" s="138" t="s">
        <v>86</v>
      </c>
      <c r="E425" s="138" t="s">
        <v>686</v>
      </c>
      <c r="F425" s="135" t="s">
        <v>620</v>
      </c>
      <c r="G425" s="274">
        <v>14</v>
      </c>
      <c r="H425" s="261">
        <v>6481</v>
      </c>
      <c r="I425" s="261">
        <v>90741</v>
      </c>
      <c r="J425" s="261">
        <v>0</v>
      </c>
      <c r="K425" s="261">
        <f t="shared" si="12"/>
        <v>90741</v>
      </c>
      <c r="L425" s="261">
        <v>7259</v>
      </c>
      <c r="M425" s="261">
        <f t="shared" si="13"/>
        <v>98000</v>
      </c>
      <c r="N425" s="137">
        <v>4.7999999999999996E-3</v>
      </c>
    </row>
    <row r="426" spans="1:14" ht="18" customHeight="1">
      <c r="A426" s="134">
        <v>6</v>
      </c>
      <c r="B426" s="135" t="s">
        <v>91</v>
      </c>
      <c r="C426" s="134">
        <v>235</v>
      </c>
      <c r="D426" s="138" t="s">
        <v>86</v>
      </c>
      <c r="E426" s="138" t="s">
        <v>687</v>
      </c>
      <c r="F426" s="135" t="s">
        <v>620</v>
      </c>
      <c r="G426" s="274">
        <v>2</v>
      </c>
      <c r="H426" s="261">
        <v>3426</v>
      </c>
      <c r="I426" s="261">
        <v>6852</v>
      </c>
      <c r="J426" s="261">
        <v>0</v>
      </c>
      <c r="K426" s="261">
        <f t="shared" si="12"/>
        <v>6852</v>
      </c>
      <c r="L426" s="261">
        <v>548</v>
      </c>
      <c r="M426" s="261">
        <f t="shared" si="13"/>
        <v>7400</v>
      </c>
      <c r="N426" s="137">
        <v>4.0000000000000002E-4</v>
      </c>
    </row>
    <row r="427" spans="1:14" ht="18" customHeight="1">
      <c r="A427" s="134">
        <v>6</v>
      </c>
      <c r="B427" s="135" t="s">
        <v>91</v>
      </c>
      <c r="C427" s="134">
        <v>134</v>
      </c>
      <c r="D427" s="138" t="s">
        <v>86</v>
      </c>
      <c r="E427" s="138" t="s">
        <v>703</v>
      </c>
      <c r="F427" s="135" t="s">
        <v>620</v>
      </c>
      <c r="G427" s="274">
        <v>4</v>
      </c>
      <c r="H427" s="261">
        <v>12963</v>
      </c>
      <c r="I427" s="261">
        <v>51852</v>
      </c>
      <c r="J427" s="261">
        <v>0</v>
      </c>
      <c r="K427" s="261">
        <f t="shared" si="12"/>
        <v>51852</v>
      </c>
      <c r="L427" s="261">
        <v>4148</v>
      </c>
      <c r="M427" s="261">
        <f t="shared" si="13"/>
        <v>56000</v>
      </c>
      <c r="N427" s="137">
        <v>2.8E-3</v>
      </c>
    </row>
    <row r="428" spans="1:14" ht="18" customHeight="1">
      <c r="A428" s="134">
        <v>6</v>
      </c>
      <c r="B428" s="135" t="s">
        <v>91</v>
      </c>
      <c r="C428" s="134">
        <v>501</v>
      </c>
      <c r="D428" s="138" t="s">
        <v>86</v>
      </c>
      <c r="E428" s="138" t="s">
        <v>646</v>
      </c>
      <c r="F428" s="135" t="s">
        <v>620</v>
      </c>
      <c r="G428" s="274">
        <v>2</v>
      </c>
      <c r="H428" s="261">
        <v>22222</v>
      </c>
      <c r="I428" s="261">
        <v>44444</v>
      </c>
      <c r="J428" s="261">
        <v>0</v>
      </c>
      <c r="K428" s="261">
        <f t="shared" si="12"/>
        <v>44444</v>
      </c>
      <c r="L428" s="261">
        <v>3556</v>
      </c>
      <c r="M428" s="261">
        <f t="shared" si="13"/>
        <v>48000</v>
      </c>
      <c r="N428" s="137">
        <v>2.3999999999999998E-3</v>
      </c>
    </row>
    <row r="429" spans="1:14" ht="18" customHeight="1">
      <c r="A429" s="134">
        <v>6</v>
      </c>
      <c r="B429" s="135" t="s">
        <v>91</v>
      </c>
      <c r="C429" s="134">
        <v>107</v>
      </c>
      <c r="D429" s="138" t="s">
        <v>86</v>
      </c>
      <c r="E429" s="138" t="s">
        <v>735</v>
      </c>
      <c r="F429" s="135" t="s">
        <v>620</v>
      </c>
      <c r="G429" s="274">
        <v>3</v>
      </c>
      <c r="H429" s="261">
        <v>32407</v>
      </c>
      <c r="I429" s="261">
        <v>97222</v>
      </c>
      <c r="J429" s="261">
        <v>0</v>
      </c>
      <c r="K429" s="261">
        <f t="shared" si="12"/>
        <v>97222</v>
      </c>
      <c r="L429" s="261">
        <v>7778</v>
      </c>
      <c r="M429" s="261">
        <f t="shared" si="13"/>
        <v>105000</v>
      </c>
      <c r="N429" s="137">
        <v>5.1999999999999998E-3</v>
      </c>
    </row>
    <row r="430" spans="1:14" ht="18" customHeight="1">
      <c r="A430" s="134">
        <v>6</v>
      </c>
      <c r="B430" s="135" t="s">
        <v>91</v>
      </c>
      <c r="C430" s="134">
        <v>75</v>
      </c>
      <c r="D430" s="138" t="s">
        <v>86</v>
      </c>
      <c r="E430" s="138" t="s">
        <v>647</v>
      </c>
      <c r="F430" s="135" t="s">
        <v>620</v>
      </c>
      <c r="G430" s="274">
        <v>7</v>
      </c>
      <c r="H430" s="261">
        <v>9259</v>
      </c>
      <c r="I430" s="261">
        <v>64815</v>
      </c>
      <c r="J430" s="261">
        <v>0</v>
      </c>
      <c r="K430" s="261">
        <f t="shared" si="12"/>
        <v>64815</v>
      </c>
      <c r="L430" s="261">
        <v>5185</v>
      </c>
      <c r="M430" s="261">
        <f t="shared" si="13"/>
        <v>70000</v>
      </c>
      <c r="N430" s="137">
        <v>3.5000000000000001E-3</v>
      </c>
    </row>
    <row r="431" spans="1:14" ht="18" customHeight="1">
      <c r="A431" s="134">
        <v>6</v>
      </c>
      <c r="B431" s="135" t="s">
        <v>91</v>
      </c>
      <c r="C431" s="134">
        <v>51</v>
      </c>
      <c r="D431" s="138" t="s">
        <v>82</v>
      </c>
      <c r="E431" s="138" t="s">
        <v>724</v>
      </c>
      <c r="F431" s="135" t="s">
        <v>620</v>
      </c>
      <c r="G431" s="274">
        <v>5</v>
      </c>
      <c r="H431" s="261">
        <v>29167</v>
      </c>
      <c r="I431" s="261">
        <v>145833</v>
      </c>
      <c r="J431" s="261">
        <v>0</v>
      </c>
      <c r="K431" s="261">
        <f t="shared" si="12"/>
        <v>145833</v>
      </c>
      <c r="L431" s="261">
        <v>11667</v>
      </c>
      <c r="M431" s="261">
        <f t="shared" si="13"/>
        <v>157500</v>
      </c>
      <c r="N431" s="137">
        <v>7.8000000000000014E-3</v>
      </c>
    </row>
    <row r="432" spans="1:14" ht="18" customHeight="1">
      <c r="A432" s="134">
        <v>6</v>
      </c>
      <c r="B432" s="135" t="s">
        <v>91</v>
      </c>
      <c r="C432" s="134">
        <v>88</v>
      </c>
      <c r="D432" s="138" t="s">
        <v>82</v>
      </c>
      <c r="E432" s="138" t="s">
        <v>124</v>
      </c>
      <c r="F432" s="135" t="s">
        <v>620</v>
      </c>
      <c r="G432" s="274">
        <v>32</v>
      </c>
      <c r="H432" s="261">
        <v>32870</v>
      </c>
      <c r="I432" s="261">
        <v>1051852</v>
      </c>
      <c r="J432" s="261">
        <v>0</v>
      </c>
      <c r="K432" s="261">
        <f t="shared" si="12"/>
        <v>1051852</v>
      </c>
      <c r="L432" s="261">
        <v>84148</v>
      </c>
      <c r="M432" s="261">
        <f t="shared" si="13"/>
        <v>1136000</v>
      </c>
      <c r="N432" s="137">
        <v>5.6099999999999997E-2</v>
      </c>
    </row>
    <row r="433" spans="1:14" ht="18" customHeight="1">
      <c r="A433" s="134">
        <v>6</v>
      </c>
      <c r="B433" s="135" t="s">
        <v>91</v>
      </c>
      <c r="C433" s="134">
        <v>118</v>
      </c>
      <c r="D433" s="138" t="s">
        <v>82</v>
      </c>
      <c r="E433" s="138" t="s">
        <v>121</v>
      </c>
      <c r="F433" s="135" t="s">
        <v>620</v>
      </c>
      <c r="G433" s="274">
        <v>25</v>
      </c>
      <c r="H433" s="261">
        <v>41667</v>
      </c>
      <c r="I433" s="261">
        <v>1041667</v>
      </c>
      <c r="J433" s="261">
        <v>0</v>
      </c>
      <c r="K433" s="261">
        <f t="shared" si="12"/>
        <v>1041667</v>
      </c>
      <c r="L433" s="261">
        <v>83333</v>
      </c>
      <c r="M433" s="261">
        <f t="shared" si="13"/>
        <v>1125000</v>
      </c>
      <c r="N433" s="137">
        <v>5.5500000000000001E-2</v>
      </c>
    </row>
    <row r="434" spans="1:14" ht="18" customHeight="1">
      <c r="A434" s="134">
        <v>6</v>
      </c>
      <c r="B434" s="135" t="s">
        <v>91</v>
      </c>
      <c r="C434" s="134">
        <v>205</v>
      </c>
      <c r="D434" s="138" t="s">
        <v>86</v>
      </c>
      <c r="E434" s="138" t="s">
        <v>688</v>
      </c>
      <c r="F434" s="135" t="s">
        <v>620</v>
      </c>
      <c r="G434" s="274">
        <v>3</v>
      </c>
      <c r="H434" s="261">
        <v>12037</v>
      </c>
      <c r="I434" s="261">
        <v>36111</v>
      </c>
      <c r="J434" s="261">
        <v>0</v>
      </c>
      <c r="K434" s="261">
        <f t="shared" si="12"/>
        <v>36111</v>
      </c>
      <c r="L434" s="261">
        <v>2889</v>
      </c>
      <c r="M434" s="261">
        <f t="shared" si="13"/>
        <v>39000</v>
      </c>
      <c r="N434" s="137">
        <v>1.9E-3</v>
      </c>
    </row>
    <row r="435" spans="1:14" ht="18" customHeight="1">
      <c r="A435" s="134">
        <v>6</v>
      </c>
      <c r="B435" s="135" t="s">
        <v>91</v>
      </c>
      <c r="C435" s="134">
        <v>204</v>
      </c>
      <c r="D435" s="138" t="s">
        <v>86</v>
      </c>
      <c r="E435" s="138" t="s">
        <v>648</v>
      </c>
      <c r="F435" s="135" t="s">
        <v>620</v>
      </c>
      <c r="G435" s="274">
        <v>8</v>
      </c>
      <c r="H435" s="261">
        <v>12037</v>
      </c>
      <c r="I435" s="261">
        <v>96296</v>
      </c>
      <c r="J435" s="261">
        <v>0</v>
      </c>
      <c r="K435" s="261">
        <f t="shared" si="12"/>
        <v>96296</v>
      </c>
      <c r="L435" s="261">
        <v>7704</v>
      </c>
      <c r="M435" s="261">
        <f t="shared" si="13"/>
        <v>104000</v>
      </c>
      <c r="N435" s="137">
        <v>5.1000000000000004E-3</v>
      </c>
    </row>
    <row r="436" spans="1:14" ht="18" customHeight="1">
      <c r="A436" s="134">
        <v>6</v>
      </c>
      <c r="B436" s="135" t="s">
        <v>91</v>
      </c>
      <c r="C436" s="134">
        <v>109</v>
      </c>
      <c r="D436" s="138" t="s">
        <v>86</v>
      </c>
      <c r="E436" s="138" t="s">
        <v>142</v>
      </c>
      <c r="F436" s="135" t="s">
        <v>620</v>
      </c>
      <c r="G436" s="274">
        <v>43</v>
      </c>
      <c r="H436" s="261">
        <v>12963</v>
      </c>
      <c r="I436" s="261">
        <v>557407</v>
      </c>
      <c r="J436" s="261">
        <v>0</v>
      </c>
      <c r="K436" s="261">
        <f t="shared" si="12"/>
        <v>557407</v>
      </c>
      <c r="L436" s="261">
        <v>44593</v>
      </c>
      <c r="M436" s="261">
        <f t="shared" si="13"/>
        <v>602000</v>
      </c>
      <c r="N436" s="137">
        <v>2.9700000000000001E-2</v>
      </c>
    </row>
    <row r="437" spans="1:14" ht="18" customHeight="1">
      <c r="A437" s="134">
        <v>6</v>
      </c>
      <c r="B437" s="135" t="s">
        <v>91</v>
      </c>
      <c r="C437" s="134">
        <v>147</v>
      </c>
      <c r="D437" s="138" t="s">
        <v>86</v>
      </c>
      <c r="E437" s="138" t="s">
        <v>649</v>
      </c>
      <c r="F437" s="135" t="s">
        <v>620</v>
      </c>
      <c r="G437" s="274">
        <v>7</v>
      </c>
      <c r="H437" s="261">
        <v>6481</v>
      </c>
      <c r="I437" s="261">
        <v>45370</v>
      </c>
      <c r="J437" s="261">
        <v>0</v>
      </c>
      <c r="K437" s="261">
        <f t="shared" si="12"/>
        <v>45370</v>
      </c>
      <c r="L437" s="261">
        <v>3630</v>
      </c>
      <c r="M437" s="261">
        <f t="shared" si="13"/>
        <v>49000</v>
      </c>
      <c r="N437" s="137">
        <v>2.3999999999999998E-3</v>
      </c>
    </row>
    <row r="438" spans="1:14" ht="18" customHeight="1">
      <c r="A438" s="134">
        <v>6</v>
      </c>
      <c r="B438" s="135" t="s">
        <v>91</v>
      </c>
      <c r="C438" s="134">
        <v>46</v>
      </c>
      <c r="D438" s="138" t="s">
        <v>82</v>
      </c>
      <c r="E438" s="138" t="s">
        <v>650</v>
      </c>
      <c r="F438" s="135" t="s">
        <v>620</v>
      </c>
      <c r="G438" s="274">
        <v>4</v>
      </c>
      <c r="H438" s="261">
        <v>35648</v>
      </c>
      <c r="I438" s="261">
        <v>142593</v>
      </c>
      <c r="J438" s="261">
        <v>0</v>
      </c>
      <c r="K438" s="261">
        <f t="shared" si="12"/>
        <v>142593</v>
      </c>
      <c r="L438" s="261">
        <v>11407</v>
      </c>
      <c r="M438" s="261">
        <f t="shared" si="13"/>
        <v>154000</v>
      </c>
      <c r="N438" s="137">
        <v>7.6E-3</v>
      </c>
    </row>
    <row r="439" spans="1:14" ht="18" customHeight="1">
      <c r="A439" s="134">
        <v>6</v>
      </c>
      <c r="B439" s="135" t="s">
        <v>91</v>
      </c>
      <c r="C439" s="134">
        <v>72</v>
      </c>
      <c r="D439" s="138" t="s">
        <v>92</v>
      </c>
      <c r="E439" s="138" t="s">
        <v>651</v>
      </c>
      <c r="F439" s="135" t="s">
        <v>620</v>
      </c>
      <c r="G439" s="274">
        <v>25</v>
      </c>
      <c r="H439" s="261">
        <v>3704</v>
      </c>
      <c r="I439" s="261">
        <v>92593</v>
      </c>
      <c r="J439" s="261">
        <v>0</v>
      </c>
      <c r="K439" s="261">
        <f t="shared" si="12"/>
        <v>92593</v>
      </c>
      <c r="L439" s="261">
        <v>7407</v>
      </c>
      <c r="M439" s="261">
        <f t="shared" si="13"/>
        <v>100000</v>
      </c>
      <c r="N439" s="137">
        <v>4.8999999999999998E-3</v>
      </c>
    </row>
    <row r="440" spans="1:14" ht="18" customHeight="1">
      <c r="A440" s="134">
        <v>6</v>
      </c>
      <c r="B440" s="135" t="s">
        <v>91</v>
      </c>
      <c r="C440" s="134">
        <v>112</v>
      </c>
      <c r="D440" s="138" t="s">
        <v>82</v>
      </c>
      <c r="E440" s="138" t="s">
        <v>652</v>
      </c>
      <c r="F440" s="135" t="s">
        <v>620</v>
      </c>
      <c r="G440" s="274">
        <v>3</v>
      </c>
      <c r="H440" s="261">
        <v>41667</v>
      </c>
      <c r="I440" s="261">
        <v>125000</v>
      </c>
      <c r="J440" s="261">
        <v>0</v>
      </c>
      <c r="K440" s="261">
        <f t="shared" si="12"/>
        <v>125000</v>
      </c>
      <c r="L440" s="261">
        <v>10000</v>
      </c>
      <c r="M440" s="261">
        <f t="shared" si="13"/>
        <v>135000</v>
      </c>
      <c r="N440" s="137">
        <v>6.7000000000000002E-3</v>
      </c>
    </row>
    <row r="441" spans="1:14" ht="18" customHeight="1">
      <c r="A441" s="134">
        <v>6</v>
      </c>
      <c r="B441" s="135" t="s">
        <v>91</v>
      </c>
      <c r="C441" s="134">
        <v>227</v>
      </c>
      <c r="D441" s="138" t="s">
        <v>82</v>
      </c>
      <c r="E441" s="138" t="s">
        <v>704</v>
      </c>
      <c r="F441" s="135" t="s">
        <v>620</v>
      </c>
      <c r="G441" s="274">
        <v>5</v>
      </c>
      <c r="H441" s="261">
        <v>1389</v>
      </c>
      <c r="I441" s="261">
        <v>6944</v>
      </c>
      <c r="J441" s="261">
        <v>0</v>
      </c>
      <c r="K441" s="261">
        <f t="shared" si="12"/>
        <v>6944</v>
      </c>
      <c r="L441" s="261">
        <v>556</v>
      </c>
      <c r="M441" s="261">
        <f t="shared" si="13"/>
        <v>7500</v>
      </c>
      <c r="N441" s="137">
        <v>4.0000000000000002E-4</v>
      </c>
    </row>
    <row r="442" spans="1:14" ht="18" customHeight="1">
      <c r="A442" s="134">
        <v>6</v>
      </c>
      <c r="B442" s="135" t="s">
        <v>91</v>
      </c>
      <c r="C442" s="134">
        <v>101</v>
      </c>
      <c r="D442" s="138" t="s">
        <v>82</v>
      </c>
      <c r="E442" s="138" t="s">
        <v>653</v>
      </c>
      <c r="F442" s="135" t="s">
        <v>620</v>
      </c>
      <c r="G442" s="274">
        <v>5</v>
      </c>
      <c r="H442" s="261">
        <v>2315</v>
      </c>
      <c r="I442" s="261">
        <v>11574</v>
      </c>
      <c r="J442" s="261">
        <v>0</v>
      </c>
      <c r="K442" s="261">
        <f t="shared" si="12"/>
        <v>11574</v>
      </c>
      <c r="L442" s="261">
        <v>926</v>
      </c>
      <c r="M442" s="261">
        <f t="shared" si="13"/>
        <v>12500</v>
      </c>
      <c r="N442" s="137">
        <v>5.9999999999999995E-4</v>
      </c>
    </row>
    <row r="443" spans="1:14" ht="18" customHeight="1">
      <c r="A443" s="134">
        <v>6</v>
      </c>
      <c r="B443" s="135" t="s">
        <v>91</v>
      </c>
      <c r="C443" s="134">
        <v>93</v>
      </c>
      <c r="D443" s="138" t="s">
        <v>84</v>
      </c>
      <c r="E443" s="138" t="s">
        <v>118</v>
      </c>
      <c r="F443" s="135" t="s">
        <v>620</v>
      </c>
      <c r="G443" s="274">
        <v>1</v>
      </c>
      <c r="H443" s="261">
        <v>20370</v>
      </c>
      <c r="I443" s="261">
        <v>20370</v>
      </c>
      <c r="J443" s="261">
        <v>0</v>
      </c>
      <c r="K443" s="261">
        <f t="shared" si="12"/>
        <v>20370</v>
      </c>
      <c r="L443" s="261">
        <v>1630</v>
      </c>
      <c r="M443" s="261">
        <f t="shared" si="13"/>
        <v>22000</v>
      </c>
      <c r="N443" s="137">
        <v>1.1000000000000001E-3</v>
      </c>
    </row>
    <row r="444" spans="1:14" ht="18" customHeight="1">
      <c r="A444" s="134">
        <v>6</v>
      </c>
      <c r="B444" s="135" t="s">
        <v>91</v>
      </c>
      <c r="C444" s="134">
        <v>119</v>
      </c>
      <c r="D444" s="138" t="s">
        <v>84</v>
      </c>
      <c r="E444" s="138" t="s">
        <v>109</v>
      </c>
      <c r="F444" s="135" t="s">
        <v>620</v>
      </c>
      <c r="G444" s="274">
        <v>37</v>
      </c>
      <c r="H444" s="261">
        <v>44444</v>
      </c>
      <c r="I444" s="261">
        <v>1644444</v>
      </c>
      <c r="J444" s="261">
        <v>0</v>
      </c>
      <c r="K444" s="261">
        <f t="shared" si="12"/>
        <v>1644444</v>
      </c>
      <c r="L444" s="261">
        <v>131556</v>
      </c>
      <c r="M444" s="261">
        <f t="shared" si="13"/>
        <v>1776000</v>
      </c>
      <c r="N444" s="137">
        <v>8.7599999999999997E-2</v>
      </c>
    </row>
    <row r="445" spans="1:14" ht="18" customHeight="1">
      <c r="A445" s="134">
        <v>6</v>
      </c>
      <c r="B445" s="135" t="s">
        <v>91</v>
      </c>
      <c r="C445" s="134">
        <v>64</v>
      </c>
      <c r="D445" s="138" t="s">
        <v>82</v>
      </c>
      <c r="E445" s="138" t="s">
        <v>736</v>
      </c>
      <c r="F445" s="135" t="s">
        <v>620</v>
      </c>
      <c r="G445" s="274">
        <v>1</v>
      </c>
      <c r="H445" s="261">
        <v>2315</v>
      </c>
      <c r="I445" s="261">
        <v>2315</v>
      </c>
      <c r="J445" s="261">
        <v>0</v>
      </c>
      <c r="K445" s="261">
        <f t="shared" si="12"/>
        <v>2315</v>
      </c>
      <c r="L445" s="261">
        <v>185</v>
      </c>
      <c r="M445" s="261">
        <f t="shared" si="13"/>
        <v>2500</v>
      </c>
      <c r="N445" s="137">
        <v>1E-4</v>
      </c>
    </row>
    <row r="446" spans="1:14" ht="18" customHeight="1">
      <c r="A446" s="134">
        <v>6</v>
      </c>
      <c r="B446" s="135" t="s">
        <v>91</v>
      </c>
      <c r="C446" s="134">
        <v>21</v>
      </c>
      <c r="D446" s="138" t="s">
        <v>90</v>
      </c>
      <c r="E446" s="138" t="s">
        <v>737</v>
      </c>
      <c r="F446" s="135" t="s">
        <v>620</v>
      </c>
      <c r="G446" s="274">
        <v>3</v>
      </c>
      <c r="H446" s="261">
        <v>7407</v>
      </c>
      <c r="I446" s="261">
        <v>22222</v>
      </c>
      <c r="J446" s="261">
        <v>0</v>
      </c>
      <c r="K446" s="261">
        <f t="shared" si="12"/>
        <v>22222</v>
      </c>
      <c r="L446" s="261">
        <v>1778</v>
      </c>
      <c r="M446" s="261">
        <f t="shared" si="13"/>
        <v>24000</v>
      </c>
      <c r="N446" s="137">
        <v>1.1999999999999999E-3</v>
      </c>
    </row>
    <row r="447" spans="1:14" ht="18" customHeight="1">
      <c r="A447" s="134">
        <v>6</v>
      </c>
      <c r="B447" s="135" t="s">
        <v>91</v>
      </c>
      <c r="C447" s="134">
        <v>19</v>
      </c>
      <c r="D447" s="138" t="s">
        <v>82</v>
      </c>
      <c r="E447" s="138" t="s">
        <v>654</v>
      </c>
      <c r="F447" s="135" t="s">
        <v>620</v>
      </c>
      <c r="G447" s="274">
        <v>14</v>
      </c>
      <c r="H447" s="261">
        <v>9259</v>
      </c>
      <c r="I447" s="261">
        <v>129630</v>
      </c>
      <c r="J447" s="261">
        <v>0</v>
      </c>
      <c r="K447" s="261">
        <f t="shared" si="12"/>
        <v>129630</v>
      </c>
      <c r="L447" s="261">
        <v>10370</v>
      </c>
      <c r="M447" s="261">
        <f t="shared" si="13"/>
        <v>140000</v>
      </c>
      <c r="N447" s="137">
        <v>6.8999999999999999E-3</v>
      </c>
    </row>
    <row r="448" spans="1:14" ht="18" customHeight="1">
      <c r="A448" s="134">
        <v>6</v>
      </c>
      <c r="B448" s="135" t="s">
        <v>91</v>
      </c>
      <c r="C448" s="134">
        <v>47</v>
      </c>
      <c r="D448" s="138" t="s">
        <v>82</v>
      </c>
      <c r="E448" s="138" t="s">
        <v>726</v>
      </c>
      <c r="F448" s="135" t="s">
        <v>620</v>
      </c>
      <c r="G448" s="274">
        <v>2</v>
      </c>
      <c r="H448" s="261">
        <v>64815</v>
      </c>
      <c r="I448" s="261">
        <v>129630</v>
      </c>
      <c r="J448" s="261">
        <v>0</v>
      </c>
      <c r="K448" s="261">
        <f t="shared" si="12"/>
        <v>129630</v>
      </c>
      <c r="L448" s="261">
        <v>10370</v>
      </c>
      <c r="M448" s="261">
        <f t="shared" si="13"/>
        <v>140000</v>
      </c>
      <c r="N448" s="137">
        <v>6.8999999999999999E-3</v>
      </c>
    </row>
    <row r="449" spans="1:14" ht="18" customHeight="1">
      <c r="A449" s="134">
        <v>6</v>
      </c>
      <c r="B449" s="135" t="s">
        <v>91</v>
      </c>
      <c r="C449" s="134">
        <v>77</v>
      </c>
      <c r="D449" s="138" t="s">
        <v>82</v>
      </c>
      <c r="E449" s="138" t="s">
        <v>655</v>
      </c>
      <c r="F449" s="135" t="s">
        <v>620</v>
      </c>
      <c r="G449" s="274">
        <v>2</v>
      </c>
      <c r="H449" s="261">
        <v>2778</v>
      </c>
      <c r="I449" s="261">
        <v>5556</v>
      </c>
      <c r="J449" s="261">
        <v>0</v>
      </c>
      <c r="K449" s="261">
        <f t="shared" si="12"/>
        <v>5556</v>
      </c>
      <c r="L449" s="261">
        <v>444</v>
      </c>
      <c r="M449" s="261">
        <f t="shared" si="13"/>
        <v>6000</v>
      </c>
      <c r="N449" s="137">
        <v>2.9999999999999997E-4</v>
      </c>
    </row>
    <row r="450" spans="1:14" ht="18" customHeight="1">
      <c r="A450" s="134">
        <v>6</v>
      </c>
      <c r="B450" s="135" t="s">
        <v>91</v>
      </c>
      <c r="C450" s="134">
        <v>86</v>
      </c>
      <c r="D450" s="138" t="s">
        <v>90</v>
      </c>
      <c r="E450" s="138" t="s">
        <v>658</v>
      </c>
      <c r="F450" s="135" t="s">
        <v>620</v>
      </c>
      <c r="G450" s="274">
        <v>8</v>
      </c>
      <c r="H450" s="261">
        <v>3241</v>
      </c>
      <c r="I450" s="261">
        <v>25926</v>
      </c>
      <c r="J450" s="261">
        <v>0</v>
      </c>
      <c r="K450" s="261">
        <f t="shared" ref="K450:K513" si="14">I450-J450</f>
        <v>25926</v>
      </c>
      <c r="L450" s="261">
        <v>2074</v>
      </c>
      <c r="M450" s="261">
        <f t="shared" ref="M450:M513" si="15">K450+L450</f>
        <v>28000</v>
      </c>
      <c r="N450" s="137">
        <v>1.4E-3</v>
      </c>
    </row>
    <row r="451" spans="1:14" ht="18" customHeight="1">
      <c r="A451" s="134">
        <v>6</v>
      </c>
      <c r="B451" s="135" t="s">
        <v>91</v>
      </c>
      <c r="C451" s="134">
        <v>85</v>
      </c>
      <c r="D451" s="138" t="s">
        <v>90</v>
      </c>
      <c r="E451" s="138" t="s">
        <v>690</v>
      </c>
      <c r="F451" s="135" t="s">
        <v>620</v>
      </c>
      <c r="G451" s="274">
        <v>1</v>
      </c>
      <c r="H451" s="261">
        <v>2315</v>
      </c>
      <c r="I451" s="261">
        <v>2315</v>
      </c>
      <c r="J451" s="261">
        <v>0</v>
      </c>
      <c r="K451" s="261">
        <f t="shared" si="14"/>
        <v>2315</v>
      </c>
      <c r="L451" s="261">
        <v>185</v>
      </c>
      <c r="M451" s="261">
        <f t="shared" si="15"/>
        <v>2500</v>
      </c>
      <c r="N451" s="137">
        <v>1E-4</v>
      </c>
    </row>
    <row r="452" spans="1:14" ht="18" customHeight="1">
      <c r="A452" s="134">
        <v>6</v>
      </c>
      <c r="B452" s="135" t="s">
        <v>91</v>
      </c>
      <c r="C452" s="134">
        <v>91</v>
      </c>
      <c r="D452" s="138" t="s">
        <v>90</v>
      </c>
      <c r="E452" s="138" t="s">
        <v>728</v>
      </c>
      <c r="F452" s="135" t="s">
        <v>620</v>
      </c>
      <c r="G452" s="274">
        <v>2</v>
      </c>
      <c r="H452" s="261">
        <v>11111</v>
      </c>
      <c r="I452" s="261">
        <v>22222</v>
      </c>
      <c r="J452" s="261">
        <v>0</v>
      </c>
      <c r="K452" s="261">
        <f t="shared" si="14"/>
        <v>22222</v>
      </c>
      <c r="L452" s="261">
        <v>1778</v>
      </c>
      <c r="M452" s="261">
        <f t="shared" si="15"/>
        <v>24000</v>
      </c>
      <c r="N452" s="137">
        <v>1.1999999999999999E-3</v>
      </c>
    </row>
    <row r="453" spans="1:14" ht="18" customHeight="1">
      <c r="A453" s="134">
        <v>6</v>
      </c>
      <c r="B453" s="135" t="s">
        <v>91</v>
      </c>
      <c r="C453" s="134">
        <v>100</v>
      </c>
      <c r="D453" s="138" t="s">
        <v>90</v>
      </c>
      <c r="E453" s="138" t="s">
        <v>729</v>
      </c>
      <c r="F453" s="135" t="s">
        <v>620</v>
      </c>
      <c r="G453" s="274">
        <v>2</v>
      </c>
      <c r="H453" s="261">
        <v>18981</v>
      </c>
      <c r="I453" s="261">
        <v>37963</v>
      </c>
      <c r="J453" s="261">
        <v>0</v>
      </c>
      <c r="K453" s="261">
        <f t="shared" si="14"/>
        <v>37963</v>
      </c>
      <c r="L453" s="261">
        <v>3037</v>
      </c>
      <c r="M453" s="261">
        <f t="shared" si="15"/>
        <v>41000</v>
      </c>
      <c r="N453" s="137">
        <v>2E-3</v>
      </c>
    </row>
    <row r="454" spans="1:14" ht="18" customHeight="1">
      <c r="A454" s="134">
        <v>6</v>
      </c>
      <c r="B454" s="135" t="s">
        <v>91</v>
      </c>
      <c r="C454" s="134">
        <v>157</v>
      </c>
      <c r="D454" s="138" t="s">
        <v>90</v>
      </c>
      <c r="E454" s="138" t="s">
        <v>738</v>
      </c>
      <c r="F454" s="135" t="s">
        <v>620</v>
      </c>
      <c r="G454" s="274">
        <v>0</v>
      </c>
      <c r="H454" s="261">
        <v>0</v>
      </c>
      <c r="I454" s="261">
        <v>0</v>
      </c>
      <c r="J454" s="261">
        <v>0</v>
      </c>
      <c r="K454" s="261">
        <f t="shared" si="14"/>
        <v>0</v>
      </c>
      <c r="L454" s="261">
        <v>0</v>
      </c>
      <c r="M454" s="261">
        <f t="shared" si="15"/>
        <v>0</v>
      </c>
      <c r="N454" s="137">
        <v>0</v>
      </c>
    </row>
    <row r="455" spans="1:14" ht="18" customHeight="1">
      <c r="A455" s="134">
        <v>6</v>
      </c>
      <c r="B455" s="135" t="s">
        <v>91</v>
      </c>
      <c r="C455" s="134">
        <v>63</v>
      </c>
      <c r="D455" s="138" t="s">
        <v>90</v>
      </c>
      <c r="E455" s="138" t="s">
        <v>717</v>
      </c>
      <c r="F455" s="135" t="s">
        <v>620</v>
      </c>
      <c r="G455" s="274">
        <v>4</v>
      </c>
      <c r="H455" s="261">
        <v>3704</v>
      </c>
      <c r="I455" s="261">
        <v>14815</v>
      </c>
      <c r="J455" s="261">
        <v>0</v>
      </c>
      <c r="K455" s="261">
        <f t="shared" si="14"/>
        <v>14815</v>
      </c>
      <c r="L455" s="261">
        <v>1185</v>
      </c>
      <c r="M455" s="261">
        <f t="shared" si="15"/>
        <v>16000</v>
      </c>
      <c r="N455" s="137">
        <v>8.0000000000000004E-4</v>
      </c>
    </row>
    <row r="456" spans="1:14" ht="18" customHeight="1">
      <c r="A456" s="134">
        <v>6</v>
      </c>
      <c r="B456" s="135" t="s">
        <v>91</v>
      </c>
      <c r="C456" s="134">
        <v>79</v>
      </c>
      <c r="D456" s="138" t="s">
        <v>90</v>
      </c>
      <c r="E456" s="138" t="s">
        <v>661</v>
      </c>
      <c r="F456" s="135" t="s">
        <v>620</v>
      </c>
      <c r="G456" s="274">
        <v>5</v>
      </c>
      <c r="H456" s="261">
        <v>6481</v>
      </c>
      <c r="I456" s="261">
        <v>32407</v>
      </c>
      <c r="J456" s="261">
        <v>0</v>
      </c>
      <c r="K456" s="261">
        <f t="shared" si="14"/>
        <v>32407</v>
      </c>
      <c r="L456" s="261">
        <v>2593</v>
      </c>
      <c r="M456" s="261">
        <f t="shared" si="15"/>
        <v>35000</v>
      </c>
      <c r="N456" s="137">
        <v>1.6999999999999999E-3</v>
      </c>
    </row>
    <row r="457" spans="1:14" ht="18" customHeight="1">
      <c r="A457" s="134">
        <v>6</v>
      </c>
      <c r="B457" s="135" t="s">
        <v>91</v>
      </c>
      <c r="C457" s="134">
        <v>82</v>
      </c>
      <c r="D457" s="138" t="s">
        <v>90</v>
      </c>
      <c r="E457" s="138" t="s">
        <v>691</v>
      </c>
      <c r="F457" s="135" t="s">
        <v>620</v>
      </c>
      <c r="G457" s="274">
        <v>0</v>
      </c>
      <c r="H457" s="261">
        <v>0</v>
      </c>
      <c r="I457" s="261">
        <v>0</v>
      </c>
      <c r="J457" s="261">
        <v>0</v>
      </c>
      <c r="K457" s="261">
        <f t="shared" si="14"/>
        <v>0</v>
      </c>
      <c r="L457" s="261">
        <v>0</v>
      </c>
      <c r="M457" s="261">
        <f t="shared" si="15"/>
        <v>0</v>
      </c>
      <c r="N457" s="137">
        <v>0</v>
      </c>
    </row>
    <row r="458" spans="1:14" ht="18" customHeight="1">
      <c r="A458" s="134">
        <v>6</v>
      </c>
      <c r="B458" s="135" t="s">
        <v>91</v>
      </c>
      <c r="C458" s="134">
        <v>62</v>
      </c>
      <c r="D458" s="138" t="s">
        <v>90</v>
      </c>
      <c r="E458" s="138" t="s">
        <v>662</v>
      </c>
      <c r="F458" s="135" t="s">
        <v>620</v>
      </c>
      <c r="G458" s="274">
        <v>1</v>
      </c>
      <c r="H458" s="261">
        <v>6944</v>
      </c>
      <c r="I458" s="261">
        <v>6944</v>
      </c>
      <c r="J458" s="261">
        <v>0</v>
      </c>
      <c r="K458" s="261">
        <f t="shared" si="14"/>
        <v>6944</v>
      </c>
      <c r="L458" s="261">
        <v>556</v>
      </c>
      <c r="M458" s="261">
        <f t="shared" si="15"/>
        <v>7500</v>
      </c>
      <c r="N458" s="137">
        <v>4.0000000000000002E-4</v>
      </c>
    </row>
    <row r="459" spans="1:14" ht="18" customHeight="1">
      <c r="A459" s="134">
        <v>6</v>
      </c>
      <c r="B459" s="135" t="s">
        <v>91</v>
      </c>
      <c r="C459" s="134">
        <v>137</v>
      </c>
      <c r="D459" s="138" t="s">
        <v>90</v>
      </c>
      <c r="E459" s="138" t="s">
        <v>692</v>
      </c>
      <c r="F459" s="135" t="s">
        <v>620</v>
      </c>
      <c r="G459" s="274">
        <v>1</v>
      </c>
      <c r="H459" s="261">
        <v>6481</v>
      </c>
      <c r="I459" s="261">
        <v>6481</v>
      </c>
      <c r="J459" s="261">
        <v>0</v>
      </c>
      <c r="K459" s="261">
        <f t="shared" si="14"/>
        <v>6481</v>
      </c>
      <c r="L459" s="261">
        <v>519</v>
      </c>
      <c r="M459" s="261">
        <f t="shared" si="15"/>
        <v>7000</v>
      </c>
      <c r="N459" s="137">
        <v>2.9999999999999997E-4</v>
      </c>
    </row>
    <row r="460" spans="1:14" ht="18" customHeight="1">
      <c r="A460" s="134">
        <v>6</v>
      </c>
      <c r="B460" s="135" t="s">
        <v>91</v>
      </c>
      <c r="C460" s="134">
        <v>219</v>
      </c>
      <c r="D460" s="138" t="s">
        <v>82</v>
      </c>
      <c r="E460" s="138" t="s">
        <v>148</v>
      </c>
      <c r="F460" s="135" t="s">
        <v>620</v>
      </c>
      <c r="G460" s="274">
        <v>13</v>
      </c>
      <c r="H460" s="261">
        <v>69444</v>
      </c>
      <c r="I460" s="261">
        <v>902778</v>
      </c>
      <c r="J460" s="261">
        <v>0</v>
      </c>
      <c r="K460" s="261">
        <f t="shared" si="14"/>
        <v>902778</v>
      </c>
      <c r="L460" s="261">
        <v>72222</v>
      </c>
      <c r="M460" s="261">
        <f t="shared" si="15"/>
        <v>975000</v>
      </c>
      <c r="N460" s="137">
        <v>4.8099999999999997E-2</v>
      </c>
    </row>
    <row r="461" spans="1:14" ht="18" customHeight="1">
      <c r="A461" s="134">
        <v>6</v>
      </c>
      <c r="B461" s="135" t="s">
        <v>91</v>
      </c>
      <c r="C461" s="134">
        <v>220</v>
      </c>
      <c r="D461" s="138" t="s">
        <v>82</v>
      </c>
      <c r="E461" s="138" t="s">
        <v>730</v>
      </c>
      <c r="F461" s="135" t="s">
        <v>620</v>
      </c>
      <c r="G461" s="274">
        <v>2</v>
      </c>
      <c r="H461" s="261">
        <v>69444</v>
      </c>
      <c r="I461" s="261">
        <v>138889</v>
      </c>
      <c r="J461" s="261">
        <v>0</v>
      </c>
      <c r="K461" s="261">
        <f t="shared" si="14"/>
        <v>138889</v>
      </c>
      <c r="L461" s="261">
        <v>11111</v>
      </c>
      <c r="M461" s="261">
        <f t="shared" si="15"/>
        <v>150000</v>
      </c>
      <c r="N461" s="137">
        <v>7.4000000000000003E-3</v>
      </c>
    </row>
    <row r="462" spans="1:14" ht="18" customHeight="1">
      <c r="A462" s="134">
        <v>6</v>
      </c>
      <c r="B462" s="135" t="s">
        <v>91</v>
      </c>
      <c r="C462" s="134">
        <v>140</v>
      </c>
      <c r="D462" s="138" t="s">
        <v>82</v>
      </c>
      <c r="E462" s="138" t="s">
        <v>665</v>
      </c>
      <c r="F462" s="135" t="s">
        <v>620</v>
      </c>
      <c r="G462" s="274">
        <v>6</v>
      </c>
      <c r="H462" s="261">
        <v>90741</v>
      </c>
      <c r="I462" s="261">
        <v>544444</v>
      </c>
      <c r="J462" s="261">
        <v>0</v>
      </c>
      <c r="K462" s="261">
        <f t="shared" si="14"/>
        <v>544444</v>
      </c>
      <c r="L462" s="261">
        <v>43556</v>
      </c>
      <c r="M462" s="261">
        <f t="shared" si="15"/>
        <v>588000</v>
      </c>
      <c r="N462" s="137">
        <v>2.9000000000000001E-2</v>
      </c>
    </row>
    <row r="463" spans="1:14" ht="18" customHeight="1">
      <c r="A463" s="134">
        <v>6</v>
      </c>
      <c r="B463" s="135" t="s">
        <v>91</v>
      </c>
      <c r="C463" s="134">
        <v>226</v>
      </c>
      <c r="D463" s="138" t="s">
        <v>82</v>
      </c>
      <c r="E463" s="138" t="s">
        <v>718</v>
      </c>
      <c r="F463" s="135" t="s">
        <v>620</v>
      </c>
      <c r="G463" s="274">
        <v>7</v>
      </c>
      <c r="H463" s="261">
        <v>90741</v>
      </c>
      <c r="I463" s="261">
        <v>635185</v>
      </c>
      <c r="J463" s="261">
        <v>0</v>
      </c>
      <c r="K463" s="261">
        <f t="shared" si="14"/>
        <v>635185</v>
      </c>
      <c r="L463" s="261">
        <v>50815</v>
      </c>
      <c r="M463" s="261">
        <f t="shared" si="15"/>
        <v>686000</v>
      </c>
      <c r="N463" s="137">
        <v>3.39E-2</v>
      </c>
    </row>
    <row r="464" spans="1:14" ht="18" customHeight="1">
      <c r="A464" s="134">
        <v>6</v>
      </c>
      <c r="B464" s="135" t="s">
        <v>91</v>
      </c>
      <c r="C464" s="134">
        <v>222</v>
      </c>
      <c r="D464" s="138" t="s">
        <v>88</v>
      </c>
      <c r="E464" s="138" t="s">
        <v>667</v>
      </c>
      <c r="F464" s="135" t="s">
        <v>620</v>
      </c>
      <c r="G464" s="274">
        <v>2</v>
      </c>
      <c r="H464" s="261">
        <v>63426</v>
      </c>
      <c r="I464" s="261">
        <v>126852</v>
      </c>
      <c r="J464" s="261">
        <v>0</v>
      </c>
      <c r="K464" s="261">
        <f t="shared" si="14"/>
        <v>126852</v>
      </c>
      <c r="L464" s="261">
        <v>10148</v>
      </c>
      <c r="M464" s="261">
        <f t="shared" si="15"/>
        <v>137000</v>
      </c>
      <c r="N464" s="137">
        <v>6.7999999999999996E-3</v>
      </c>
    </row>
    <row r="465" spans="1:14" ht="18" customHeight="1">
      <c r="A465" s="134">
        <v>6</v>
      </c>
      <c r="B465" s="135" t="s">
        <v>91</v>
      </c>
      <c r="C465" s="134">
        <v>223</v>
      </c>
      <c r="D465" s="138" t="s">
        <v>82</v>
      </c>
      <c r="E465" s="138" t="s">
        <v>136</v>
      </c>
      <c r="F465" s="135" t="s">
        <v>620</v>
      </c>
      <c r="G465" s="274">
        <v>8</v>
      </c>
      <c r="H465" s="261">
        <v>69444</v>
      </c>
      <c r="I465" s="261">
        <v>555556</v>
      </c>
      <c r="J465" s="261">
        <v>0</v>
      </c>
      <c r="K465" s="261">
        <f t="shared" si="14"/>
        <v>555556</v>
      </c>
      <c r="L465" s="261">
        <v>44444</v>
      </c>
      <c r="M465" s="261">
        <f t="shared" si="15"/>
        <v>600000</v>
      </c>
      <c r="N465" s="137">
        <v>2.9600000000000001E-2</v>
      </c>
    </row>
    <row r="466" spans="1:14" ht="18" customHeight="1">
      <c r="A466" s="134">
        <v>6</v>
      </c>
      <c r="B466" s="135" t="s">
        <v>91</v>
      </c>
      <c r="C466" s="134">
        <v>229</v>
      </c>
      <c r="D466" s="138" t="s">
        <v>82</v>
      </c>
      <c r="E466" s="138" t="s">
        <v>732</v>
      </c>
      <c r="F466" s="135" t="s">
        <v>620</v>
      </c>
      <c r="G466" s="274">
        <v>4</v>
      </c>
      <c r="H466" s="261">
        <v>66204</v>
      </c>
      <c r="I466" s="261">
        <v>264815</v>
      </c>
      <c r="J466" s="261">
        <v>0</v>
      </c>
      <c r="K466" s="261">
        <f t="shared" si="14"/>
        <v>264815</v>
      </c>
      <c r="L466" s="261">
        <v>21185</v>
      </c>
      <c r="M466" s="261">
        <f t="shared" si="15"/>
        <v>286000</v>
      </c>
      <c r="N466" s="137">
        <v>1.41E-2</v>
      </c>
    </row>
    <row r="467" spans="1:14" ht="18" customHeight="1">
      <c r="A467" s="134">
        <v>6</v>
      </c>
      <c r="B467" s="135" t="s">
        <v>91</v>
      </c>
      <c r="C467" s="134">
        <v>50</v>
      </c>
      <c r="D467" s="138" t="s">
        <v>82</v>
      </c>
      <c r="E467" s="138" t="s">
        <v>154</v>
      </c>
      <c r="F467" s="135" t="s">
        <v>620</v>
      </c>
      <c r="G467" s="274">
        <v>9</v>
      </c>
      <c r="H467" s="261">
        <v>49074</v>
      </c>
      <c r="I467" s="261">
        <v>441667</v>
      </c>
      <c r="J467" s="261">
        <v>0</v>
      </c>
      <c r="K467" s="261">
        <f t="shared" si="14"/>
        <v>441667</v>
      </c>
      <c r="L467" s="261">
        <v>35333</v>
      </c>
      <c r="M467" s="261">
        <f t="shared" si="15"/>
        <v>477000</v>
      </c>
      <c r="N467" s="137">
        <v>2.35E-2</v>
      </c>
    </row>
    <row r="468" spans="1:14" ht="18" customHeight="1">
      <c r="A468" s="134">
        <v>6</v>
      </c>
      <c r="B468" s="135" t="s">
        <v>91</v>
      </c>
      <c r="C468" s="134">
        <v>10</v>
      </c>
      <c r="D468" s="138" t="s">
        <v>82</v>
      </c>
      <c r="E468" s="138" t="s">
        <v>719</v>
      </c>
      <c r="F468" s="135" t="s">
        <v>620</v>
      </c>
      <c r="G468" s="274">
        <v>1</v>
      </c>
      <c r="H468" s="261">
        <v>13889</v>
      </c>
      <c r="I468" s="261">
        <v>13889</v>
      </c>
      <c r="J468" s="261">
        <v>0</v>
      </c>
      <c r="K468" s="261">
        <f t="shared" si="14"/>
        <v>13889</v>
      </c>
      <c r="L468" s="261">
        <v>1111</v>
      </c>
      <c r="M468" s="261">
        <f t="shared" si="15"/>
        <v>15000</v>
      </c>
      <c r="N468" s="137">
        <v>7.000000000000001E-4</v>
      </c>
    </row>
    <row r="469" spans="1:14" ht="18" customHeight="1">
      <c r="A469" s="134">
        <v>6</v>
      </c>
      <c r="B469" s="135" t="s">
        <v>91</v>
      </c>
      <c r="C469" s="134">
        <v>120</v>
      </c>
      <c r="D469" s="138" t="s">
        <v>88</v>
      </c>
      <c r="E469" s="138" t="s">
        <v>668</v>
      </c>
      <c r="F469" s="135" t="s">
        <v>620</v>
      </c>
      <c r="G469" s="274">
        <v>3</v>
      </c>
      <c r="H469" s="261">
        <v>41667</v>
      </c>
      <c r="I469" s="261">
        <v>125000</v>
      </c>
      <c r="J469" s="261">
        <v>0</v>
      </c>
      <c r="K469" s="261">
        <f t="shared" si="14"/>
        <v>125000</v>
      </c>
      <c r="L469" s="261">
        <v>10000</v>
      </c>
      <c r="M469" s="261">
        <f t="shared" si="15"/>
        <v>135000</v>
      </c>
      <c r="N469" s="137">
        <v>6.7000000000000002E-3</v>
      </c>
    </row>
    <row r="470" spans="1:14" ht="18" customHeight="1">
      <c r="A470" s="134">
        <v>6</v>
      </c>
      <c r="B470" s="135" t="s">
        <v>91</v>
      </c>
      <c r="C470" s="134">
        <v>129</v>
      </c>
      <c r="D470" s="138" t="s">
        <v>88</v>
      </c>
      <c r="E470" s="138" t="s">
        <v>669</v>
      </c>
      <c r="F470" s="135" t="s">
        <v>620</v>
      </c>
      <c r="G470" s="274">
        <v>6</v>
      </c>
      <c r="H470" s="261">
        <v>44444</v>
      </c>
      <c r="I470" s="261">
        <v>266667</v>
      </c>
      <c r="J470" s="261">
        <v>0</v>
      </c>
      <c r="K470" s="261">
        <f t="shared" si="14"/>
        <v>266667</v>
      </c>
      <c r="L470" s="261">
        <v>21333</v>
      </c>
      <c r="M470" s="261">
        <f t="shared" si="15"/>
        <v>288000</v>
      </c>
      <c r="N470" s="137">
        <v>1.4200000000000001E-2</v>
      </c>
    </row>
    <row r="471" spans="1:14" ht="18" customHeight="1">
      <c r="A471" s="134">
        <v>6</v>
      </c>
      <c r="B471" s="135" t="s">
        <v>91</v>
      </c>
      <c r="C471" s="134">
        <v>116</v>
      </c>
      <c r="D471" s="138" t="s">
        <v>84</v>
      </c>
      <c r="E471" s="138" t="s">
        <v>733</v>
      </c>
      <c r="F471" s="135" t="s">
        <v>620</v>
      </c>
      <c r="G471" s="274">
        <v>51</v>
      </c>
      <c r="H471" s="261">
        <v>5556</v>
      </c>
      <c r="I471" s="261">
        <v>283333</v>
      </c>
      <c r="J471" s="261">
        <v>0</v>
      </c>
      <c r="K471" s="261">
        <f t="shared" si="14"/>
        <v>283333</v>
      </c>
      <c r="L471" s="261">
        <v>22667</v>
      </c>
      <c r="M471" s="261">
        <f t="shared" si="15"/>
        <v>306000</v>
      </c>
      <c r="N471" s="137">
        <v>1.5100000000000001E-2</v>
      </c>
    </row>
    <row r="472" spans="1:14" ht="18" customHeight="1">
      <c r="A472" s="134">
        <v>6</v>
      </c>
      <c r="B472" s="135" t="s">
        <v>91</v>
      </c>
      <c r="C472" s="134">
        <v>117</v>
      </c>
      <c r="D472" s="138" t="s">
        <v>82</v>
      </c>
      <c r="E472" s="138" t="s">
        <v>115</v>
      </c>
      <c r="F472" s="135" t="s">
        <v>620</v>
      </c>
      <c r="G472" s="274">
        <v>25</v>
      </c>
      <c r="H472" s="261">
        <v>41667</v>
      </c>
      <c r="I472" s="261">
        <v>1041667</v>
      </c>
      <c r="J472" s="261">
        <v>0</v>
      </c>
      <c r="K472" s="261">
        <f t="shared" si="14"/>
        <v>1041667</v>
      </c>
      <c r="L472" s="261">
        <v>83333</v>
      </c>
      <c r="M472" s="261">
        <f t="shared" si="15"/>
        <v>1125000</v>
      </c>
      <c r="N472" s="137">
        <v>5.5500000000000001E-2</v>
      </c>
    </row>
    <row r="473" spans="1:14" ht="18" customHeight="1">
      <c r="A473" s="134">
        <v>6</v>
      </c>
      <c r="B473" s="135" t="s">
        <v>91</v>
      </c>
      <c r="C473" s="134">
        <v>36</v>
      </c>
      <c r="D473" s="138" t="s">
        <v>86</v>
      </c>
      <c r="E473" s="138" t="s">
        <v>670</v>
      </c>
      <c r="F473" s="135" t="s">
        <v>620</v>
      </c>
      <c r="G473" s="274">
        <v>11</v>
      </c>
      <c r="H473" s="261">
        <v>3704</v>
      </c>
      <c r="I473" s="261">
        <v>40741</v>
      </c>
      <c r="J473" s="261">
        <v>0</v>
      </c>
      <c r="K473" s="261">
        <f t="shared" si="14"/>
        <v>40741</v>
      </c>
      <c r="L473" s="261">
        <v>3259</v>
      </c>
      <c r="M473" s="261">
        <f t="shared" si="15"/>
        <v>44000</v>
      </c>
      <c r="N473" s="137">
        <v>2.2000000000000001E-3</v>
      </c>
    </row>
    <row r="474" spans="1:14" ht="18" customHeight="1">
      <c r="A474" s="134">
        <v>6</v>
      </c>
      <c r="B474" s="135" t="s">
        <v>91</v>
      </c>
      <c r="C474" s="134">
        <v>215</v>
      </c>
      <c r="D474" s="138" t="s">
        <v>82</v>
      </c>
      <c r="E474" s="138" t="s">
        <v>127</v>
      </c>
      <c r="F474" s="135" t="s">
        <v>620</v>
      </c>
      <c r="G474" s="274">
        <v>15</v>
      </c>
      <c r="H474" s="261">
        <v>37500</v>
      </c>
      <c r="I474" s="261">
        <v>562500</v>
      </c>
      <c r="J474" s="261">
        <v>0</v>
      </c>
      <c r="K474" s="261">
        <f t="shared" si="14"/>
        <v>562500</v>
      </c>
      <c r="L474" s="261">
        <v>45000</v>
      </c>
      <c r="M474" s="261">
        <f t="shared" si="15"/>
        <v>607500</v>
      </c>
      <c r="N474" s="137">
        <v>0.03</v>
      </c>
    </row>
    <row r="475" spans="1:14" ht="18" customHeight="1">
      <c r="A475" s="134">
        <v>6</v>
      </c>
      <c r="B475" s="135" t="s">
        <v>91</v>
      </c>
      <c r="C475" s="134">
        <v>214</v>
      </c>
      <c r="D475" s="138" t="s">
        <v>82</v>
      </c>
      <c r="E475" s="138" t="s">
        <v>693</v>
      </c>
      <c r="F475" s="135" t="s">
        <v>620</v>
      </c>
      <c r="G475" s="274">
        <v>12</v>
      </c>
      <c r="H475" s="261">
        <v>37500</v>
      </c>
      <c r="I475" s="261">
        <v>450000</v>
      </c>
      <c r="J475" s="261">
        <v>0</v>
      </c>
      <c r="K475" s="261">
        <f t="shared" si="14"/>
        <v>450000</v>
      </c>
      <c r="L475" s="261">
        <v>36000</v>
      </c>
      <c r="M475" s="261">
        <f t="shared" si="15"/>
        <v>486000</v>
      </c>
      <c r="N475" s="137">
        <v>2.4E-2</v>
      </c>
    </row>
    <row r="476" spans="1:14" ht="18" customHeight="1">
      <c r="A476" s="134">
        <v>6</v>
      </c>
      <c r="B476" s="135" t="s">
        <v>91</v>
      </c>
      <c r="C476" s="134">
        <v>113</v>
      </c>
      <c r="D476" s="138" t="s">
        <v>84</v>
      </c>
      <c r="E476" s="138" t="s">
        <v>130</v>
      </c>
      <c r="F476" s="135" t="s">
        <v>620</v>
      </c>
      <c r="G476" s="274">
        <v>42</v>
      </c>
      <c r="H476" s="261">
        <v>22222</v>
      </c>
      <c r="I476" s="261">
        <v>933333</v>
      </c>
      <c r="J476" s="261">
        <v>0</v>
      </c>
      <c r="K476" s="261">
        <f t="shared" si="14"/>
        <v>933333</v>
      </c>
      <c r="L476" s="261">
        <v>74667</v>
      </c>
      <c r="M476" s="261">
        <f t="shared" si="15"/>
        <v>1008000</v>
      </c>
      <c r="N476" s="137">
        <v>4.9699999999999987E-2</v>
      </c>
    </row>
    <row r="477" spans="1:14" ht="18" customHeight="1">
      <c r="A477" s="134">
        <v>6</v>
      </c>
      <c r="B477" s="135" t="s">
        <v>91</v>
      </c>
      <c r="C477" s="134">
        <v>315</v>
      </c>
      <c r="D477" s="138" t="s">
        <v>82</v>
      </c>
      <c r="E477" s="138" t="s">
        <v>694</v>
      </c>
      <c r="F477" s="135" t="s">
        <v>620</v>
      </c>
      <c r="G477" s="274">
        <v>1</v>
      </c>
      <c r="H477" s="261">
        <v>1852</v>
      </c>
      <c r="I477" s="261">
        <v>1852</v>
      </c>
      <c r="J477" s="261">
        <v>0</v>
      </c>
      <c r="K477" s="261">
        <f t="shared" si="14"/>
        <v>1852</v>
      </c>
      <c r="L477" s="261">
        <v>148</v>
      </c>
      <c r="M477" s="261">
        <f t="shared" si="15"/>
        <v>2000</v>
      </c>
      <c r="N477" s="137">
        <v>1E-4</v>
      </c>
    </row>
    <row r="478" spans="1:14" ht="18" customHeight="1">
      <c r="A478" s="134">
        <v>6</v>
      </c>
      <c r="B478" s="135" t="s">
        <v>91</v>
      </c>
      <c r="C478" s="134">
        <v>96</v>
      </c>
      <c r="D478" s="138" t="s">
        <v>88</v>
      </c>
      <c r="E478" s="138" t="s">
        <v>695</v>
      </c>
      <c r="F478" s="135" t="s">
        <v>620</v>
      </c>
      <c r="G478" s="274">
        <v>10</v>
      </c>
      <c r="H478" s="261">
        <v>35648</v>
      </c>
      <c r="I478" s="261">
        <v>356482</v>
      </c>
      <c r="J478" s="261">
        <v>0</v>
      </c>
      <c r="K478" s="261">
        <f t="shared" si="14"/>
        <v>356482</v>
      </c>
      <c r="L478" s="261">
        <v>28519</v>
      </c>
      <c r="M478" s="261">
        <f t="shared" si="15"/>
        <v>385001</v>
      </c>
      <c r="N478" s="137">
        <v>1.9E-2</v>
      </c>
    </row>
    <row r="479" spans="1:14" ht="18" customHeight="1">
      <c r="A479" s="134">
        <v>6</v>
      </c>
      <c r="B479" s="135" t="s">
        <v>91</v>
      </c>
      <c r="C479" s="134">
        <v>33</v>
      </c>
      <c r="D479" s="138" t="s">
        <v>86</v>
      </c>
      <c r="E479" s="138" t="s">
        <v>673</v>
      </c>
      <c r="F479" s="135" t="s">
        <v>620</v>
      </c>
      <c r="G479" s="274">
        <v>2</v>
      </c>
      <c r="H479" s="261">
        <v>1852</v>
      </c>
      <c r="I479" s="261">
        <v>3704</v>
      </c>
      <c r="J479" s="261">
        <v>0</v>
      </c>
      <c r="K479" s="261">
        <f t="shared" si="14"/>
        <v>3704</v>
      </c>
      <c r="L479" s="261">
        <v>296</v>
      </c>
      <c r="M479" s="261">
        <f t="shared" si="15"/>
        <v>4000</v>
      </c>
      <c r="N479" s="137">
        <v>2.0000000000000001E-4</v>
      </c>
    </row>
    <row r="480" spans="1:14" ht="18" customHeight="1">
      <c r="A480" s="134">
        <v>6</v>
      </c>
      <c r="B480" s="135" t="s">
        <v>91</v>
      </c>
      <c r="C480" s="134">
        <v>255</v>
      </c>
      <c r="D480" s="138" t="s">
        <v>88</v>
      </c>
      <c r="E480" s="138" t="s">
        <v>696</v>
      </c>
      <c r="F480" s="135" t="s">
        <v>620</v>
      </c>
      <c r="G480" s="274">
        <v>5</v>
      </c>
      <c r="H480" s="261">
        <v>35648</v>
      </c>
      <c r="I480" s="261">
        <v>178241</v>
      </c>
      <c r="J480" s="261">
        <v>0</v>
      </c>
      <c r="K480" s="261">
        <f t="shared" si="14"/>
        <v>178241</v>
      </c>
      <c r="L480" s="261">
        <v>14259</v>
      </c>
      <c r="M480" s="261">
        <f t="shared" si="15"/>
        <v>192500</v>
      </c>
      <c r="N480" s="137">
        <v>9.4999999999999998E-3</v>
      </c>
    </row>
    <row r="481" spans="1:14" ht="18" customHeight="1">
      <c r="A481" s="134">
        <v>6</v>
      </c>
      <c r="B481" s="135" t="s">
        <v>91</v>
      </c>
      <c r="C481" s="134">
        <v>67</v>
      </c>
      <c r="D481" s="138" t="s">
        <v>88</v>
      </c>
      <c r="E481" s="138" t="s">
        <v>674</v>
      </c>
      <c r="F481" s="135" t="s">
        <v>620</v>
      </c>
      <c r="G481" s="274">
        <v>1</v>
      </c>
      <c r="H481" s="261">
        <v>41667</v>
      </c>
      <c r="I481" s="261">
        <v>41667</v>
      </c>
      <c r="J481" s="261">
        <v>0</v>
      </c>
      <c r="K481" s="261">
        <f t="shared" si="14"/>
        <v>41667</v>
      </c>
      <c r="L481" s="261">
        <v>3333</v>
      </c>
      <c r="M481" s="261">
        <f t="shared" si="15"/>
        <v>45000</v>
      </c>
      <c r="N481" s="137">
        <v>2.2000000000000001E-3</v>
      </c>
    </row>
    <row r="482" spans="1:14" ht="18" customHeight="1">
      <c r="A482" s="134">
        <v>6</v>
      </c>
      <c r="B482" s="135" t="s">
        <v>91</v>
      </c>
      <c r="C482" s="134">
        <v>39</v>
      </c>
      <c r="D482" s="138" t="s">
        <v>86</v>
      </c>
      <c r="E482" s="138" t="s">
        <v>697</v>
      </c>
      <c r="F482" s="135" t="s">
        <v>620</v>
      </c>
      <c r="G482" s="274">
        <v>2</v>
      </c>
      <c r="H482" s="261">
        <v>3333</v>
      </c>
      <c r="I482" s="261">
        <v>6667</v>
      </c>
      <c r="J482" s="261">
        <v>0</v>
      </c>
      <c r="K482" s="261">
        <f t="shared" si="14"/>
        <v>6667</v>
      </c>
      <c r="L482" s="261">
        <v>533</v>
      </c>
      <c r="M482" s="261">
        <f t="shared" si="15"/>
        <v>7200</v>
      </c>
      <c r="N482" s="137">
        <v>4.0000000000000002E-4</v>
      </c>
    </row>
    <row r="483" spans="1:14" ht="18" customHeight="1">
      <c r="A483" s="134">
        <v>7</v>
      </c>
      <c r="B483" s="135" t="s">
        <v>93</v>
      </c>
      <c r="C483" s="134">
        <v>73</v>
      </c>
      <c r="D483" s="138" t="s">
        <v>86</v>
      </c>
      <c r="E483" s="138" t="s">
        <v>619</v>
      </c>
      <c r="F483" s="135" t="s">
        <v>620</v>
      </c>
      <c r="G483" s="274">
        <v>13</v>
      </c>
      <c r="H483" s="261">
        <v>2593</v>
      </c>
      <c r="I483" s="261">
        <v>33704</v>
      </c>
      <c r="J483" s="261">
        <v>0</v>
      </c>
      <c r="K483" s="261">
        <f t="shared" si="14"/>
        <v>33704</v>
      </c>
      <c r="L483" s="261">
        <v>2696</v>
      </c>
      <c r="M483" s="261">
        <f t="shared" si="15"/>
        <v>36400</v>
      </c>
      <c r="N483" s="137">
        <v>6.6E-3</v>
      </c>
    </row>
    <row r="484" spans="1:14" ht="18" customHeight="1">
      <c r="A484" s="134">
        <v>7</v>
      </c>
      <c r="B484" s="135" t="s">
        <v>93</v>
      </c>
      <c r="C484" s="134">
        <v>65</v>
      </c>
      <c r="D484" s="138" t="s">
        <v>86</v>
      </c>
      <c r="E484" s="138" t="s">
        <v>621</v>
      </c>
      <c r="F484" s="135" t="s">
        <v>620</v>
      </c>
      <c r="G484" s="274">
        <v>1</v>
      </c>
      <c r="H484" s="261">
        <v>2778</v>
      </c>
      <c r="I484" s="261">
        <v>2778</v>
      </c>
      <c r="J484" s="261">
        <v>0</v>
      </c>
      <c r="K484" s="261">
        <f t="shared" si="14"/>
        <v>2778</v>
      </c>
      <c r="L484" s="261">
        <v>222</v>
      </c>
      <c r="M484" s="261">
        <f t="shared" si="15"/>
        <v>3000</v>
      </c>
      <c r="N484" s="137">
        <v>5.0000000000000001E-4</v>
      </c>
    </row>
    <row r="485" spans="1:14" ht="18" customHeight="1">
      <c r="A485" s="134">
        <v>7</v>
      </c>
      <c r="B485" s="135" t="s">
        <v>93</v>
      </c>
      <c r="C485" s="134">
        <v>207</v>
      </c>
      <c r="D485" s="138" t="s">
        <v>82</v>
      </c>
      <c r="E485" s="138" t="s">
        <v>739</v>
      </c>
      <c r="F485" s="135" t="s">
        <v>620</v>
      </c>
      <c r="G485" s="274">
        <v>31</v>
      </c>
      <c r="H485" s="261">
        <v>18608</v>
      </c>
      <c r="I485" s="261">
        <v>576852</v>
      </c>
      <c r="J485" s="261">
        <v>0</v>
      </c>
      <c r="K485" s="261">
        <f t="shared" si="14"/>
        <v>576852</v>
      </c>
      <c r="L485" s="261">
        <v>46148</v>
      </c>
      <c r="M485" s="261">
        <f t="shared" si="15"/>
        <v>623000</v>
      </c>
      <c r="N485" s="137">
        <v>0.11210000000000001</v>
      </c>
    </row>
    <row r="486" spans="1:14" ht="18" customHeight="1">
      <c r="A486" s="134">
        <v>7</v>
      </c>
      <c r="B486" s="135" t="s">
        <v>93</v>
      </c>
      <c r="C486" s="134">
        <v>3</v>
      </c>
      <c r="D486" s="138" t="s">
        <v>82</v>
      </c>
      <c r="E486" s="138" t="s">
        <v>698</v>
      </c>
      <c r="F486" s="135" t="s">
        <v>620</v>
      </c>
      <c r="G486" s="274">
        <v>13</v>
      </c>
      <c r="H486" s="261">
        <v>18590</v>
      </c>
      <c r="I486" s="261">
        <v>241667</v>
      </c>
      <c r="J486" s="261">
        <v>0</v>
      </c>
      <c r="K486" s="261">
        <f t="shared" si="14"/>
        <v>241667</v>
      </c>
      <c r="L486" s="261">
        <v>19333</v>
      </c>
      <c r="M486" s="261">
        <f t="shared" si="15"/>
        <v>261000</v>
      </c>
      <c r="N486" s="137">
        <v>4.7E-2</v>
      </c>
    </row>
    <row r="487" spans="1:14" ht="18" customHeight="1">
      <c r="A487" s="134">
        <v>7</v>
      </c>
      <c r="B487" s="135" t="s">
        <v>93</v>
      </c>
      <c r="C487" s="134">
        <v>40</v>
      </c>
      <c r="D487" s="138" t="s">
        <v>82</v>
      </c>
      <c r="E487" s="138" t="s">
        <v>165</v>
      </c>
      <c r="F487" s="135" t="s">
        <v>620</v>
      </c>
      <c r="G487" s="274">
        <v>2</v>
      </c>
      <c r="H487" s="261">
        <v>55093</v>
      </c>
      <c r="I487" s="261">
        <v>110185</v>
      </c>
      <c r="J487" s="261">
        <v>0</v>
      </c>
      <c r="K487" s="261">
        <f t="shared" si="14"/>
        <v>110185</v>
      </c>
      <c r="L487" s="261">
        <v>8815</v>
      </c>
      <c r="M487" s="261">
        <f t="shared" si="15"/>
        <v>119000</v>
      </c>
      <c r="N487" s="137">
        <v>2.1399999999999999E-2</v>
      </c>
    </row>
    <row r="488" spans="1:14" ht="18" customHeight="1">
      <c r="A488" s="134">
        <v>7</v>
      </c>
      <c r="B488" s="135" t="s">
        <v>93</v>
      </c>
      <c r="C488" s="134">
        <v>131</v>
      </c>
      <c r="D488" s="138" t="s">
        <v>82</v>
      </c>
      <c r="E488" s="138" t="s">
        <v>677</v>
      </c>
      <c r="F488" s="135" t="s">
        <v>620</v>
      </c>
      <c r="G488" s="274">
        <v>1</v>
      </c>
      <c r="H488" s="261">
        <v>278</v>
      </c>
      <c r="I488" s="261">
        <v>278</v>
      </c>
      <c r="J488" s="261">
        <v>0</v>
      </c>
      <c r="K488" s="261">
        <f t="shared" si="14"/>
        <v>278</v>
      </c>
      <c r="L488" s="261">
        <v>22</v>
      </c>
      <c r="M488" s="261">
        <f t="shared" si="15"/>
        <v>300</v>
      </c>
      <c r="N488" s="137">
        <v>1E-4</v>
      </c>
    </row>
    <row r="489" spans="1:14" ht="18" customHeight="1">
      <c r="A489" s="134">
        <v>7</v>
      </c>
      <c r="B489" s="135" t="s">
        <v>93</v>
      </c>
      <c r="C489" s="134">
        <v>104</v>
      </c>
      <c r="D489" s="138" t="s">
        <v>84</v>
      </c>
      <c r="E489" s="138" t="s">
        <v>157</v>
      </c>
      <c r="F489" s="135" t="s">
        <v>620</v>
      </c>
      <c r="G489" s="274">
        <v>8</v>
      </c>
      <c r="H489" s="261">
        <v>15741</v>
      </c>
      <c r="I489" s="261">
        <v>125926</v>
      </c>
      <c r="J489" s="261">
        <v>0</v>
      </c>
      <c r="K489" s="261">
        <f t="shared" si="14"/>
        <v>125926</v>
      </c>
      <c r="L489" s="261">
        <v>10074</v>
      </c>
      <c r="M489" s="261">
        <f t="shared" si="15"/>
        <v>136000</v>
      </c>
      <c r="N489" s="137">
        <v>2.4500000000000001E-2</v>
      </c>
    </row>
    <row r="490" spans="1:14" ht="18" customHeight="1">
      <c r="A490" s="134">
        <v>7</v>
      </c>
      <c r="B490" s="135" t="s">
        <v>93</v>
      </c>
      <c r="C490" s="134">
        <v>95</v>
      </c>
      <c r="D490" s="138" t="s">
        <v>82</v>
      </c>
      <c r="E490" s="138" t="s">
        <v>624</v>
      </c>
      <c r="F490" s="135" t="s">
        <v>620</v>
      </c>
      <c r="G490" s="274">
        <v>2</v>
      </c>
      <c r="H490" s="261">
        <v>926</v>
      </c>
      <c r="I490" s="261">
        <v>1852</v>
      </c>
      <c r="J490" s="261">
        <v>0</v>
      </c>
      <c r="K490" s="261">
        <f t="shared" si="14"/>
        <v>1852</v>
      </c>
      <c r="L490" s="261">
        <v>148</v>
      </c>
      <c r="M490" s="261">
        <f t="shared" si="15"/>
        <v>2000</v>
      </c>
      <c r="N490" s="137">
        <v>4.0000000000000002E-4</v>
      </c>
    </row>
    <row r="491" spans="1:14" ht="18" customHeight="1">
      <c r="A491" s="134">
        <v>7</v>
      </c>
      <c r="B491" s="135" t="s">
        <v>93</v>
      </c>
      <c r="C491" s="134">
        <v>54</v>
      </c>
      <c r="D491" s="138" t="s">
        <v>86</v>
      </c>
      <c r="E491" s="138" t="s">
        <v>678</v>
      </c>
      <c r="F491" s="135" t="s">
        <v>620</v>
      </c>
      <c r="G491" s="274">
        <v>2</v>
      </c>
      <c r="H491" s="261">
        <v>2315</v>
      </c>
      <c r="I491" s="261">
        <v>4630</v>
      </c>
      <c r="J491" s="261">
        <v>0</v>
      </c>
      <c r="K491" s="261">
        <f t="shared" si="14"/>
        <v>4630</v>
      </c>
      <c r="L491" s="261">
        <v>370</v>
      </c>
      <c r="M491" s="261">
        <f t="shared" si="15"/>
        <v>5000</v>
      </c>
      <c r="N491" s="137">
        <v>8.9999999999999998E-4</v>
      </c>
    </row>
    <row r="492" spans="1:14" ht="18" customHeight="1">
      <c r="A492" s="134">
        <v>7</v>
      </c>
      <c r="B492" s="135" t="s">
        <v>93</v>
      </c>
      <c r="C492" s="134">
        <v>5</v>
      </c>
      <c r="D492" s="138" t="s">
        <v>84</v>
      </c>
      <c r="E492" s="138" t="s">
        <v>679</v>
      </c>
      <c r="F492" s="135" t="s">
        <v>620</v>
      </c>
      <c r="G492" s="274">
        <v>3</v>
      </c>
      <c r="H492" s="261">
        <v>11111</v>
      </c>
      <c r="I492" s="261">
        <v>33333</v>
      </c>
      <c r="J492" s="261">
        <v>0</v>
      </c>
      <c r="K492" s="261">
        <f t="shared" si="14"/>
        <v>33333</v>
      </c>
      <c r="L492" s="261">
        <v>2667</v>
      </c>
      <c r="M492" s="261">
        <f t="shared" si="15"/>
        <v>36000</v>
      </c>
      <c r="N492" s="137">
        <v>6.5000000000000006E-3</v>
      </c>
    </row>
    <row r="493" spans="1:14" ht="18" customHeight="1">
      <c r="A493" s="134">
        <v>7</v>
      </c>
      <c r="B493" s="135" t="s">
        <v>93</v>
      </c>
      <c r="C493" s="134">
        <v>6</v>
      </c>
      <c r="D493" s="138" t="s">
        <v>84</v>
      </c>
      <c r="E493" s="138" t="s">
        <v>680</v>
      </c>
      <c r="F493" s="135" t="s">
        <v>620</v>
      </c>
      <c r="G493" s="274">
        <v>1</v>
      </c>
      <c r="H493" s="261">
        <v>14815</v>
      </c>
      <c r="I493" s="261">
        <v>14815</v>
      </c>
      <c r="J493" s="261">
        <v>0</v>
      </c>
      <c r="K493" s="261">
        <f t="shared" si="14"/>
        <v>14815</v>
      </c>
      <c r="L493" s="261">
        <v>1185</v>
      </c>
      <c r="M493" s="261">
        <f t="shared" si="15"/>
        <v>16000</v>
      </c>
      <c r="N493" s="137">
        <v>2.8999999999999998E-3</v>
      </c>
    </row>
    <row r="494" spans="1:14" ht="18" customHeight="1">
      <c r="A494" s="134">
        <v>7</v>
      </c>
      <c r="B494" s="135" t="s">
        <v>93</v>
      </c>
      <c r="C494" s="134">
        <v>8</v>
      </c>
      <c r="D494" s="138" t="s">
        <v>82</v>
      </c>
      <c r="E494" s="138" t="s">
        <v>151</v>
      </c>
      <c r="F494" s="135" t="s">
        <v>620</v>
      </c>
      <c r="G494" s="274">
        <v>20</v>
      </c>
      <c r="H494" s="261">
        <v>18565</v>
      </c>
      <c r="I494" s="261">
        <v>371296</v>
      </c>
      <c r="J494" s="261">
        <v>0</v>
      </c>
      <c r="K494" s="261">
        <f t="shared" si="14"/>
        <v>371296</v>
      </c>
      <c r="L494" s="261">
        <v>29704</v>
      </c>
      <c r="M494" s="261">
        <f t="shared" si="15"/>
        <v>401000</v>
      </c>
      <c r="N494" s="137">
        <v>7.22E-2</v>
      </c>
    </row>
    <row r="495" spans="1:14" ht="18" customHeight="1">
      <c r="A495" s="134">
        <v>7</v>
      </c>
      <c r="B495" s="135" t="s">
        <v>93</v>
      </c>
      <c r="C495" s="134">
        <v>87</v>
      </c>
      <c r="D495" s="138" t="s">
        <v>84</v>
      </c>
      <c r="E495" s="138" t="s">
        <v>139</v>
      </c>
      <c r="F495" s="135" t="s">
        <v>620</v>
      </c>
      <c r="G495" s="274">
        <v>3</v>
      </c>
      <c r="H495" s="261">
        <v>37500</v>
      </c>
      <c r="I495" s="261">
        <v>112500</v>
      </c>
      <c r="J495" s="261">
        <v>0</v>
      </c>
      <c r="K495" s="261">
        <f t="shared" si="14"/>
        <v>112500</v>
      </c>
      <c r="L495" s="261">
        <v>9000</v>
      </c>
      <c r="M495" s="261">
        <f t="shared" si="15"/>
        <v>121500</v>
      </c>
      <c r="N495" s="137">
        <v>2.1899999999999999E-2</v>
      </c>
    </row>
    <row r="496" spans="1:14" ht="18" customHeight="1">
      <c r="A496" s="134">
        <v>7</v>
      </c>
      <c r="B496" s="135" t="s">
        <v>93</v>
      </c>
      <c r="C496" s="134">
        <v>13</v>
      </c>
      <c r="D496" s="138" t="s">
        <v>82</v>
      </c>
      <c r="E496" s="138" t="s">
        <v>628</v>
      </c>
      <c r="F496" s="135" t="s">
        <v>620</v>
      </c>
      <c r="G496" s="274">
        <v>9</v>
      </c>
      <c r="H496" s="261">
        <v>18519</v>
      </c>
      <c r="I496" s="261">
        <v>166667</v>
      </c>
      <c r="J496" s="261">
        <v>0</v>
      </c>
      <c r="K496" s="261">
        <f t="shared" si="14"/>
        <v>166667</v>
      </c>
      <c r="L496" s="261">
        <v>13333</v>
      </c>
      <c r="M496" s="261">
        <f t="shared" si="15"/>
        <v>180000</v>
      </c>
      <c r="N496" s="137">
        <v>3.2400000000000012E-2</v>
      </c>
    </row>
    <row r="497" spans="1:14" ht="18" customHeight="1">
      <c r="A497" s="134">
        <v>7</v>
      </c>
      <c r="B497" s="135" t="s">
        <v>93</v>
      </c>
      <c r="C497" s="134">
        <v>83</v>
      </c>
      <c r="D497" s="138" t="s">
        <v>82</v>
      </c>
      <c r="E497" s="138" t="s">
        <v>632</v>
      </c>
      <c r="F497" s="135" t="s">
        <v>620</v>
      </c>
      <c r="G497" s="274">
        <v>2</v>
      </c>
      <c r="H497" s="261">
        <v>20833</v>
      </c>
      <c r="I497" s="261">
        <v>41667</v>
      </c>
      <c r="J497" s="261">
        <v>0</v>
      </c>
      <c r="K497" s="261">
        <f t="shared" si="14"/>
        <v>41667</v>
      </c>
      <c r="L497" s="261">
        <v>3333</v>
      </c>
      <c r="M497" s="261">
        <f t="shared" si="15"/>
        <v>45000</v>
      </c>
      <c r="N497" s="137">
        <v>8.1000000000000013E-3</v>
      </c>
    </row>
    <row r="498" spans="1:14" ht="18" customHeight="1">
      <c r="A498" s="134">
        <v>7</v>
      </c>
      <c r="B498" s="135" t="s">
        <v>93</v>
      </c>
      <c r="C498" s="134">
        <v>122</v>
      </c>
      <c r="D498" s="138" t="s">
        <v>86</v>
      </c>
      <c r="E498" s="138" t="s">
        <v>634</v>
      </c>
      <c r="F498" s="135" t="s">
        <v>620</v>
      </c>
      <c r="G498" s="274">
        <v>2</v>
      </c>
      <c r="H498" s="261">
        <v>2778</v>
      </c>
      <c r="I498" s="261">
        <v>5556</v>
      </c>
      <c r="J498" s="261">
        <v>0</v>
      </c>
      <c r="K498" s="261">
        <f t="shared" si="14"/>
        <v>5556</v>
      </c>
      <c r="L498" s="261">
        <v>444</v>
      </c>
      <c r="M498" s="261">
        <f t="shared" si="15"/>
        <v>6000</v>
      </c>
      <c r="N498" s="137">
        <v>1.1000000000000001E-3</v>
      </c>
    </row>
    <row r="499" spans="1:14" ht="18" customHeight="1">
      <c r="A499" s="134">
        <v>7</v>
      </c>
      <c r="B499" s="135" t="s">
        <v>93</v>
      </c>
      <c r="C499" s="134">
        <v>42</v>
      </c>
      <c r="D499" s="138" t="s">
        <v>82</v>
      </c>
      <c r="E499" s="138" t="s">
        <v>354</v>
      </c>
      <c r="F499" s="135" t="s">
        <v>620</v>
      </c>
      <c r="G499" s="274">
        <v>2</v>
      </c>
      <c r="H499" s="261">
        <v>32407</v>
      </c>
      <c r="I499" s="261">
        <v>64815</v>
      </c>
      <c r="J499" s="261">
        <v>0</v>
      </c>
      <c r="K499" s="261">
        <f t="shared" si="14"/>
        <v>64815</v>
      </c>
      <c r="L499" s="261">
        <v>5185</v>
      </c>
      <c r="M499" s="261">
        <f t="shared" si="15"/>
        <v>70000</v>
      </c>
      <c r="N499" s="137">
        <v>1.26E-2</v>
      </c>
    </row>
    <row r="500" spans="1:14" ht="18" customHeight="1">
      <c r="A500" s="134">
        <v>7</v>
      </c>
      <c r="B500" s="135" t="s">
        <v>93</v>
      </c>
      <c r="C500" s="134">
        <v>44</v>
      </c>
      <c r="D500" s="138" t="s">
        <v>82</v>
      </c>
      <c r="E500" s="138" t="s">
        <v>133</v>
      </c>
      <c r="F500" s="135" t="s">
        <v>620</v>
      </c>
      <c r="G500" s="274">
        <v>2</v>
      </c>
      <c r="H500" s="261">
        <v>28241</v>
      </c>
      <c r="I500" s="261">
        <v>56481</v>
      </c>
      <c r="J500" s="261">
        <v>0</v>
      </c>
      <c r="K500" s="261">
        <f t="shared" si="14"/>
        <v>56481</v>
      </c>
      <c r="L500" s="261">
        <v>4519</v>
      </c>
      <c r="M500" s="261">
        <f t="shared" si="15"/>
        <v>61000</v>
      </c>
      <c r="N500" s="137">
        <v>1.0999999999999999E-2</v>
      </c>
    </row>
    <row r="501" spans="1:14" ht="18" customHeight="1">
      <c r="A501" s="134">
        <v>7</v>
      </c>
      <c r="B501" s="135" t="s">
        <v>93</v>
      </c>
      <c r="C501" s="134">
        <v>110</v>
      </c>
      <c r="D501" s="138" t="s">
        <v>94</v>
      </c>
      <c r="E501" s="138" t="s">
        <v>635</v>
      </c>
      <c r="F501" s="135" t="s">
        <v>620</v>
      </c>
      <c r="G501" s="274">
        <v>19</v>
      </c>
      <c r="H501" s="261">
        <v>926</v>
      </c>
      <c r="I501" s="261">
        <v>17593</v>
      </c>
      <c r="J501" s="261">
        <v>0</v>
      </c>
      <c r="K501" s="261">
        <f t="shared" si="14"/>
        <v>17593</v>
      </c>
      <c r="L501" s="261">
        <v>1407</v>
      </c>
      <c r="M501" s="261">
        <f t="shared" si="15"/>
        <v>19000</v>
      </c>
      <c r="N501" s="137">
        <v>3.3999999999999998E-3</v>
      </c>
    </row>
    <row r="502" spans="1:14" ht="18" customHeight="1">
      <c r="A502" s="134">
        <v>7</v>
      </c>
      <c r="B502" s="135" t="s">
        <v>93</v>
      </c>
      <c r="C502" s="134">
        <v>4</v>
      </c>
      <c r="D502" s="138" t="s">
        <v>82</v>
      </c>
      <c r="E502" s="138" t="s">
        <v>701</v>
      </c>
      <c r="F502" s="135" t="s">
        <v>620</v>
      </c>
      <c r="G502" s="274">
        <v>8</v>
      </c>
      <c r="H502" s="261">
        <v>18750</v>
      </c>
      <c r="I502" s="261">
        <v>150000</v>
      </c>
      <c r="J502" s="261">
        <v>0</v>
      </c>
      <c r="K502" s="261">
        <f t="shared" si="14"/>
        <v>150000</v>
      </c>
      <c r="L502" s="261">
        <v>12000</v>
      </c>
      <c r="M502" s="261">
        <f t="shared" si="15"/>
        <v>162000</v>
      </c>
      <c r="N502" s="137">
        <v>2.92E-2</v>
      </c>
    </row>
    <row r="503" spans="1:14" ht="18" customHeight="1">
      <c r="A503" s="134">
        <v>7</v>
      </c>
      <c r="B503" s="135" t="s">
        <v>93</v>
      </c>
      <c r="C503" s="134">
        <v>102</v>
      </c>
      <c r="D503" s="138" t="s">
        <v>82</v>
      </c>
      <c r="E503" s="138" t="s">
        <v>684</v>
      </c>
      <c r="F503" s="135" t="s">
        <v>620</v>
      </c>
      <c r="G503" s="274">
        <v>1</v>
      </c>
      <c r="H503" s="261">
        <v>6944</v>
      </c>
      <c r="I503" s="261">
        <v>6944</v>
      </c>
      <c r="J503" s="261">
        <v>0</v>
      </c>
      <c r="K503" s="261">
        <f t="shared" si="14"/>
        <v>6944</v>
      </c>
      <c r="L503" s="261">
        <v>556</v>
      </c>
      <c r="M503" s="261">
        <f t="shared" si="15"/>
        <v>7500</v>
      </c>
      <c r="N503" s="137">
        <v>1.2999999999999999E-3</v>
      </c>
    </row>
    <row r="504" spans="1:14" ht="18" customHeight="1">
      <c r="A504" s="134">
        <v>7</v>
      </c>
      <c r="B504" s="135" t="s">
        <v>93</v>
      </c>
      <c r="C504" s="134">
        <v>30</v>
      </c>
      <c r="D504" s="138" t="s">
        <v>90</v>
      </c>
      <c r="E504" s="138" t="s">
        <v>637</v>
      </c>
      <c r="F504" s="135" t="s">
        <v>620</v>
      </c>
      <c r="G504" s="274">
        <v>2</v>
      </c>
      <c r="H504" s="261">
        <v>6481</v>
      </c>
      <c r="I504" s="261">
        <v>12963</v>
      </c>
      <c r="J504" s="261">
        <v>0</v>
      </c>
      <c r="K504" s="261">
        <f t="shared" si="14"/>
        <v>12963</v>
      </c>
      <c r="L504" s="261">
        <v>1037</v>
      </c>
      <c r="M504" s="261">
        <f t="shared" si="15"/>
        <v>14000</v>
      </c>
      <c r="N504" s="137">
        <v>2.5000000000000001E-3</v>
      </c>
    </row>
    <row r="505" spans="1:14" ht="18" customHeight="1">
      <c r="A505" s="134">
        <v>7</v>
      </c>
      <c r="B505" s="135" t="s">
        <v>93</v>
      </c>
      <c r="C505" s="134">
        <v>305</v>
      </c>
      <c r="D505" s="138" t="s">
        <v>86</v>
      </c>
      <c r="E505" s="138" t="s">
        <v>638</v>
      </c>
      <c r="F505" s="135" t="s">
        <v>620</v>
      </c>
      <c r="G505" s="274">
        <v>2</v>
      </c>
      <c r="H505" s="261">
        <v>9259</v>
      </c>
      <c r="I505" s="261">
        <v>18519</v>
      </c>
      <c r="J505" s="261">
        <v>0</v>
      </c>
      <c r="K505" s="261">
        <f t="shared" si="14"/>
        <v>18519</v>
      </c>
      <c r="L505" s="261">
        <v>1481</v>
      </c>
      <c r="M505" s="261">
        <f t="shared" si="15"/>
        <v>20000</v>
      </c>
      <c r="N505" s="137">
        <v>3.5999999999999999E-3</v>
      </c>
    </row>
    <row r="506" spans="1:14" ht="18" customHeight="1">
      <c r="A506" s="134">
        <v>7</v>
      </c>
      <c r="B506" s="135" t="s">
        <v>93</v>
      </c>
      <c r="C506" s="134">
        <v>94</v>
      </c>
      <c r="D506" s="138" t="s">
        <v>84</v>
      </c>
      <c r="E506" s="138" t="s">
        <v>145</v>
      </c>
      <c r="F506" s="135" t="s">
        <v>620</v>
      </c>
      <c r="G506" s="274">
        <v>11</v>
      </c>
      <c r="H506" s="261">
        <v>18603</v>
      </c>
      <c r="I506" s="261">
        <v>204630</v>
      </c>
      <c r="J506" s="261">
        <v>0</v>
      </c>
      <c r="K506" s="261">
        <f t="shared" si="14"/>
        <v>204630</v>
      </c>
      <c r="L506" s="261">
        <v>16370</v>
      </c>
      <c r="M506" s="261">
        <f t="shared" si="15"/>
        <v>221000</v>
      </c>
      <c r="N506" s="137">
        <v>3.9800000000000002E-2</v>
      </c>
    </row>
    <row r="507" spans="1:14" ht="18" customHeight="1">
      <c r="A507" s="134">
        <v>7</v>
      </c>
      <c r="B507" s="135" t="s">
        <v>93</v>
      </c>
      <c r="C507" s="134">
        <v>233</v>
      </c>
      <c r="D507" s="138" t="s">
        <v>84</v>
      </c>
      <c r="E507" s="138" t="s">
        <v>112</v>
      </c>
      <c r="F507" s="135" t="s">
        <v>620</v>
      </c>
      <c r="G507" s="274">
        <v>38</v>
      </c>
      <c r="H507" s="261">
        <v>18543</v>
      </c>
      <c r="I507" s="261">
        <v>704630</v>
      </c>
      <c r="J507" s="261">
        <v>0</v>
      </c>
      <c r="K507" s="261">
        <f t="shared" si="14"/>
        <v>704630</v>
      </c>
      <c r="L507" s="261">
        <v>56370</v>
      </c>
      <c r="M507" s="261">
        <f t="shared" si="15"/>
        <v>761000</v>
      </c>
      <c r="N507" s="137">
        <v>0.13700000000000001</v>
      </c>
    </row>
    <row r="508" spans="1:14" ht="18" customHeight="1">
      <c r="A508" s="134">
        <v>7</v>
      </c>
      <c r="B508" s="135" t="s">
        <v>93</v>
      </c>
      <c r="C508" s="134">
        <v>217</v>
      </c>
      <c r="D508" s="138" t="s">
        <v>84</v>
      </c>
      <c r="E508" s="138" t="s">
        <v>639</v>
      </c>
      <c r="F508" s="135" t="s">
        <v>620</v>
      </c>
      <c r="G508" s="274">
        <v>2</v>
      </c>
      <c r="H508" s="261">
        <v>27778</v>
      </c>
      <c r="I508" s="261">
        <v>55556</v>
      </c>
      <c r="J508" s="261">
        <v>0</v>
      </c>
      <c r="K508" s="261">
        <f t="shared" si="14"/>
        <v>55556</v>
      </c>
      <c r="L508" s="261">
        <v>4444</v>
      </c>
      <c r="M508" s="261">
        <f t="shared" si="15"/>
        <v>60000</v>
      </c>
      <c r="N508" s="137">
        <v>1.0800000000000001E-2</v>
      </c>
    </row>
    <row r="509" spans="1:14" ht="18" customHeight="1">
      <c r="A509" s="134">
        <v>7</v>
      </c>
      <c r="B509" s="135" t="s">
        <v>93</v>
      </c>
      <c r="C509" s="134">
        <v>218</v>
      </c>
      <c r="D509" s="138" t="s">
        <v>84</v>
      </c>
      <c r="E509" s="138" t="s">
        <v>640</v>
      </c>
      <c r="F509" s="135" t="s">
        <v>620</v>
      </c>
      <c r="G509" s="274">
        <v>8</v>
      </c>
      <c r="H509" s="261">
        <v>18519</v>
      </c>
      <c r="I509" s="261">
        <v>148148</v>
      </c>
      <c r="J509" s="261">
        <v>0</v>
      </c>
      <c r="K509" s="261">
        <f t="shared" si="14"/>
        <v>148148</v>
      </c>
      <c r="L509" s="261">
        <v>11852</v>
      </c>
      <c r="M509" s="261">
        <f t="shared" si="15"/>
        <v>160000</v>
      </c>
      <c r="N509" s="137">
        <v>2.8799999999999999E-2</v>
      </c>
    </row>
    <row r="510" spans="1:14" ht="18" customHeight="1">
      <c r="A510" s="134">
        <v>7</v>
      </c>
      <c r="B510" s="135" t="s">
        <v>93</v>
      </c>
      <c r="C510" s="134">
        <v>34</v>
      </c>
      <c r="D510" s="138" t="s">
        <v>86</v>
      </c>
      <c r="E510" s="138" t="s">
        <v>641</v>
      </c>
      <c r="F510" s="135" t="s">
        <v>620</v>
      </c>
      <c r="G510" s="274">
        <v>2</v>
      </c>
      <c r="H510" s="261">
        <v>6481</v>
      </c>
      <c r="I510" s="261">
        <v>12963</v>
      </c>
      <c r="J510" s="261">
        <v>0</v>
      </c>
      <c r="K510" s="261">
        <f t="shared" si="14"/>
        <v>12963</v>
      </c>
      <c r="L510" s="261">
        <v>1037</v>
      </c>
      <c r="M510" s="261">
        <f t="shared" si="15"/>
        <v>14000</v>
      </c>
      <c r="N510" s="137">
        <v>2.5000000000000001E-3</v>
      </c>
    </row>
    <row r="511" spans="1:14" ht="18" customHeight="1">
      <c r="A511" s="134">
        <v>7</v>
      </c>
      <c r="B511" s="135" t="s">
        <v>93</v>
      </c>
      <c r="C511" s="134">
        <v>121</v>
      </c>
      <c r="D511" s="138" t="s">
        <v>86</v>
      </c>
      <c r="E511" s="138" t="s">
        <v>642</v>
      </c>
      <c r="F511" s="135" t="s">
        <v>620</v>
      </c>
      <c r="G511" s="274">
        <v>2</v>
      </c>
      <c r="H511" s="261">
        <v>2778</v>
      </c>
      <c r="I511" s="261">
        <v>5556</v>
      </c>
      <c r="J511" s="261">
        <v>0</v>
      </c>
      <c r="K511" s="261">
        <f t="shared" si="14"/>
        <v>5556</v>
      </c>
      <c r="L511" s="261">
        <v>444</v>
      </c>
      <c r="M511" s="261">
        <f t="shared" si="15"/>
        <v>6000</v>
      </c>
      <c r="N511" s="137">
        <v>1.1000000000000001E-3</v>
      </c>
    </row>
    <row r="512" spans="1:14" ht="18" customHeight="1">
      <c r="A512" s="134">
        <v>7</v>
      </c>
      <c r="B512" s="135" t="s">
        <v>93</v>
      </c>
      <c r="C512" s="134">
        <v>208</v>
      </c>
      <c r="D512" s="138" t="s">
        <v>86</v>
      </c>
      <c r="E512" s="138" t="s">
        <v>643</v>
      </c>
      <c r="F512" s="135" t="s">
        <v>620</v>
      </c>
      <c r="G512" s="274">
        <v>15</v>
      </c>
      <c r="H512" s="261">
        <v>3704</v>
      </c>
      <c r="I512" s="261">
        <v>55556</v>
      </c>
      <c r="J512" s="261">
        <v>0</v>
      </c>
      <c r="K512" s="261">
        <f t="shared" si="14"/>
        <v>55556</v>
      </c>
      <c r="L512" s="261">
        <v>4444</v>
      </c>
      <c r="M512" s="261">
        <f t="shared" si="15"/>
        <v>60000</v>
      </c>
      <c r="N512" s="137">
        <v>1.0800000000000001E-2</v>
      </c>
    </row>
    <row r="513" spans="1:14" ht="18" customHeight="1">
      <c r="A513" s="134">
        <v>7</v>
      </c>
      <c r="B513" s="135" t="s">
        <v>93</v>
      </c>
      <c r="C513" s="134">
        <v>90</v>
      </c>
      <c r="D513" s="138" t="s">
        <v>86</v>
      </c>
      <c r="E513" s="138" t="s">
        <v>439</v>
      </c>
      <c r="F513" s="135" t="s">
        <v>620</v>
      </c>
      <c r="G513" s="274">
        <v>1</v>
      </c>
      <c r="H513" s="261">
        <v>4259</v>
      </c>
      <c r="I513" s="261">
        <v>4259</v>
      </c>
      <c r="J513" s="261">
        <v>0</v>
      </c>
      <c r="K513" s="261">
        <f t="shared" si="14"/>
        <v>4259</v>
      </c>
      <c r="L513" s="261">
        <v>341</v>
      </c>
      <c r="M513" s="261">
        <f t="shared" si="15"/>
        <v>4600</v>
      </c>
      <c r="N513" s="137">
        <v>8.0000000000000004E-4</v>
      </c>
    </row>
    <row r="514" spans="1:14" ht="18" customHeight="1">
      <c r="A514" s="134">
        <v>7</v>
      </c>
      <c r="B514" s="135" t="s">
        <v>93</v>
      </c>
      <c r="C514" s="134">
        <v>31</v>
      </c>
      <c r="D514" s="138" t="s">
        <v>90</v>
      </c>
      <c r="E514" s="138" t="s">
        <v>645</v>
      </c>
      <c r="F514" s="135" t="s">
        <v>620</v>
      </c>
      <c r="G514" s="274">
        <v>3</v>
      </c>
      <c r="H514" s="261">
        <v>1204</v>
      </c>
      <c r="I514" s="261">
        <v>3611</v>
      </c>
      <c r="J514" s="261">
        <v>0</v>
      </c>
      <c r="K514" s="261">
        <f t="shared" ref="K514:K577" si="16">I514-J514</f>
        <v>3611</v>
      </c>
      <c r="L514" s="261">
        <v>289</v>
      </c>
      <c r="M514" s="261">
        <f t="shared" ref="M514:M577" si="17">K514+L514</f>
        <v>3900</v>
      </c>
      <c r="N514" s="137">
        <v>7.000000000000001E-4</v>
      </c>
    </row>
    <row r="515" spans="1:14" ht="18" customHeight="1">
      <c r="A515" s="134">
        <v>7</v>
      </c>
      <c r="B515" s="135" t="s">
        <v>93</v>
      </c>
      <c r="C515" s="134">
        <v>212</v>
      </c>
      <c r="D515" s="138" t="s">
        <v>86</v>
      </c>
      <c r="E515" s="138" t="s">
        <v>160</v>
      </c>
      <c r="F515" s="135" t="s">
        <v>620</v>
      </c>
      <c r="G515" s="274">
        <v>1</v>
      </c>
      <c r="H515" s="261">
        <v>22222</v>
      </c>
      <c r="I515" s="261">
        <v>22222</v>
      </c>
      <c r="J515" s="261">
        <v>0</v>
      </c>
      <c r="K515" s="261">
        <f t="shared" si="16"/>
        <v>22222</v>
      </c>
      <c r="L515" s="261">
        <v>1778</v>
      </c>
      <c r="M515" s="261">
        <f t="shared" si="17"/>
        <v>24000</v>
      </c>
      <c r="N515" s="137">
        <v>4.3E-3</v>
      </c>
    </row>
    <row r="516" spans="1:14" ht="18" customHeight="1">
      <c r="A516" s="134">
        <v>7</v>
      </c>
      <c r="B516" s="135" t="s">
        <v>93</v>
      </c>
      <c r="C516" s="134">
        <v>74</v>
      </c>
      <c r="D516" s="138" t="s">
        <v>86</v>
      </c>
      <c r="E516" s="138" t="s">
        <v>686</v>
      </c>
      <c r="F516" s="135" t="s">
        <v>620</v>
      </c>
      <c r="G516" s="274">
        <v>5</v>
      </c>
      <c r="H516" s="261">
        <v>6481</v>
      </c>
      <c r="I516" s="261">
        <v>32407</v>
      </c>
      <c r="J516" s="261">
        <v>0</v>
      </c>
      <c r="K516" s="261">
        <f t="shared" si="16"/>
        <v>32407</v>
      </c>
      <c r="L516" s="261">
        <v>2593</v>
      </c>
      <c r="M516" s="261">
        <f t="shared" si="17"/>
        <v>35000</v>
      </c>
      <c r="N516" s="137">
        <v>6.3E-3</v>
      </c>
    </row>
    <row r="517" spans="1:14" ht="18" customHeight="1">
      <c r="A517" s="134">
        <v>7</v>
      </c>
      <c r="B517" s="135" t="s">
        <v>93</v>
      </c>
      <c r="C517" s="134">
        <v>235</v>
      </c>
      <c r="D517" s="138" t="s">
        <v>86</v>
      </c>
      <c r="E517" s="138" t="s">
        <v>687</v>
      </c>
      <c r="F517" s="135" t="s">
        <v>620</v>
      </c>
      <c r="G517" s="274">
        <v>4</v>
      </c>
      <c r="H517" s="261">
        <v>3426</v>
      </c>
      <c r="I517" s="261">
        <v>13704</v>
      </c>
      <c r="J517" s="261">
        <v>0</v>
      </c>
      <c r="K517" s="261">
        <f t="shared" si="16"/>
        <v>13704</v>
      </c>
      <c r="L517" s="261">
        <v>1096</v>
      </c>
      <c r="M517" s="261">
        <f t="shared" si="17"/>
        <v>14800</v>
      </c>
      <c r="N517" s="137">
        <v>2.7000000000000001E-3</v>
      </c>
    </row>
    <row r="518" spans="1:14" ht="18" customHeight="1">
      <c r="A518" s="134">
        <v>7</v>
      </c>
      <c r="B518" s="135" t="s">
        <v>93</v>
      </c>
      <c r="C518" s="134">
        <v>118</v>
      </c>
      <c r="D518" s="138" t="s">
        <v>82</v>
      </c>
      <c r="E518" s="138" t="s">
        <v>121</v>
      </c>
      <c r="F518" s="135" t="s">
        <v>620</v>
      </c>
      <c r="G518" s="274">
        <v>2</v>
      </c>
      <c r="H518" s="261">
        <v>41667</v>
      </c>
      <c r="I518" s="261">
        <v>83333</v>
      </c>
      <c r="J518" s="261">
        <v>0</v>
      </c>
      <c r="K518" s="261">
        <f t="shared" si="16"/>
        <v>83333</v>
      </c>
      <c r="L518" s="261">
        <v>6667</v>
      </c>
      <c r="M518" s="261">
        <f t="shared" si="17"/>
        <v>90000</v>
      </c>
      <c r="N518" s="137">
        <v>1.6199999999999999E-2</v>
      </c>
    </row>
    <row r="519" spans="1:14" ht="18" customHeight="1">
      <c r="A519" s="134">
        <v>7</v>
      </c>
      <c r="B519" s="135" t="s">
        <v>93</v>
      </c>
      <c r="C519" s="134">
        <v>204</v>
      </c>
      <c r="D519" s="138" t="s">
        <v>86</v>
      </c>
      <c r="E519" s="138" t="s">
        <v>648</v>
      </c>
      <c r="F519" s="135" t="s">
        <v>620</v>
      </c>
      <c r="G519" s="274">
        <v>5</v>
      </c>
      <c r="H519" s="261">
        <v>12037</v>
      </c>
      <c r="I519" s="261">
        <v>60185</v>
      </c>
      <c r="J519" s="261">
        <v>0</v>
      </c>
      <c r="K519" s="261">
        <f t="shared" si="16"/>
        <v>60185</v>
      </c>
      <c r="L519" s="261">
        <v>4815</v>
      </c>
      <c r="M519" s="261">
        <f t="shared" si="17"/>
        <v>65000</v>
      </c>
      <c r="N519" s="137">
        <v>1.17E-2</v>
      </c>
    </row>
    <row r="520" spans="1:14" ht="18" customHeight="1">
      <c r="A520" s="134">
        <v>7</v>
      </c>
      <c r="B520" s="135" t="s">
        <v>93</v>
      </c>
      <c r="C520" s="134">
        <v>109</v>
      </c>
      <c r="D520" s="138" t="s">
        <v>86</v>
      </c>
      <c r="E520" s="138" t="s">
        <v>142</v>
      </c>
      <c r="F520" s="135" t="s">
        <v>620</v>
      </c>
      <c r="G520" s="274">
        <v>3</v>
      </c>
      <c r="H520" s="261">
        <v>12963</v>
      </c>
      <c r="I520" s="261">
        <v>38889</v>
      </c>
      <c r="J520" s="261">
        <v>0</v>
      </c>
      <c r="K520" s="261">
        <f t="shared" si="16"/>
        <v>38889</v>
      </c>
      <c r="L520" s="261">
        <v>3111</v>
      </c>
      <c r="M520" s="261">
        <f t="shared" si="17"/>
        <v>42000</v>
      </c>
      <c r="N520" s="137">
        <v>7.6E-3</v>
      </c>
    </row>
    <row r="521" spans="1:14" ht="18" customHeight="1">
      <c r="A521" s="134">
        <v>7</v>
      </c>
      <c r="B521" s="135" t="s">
        <v>93</v>
      </c>
      <c r="C521" s="134">
        <v>147</v>
      </c>
      <c r="D521" s="138" t="s">
        <v>86</v>
      </c>
      <c r="E521" s="138" t="s">
        <v>649</v>
      </c>
      <c r="F521" s="135" t="s">
        <v>620</v>
      </c>
      <c r="G521" s="274">
        <v>3</v>
      </c>
      <c r="H521" s="261">
        <v>6481</v>
      </c>
      <c r="I521" s="261">
        <v>19444</v>
      </c>
      <c r="J521" s="261">
        <v>0</v>
      </c>
      <c r="K521" s="261">
        <f t="shared" si="16"/>
        <v>19444</v>
      </c>
      <c r="L521" s="261">
        <v>1556</v>
      </c>
      <c r="M521" s="261">
        <f t="shared" si="17"/>
        <v>21000</v>
      </c>
      <c r="N521" s="137">
        <v>3.8E-3</v>
      </c>
    </row>
    <row r="522" spans="1:14" ht="18" customHeight="1">
      <c r="A522" s="134">
        <v>7</v>
      </c>
      <c r="B522" s="135" t="s">
        <v>93</v>
      </c>
      <c r="C522" s="134">
        <v>72</v>
      </c>
      <c r="D522" s="138" t="s">
        <v>92</v>
      </c>
      <c r="E522" s="138" t="s">
        <v>651</v>
      </c>
      <c r="F522" s="135" t="s">
        <v>620</v>
      </c>
      <c r="G522" s="274">
        <v>1</v>
      </c>
      <c r="H522" s="261">
        <v>3704</v>
      </c>
      <c r="I522" s="261">
        <v>3704</v>
      </c>
      <c r="J522" s="261">
        <v>0</v>
      </c>
      <c r="K522" s="261">
        <f t="shared" si="16"/>
        <v>3704</v>
      </c>
      <c r="L522" s="261">
        <v>296</v>
      </c>
      <c r="M522" s="261">
        <f t="shared" si="17"/>
        <v>4000</v>
      </c>
      <c r="N522" s="137">
        <v>7.000000000000001E-4</v>
      </c>
    </row>
    <row r="523" spans="1:14" ht="18" customHeight="1">
      <c r="A523" s="134">
        <v>7</v>
      </c>
      <c r="B523" s="135" t="s">
        <v>93</v>
      </c>
      <c r="C523" s="134">
        <v>112</v>
      </c>
      <c r="D523" s="138" t="s">
        <v>82</v>
      </c>
      <c r="E523" s="138" t="s">
        <v>652</v>
      </c>
      <c r="F523" s="135" t="s">
        <v>620</v>
      </c>
      <c r="G523" s="274">
        <v>1</v>
      </c>
      <c r="H523" s="261">
        <v>41667</v>
      </c>
      <c r="I523" s="261">
        <v>41667</v>
      </c>
      <c r="J523" s="261">
        <v>0</v>
      </c>
      <c r="K523" s="261">
        <f t="shared" si="16"/>
        <v>41667</v>
      </c>
      <c r="L523" s="261">
        <v>3333</v>
      </c>
      <c r="M523" s="261">
        <f t="shared" si="17"/>
        <v>45000</v>
      </c>
      <c r="N523" s="137">
        <v>8.1000000000000013E-3</v>
      </c>
    </row>
    <row r="524" spans="1:14" ht="18" customHeight="1">
      <c r="A524" s="134">
        <v>7</v>
      </c>
      <c r="B524" s="135" t="s">
        <v>93</v>
      </c>
      <c r="C524" s="134">
        <v>119</v>
      </c>
      <c r="D524" s="138" t="s">
        <v>84</v>
      </c>
      <c r="E524" s="138" t="s">
        <v>109</v>
      </c>
      <c r="F524" s="135" t="s">
        <v>620</v>
      </c>
      <c r="G524" s="274">
        <v>6</v>
      </c>
      <c r="H524" s="261">
        <v>44444</v>
      </c>
      <c r="I524" s="261">
        <v>266667</v>
      </c>
      <c r="J524" s="261">
        <v>0</v>
      </c>
      <c r="K524" s="261">
        <f t="shared" si="16"/>
        <v>266667</v>
      </c>
      <c r="L524" s="261">
        <v>21333</v>
      </c>
      <c r="M524" s="261">
        <f t="shared" si="17"/>
        <v>288000</v>
      </c>
      <c r="N524" s="137">
        <v>5.1799999999999999E-2</v>
      </c>
    </row>
    <row r="525" spans="1:14" ht="18" customHeight="1">
      <c r="A525" s="134">
        <v>7</v>
      </c>
      <c r="B525" s="135" t="s">
        <v>93</v>
      </c>
      <c r="C525" s="134">
        <v>111</v>
      </c>
      <c r="D525" s="138" t="s">
        <v>82</v>
      </c>
      <c r="E525" s="138" t="s">
        <v>727</v>
      </c>
      <c r="F525" s="135" t="s">
        <v>620</v>
      </c>
      <c r="G525" s="274">
        <v>0</v>
      </c>
      <c r="H525" s="261">
        <v>0</v>
      </c>
      <c r="I525" s="261">
        <v>0</v>
      </c>
      <c r="J525" s="261">
        <v>0</v>
      </c>
      <c r="K525" s="261">
        <f t="shared" si="16"/>
        <v>0</v>
      </c>
      <c r="L525" s="261">
        <v>0</v>
      </c>
      <c r="M525" s="261">
        <f t="shared" si="17"/>
        <v>0</v>
      </c>
      <c r="N525" s="137">
        <v>0</v>
      </c>
    </row>
    <row r="526" spans="1:14" ht="18" customHeight="1">
      <c r="A526" s="134">
        <v>7</v>
      </c>
      <c r="B526" s="135" t="s">
        <v>93</v>
      </c>
      <c r="C526" s="134">
        <v>86</v>
      </c>
      <c r="D526" s="138" t="s">
        <v>90</v>
      </c>
      <c r="E526" s="138" t="s">
        <v>658</v>
      </c>
      <c r="F526" s="135" t="s">
        <v>620</v>
      </c>
      <c r="G526" s="274">
        <v>10</v>
      </c>
      <c r="H526" s="261">
        <v>3241</v>
      </c>
      <c r="I526" s="261">
        <v>32407</v>
      </c>
      <c r="J526" s="261">
        <v>0</v>
      </c>
      <c r="K526" s="261">
        <f t="shared" si="16"/>
        <v>32407</v>
      </c>
      <c r="L526" s="261">
        <v>2593</v>
      </c>
      <c r="M526" s="261">
        <f t="shared" si="17"/>
        <v>35000</v>
      </c>
      <c r="N526" s="137">
        <v>6.3E-3</v>
      </c>
    </row>
    <row r="527" spans="1:14" ht="18" customHeight="1">
      <c r="A527" s="134">
        <v>7</v>
      </c>
      <c r="B527" s="135" t="s">
        <v>93</v>
      </c>
      <c r="C527" s="134">
        <v>80</v>
      </c>
      <c r="D527" s="138" t="s">
        <v>90</v>
      </c>
      <c r="E527" s="138" t="s">
        <v>659</v>
      </c>
      <c r="F527" s="135" t="s">
        <v>620</v>
      </c>
      <c r="G527" s="274">
        <v>0</v>
      </c>
      <c r="H527" s="261">
        <v>0</v>
      </c>
      <c r="I527" s="261">
        <v>0</v>
      </c>
      <c r="J527" s="261">
        <v>0</v>
      </c>
      <c r="K527" s="261">
        <f t="shared" si="16"/>
        <v>0</v>
      </c>
      <c r="L527" s="261">
        <v>0</v>
      </c>
      <c r="M527" s="261">
        <f t="shared" si="17"/>
        <v>0</v>
      </c>
      <c r="N527" s="137">
        <v>0</v>
      </c>
    </row>
    <row r="528" spans="1:14" ht="18" customHeight="1">
      <c r="A528" s="134">
        <v>7</v>
      </c>
      <c r="B528" s="135" t="s">
        <v>93</v>
      </c>
      <c r="C528" s="134">
        <v>114</v>
      </c>
      <c r="D528" s="138" t="s">
        <v>90</v>
      </c>
      <c r="E528" s="138" t="s">
        <v>740</v>
      </c>
      <c r="F528" s="135" t="s">
        <v>620</v>
      </c>
      <c r="G528" s="274">
        <v>12</v>
      </c>
      <c r="H528" s="261">
        <v>6481</v>
      </c>
      <c r="I528" s="261">
        <v>77778</v>
      </c>
      <c r="J528" s="261">
        <v>0</v>
      </c>
      <c r="K528" s="261">
        <f t="shared" si="16"/>
        <v>77778</v>
      </c>
      <c r="L528" s="261">
        <v>6222</v>
      </c>
      <c r="M528" s="261">
        <f t="shared" si="17"/>
        <v>84000</v>
      </c>
      <c r="N528" s="137">
        <v>1.5100000000000001E-2</v>
      </c>
    </row>
    <row r="529" spans="1:14" ht="18" customHeight="1">
      <c r="A529" s="134">
        <v>7</v>
      </c>
      <c r="B529" s="135" t="s">
        <v>93</v>
      </c>
      <c r="C529" s="134">
        <v>63</v>
      </c>
      <c r="D529" s="138" t="s">
        <v>90</v>
      </c>
      <c r="E529" s="138" t="s">
        <v>717</v>
      </c>
      <c r="F529" s="135" t="s">
        <v>620</v>
      </c>
      <c r="G529" s="274">
        <v>1</v>
      </c>
      <c r="H529" s="261">
        <v>3704</v>
      </c>
      <c r="I529" s="261">
        <v>3704</v>
      </c>
      <c r="J529" s="261">
        <v>0</v>
      </c>
      <c r="K529" s="261">
        <f t="shared" si="16"/>
        <v>3704</v>
      </c>
      <c r="L529" s="261">
        <v>296</v>
      </c>
      <c r="M529" s="261">
        <f t="shared" si="17"/>
        <v>4000</v>
      </c>
      <c r="N529" s="137">
        <v>7.000000000000001E-4</v>
      </c>
    </row>
    <row r="530" spans="1:14" ht="18" customHeight="1">
      <c r="A530" s="134">
        <v>7</v>
      </c>
      <c r="B530" s="135" t="s">
        <v>93</v>
      </c>
      <c r="C530" s="134">
        <v>79</v>
      </c>
      <c r="D530" s="138" t="s">
        <v>90</v>
      </c>
      <c r="E530" s="138" t="s">
        <v>661</v>
      </c>
      <c r="F530" s="135" t="s">
        <v>620</v>
      </c>
      <c r="G530" s="274">
        <v>7</v>
      </c>
      <c r="H530" s="261">
        <v>6481</v>
      </c>
      <c r="I530" s="261">
        <v>45370</v>
      </c>
      <c r="J530" s="261">
        <v>0</v>
      </c>
      <c r="K530" s="261">
        <f t="shared" si="16"/>
        <v>45370</v>
      </c>
      <c r="L530" s="261">
        <v>3630</v>
      </c>
      <c r="M530" s="261">
        <f t="shared" si="17"/>
        <v>49000</v>
      </c>
      <c r="N530" s="137">
        <v>8.8000000000000005E-3</v>
      </c>
    </row>
    <row r="531" spans="1:14" ht="18" customHeight="1">
      <c r="A531" s="134">
        <v>7</v>
      </c>
      <c r="B531" s="135" t="s">
        <v>93</v>
      </c>
      <c r="C531" s="134">
        <v>62</v>
      </c>
      <c r="D531" s="138" t="s">
        <v>90</v>
      </c>
      <c r="E531" s="138" t="s">
        <v>662</v>
      </c>
      <c r="F531" s="135" t="s">
        <v>620</v>
      </c>
      <c r="G531" s="274">
        <v>5</v>
      </c>
      <c r="H531" s="261">
        <v>6944</v>
      </c>
      <c r="I531" s="261">
        <v>34722</v>
      </c>
      <c r="J531" s="261">
        <v>0</v>
      </c>
      <c r="K531" s="261">
        <f t="shared" si="16"/>
        <v>34722</v>
      </c>
      <c r="L531" s="261">
        <v>2778</v>
      </c>
      <c r="M531" s="261">
        <f t="shared" si="17"/>
        <v>37500</v>
      </c>
      <c r="N531" s="137">
        <v>6.7000000000000002E-3</v>
      </c>
    </row>
    <row r="532" spans="1:14" ht="18" customHeight="1">
      <c r="A532" s="134">
        <v>7</v>
      </c>
      <c r="B532" s="135" t="s">
        <v>93</v>
      </c>
      <c r="C532" s="134">
        <v>78</v>
      </c>
      <c r="D532" s="138" t="s">
        <v>90</v>
      </c>
      <c r="E532" s="138" t="s">
        <v>663</v>
      </c>
      <c r="F532" s="135" t="s">
        <v>620</v>
      </c>
      <c r="G532" s="274">
        <v>8</v>
      </c>
      <c r="H532" s="261">
        <v>6481</v>
      </c>
      <c r="I532" s="261">
        <v>51852</v>
      </c>
      <c r="J532" s="261">
        <v>0</v>
      </c>
      <c r="K532" s="261">
        <f t="shared" si="16"/>
        <v>51852</v>
      </c>
      <c r="L532" s="261">
        <v>4148</v>
      </c>
      <c r="M532" s="261">
        <f t="shared" si="17"/>
        <v>56000</v>
      </c>
      <c r="N532" s="137">
        <v>1.01E-2</v>
      </c>
    </row>
    <row r="533" spans="1:14" ht="18" customHeight="1">
      <c r="A533" s="134">
        <v>7</v>
      </c>
      <c r="B533" s="135" t="s">
        <v>93</v>
      </c>
      <c r="C533" s="134">
        <v>137</v>
      </c>
      <c r="D533" s="138" t="s">
        <v>90</v>
      </c>
      <c r="E533" s="138" t="s">
        <v>692</v>
      </c>
      <c r="F533" s="135" t="s">
        <v>620</v>
      </c>
      <c r="G533" s="274">
        <v>2</v>
      </c>
      <c r="H533" s="261">
        <v>6481</v>
      </c>
      <c r="I533" s="261">
        <v>12963</v>
      </c>
      <c r="J533" s="261">
        <v>0</v>
      </c>
      <c r="K533" s="261">
        <f t="shared" si="16"/>
        <v>12963</v>
      </c>
      <c r="L533" s="261">
        <v>1037</v>
      </c>
      <c r="M533" s="261">
        <f t="shared" si="17"/>
        <v>14000</v>
      </c>
      <c r="N533" s="137">
        <v>2.5000000000000001E-3</v>
      </c>
    </row>
    <row r="534" spans="1:14" ht="18" customHeight="1">
      <c r="A534" s="134">
        <v>7</v>
      </c>
      <c r="B534" s="135" t="s">
        <v>93</v>
      </c>
      <c r="C534" s="134">
        <v>219</v>
      </c>
      <c r="D534" s="138" t="s">
        <v>82</v>
      </c>
      <c r="E534" s="138" t="s">
        <v>148</v>
      </c>
      <c r="F534" s="135" t="s">
        <v>620</v>
      </c>
      <c r="G534" s="274">
        <v>1</v>
      </c>
      <c r="H534" s="261">
        <v>69444</v>
      </c>
      <c r="I534" s="261">
        <v>69444</v>
      </c>
      <c r="J534" s="261">
        <v>0</v>
      </c>
      <c r="K534" s="261">
        <f t="shared" si="16"/>
        <v>69444</v>
      </c>
      <c r="L534" s="261">
        <v>5556</v>
      </c>
      <c r="M534" s="261">
        <f t="shared" si="17"/>
        <v>75000</v>
      </c>
      <c r="N534" s="137">
        <v>1.35E-2</v>
      </c>
    </row>
    <row r="535" spans="1:14" ht="18" customHeight="1">
      <c r="A535" s="134">
        <v>7</v>
      </c>
      <c r="B535" s="135" t="s">
        <v>93</v>
      </c>
      <c r="C535" s="134">
        <v>224</v>
      </c>
      <c r="D535" s="138" t="s">
        <v>82</v>
      </c>
      <c r="E535" s="138" t="s">
        <v>707</v>
      </c>
      <c r="F535" s="135" t="s">
        <v>620</v>
      </c>
      <c r="G535" s="274">
        <v>2</v>
      </c>
      <c r="H535" s="261">
        <v>62500</v>
      </c>
      <c r="I535" s="261">
        <v>125000</v>
      </c>
      <c r="J535" s="261">
        <v>0</v>
      </c>
      <c r="K535" s="261">
        <f t="shared" si="16"/>
        <v>125000</v>
      </c>
      <c r="L535" s="261">
        <v>10000</v>
      </c>
      <c r="M535" s="261">
        <f t="shared" si="17"/>
        <v>135000</v>
      </c>
      <c r="N535" s="137">
        <v>2.4299999999999999E-2</v>
      </c>
    </row>
    <row r="536" spans="1:14" ht="18" customHeight="1">
      <c r="A536" s="134">
        <v>7</v>
      </c>
      <c r="B536" s="135" t="s">
        <v>93</v>
      </c>
      <c r="C536" s="134">
        <v>226</v>
      </c>
      <c r="D536" s="138" t="s">
        <v>82</v>
      </c>
      <c r="E536" s="138" t="s">
        <v>718</v>
      </c>
      <c r="F536" s="135" t="s">
        <v>620</v>
      </c>
      <c r="G536" s="274">
        <v>2</v>
      </c>
      <c r="H536" s="261">
        <v>90741</v>
      </c>
      <c r="I536" s="261">
        <v>181481</v>
      </c>
      <c r="J536" s="261">
        <v>0</v>
      </c>
      <c r="K536" s="261">
        <f t="shared" si="16"/>
        <v>181481</v>
      </c>
      <c r="L536" s="261">
        <v>14519</v>
      </c>
      <c r="M536" s="261">
        <f t="shared" si="17"/>
        <v>196000</v>
      </c>
      <c r="N536" s="137">
        <v>3.5299999999999998E-2</v>
      </c>
    </row>
    <row r="537" spans="1:14" ht="18" customHeight="1">
      <c r="A537" s="134">
        <v>7</v>
      </c>
      <c r="B537" s="135" t="s">
        <v>93</v>
      </c>
      <c r="C537" s="134">
        <v>50</v>
      </c>
      <c r="D537" s="138" t="s">
        <v>82</v>
      </c>
      <c r="E537" s="138" t="s">
        <v>154</v>
      </c>
      <c r="F537" s="135" t="s">
        <v>620</v>
      </c>
      <c r="G537" s="274">
        <v>1</v>
      </c>
      <c r="H537" s="261">
        <v>49074</v>
      </c>
      <c r="I537" s="261">
        <v>49074</v>
      </c>
      <c r="J537" s="261">
        <v>0</v>
      </c>
      <c r="K537" s="261">
        <f t="shared" si="16"/>
        <v>49074</v>
      </c>
      <c r="L537" s="261">
        <v>3926</v>
      </c>
      <c r="M537" s="261">
        <f t="shared" si="17"/>
        <v>53000</v>
      </c>
      <c r="N537" s="137">
        <v>9.4999999999999998E-3</v>
      </c>
    </row>
    <row r="538" spans="1:14" ht="18" customHeight="1">
      <c r="A538" s="134">
        <v>7</v>
      </c>
      <c r="B538" s="135" t="s">
        <v>93</v>
      </c>
      <c r="C538" s="134">
        <v>117</v>
      </c>
      <c r="D538" s="138" t="s">
        <v>82</v>
      </c>
      <c r="E538" s="138" t="s">
        <v>115</v>
      </c>
      <c r="F538" s="135" t="s">
        <v>620</v>
      </c>
      <c r="G538" s="274">
        <v>5</v>
      </c>
      <c r="H538" s="261">
        <v>41667</v>
      </c>
      <c r="I538" s="261">
        <v>208333</v>
      </c>
      <c r="J538" s="261">
        <v>0</v>
      </c>
      <c r="K538" s="261">
        <f t="shared" si="16"/>
        <v>208333</v>
      </c>
      <c r="L538" s="261">
        <v>16667</v>
      </c>
      <c r="M538" s="261">
        <f t="shared" si="17"/>
        <v>225000</v>
      </c>
      <c r="N538" s="137">
        <v>4.0500000000000001E-2</v>
      </c>
    </row>
    <row r="539" spans="1:14" ht="18" customHeight="1">
      <c r="A539" s="134">
        <v>7</v>
      </c>
      <c r="B539" s="135" t="s">
        <v>93</v>
      </c>
      <c r="C539" s="134">
        <v>61</v>
      </c>
      <c r="D539" s="138" t="s">
        <v>92</v>
      </c>
      <c r="E539" s="138" t="s">
        <v>671</v>
      </c>
      <c r="F539" s="135" t="s">
        <v>620</v>
      </c>
      <c r="G539" s="274">
        <v>24</v>
      </c>
      <c r="H539" s="261">
        <v>4630</v>
      </c>
      <c r="I539" s="261">
        <v>111111</v>
      </c>
      <c r="J539" s="261">
        <v>0</v>
      </c>
      <c r="K539" s="261">
        <f t="shared" si="16"/>
        <v>111111</v>
      </c>
      <c r="L539" s="261">
        <v>8889</v>
      </c>
      <c r="M539" s="261">
        <f t="shared" si="17"/>
        <v>120000</v>
      </c>
      <c r="N539" s="137">
        <v>2.1600000000000001E-2</v>
      </c>
    </row>
    <row r="540" spans="1:14" ht="18" customHeight="1">
      <c r="A540" s="134">
        <v>7</v>
      </c>
      <c r="B540" s="135" t="s">
        <v>93</v>
      </c>
      <c r="C540" s="134">
        <v>215</v>
      </c>
      <c r="D540" s="138" t="s">
        <v>82</v>
      </c>
      <c r="E540" s="138" t="s">
        <v>127</v>
      </c>
      <c r="F540" s="135" t="s">
        <v>620</v>
      </c>
      <c r="G540" s="274">
        <v>3</v>
      </c>
      <c r="H540" s="261">
        <v>37500</v>
      </c>
      <c r="I540" s="261">
        <v>112500</v>
      </c>
      <c r="J540" s="261">
        <v>0</v>
      </c>
      <c r="K540" s="261">
        <f t="shared" si="16"/>
        <v>112500</v>
      </c>
      <c r="L540" s="261">
        <v>9000</v>
      </c>
      <c r="M540" s="261">
        <f t="shared" si="17"/>
        <v>121500</v>
      </c>
      <c r="N540" s="137">
        <v>2.1899999999999999E-2</v>
      </c>
    </row>
    <row r="541" spans="1:14" ht="18" customHeight="1">
      <c r="A541" s="134">
        <v>7</v>
      </c>
      <c r="B541" s="135" t="s">
        <v>93</v>
      </c>
      <c r="C541" s="134">
        <v>315</v>
      </c>
      <c r="D541" s="138" t="s">
        <v>82</v>
      </c>
      <c r="E541" s="138" t="s">
        <v>694</v>
      </c>
      <c r="F541" s="135" t="s">
        <v>620</v>
      </c>
      <c r="G541" s="274">
        <v>1</v>
      </c>
      <c r="H541" s="261">
        <v>1852</v>
      </c>
      <c r="I541" s="261">
        <v>1852</v>
      </c>
      <c r="J541" s="261">
        <v>0</v>
      </c>
      <c r="K541" s="261">
        <f t="shared" si="16"/>
        <v>1852</v>
      </c>
      <c r="L541" s="261">
        <v>148</v>
      </c>
      <c r="M541" s="261">
        <f t="shared" si="17"/>
        <v>2000</v>
      </c>
      <c r="N541" s="137">
        <v>4.0000000000000002E-4</v>
      </c>
    </row>
    <row r="542" spans="1:14" ht="18" customHeight="1">
      <c r="A542" s="134">
        <v>7</v>
      </c>
      <c r="B542" s="135" t="s">
        <v>93</v>
      </c>
      <c r="C542" s="134">
        <v>96</v>
      </c>
      <c r="D542" s="138" t="s">
        <v>88</v>
      </c>
      <c r="E542" s="138" t="s">
        <v>695</v>
      </c>
      <c r="F542" s="135" t="s">
        <v>620</v>
      </c>
      <c r="G542" s="274">
        <v>1</v>
      </c>
      <c r="H542" s="261">
        <v>35648</v>
      </c>
      <c r="I542" s="261">
        <v>35648</v>
      </c>
      <c r="J542" s="261">
        <v>0</v>
      </c>
      <c r="K542" s="261">
        <f t="shared" si="16"/>
        <v>35648</v>
      </c>
      <c r="L542" s="261">
        <v>2852</v>
      </c>
      <c r="M542" s="261">
        <f t="shared" si="17"/>
        <v>38500</v>
      </c>
      <c r="N542" s="137">
        <v>6.8999999999999999E-3</v>
      </c>
    </row>
    <row r="543" spans="1:14" ht="18" customHeight="1">
      <c r="A543" s="134">
        <v>7</v>
      </c>
      <c r="B543" s="135" t="s">
        <v>93</v>
      </c>
      <c r="C543" s="134">
        <v>68</v>
      </c>
      <c r="D543" s="138" t="s">
        <v>88</v>
      </c>
      <c r="E543" s="138" t="s">
        <v>672</v>
      </c>
      <c r="F543" s="135" t="s">
        <v>620</v>
      </c>
      <c r="G543" s="274">
        <v>1</v>
      </c>
      <c r="H543" s="261">
        <v>41667</v>
      </c>
      <c r="I543" s="261">
        <v>41667</v>
      </c>
      <c r="J543" s="261">
        <v>0</v>
      </c>
      <c r="K543" s="261">
        <f t="shared" si="16"/>
        <v>41667</v>
      </c>
      <c r="L543" s="261">
        <v>3333</v>
      </c>
      <c r="M543" s="261">
        <f t="shared" si="17"/>
        <v>45000</v>
      </c>
      <c r="N543" s="137">
        <v>8.1000000000000013E-3</v>
      </c>
    </row>
    <row r="544" spans="1:14" ht="18" customHeight="1">
      <c r="A544" s="134">
        <v>7</v>
      </c>
      <c r="B544" s="135" t="s">
        <v>93</v>
      </c>
      <c r="C544" s="134">
        <v>33</v>
      </c>
      <c r="D544" s="138" t="s">
        <v>86</v>
      </c>
      <c r="E544" s="138" t="s">
        <v>673</v>
      </c>
      <c r="F544" s="135" t="s">
        <v>620</v>
      </c>
      <c r="G544" s="274">
        <v>1</v>
      </c>
      <c r="H544" s="261">
        <v>1852</v>
      </c>
      <c r="I544" s="261">
        <v>1852</v>
      </c>
      <c r="J544" s="261">
        <v>0</v>
      </c>
      <c r="K544" s="261">
        <f t="shared" si="16"/>
        <v>1852</v>
      </c>
      <c r="L544" s="261">
        <v>148</v>
      </c>
      <c r="M544" s="261">
        <f t="shared" si="17"/>
        <v>2000</v>
      </c>
      <c r="N544" s="137">
        <v>4.0000000000000002E-4</v>
      </c>
    </row>
    <row r="545" spans="1:14" ht="18" customHeight="1">
      <c r="A545" s="134">
        <v>8</v>
      </c>
      <c r="B545" s="135" t="s">
        <v>95</v>
      </c>
      <c r="C545" s="134">
        <v>73</v>
      </c>
      <c r="D545" s="138" t="s">
        <v>86</v>
      </c>
      <c r="E545" s="138" t="s">
        <v>619</v>
      </c>
      <c r="F545" s="135" t="s">
        <v>620</v>
      </c>
      <c r="G545" s="274">
        <v>23</v>
      </c>
      <c r="H545" s="261">
        <v>2593</v>
      </c>
      <c r="I545" s="261">
        <v>59630</v>
      </c>
      <c r="J545" s="261">
        <v>0</v>
      </c>
      <c r="K545" s="261">
        <f t="shared" si="16"/>
        <v>59630</v>
      </c>
      <c r="L545" s="261">
        <v>4770</v>
      </c>
      <c r="M545" s="261">
        <f t="shared" si="17"/>
        <v>64400</v>
      </c>
      <c r="N545" s="137">
        <v>1.01E-2</v>
      </c>
    </row>
    <row r="546" spans="1:14" ht="18" customHeight="1">
      <c r="A546" s="134">
        <v>8</v>
      </c>
      <c r="B546" s="135" t="s">
        <v>95</v>
      </c>
      <c r="C546" s="134">
        <v>65</v>
      </c>
      <c r="D546" s="138" t="s">
        <v>86</v>
      </c>
      <c r="E546" s="138" t="s">
        <v>621</v>
      </c>
      <c r="F546" s="135" t="s">
        <v>620</v>
      </c>
      <c r="G546" s="274">
        <v>4</v>
      </c>
      <c r="H546" s="261">
        <v>2778</v>
      </c>
      <c r="I546" s="261">
        <v>11111</v>
      </c>
      <c r="J546" s="261">
        <v>0</v>
      </c>
      <c r="K546" s="261">
        <f t="shared" si="16"/>
        <v>11111</v>
      </c>
      <c r="L546" s="261">
        <v>889</v>
      </c>
      <c r="M546" s="261">
        <f t="shared" si="17"/>
        <v>12000</v>
      </c>
      <c r="N546" s="137">
        <v>1.9E-3</v>
      </c>
    </row>
    <row r="547" spans="1:14" ht="18" customHeight="1">
      <c r="A547" s="134">
        <v>8</v>
      </c>
      <c r="B547" s="135" t="s">
        <v>95</v>
      </c>
      <c r="C547" s="134">
        <v>12</v>
      </c>
      <c r="D547" s="138" t="s">
        <v>88</v>
      </c>
      <c r="E547" s="138" t="s">
        <v>623</v>
      </c>
      <c r="F547" s="135" t="s">
        <v>620</v>
      </c>
      <c r="G547" s="274">
        <v>5</v>
      </c>
      <c r="H547" s="261">
        <v>41667</v>
      </c>
      <c r="I547" s="261">
        <v>208333</v>
      </c>
      <c r="J547" s="261">
        <v>0</v>
      </c>
      <c r="K547" s="261">
        <f t="shared" si="16"/>
        <v>208333</v>
      </c>
      <c r="L547" s="261">
        <v>16667</v>
      </c>
      <c r="M547" s="261">
        <f t="shared" si="17"/>
        <v>225000</v>
      </c>
      <c r="N547" s="137">
        <v>3.5099999999999999E-2</v>
      </c>
    </row>
    <row r="548" spans="1:14" ht="18" customHeight="1">
      <c r="A548" s="134">
        <v>8</v>
      </c>
      <c r="B548" s="135" t="s">
        <v>95</v>
      </c>
      <c r="C548" s="134">
        <v>40</v>
      </c>
      <c r="D548" s="138" t="s">
        <v>82</v>
      </c>
      <c r="E548" s="138" t="s">
        <v>165</v>
      </c>
      <c r="F548" s="135" t="s">
        <v>620</v>
      </c>
      <c r="G548" s="274">
        <v>3</v>
      </c>
      <c r="H548" s="261">
        <v>55093</v>
      </c>
      <c r="I548" s="261">
        <v>165278</v>
      </c>
      <c r="J548" s="261">
        <v>0</v>
      </c>
      <c r="K548" s="261">
        <f t="shared" si="16"/>
        <v>165278</v>
      </c>
      <c r="L548" s="261">
        <v>13222</v>
      </c>
      <c r="M548" s="261">
        <f t="shared" si="17"/>
        <v>178500</v>
      </c>
      <c r="N548" s="137">
        <v>2.7900000000000001E-2</v>
      </c>
    </row>
    <row r="549" spans="1:14" ht="18" customHeight="1">
      <c r="A549" s="134">
        <v>8</v>
      </c>
      <c r="B549" s="135" t="s">
        <v>95</v>
      </c>
      <c r="C549" s="134">
        <v>131</v>
      </c>
      <c r="D549" s="138" t="s">
        <v>82</v>
      </c>
      <c r="E549" s="138" t="s">
        <v>677</v>
      </c>
      <c r="F549" s="135" t="s">
        <v>620</v>
      </c>
      <c r="G549" s="274">
        <v>2</v>
      </c>
      <c r="H549" s="261">
        <v>278</v>
      </c>
      <c r="I549" s="261">
        <v>556</v>
      </c>
      <c r="J549" s="261">
        <v>0</v>
      </c>
      <c r="K549" s="261">
        <f t="shared" si="16"/>
        <v>556</v>
      </c>
      <c r="L549" s="261">
        <v>44</v>
      </c>
      <c r="M549" s="261">
        <f t="shared" si="17"/>
        <v>600</v>
      </c>
      <c r="N549" s="137">
        <v>1E-4</v>
      </c>
    </row>
    <row r="550" spans="1:14" ht="18" customHeight="1">
      <c r="A550" s="134">
        <v>8</v>
      </c>
      <c r="B550" s="135" t="s">
        <v>95</v>
      </c>
      <c r="C550" s="134">
        <v>104</v>
      </c>
      <c r="D550" s="138" t="s">
        <v>84</v>
      </c>
      <c r="E550" s="138" t="s">
        <v>157</v>
      </c>
      <c r="F550" s="135" t="s">
        <v>620</v>
      </c>
      <c r="G550" s="274">
        <v>12</v>
      </c>
      <c r="H550" s="261">
        <v>16204</v>
      </c>
      <c r="I550" s="261">
        <v>194444</v>
      </c>
      <c r="J550" s="261">
        <v>0</v>
      </c>
      <c r="K550" s="261">
        <f t="shared" si="16"/>
        <v>194444</v>
      </c>
      <c r="L550" s="261">
        <v>15556</v>
      </c>
      <c r="M550" s="261">
        <f t="shared" si="17"/>
        <v>210000</v>
      </c>
      <c r="N550" s="137">
        <v>3.2800000000000003E-2</v>
      </c>
    </row>
    <row r="551" spans="1:14" ht="18" customHeight="1">
      <c r="A551" s="134">
        <v>8</v>
      </c>
      <c r="B551" s="135" t="s">
        <v>95</v>
      </c>
      <c r="C551" s="134">
        <v>54</v>
      </c>
      <c r="D551" s="138" t="s">
        <v>86</v>
      </c>
      <c r="E551" s="138" t="s">
        <v>678</v>
      </c>
      <c r="F551" s="135" t="s">
        <v>620</v>
      </c>
      <c r="G551" s="274">
        <v>3</v>
      </c>
      <c r="H551" s="261">
        <v>2315</v>
      </c>
      <c r="I551" s="261">
        <v>6944</v>
      </c>
      <c r="J551" s="261">
        <v>0</v>
      </c>
      <c r="K551" s="261">
        <f t="shared" si="16"/>
        <v>6944</v>
      </c>
      <c r="L551" s="261">
        <v>556</v>
      </c>
      <c r="M551" s="261">
        <f t="shared" si="17"/>
        <v>7500</v>
      </c>
      <c r="N551" s="137">
        <v>1.1999999999999999E-3</v>
      </c>
    </row>
    <row r="552" spans="1:14" ht="18" customHeight="1">
      <c r="A552" s="134">
        <v>8</v>
      </c>
      <c r="B552" s="135" t="s">
        <v>95</v>
      </c>
      <c r="C552" s="134">
        <v>5</v>
      </c>
      <c r="D552" s="138" t="s">
        <v>84</v>
      </c>
      <c r="E552" s="138" t="s">
        <v>679</v>
      </c>
      <c r="F552" s="135" t="s">
        <v>620</v>
      </c>
      <c r="G552" s="274">
        <v>1</v>
      </c>
      <c r="H552" s="261">
        <v>11111</v>
      </c>
      <c r="I552" s="261">
        <v>11111</v>
      </c>
      <c r="J552" s="261">
        <v>0</v>
      </c>
      <c r="K552" s="261">
        <f t="shared" si="16"/>
        <v>11111</v>
      </c>
      <c r="L552" s="261">
        <v>889</v>
      </c>
      <c r="M552" s="261">
        <f t="shared" si="17"/>
        <v>12000</v>
      </c>
      <c r="N552" s="137">
        <v>1.9E-3</v>
      </c>
    </row>
    <row r="553" spans="1:14" ht="18" customHeight="1">
      <c r="A553" s="134">
        <v>8</v>
      </c>
      <c r="B553" s="135" t="s">
        <v>95</v>
      </c>
      <c r="C553" s="134">
        <v>136</v>
      </c>
      <c r="D553" s="138" t="s">
        <v>84</v>
      </c>
      <c r="E553" s="138" t="s">
        <v>625</v>
      </c>
      <c r="F553" s="135" t="s">
        <v>620</v>
      </c>
      <c r="G553" s="274">
        <v>4</v>
      </c>
      <c r="H553" s="261">
        <v>24074</v>
      </c>
      <c r="I553" s="261">
        <v>96296</v>
      </c>
      <c r="J553" s="261">
        <v>0</v>
      </c>
      <c r="K553" s="261">
        <f t="shared" si="16"/>
        <v>96296</v>
      </c>
      <c r="L553" s="261">
        <v>7704</v>
      </c>
      <c r="M553" s="261">
        <f t="shared" si="17"/>
        <v>104000</v>
      </c>
      <c r="N553" s="137">
        <v>1.6199999999999999E-2</v>
      </c>
    </row>
    <row r="554" spans="1:14" ht="18" customHeight="1">
      <c r="A554" s="134">
        <v>8</v>
      </c>
      <c r="B554" s="135" t="s">
        <v>95</v>
      </c>
      <c r="C554" s="134">
        <v>135</v>
      </c>
      <c r="D554" s="138" t="s">
        <v>84</v>
      </c>
      <c r="E554" s="138" t="s">
        <v>710</v>
      </c>
      <c r="F554" s="135" t="s">
        <v>620</v>
      </c>
      <c r="G554" s="274">
        <v>1</v>
      </c>
      <c r="H554" s="261">
        <v>13889</v>
      </c>
      <c r="I554" s="261">
        <v>13889</v>
      </c>
      <c r="J554" s="261">
        <v>0</v>
      </c>
      <c r="K554" s="261">
        <f t="shared" si="16"/>
        <v>13889</v>
      </c>
      <c r="L554" s="261">
        <v>1111</v>
      </c>
      <c r="M554" s="261">
        <f t="shared" si="17"/>
        <v>15000</v>
      </c>
      <c r="N554" s="137">
        <v>2.3E-3</v>
      </c>
    </row>
    <row r="555" spans="1:14" ht="18" customHeight="1">
      <c r="A555" s="134">
        <v>8</v>
      </c>
      <c r="B555" s="135" t="s">
        <v>95</v>
      </c>
      <c r="C555" s="134">
        <v>6</v>
      </c>
      <c r="D555" s="138" t="s">
        <v>84</v>
      </c>
      <c r="E555" s="138" t="s">
        <v>680</v>
      </c>
      <c r="F555" s="135" t="s">
        <v>620</v>
      </c>
      <c r="G555" s="274">
        <v>1</v>
      </c>
      <c r="H555" s="261">
        <v>14815</v>
      </c>
      <c r="I555" s="261">
        <v>14815</v>
      </c>
      <c r="J555" s="261">
        <v>0</v>
      </c>
      <c r="K555" s="261">
        <f t="shared" si="16"/>
        <v>14815</v>
      </c>
      <c r="L555" s="261">
        <v>1185</v>
      </c>
      <c r="M555" s="261">
        <f t="shared" si="17"/>
        <v>16000</v>
      </c>
      <c r="N555" s="137">
        <v>2.5000000000000001E-3</v>
      </c>
    </row>
    <row r="556" spans="1:14" ht="18" customHeight="1">
      <c r="A556" s="134">
        <v>8</v>
      </c>
      <c r="B556" s="135" t="s">
        <v>95</v>
      </c>
      <c r="C556" s="134">
        <v>8</v>
      </c>
      <c r="D556" s="138" t="s">
        <v>82</v>
      </c>
      <c r="E556" s="138" t="s">
        <v>151</v>
      </c>
      <c r="F556" s="135" t="s">
        <v>620</v>
      </c>
      <c r="G556" s="274">
        <v>5</v>
      </c>
      <c r="H556" s="261">
        <v>18704</v>
      </c>
      <c r="I556" s="261">
        <v>93519</v>
      </c>
      <c r="J556" s="261">
        <v>0</v>
      </c>
      <c r="K556" s="261">
        <f t="shared" si="16"/>
        <v>93519</v>
      </c>
      <c r="L556" s="261">
        <v>7481</v>
      </c>
      <c r="M556" s="261">
        <f t="shared" si="17"/>
        <v>101000</v>
      </c>
      <c r="N556" s="137">
        <v>1.5800000000000002E-2</v>
      </c>
    </row>
    <row r="557" spans="1:14" ht="18" customHeight="1">
      <c r="A557" s="134">
        <v>8</v>
      </c>
      <c r="B557" s="135" t="s">
        <v>95</v>
      </c>
      <c r="C557" s="134">
        <v>311</v>
      </c>
      <c r="D557" s="138" t="s">
        <v>88</v>
      </c>
      <c r="E557" s="138" t="s">
        <v>626</v>
      </c>
      <c r="F557" s="135" t="s">
        <v>620</v>
      </c>
      <c r="G557" s="274">
        <v>1</v>
      </c>
      <c r="H557" s="261">
        <v>44907</v>
      </c>
      <c r="I557" s="261">
        <v>44907</v>
      </c>
      <c r="J557" s="261">
        <v>0</v>
      </c>
      <c r="K557" s="261">
        <f t="shared" si="16"/>
        <v>44907</v>
      </c>
      <c r="L557" s="261">
        <v>3593</v>
      </c>
      <c r="M557" s="261">
        <f t="shared" si="17"/>
        <v>48500</v>
      </c>
      <c r="N557" s="137">
        <v>7.6E-3</v>
      </c>
    </row>
    <row r="558" spans="1:14" ht="18" customHeight="1">
      <c r="A558" s="134">
        <v>8</v>
      </c>
      <c r="B558" s="135" t="s">
        <v>95</v>
      </c>
      <c r="C558" s="134">
        <v>87</v>
      </c>
      <c r="D558" s="138" t="s">
        <v>84</v>
      </c>
      <c r="E558" s="138" t="s">
        <v>139</v>
      </c>
      <c r="F558" s="135" t="s">
        <v>620</v>
      </c>
      <c r="G558" s="274">
        <v>3</v>
      </c>
      <c r="H558" s="261">
        <v>37500</v>
      </c>
      <c r="I558" s="261">
        <v>112500</v>
      </c>
      <c r="J558" s="261">
        <v>0</v>
      </c>
      <c r="K558" s="261">
        <f t="shared" si="16"/>
        <v>112500</v>
      </c>
      <c r="L558" s="261">
        <v>9000</v>
      </c>
      <c r="M558" s="261">
        <f t="shared" si="17"/>
        <v>121500</v>
      </c>
      <c r="N558" s="137">
        <v>1.9E-2</v>
      </c>
    </row>
    <row r="559" spans="1:14" ht="18" customHeight="1">
      <c r="A559" s="134">
        <v>8</v>
      </c>
      <c r="B559" s="135" t="s">
        <v>95</v>
      </c>
      <c r="C559" s="134">
        <v>206</v>
      </c>
      <c r="D559" s="138" t="s">
        <v>88</v>
      </c>
      <c r="E559" s="138" t="s">
        <v>627</v>
      </c>
      <c r="F559" s="135" t="s">
        <v>620</v>
      </c>
      <c r="G559" s="274">
        <v>1</v>
      </c>
      <c r="H559" s="261">
        <v>44907</v>
      </c>
      <c r="I559" s="261">
        <v>44907</v>
      </c>
      <c r="J559" s="261">
        <v>0</v>
      </c>
      <c r="K559" s="261">
        <f t="shared" si="16"/>
        <v>44907</v>
      </c>
      <c r="L559" s="261">
        <v>3593</v>
      </c>
      <c r="M559" s="261">
        <f t="shared" si="17"/>
        <v>48500</v>
      </c>
      <c r="N559" s="137">
        <v>7.6E-3</v>
      </c>
    </row>
    <row r="560" spans="1:14" ht="18" customHeight="1">
      <c r="A560" s="134">
        <v>8</v>
      </c>
      <c r="B560" s="135" t="s">
        <v>95</v>
      </c>
      <c r="C560" s="134">
        <v>13</v>
      </c>
      <c r="D560" s="138" t="s">
        <v>82</v>
      </c>
      <c r="E560" s="138" t="s">
        <v>628</v>
      </c>
      <c r="F560" s="135" t="s">
        <v>620</v>
      </c>
      <c r="G560" s="274">
        <v>1</v>
      </c>
      <c r="H560" s="261">
        <v>19444</v>
      </c>
      <c r="I560" s="261">
        <v>19444</v>
      </c>
      <c r="J560" s="261">
        <v>0</v>
      </c>
      <c r="K560" s="261">
        <f t="shared" si="16"/>
        <v>19444</v>
      </c>
      <c r="L560" s="261">
        <v>1556</v>
      </c>
      <c r="M560" s="261">
        <f t="shared" si="17"/>
        <v>21000</v>
      </c>
      <c r="N560" s="137">
        <v>3.3E-3</v>
      </c>
    </row>
    <row r="561" spans="1:14" ht="18" customHeight="1">
      <c r="A561" s="134">
        <v>8</v>
      </c>
      <c r="B561" s="135" t="s">
        <v>95</v>
      </c>
      <c r="C561" s="134">
        <v>246</v>
      </c>
      <c r="D561" s="138" t="s">
        <v>86</v>
      </c>
      <c r="E561" s="138" t="s">
        <v>629</v>
      </c>
      <c r="F561" s="135" t="s">
        <v>620</v>
      </c>
      <c r="G561" s="274">
        <v>1</v>
      </c>
      <c r="H561" s="261">
        <v>6481</v>
      </c>
      <c r="I561" s="261">
        <v>6481</v>
      </c>
      <c r="J561" s="261">
        <v>0</v>
      </c>
      <c r="K561" s="261">
        <f t="shared" si="16"/>
        <v>6481</v>
      </c>
      <c r="L561" s="261">
        <v>519</v>
      </c>
      <c r="M561" s="261">
        <f t="shared" si="17"/>
        <v>7000</v>
      </c>
      <c r="N561" s="137">
        <v>1.1000000000000001E-3</v>
      </c>
    </row>
    <row r="562" spans="1:14" ht="18" customHeight="1">
      <c r="A562" s="134">
        <v>8</v>
      </c>
      <c r="B562" s="135" t="s">
        <v>95</v>
      </c>
      <c r="C562" s="134">
        <v>70</v>
      </c>
      <c r="D562" s="138" t="s">
        <v>86</v>
      </c>
      <c r="E562" s="138" t="s">
        <v>630</v>
      </c>
      <c r="F562" s="135" t="s">
        <v>620</v>
      </c>
      <c r="G562" s="274">
        <v>1</v>
      </c>
      <c r="H562" s="261">
        <v>4630</v>
      </c>
      <c r="I562" s="261">
        <v>4630</v>
      </c>
      <c r="J562" s="261">
        <v>0</v>
      </c>
      <c r="K562" s="261">
        <f t="shared" si="16"/>
        <v>4630</v>
      </c>
      <c r="L562" s="261">
        <v>370</v>
      </c>
      <c r="M562" s="261">
        <f t="shared" si="17"/>
        <v>5000</v>
      </c>
      <c r="N562" s="137">
        <v>8.0000000000000004E-4</v>
      </c>
    </row>
    <row r="563" spans="1:14" ht="18" customHeight="1">
      <c r="A563" s="134">
        <v>8</v>
      </c>
      <c r="B563" s="135" t="s">
        <v>95</v>
      </c>
      <c r="C563" s="134">
        <v>83</v>
      </c>
      <c r="D563" s="138" t="s">
        <v>82</v>
      </c>
      <c r="E563" s="138" t="s">
        <v>632</v>
      </c>
      <c r="F563" s="135" t="s">
        <v>620</v>
      </c>
      <c r="G563" s="274">
        <v>5</v>
      </c>
      <c r="H563" s="261">
        <v>20833</v>
      </c>
      <c r="I563" s="261">
        <v>104167</v>
      </c>
      <c r="J563" s="261">
        <v>0</v>
      </c>
      <c r="K563" s="261">
        <f t="shared" si="16"/>
        <v>104167</v>
      </c>
      <c r="L563" s="261">
        <v>8333</v>
      </c>
      <c r="M563" s="261">
        <f t="shared" si="17"/>
        <v>112500</v>
      </c>
      <c r="N563" s="137">
        <v>1.7600000000000001E-2</v>
      </c>
    </row>
    <row r="564" spans="1:14" ht="18" customHeight="1">
      <c r="A564" s="134">
        <v>8</v>
      </c>
      <c r="B564" s="135" t="s">
        <v>95</v>
      </c>
      <c r="C564" s="134">
        <v>43</v>
      </c>
      <c r="D564" s="138" t="s">
        <v>82</v>
      </c>
      <c r="E564" s="138" t="s">
        <v>633</v>
      </c>
      <c r="F564" s="135" t="s">
        <v>620</v>
      </c>
      <c r="G564" s="274">
        <v>1</v>
      </c>
      <c r="H564" s="261">
        <v>8333</v>
      </c>
      <c r="I564" s="261">
        <v>8333</v>
      </c>
      <c r="J564" s="261">
        <v>0</v>
      </c>
      <c r="K564" s="261">
        <f t="shared" si="16"/>
        <v>8333</v>
      </c>
      <c r="L564" s="261">
        <v>667</v>
      </c>
      <c r="M564" s="261">
        <f t="shared" si="17"/>
        <v>9000</v>
      </c>
      <c r="N564" s="137">
        <v>1.4E-3</v>
      </c>
    </row>
    <row r="565" spans="1:14" ht="18" customHeight="1">
      <c r="A565" s="134">
        <v>8</v>
      </c>
      <c r="B565" s="135" t="s">
        <v>95</v>
      </c>
      <c r="C565" s="134">
        <v>167</v>
      </c>
      <c r="D565" s="138" t="s">
        <v>84</v>
      </c>
      <c r="E565" s="138" t="s">
        <v>741</v>
      </c>
      <c r="F565" s="135" t="s">
        <v>620</v>
      </c>
      <c r="G565" s="274">
        <v>0</v>
      </c>
      <c r="H565" s="261">
        <v>0</v>
      </c>
      <c r="I565" s="261">
        <v>0</v>
      </c>
      <c r="J565" s="261">
        <v>0</v>
      </c>
      <c r="K565" s="261">
        <f t="shared" si="16"/>
        <v>0</v>
      </c>
      <c r="L565" s="261">
        <v>0</v>
      </c>
      <c r="M565" s="261">
        <f t="shared" si="17"/>
        <v>0</v>
      </c>
      <c r="N565" s="137">
        <v>0</v>
      </c>
    </row>
    <row r="566" spans="1:14" ht="18" customHeight="1">
      <c r="A566" s="134">
        <v>8</v>
      </c>
      <c r="B566" s="135" t="s">
        <v>95</v>
      </c>
      <c r="C566" s="134">
        <v>41</v>
      </c>
      <c r="D566" s="138" t="s">
        <v>82</v>
      </c>
      <c r="E566" s="138" t="s">
        <v>163</v>
      </c>
      <c r="F566" s="135" t="s">
        <v>620</v>
      </c>
      <c r="G566" s="274">
        <v>1</v>
      </c>
      <c r="H566" s="261">
        <v>49074</v>
      </c>
      <c r="I566" s="261">
        <v>49074</v>
      </c>
      <c r="J566" s="261">
        <v>0</v>
      </c>
      <c r="K566" s="261">
        <f t="shared" si="16"/>
        <v>49074</v>
      </c>
      <c r="L566" s="261">
        <v>3926</v>
      </c>
      <c r="M566" s="261">
        <f t="shared" si="17"/>
        <v>53000</v>
      </c>
      <c r="N566" s="137">
        <v>8.3000000000000001E-3</v>
      </c>
    </row>
    <row r="567" spans="1:14" ht="18" customHeight="1">
      <c r="A567" s="134">
        <v>8</v>
      </c>
      <c r="B567" s="135" t="s">
        <v>95</v>
      </c>
      <c r="C567" s="134">
        <v>122</v>
      </c>
      <c r="D567" s="138" t="s">
        <v>86</v>
      </c>
      <c r="E567" s="138" t="s">
        <v>634</v>
      </c>
      <c r="F567" s="135" t="s">
        <v>620</v>
      </c>
      <c r="G567" s="274">
        <v>5</v>
      </c>
      <c r="H567" s="261">
        <v>2778</v>
      </c>
      <c r="I567" s="261">
        <v>13889</v>
      </c>
      <c r="J567" s="261">
        <v>0</v>
      </c>
      <c r="K567" s="261">
        <f t="shared" si="16"/>
        <v>13889</v>
      </c>
      <c r="L567" s="261">
        <v>1111</v>
      </c>
      <c r="M567" s="261">
        <f t="shared" si="17"/>
        <v>15000</v>
      </c>
      <c r="N567" s="137">
        <v>2.3E-3</v>
      </c>
    </row>
    <row r="568" spans="1:14" ht="18" customHeight="1">
      <c r="A568" s="134">
        <v>8</v>
      </c>
      <c r="B568" s="135" t="s">
        <v>95</v>
      </c>
      <c r="C568" s="134">
        <v>247</v>
      </c>
      <c r="D568" s="138" t="s">
        <v>82</v>
      </c>
      <c r="E568" s="138" t="s">
        <v>700</v>
      </c>
      <c r="F568" s="135" t="s">
        <v>620</v>
      </c>
      <c r="G568" s="274">
        <v>4</v>
      </c>
      <c r="H568" s="261">
        <v>3056</v>
      </c>
      <c r="I568" s="261">
        <v>12222</v>
      </c>
      <c r="J568" s="261">
        <v>0</v>
      </c>
      <c r="K568" s="261">
        <f t="shared" si="16"/>
        <v>12222</v>
      </c>
      <c r="L568" s="261">
        <v>978</v>
      </c>
      <c r="M568" s="261">
        <f t="shared" si="17"/>
        <v>13200</v>
      </c>
      <c r="N568" s="137">
        <v>2.0999999999999999E-3</v>
      </c>
    </row>
    <row r="569" spans="1:14" ht="18" customHeight="1">
      <c r="A569" s="134">
        <v>8</v>
      </c>
      <c r="B569" s="135" t="s">
        <v>95</v>
      </c>
      <c r="C569" s="134">
        <v>42</v>
      </c>
      <c r="D569" s="138" t="s">
        <v>82</v>
      </c>
      <c r="E569" s="138" t="s">
        <v>354</v>
      </c>
      <c r="F569" s="135" t="s">
        <v>620</v>
      </c>
      <c r="G569" s="274">
        <v>7</v>
      </c>
      <c r="H569" s="261">
        <v>32407</v>
      </c>
      <c r="I569" s="261">
        <v>226852</v>
      </c>
      <c r="J569" s="261">
        <v>0</v>
      </c>
      <c r="K569" s="261">
        <f t="shared" si="16"/>
        <v>226852</v>
      </c>
      <c r="L569" s="261">
        <v>18148</v>
      </c>
      <c r="M569" s="261">
        <f t="shared" si="17"/>
        <v>245000</v>
      </c>
      <c r="N569" s="137">
        <v>3.8300000000000001E-2</v>
      </c>
    </row>
    <row r="570" spans="1:14" ht="18" customHeight="1">
      <c r="A570" s="134">
        <v>8</v>
      </c>
      <c r="B570" s="135" t="s">
        <v>95</v>
      </c>
      <c r="C570" s="134">
        <v>44</v>
      </c>
      <c r="D570" s="138" t="s">
        <v>82</v>
      </c>
      <c r="E570" s="138" t="s">
        <v>133</v>
      </c>
      <c r="F570" s="135" t="s">
        <v>620</v>
      </c>
      <c r="G570" s="274">
        <v>1</v>
      </c>
      <c r="H570" s="261">
        <v>28241</v>
      </c>
      <c r="I570" s="261">
        <v>28241</v>
      </c>
      <c r="J570" s="261">
        <v>0</v>
      </c>
      <c r="K570" s="261">
        <f t="shared" si="16"/>
        <v>28241</v>
      </c>
      <c r="L570" s="261">
        <v>2259</v>
      </c>
      <c r="M570" s="261">
        <f t="shared" si="17"/>
        <v>30500</v>
      </c>
      <c r="N570" s="137">
        <v>4.7999999999999996E-3</v>
      </c>
    </row>
    <row r="571" spans="1:14" ht="18" customHeight="1">
      <c r="A571" s="134">
        <v>8</v>
      </c>
      <c r="B571" s="135" t="s">
        <v>95</v>
      </c>
      <c r="C571" s="134">
        <v>15</v>
      </c>
      <c r="D571" s="138" t="s">
        <v>82</v>
      </c>
      <c r="E571" s="138" t="s">
        <v>272</v>
      </c>
      <c r="F571" s="135" t="s">
        <v>620</v>
      </c>
      <c r="G571" s="274">
        <v>43</v>
      </c>
      <c r="H571" s="261">
        <v>18610</v>
      </c>
      <c r="I571" s="261">
        <v>801852</v>
      </c>
      <c r="J571" s="261">
        <v>1616</v>
      </c>
      <c r="K571" s="261">
        <f t="shared" si="16"/>
        <v>800236</v>
      </c>
      <c r="L571" s="261">
        <v>64019</v>
      </c>
      <c r="M571" s="261">
        <f t="shared" si="17"/>
        <v>864255</v>
      </c>
      <c r="N571" s="137">
        <v>0.13500000000000001</v>
      </c>
    </row>
    <row r="572" spans="1:14" ht="18" customHeight="1">
      <c r="A572" s="134">
        <v>8</v>
      </c>
      <c r="B572" s="135" t="s">
        <v>95</v>
      </c>
      <c r="C572" s="134">
        <v>110</v>
      </c>
      <c r="D572" s="138" t="s">
        <v>94</v>
      </c>
      <c r="E572" s="138" t="s">
        <v>635</v>
      </c>
      <c r="F572" s="135" t="s">
        <v>620</v>
      </c>
      <c r="G572" s="274">
        <v>7</v>
      </c>
      <c r="H572" s="261">
        <v>926</v>
      </c>
      <c r="I572" s="261">
        <v>6482</v>
      </c>
      <c r="J572" s="261">
        <v>0</v>
      </c>
      <c r="K572" s="261">
        <f t="shared" si="16"/>
        <v>6482</v>
      </c>
      <c r="L572" s="261">
        <v>519</v>
      </c>
      <c r="M572" s="261">
        <f t="shared" si="17"/>
        <v>7001</v>
      </c>
      <c r="N572" s="137">
        <v>1.1000000000000001E-3</v>
      </c>
    </row>
    <row r="573" spans="1:14" ht="18" customHeight="1">
      <c r="A573" s="134">
        <v>8</v>
      </c>
      <c r="B573" s="135" t="s">
        <v>95</v>
      </c>
      <c r="C573" s="134">
        <v>102</v>
      </c>
      <c r="D573" s="138" t="s">
        <v>82</v>
      </c>
      <c r="E573" s="138" t="s">
        <v>684</v>
      </c>
      <c r="F573" s="135" t="s">
        <v>620</v>
      </c>
      <c r="G573" s="274">
        <v>5</v>
      </c>
      <c r="H573" s="261">
        <v>6944</v>
      </c>
      <c r="I573" s="261">
        <v>34722</v>
      </c>
      <c r="J573" s="261">
        <v>0</v>
      </c>
      <c r="K573" s="261">
        <f t="shared" si="16"/>
        <v>34722</v>
      </c>
      <c r="L573" s="261">
        <v>2778</v>
      </c>
      <c r="M573" s="261">
        <f t="shared" si="17"/>
        <v>37500</v>
      </c>
      <c r="N573" s="137">
        <v>5.8999999999999999E-3</v>
      </c>
    </row>
    <row r="574" spans="1:14" ht="18" customHeight="1">
      <c r="A574" s="134">
        <v>8</v>
      </c>
      <c r="B574" s="135" t="s">
        <v>95</v>
      </c>
      <c r="C574" s="134">
        <v>26</v>
      </c>
      <c r="D574" s="138" t="s">
        <v>82</v>
      </c>
      <c r="E574" s="138" t="s">
        <v>702</v>
      </c>
      <c r="F574" s="135" t="s">
        <v>620</v>
      </c>
      <c r="G574" s="274">
        <v>12</v>
      </c>
      <c r="H574" s="261">
        <v>18596</v>
      </c>
      <c r="I574" s="261">
        <v>223148</v>
      </c>
      <c r="J574" s="261">
        <v>0</v>
      </c>
      <c r="K574" s="261">
        <f t="shared" si="16"/>
        <v>223148</v>
      </c>
      <c r="L574" s="261">
        <v>17852</v>
      </c>
      <c r="M574" s="261">
        <f t="shared" si="17"/>
        <v>241000</v>
      </c>
      <c r="N574" s="137">
        <v>3.7599999999999988E-2</v>
      </c>
    </row>
    <row r="575" spans="1:14" ht="18" customHeight="1">
      <c r="A575" s="134">
        <v>8</v>
      </c>
      <c r="B575" s="135" t="s">
        <v>95</v>
      </c>
      <c r="C575" s="134">
        <v>45</v>
      </c>
      <c r="D575" s="138" t="s">
        <v>82</v>
      </c>
      <c r="E575" s="138" t="s">
        <v>636</v>
      </c>
      <c r="F575" s="135" t="s">
        <v>620</v>
      </c>
      <c r="G575" s="274">
        <v>1</v>
      </c>
      <c r="H575" s="261">
        <v>35648</v>
      </c>
      <c r="I575" s="261">
        <v>35648</v>
      </c>
      <c r="J575" s="261">
        <v>0</v>
      </c>
      <c r="K575" s="261">
        <f t="shared" si="16"/>
        <v>35648</v>
      </c>
      <c r="L575" s="261">
        <v>2852</v>
      </c>
      <c r="M575" s="261">
        <f t="shared" si="17"/>
        <v>38500</v>
      </c>
      <c r="N575" s="137">
        <v>6.0000000000000001E-3</v>
      </c>
    </row>
    <row r="576" spans="1:14" ht="18" customHeight="1">
      <c r="A576" s="134">
        <v>8</v>
      </c>
      <c r="B576" s="135" t="s">
        <v>95</v>
      </c>
      <c r="C576" s="134">
        <v>30</v>
      </c>
      <c r="D576" s="138" t="s">
        <v>90</v>
      </c>
      <c r="E576" s="138" t="s">
        <v>637</v>
      </c>
      <c r="F576" s="135" t="s">
        <v>620</v>
      </c>
      <c r="G576" s="274">
        <v>2</v>
      </c>
      <c r="H576" s="261">
        <v>6481</v>
      </c>
      <c r="I576" s="261">
        <v>12963</v>
      </c>
      <c r="J576" s="261">
        <v>0</v>
      </c>
      <c r="K576" s="261">
        <f t="shared" si="16"/>
        <v>12963</v>
      </c>
      <c r="L576" s="261">
        <v>1037</v>
      </c>
      <c r="M576" s="261">
        <f t="shared" si="17"/>
        <v>14000</v>
      </c>
      <c r="N576" s="137">
        <v>2.2000000000000001E-3</v>
      </c>
    </row>
    <row r="577" spans="1:14" ht="18" customHeight="1">
      <c r="A577" s="134">
        <v>8</v>
      </c>
      <c r="B577" s="135" t="s">
        <v>95</v>
      </c>
      <c r="C577" s="134">
        <v>94</v>
      </c>
      <c r="D577" s="138" t="s">
        <v>84</v>
      </c>
      <c r="E577" s="138" t="s">
        <v>145</v>
      </c>
      <c r="F577" s="135" t="s">
        <v>620</v>
      </c>
      <c r="G577" s="274">
        <v>21</v>
      </c>
      <c r="H577" s="261">
        <v>18621</v>
      </c>
      <c r="I577" s="261">
        <v>391667</v>
      </c>
      <c r="J577" s="261">
        <v>617</v>
      </c>
      <c r="K577" s="261">
        <f t="shared" si="16"/>
        <v>391050</v>
      </c>
      <c r="L577" s="261">
        <v>31284</v>
      </c>
      <c r="M577" s="261">
        <f t="shared" si="17"/>
        <v>422334</v>
      </c>
      <c r="N577" s="137">
        <v>6.6000000000000003E-2</v>
      </c>
    </row>
    <row r="578" spans="1:14" ht="18" customHeight="1">
      <c r="A578" s="134">
        <v>8</v>
      </c>
      <c r="B578" s="135" t="s">
        <v>95</v>
      </c>
      <c r="C578" s="134">
        <v>233</v>
      </c>
      <c r="D578" s="138" t="s">
        <v>84</v>
      </c>
      <c r="E578" s="138" t="s">
        <v>112</v>
      </c>
      <c r="F578" s="135" t="s">
        <v>620</v>
      </c>
      <c r="G578" s="274">
        <v>32</v>
      </c>
      <c r="H578" s="261">
        <v>18451</v>
      </c>
      <c r="I578" s="261">
        <v>596296</v>
      </c>
      <c r="J578" s="261">
        <v>5864</v>
      </c>
      <c r="K578" s="261">
        <f t="shared" ref="K578:K641" si="18">I578-J578</f>
        <v>590432</v>
      </c>
      <c r="L578" s="261">
        <v>47235</v>
      </c>
      <c r="M578" s="261">
        <f t="shared" ref="M578:M641" si="19">K578+L578</f>
        <v>637667</v>
      </c>
      <c r="N578" s="137">
        <v>9.9600000000000008E-2</v>
      </c>
    </row>
    <row r="579" spans="1:14" ht="18" customHeight="1">
      <c r="A579" s="134">
        <v>8</v>
      </c>
      <c r="B579" s="135" t="s">
        <v>95</v>
      </c>
      <c r="C579" s="134">
        <v>217</v>
      </c>
      <c r="D579" s="138" t="s">
        <v>84</v>
      </c>
      <c r="E579" s="138" t="s">
        <v>639</v>
      </c>
      <c r="F579" s="135" t="s">
        <v>620</v>
      </c>
      <c r="G579" s="274">
        <v>3</v>
      </c>
      <c r="H579" s="261">
        <v>27778</v>
      </c>
      <c r="I579" s="261">
        <v>83333</v>
      </c>
      <c r="J579" s="261">
        <v>0</v>
      </c>
      <c r="K579" s="261">
        <f t="shared" si="18"/>
        <v>83333</v>
      </c>
      <c r="L579" s="261">
        <v>6667</v>
      </c>
      <c r="M579" s="261">
        <f t="shared" si="19"/>
        <v>90000</v>
      </c>
      <c r="N579" s="137">
        <v>1.41E-2</v>
      </c>
    </row>
    <row r="580" spans="1:14" ht="18" customHeight="1">
      <c r="A580" s="134">
        <v>8</v>
      </c>
      <c r="B580" s="135" t="s">
        <v>95</v>
      </c>
      <c r="C580" s="134">
        <v>218</v>
      </c>
      <c r="D580" s="138" t="s">
        <v>84</v>
      </c>
      <c r="E580" s="138" t="s">
        <v>640</v>
      </c>
      <c r="F580" s="135" t="s">
        <v>620</v>
      </c>
      <c r="G580" s="274">
        <v>2</v>
      </c>
      <c r="H580" s="261">
        <v>17130</v>
      </c>
      <c r="I580" s="261">
        <v>37963</v>
      </c>
      <c r="J580" s="261">
        <v>3704</v>
      </c>
      <c r="K580" s="261">
        <f t="shared" si="18"/>
        <v>34259</v>
      </c>
      <c r="L580" s="261">
        <v>2741</v>
      </c>
      <c r="M580" s="261">
        <f t="shared" si="19"/>
        <v>37000</v>
      </c>
      <c r="N580" s="137">
        <v>5.7999999999999996E-3</v>
      </c>
    </row>
    <row r="581" spans="1:14" ht="18" customHeight="1">
      <c r="A581" s="134">
        <v>8</v>
      </c>
      <c r="B581" s="135" t="s">
        <v>95</v>
      </c>
      <c r="C581" s="134">
        <v>34</v>
      </c>
      <c r="D581" s="138" t="s">
        <v>86</v>
      </c>
      <c r="E581" s="138" t="s">
        <v>641</v>
      </c>
      <c r="F581" s="135" t="s">
        <v>620</v>
      </c>
      <c r="G581" s="274">
        <v>1</v>
      </c>
      <c r="H581" s="261">
        <v>6481</v>
      </c>
      <c r="I581" s="261">
        <v>6481</v>
      </c>
      <c r="J581" s="261">
        <v>0</v>
      </c>
      <c r="K581" s="261">
        <f t="shared" si="18"/>
        <v>6481</v>
      </c>
      <c r="L581" s="261">
        <v>519</v>
      </c>
      <c r="M581" s="261">
        <f t="shared" si="19"/>
        <v>7000</v>
      </c>
      <c r="N581" s="137">
        <v>1.1000000000000001E-3</v>
      </c>
    </row>
    <row r="582" spans="1:14" ht="18" customHeight="1">
      <c r="A582" s="134">
        <v>8</v>
      </c>
      <c r="B582" s="135" t="s">
        <v>95</v>
      </c>
      <c r="C582" s="134">
        <v>121</v>
      </c>
      <c r="D582" s="138" t="s">
        <v>86</v>
      </c>
      <c r="E582" s="138" t="s">
        <v>642</v>
      </c>
      <c r="F582" s="135" t="s">
        <v>620</v>
      </c>
      <c r="G582" s="274">
        <v>2</v>
      </c>
      <c r="H582" s="261">
        <v>2778</v>
      </c>
      <c r="I582" s="261">
        <v>5556</v>
      </c>
      <c r="J582" s="261">
        <v>0</v>
      </c>
      <c r="K582" s="261">
        <f t="shared" si="18"/>
        <v>5556</v>
      </c>
      <c r="L582" s="261">
        <v>444</v>
      </c>
      <c r="M582" s="261">
        <f t="shared" si="19"/>
        <v>6000</v>
      </c>
      <c r="N582" s="137">
        <v>8.9999999999999998E-4</v>
      </c>
    </row>
    <row r="583" spans="1:14" ht="18" customHeight="1">
      <c r="A583" s="134">
        <v>8</v>
      </c>
      <c r="B583" s="135" t="s">
        <v>95</v>
      </c>
      <c r="C583" s="134">
        <v>208</v>
      </c>
      <c r="D583" s="138" t="s">
        <v>86</v>
      </c>
      <c r="E583" s="138" t="s">
        <v>643</v>
      </c>
      <c r="F583" s="135" t="s">
        <v>620</v>
      </c>
      <c r="G583" s="274">
        <v>7</v>
      </c>
      <c r="H583" s="261">
        <v>3704</v>
      </c>
      <c r="I583" s="261">
        <v>25926</v>
      </c>
      <c r="J583" s="261">
        <v>0</v>
      </c>
      <c r="K583" s="261">
        <f t="shared" si="18"/>
        <v>25926</v>
      </c>
      <c r="L583" s="261">
        <v>2074</v>
      </c>
      <c r="M583" s="261">
        <f t="shared" si="19"/>
        <v>28000</v>
      </c>
      <c r="N583" s="137">
        <v>4.4000000000000003E-3</v>
      </c>
    </row>
    <row r="584" spans="1:14" ht="18" customHeight="1">
      <c r="A584" s="134">
        <v>8</v>
      </c>
      <c r="B584" s="135" t="s">
        <v>95</v>
      </c>
      <c r="C584" s="134">
        <v>90</v>
      </c>
      <c r="D584" s="138" t="s">
        <v>86</v>
      </c>
      <c r="E584" s="138" t="s">
        <v>439</v>
      </c>
      <c r="F584" s="135" t="s">
        <v>620</v>
      </c>
      <c r="G584" s="274">
        <v>0</v>
      </c>
      <c r="H584" s="261">
        <v>0</v>
      </c>
      <c r="I584" s="261">
        <v>0</v>
      </c>
      <c r="J584" s="261">
        <v>0</v>
      </c>
      <c r="K584" s="261">
        <f t="shared" si="18"/>
        <v>0</v>
      </c>
      <c r="L584" s="261">
        <v>0</v>
      </c>
      <c r="M584" s="261">
        <f t="shared" si="19"/>
        <v>0</v>
      </c>
      <c r="N584" s="137">
        <v>0</v>
      </c>
    </row>
    <row r="585" spans="1:14" ht="18" customHeight="1">
      <c r="A585" s="134">
        <v>8</v>
      </c>
      <c r="B585" s="135" t="s">
        <v>95</v>
      </c>
      <c r="C585" s="134">
        <v>31</v>
      </c>
      <c r="D585" s="138" t="s">
        <v>90</v>
      </c>
      <c r="E585" s="138" t="s">
        <v>645</v>
      </c>
      <c r="F585" s="135" t="s">
        <v>620</v>
      </c>
      <c r="G585" s="274">
        <v>11</v>
      </c>
      <c r="H585" s="261">
        <v>1192</v>
      </c>
      <c r="I585" s="261">
        <v>13241</v>
      </c>
      <c r="J585" s="261">
        <v>130</v>
      </c>
      <c r="K585" s="261">
        <f t="shared" si="18"/>
        <v>13111</v>
      </c>
      <c r="L585" s="261">
        <v>1049</v>
      </c>
      <c r="M585" s="261">
        <f t="shared" si="19"/>
        <v>14160</v>
      </c>
      <c r="N585" s="137">
        <v>2.2000000000000001E-3</v>
      </c>
    </row>
    <row r="586" spans="1:14" ht="18" customHeight="1">
      <c r="A586" s="134">
        <v>8</v>
      </c>
      <c r="B586" s="135" t="s">
        <v>95</v>
      </c>
      <c r="C586" s="134">
        <v>212</v>
      </c>
      <c r="D586" s="138" t="s">
        <v>86</v>
      </c>
      <c r="E586" s="138" t="s">
        <v>160</v>
      </c>
      <c r="F586" s="135" t="s">
        <v>620</v>
      </c>
      <c r="G586" s="274">
        <v>4</v>
      </c>
      <c r="H586" s="261">
        <v>22222</v>
      </c>
      <c r="I586" s="261">
        <v>88889</v>
      </c>
      <c r="J586" s="261">
        <v>0</v>
      </c>
      <c r="K586" s="261">
        <f t="shared" si="18"/>
        <v>88889</v>
      </c>
      <c r="L586" s="261">
        <v>7111</v>
      </c>
      <c r="M586" s="261">
        <f t="shared" si="19"/>
        <v>96000</v>
      </c>
      <c r="N586" s="137">
        <v>1.4999999999999999E-2</v>
      </c>
    </row>
    <row r="587" spans="1:14" ht="18" customHeight="1">
      <c r="A587" s="134">
        <v>8</v>
      </c>
      <c r="B587" s="135" t="s">
        <v>95</v>
      </c>
      <c r="C587" s="134">
        <v>74</v>
      </c>
      <c r="D587" s="138" t="s">
        <v>86</v>
      </c>
      <c r="E587" s="138" t="s">
        <v>686</v>
      </c>
      <c r="F587" s="135" t="s">
        <v>620</v>
      </c>
      <c r="G587" s="274">
        <v>2</v>
      </c>
      <c r="H587" s="261">
        <v>6481</v>
      </c>
      <c r="I587" s="261">
        <v>12963</v>
      </c>
      <c r="J587" s="261">
        <v>0</v>
      </c>
      <c r="K587" s="261">
        <f t="shared" si="18"/>
        <v>12963</v>
      </c>
      <c r="L587" s="261">
        <v>1037</v>
      </c>
      <c r="M587" s="261">
        <f t="shared" si="19"/>
        <v>14000</v>
      </c>
      <c r="N587" s="137">
        <v>2.2000000000000001E-3</v>
      </c>
    </row>
    <row r="588" spans="1:14" ht="18" customHeight="1">
      <c r="A588" s="134">
        <v>8</v>
      </c>
      <c r="B588" s="135" t="s">
        <v>95</v>
      </c>
      <c r="C588" s="134">
        <v>235</v>
      </c>
      <c r="D588" s="138" t="s">
        <v>86</v>
      </c>
      <c r="E588" s="138" t="s">
        <v>687</v>
      </c>
      <c r="F588" s="135" t="s">
        <v>620</v>
      </c>
      <c r="G588" s="274">
        <v>2</v>
      </c>
      <c r="H588" s="261">
        <v>3426</v>
      </c>
      <c r="I588" s="261">
        <v>6852</v>
      </c>
      <c r="J588" s="261">
        <v>0</v>
      </c>
      <c r="K588" s="261">
        <f t="shared" si="18"/>
        <v>6852</v>
      </c>
      <c r="L588" s="261">
        <v>548</v>
      </c>
      <c r="M588" s="261">
        <f t="shared" si="19"/>
        <v>7400</v>
      </c>
      <c r="N588" s="137">
        <v>1.1999999999999999E-3</v>
      </c>
    </row>
    <row r="589" spans="1:14" ht="18" customHeight="1">
      <c r="A589" s="134">
        <v>8</v>
      </c>
      <c r="B589" s="135" t="s">
        <v>95</v>
      </c>
      <c r="C589" s="134">
        <v>134</v>
      </c>
      <c r="D589" s="138" t="s">
        <v>86</v>
      </c>
      <c r="E589" s="138" t="s">
        <v>703</v>
      </c>
      <c r="F589" s="135" t="s">
        <v>620</v>
      </c>
      <c r="G589" s="274">
        <v>1</v>
      </c>
      <c r="H589" s="261">
        <v>12963</v>
      </c>
      <c r="I589" s="261">
        <v>12963</v>
      </c>
      <c r="J589" s="261">
        <v>0</v>
      </c>
      <c r="K589" s="261">
        <f t="shared" si="18"/>
        <v>12963</v>
      </c>
      <c r="L589" s="261">
        <v>1037</v>
      </c>
      <c r="M589" s="261">
        <f t="shared" si="19"/>
        <v>14000</v>
      </c>
      <c r="N589" s="137">
        <v>2.2000000000000001E-3</v>
      </c>
    </row>
    <row r="590" spans="1:14" ht="18" customHeight="1">
      <c r="A590" s="134">
        <v>8</v>
      </c>
      <c r="B590" s="135" t="s">
        <v>95</v>
      </c>
      <c r="C590" s="134">
        <v>75</v>
      </c>
      <c r="D590" s="138" t="s">
        <v>86</v>
      </c>
      <c r="E590" s="138" t="s">
        <v>647</v>
      </c>
      <c r="F590" s="135" t="s">
        <v>620</v>
      </c>
      <c r="G590" s="274">
        <v>0</v>
      </c>
      <c r="H590" s="261">
        <v>0</v>
      </c>
      <c r="I590" s="261">
        <v>0</v>
      </c>
      <c r="J590" s="261">
        <v>0</v>
      </c>
      <c r="K590" s="261">
        <f t="shared" si="18"/>
        <v>0</v>
      </c>
      <c r="L590" s="261">
        <v>0</v>
      </c>
      <c r="M590" s="261">
        <f t="shared" si="19"/>
        <v>0</v>
      </c>
      <c r="N590" s="137">
        <v>0</v>
      </c>
    </row>
    <row r="591" spans="1:14" ht="18" customHeight="1">
      <c r="A591" s="134">
        <v>8</v>
      </c>
      <c r="B591" s="135" t="s">
        <v>95</v>
      </c>
      <c r="C591" s="134">
        <v>118</v>
      </c>
      <c r="D591" s="138" t="s">
        <v>82</v>
      </c>
      <c r="E591" s="138" t="s">
        <v>121</v>
      </c>
      <c r="F591" s="135" t="s">
        <v>620</v>
      </c>
      <c r="G591" s="274">
        <v>5</v>
      </c>
      <c r="H591" s="261">
        <v>41667</v>
      </c>
      <c r="I591" s="261">
        <v>208333</v>
      </c>
      <c r="J591" s="261">
        <v>0</v>
      </c>
      <c r="K591" s="261">
        <f t="shared" si="18"/>
        <v>208333</v>
      </c>
      <c r="L591" s="261">
        <v>16667</v>
      </c>
      <c r="M591" s="261">
        <f t="shared" si="19"/>
        <v>225000</v>
      </c>
      <c r="N591" s="137">
        <v>3.5099999999999999E-2</v>
      </c>
    </row>
    <row r="592" spans="1:14" ht="18" customHeight="1">
      <c r="A592" s="134">
        <v>8</v>
      </c>
      <c r="B592" s="135" t="s">
        <v>95</v>
      </c>
      <c r="C592" s="134">
        <v>109</v>
      </c>
      <c r="D592" s="138" t="s">
        <v>86</v>
      </c>
      <c r="E592" s="138" t="s">
        <v>142</v>
      </c>
      <c r="F592" s="135" t="s">
        <v>620</v>
      </c>
      <c r="G592" s="274">
        <v>13</v>
      </c>
      <c r="H592" s="261">
        <v>12963</v>
      </c>
      <c r="I592" s="261">
        <v>168519</v>
      </c>
      <c r="J592" s="261">
        <v>0</v>
      </c>
      <c r="K592" s="261">
        <f t="shared" si="18"/>
        <v>168519</v>
      </c>
      <c r="L592" s="261">
        <v>13482</v>
      </c>
      <c r="M592" s="261">
        <f t="shared" si="19"/>
        <v>182001</v>
      </c>
      <c r="N592" s="137">
        <v>2.8400000000000002E-2</v>
      </c>
    </row>
    <row r="593" spans="1:14" ht="18" customHeight="1">
      <c r="A593" s="134">
        <v>8</v>
      </c>
      <c r="B593" s="135" t="s">
        <v>95</v>
      </c>
      <c r="C593" s="134">
        <v>147</v>
      </c>
      <c r="D593" s="138" t="s">
        <v>86</v>
      </c>
      <c r="E593" s="138" t="s">
        <v>649</v>
      </c>
      <c r="F593" s="135" t="s">
        <v>620</v>
      </c>
      <c r="G593" s="274">
        <v>1</v>
      </c>
      <c r="H593" s="261">
        <v>6481</v>
      </c>
      <c r="I593" s="261">
        <v>6481</v>
      </c>
      <c r="J593" s="261">
        <v>0</v>
      </c>
      <c r="K593" s="261">
        <f t="shared" si="18"/>
        <v>6481</v>
      </c>
      <c r="L593" s="261">
        <v>519</v>
      </c>
      <c r="M593" s="261">
        <f t="shared" si="19"/>
        <v>7000</v>
      </c>
      <c r="N593" s="137">
        <v>1.1000000000000001E-3</v>
      </c>
    </row>
    <row r="594" spans="1:14" ht="18" customHeight="1">
      <c r="A594" s="134">
        <v>8</v>
      </c>
      <c r="B594" s="135" t="s">
        <v>95</v>
      </c>
      <c r="C594" s="134">
        <v>46</v>
      </c>
      <c r="D594" s="138" t="s">
        <v>82</v>
      </c>
      <c r="E594" s="138" t="s">
        <v>650</v>
      </c>
      <c r="F594" s="135" t="s">
        <v>620</v>
      </c>
      <c r="G594" s="274">
        <v>2</v>
      </c>
      <c r="H594" s="261">
        <v>35648</v>
      </c>
      <c r="I594" s="261">
        <v>71296</v>
      </c>
      <c r="J594" s="261">
        <v>0</v>
      </c>
      <c r="K594" s="261">
        <f t="shared" si="18"/>
        <v>71296</v>
      </c>
      <c r="L594" s="261">
        <v>5704</v>
      </c>
      <c r="M594" s="261">
        <f t="shared" si="19"/>
        <v>77000</v>
      </c>
      <c r="N594" s="137">
        <v>1.2E-2</v>
      </c>
    </row>
    <row r="595" spans="1:14" ht="18" customHeight="1">
      <c r="A595" s="134">
        <v>8</v>
      </c>
      <c r="B595" s="135" t="s">
        <v>95</v>
      </c>
      <c r="C595" s="134">
        <v>35</v>
      </c>
      <c r="D595" s="138" t="s">
        <v>82</v>
      </c>
      <c r="E595" s="138" t="s">
        <v>689</v>
      </c>
      <c r="F595" s="135" t="s">
        <v>620</v>
      </c>
      <c r="G595" s="274">
        <v>1</v>
      </c>
      <c r="H595" s="261">
        <v>7407</v>
      </c>
      <c r="I595" s="261">
        <v>7407</v>
      </c>
      <c r="J595" s="261">
        <v>0</v>
      </c>
      <c r="K595" s="261">
        <f t="shared" si="18"/>
        <v>7407</v>
      </c>
      <c r="L595" s="261">
        <v>593</v>
      </c>
      <c r="M595" s="261">
        <f t="shared" si="19"/>
        <v>8000</v>
      </c>
      <c r="N595" s="137">
        <v>1.1999999999999999E-3</v>
      </c>
    </row>
    <row r="596" spans="1:14" ht="18" customHeight="1">
      <c r="A596" s="134">
        <v>8</v>
      </c>
      <c r="B596" s="135" t="s">
        <v>95</v>
      </c>
      <c r="C596" s="134">
        <v>18</v>
      </c>
      <c r="D596" s="138" t="s">
        <v>82</v>
      </c>
      <c r="E596" s="138" t="s">
        <v>296</v>
      </c>
      <c r="F596" s="135" t="s">
        <v>620</v>
      </c>
      <c r="G596" s="274">
        <v>31</v>
      </c>
      <c r="H596" s="261">
        <v>18598</v>
      </c>
      <c r="I596" s="261">
        <v>576852</v>
      </c>
      <c r="J596" s="261">
        <v>309</v>
      </c>
      <c r="K596" s="261">
        <f t="shared" si="18"/>
        <v>576543</v>
      </c>
      <c r="L596" s="261">
        <v>46123</v>
      </c>
      <c r="M596" s="261">
        <f t="shared" si="19"/>
        <v>622666</v>
      </c>
      <c r="N596" s="137">
        <v>9.7299999999999998E-2</v>
      </c>
    </row>
    <row r="597" spans="1:14" ht="18" customHeight="1">
      <c r="A597" s="134">
        <v>8</v>
      </c>
      <c r="B597" s="135" t="s">
        <v>95</v>
      </c>
      <c r="C597" s="134">
        <v>101</v>
      </c>
      <c r="D597" s="138" t="s">
        <v>82</v>
      </c>
      <c r="E597" s="138" t="s">
        <v>653</v>
      </c>
      <c r="F597" s="135" t="s">
        <v>620</v>
      </c>
      <c r="G597" s="274">
        <v>1</v>
      </c>
      <c r="H597" s="261">
        <v>2315</v>
      </c>
      <c r="I597" s="261">
        <v>2315</v>
      </c>
      <c r="J597" s="261">
        <v>0</v>
      </c>
      <c r="K597" s="261">
        <f t="shared" si="18"/>
        <v>2315</v>
      </c>
      <c r="L597" s="261">
        <v>185</v>
      </c>
      <c r="M597" s="261">
        <f t="shared" si="19"/>
        <v>2500</v>
      </c>
      <c r="N597" s="137">
        <v>4.0000000000000002E-4</v>
      </c>
    </row>
    <row r="598" spans="1:14" ht="18" customHeight="1">
      <c r="A598" s="134">
        <v>8</v>
      </c>
      <c r="B598" s="135" t="s">
        <v>95</v>
      </c>
      <c r="C598" s="134">
        <v>93</v>
      </c>
      <c r="D598" s="138" t="s">
        <v>84</v>
      </c>
      <c r="E598" s="138" t="s">
        <v>118</v>
      </c>
      <c r="F598" s="135" t="s">
        <v>620</v>
      </c>
      <c r="G598" s="274">
        <v>2</v>
      </c>
      <c r="H598" s="261">
        <v>20370</v>
      </c>
      <c r="I598" s="261">
        <v>40741</v>
      </c>
      <c r="J598" s="261">
        <v>0</v>
      </c>
      <c r="K598" s="261">
        <f t="shared" si="18"/>
        <v>40741</v>
      </c>
      <c r="L598" s="261">
        <v>3259</v>
      </c>
      <c r="M598" s="261">
        <f t="shared" si="19"/>
        <v>44000</v>
      </c>
      <c r="N598" s="137">
        <v>6.8999999999999999E-3</v>
      </c>
    </row>
    <row r="599" spans="1:14" ht="18" customHeight="1">
      <c r="A599" s="134">
        <v>8</v>
      </c>
      <c r="B599" s="135" t="s">
        <v>95</v>
      </c>
      <c r="C599" s="134">
        <v>119</v>
      </c>
      <c r="D599" s="138" t="s">
        <v>84</v>
      </c>
      <c r="E599" s="138" t="s">
        <v>109</v>
      </c>
      <c r="F599" s="135" t="s">
        <v>620</v>
      </c>
      <c r="G599" s="274">
        <v>2</v>
      </c>
      <c r="H599" s="261">
        <v>44444</v>
      </c>
      <c r="I599" s="261">
        <v>88889</v>
      </c>
      <c r="J599" s="261">
        <v>0</v>
      </c>
      <c r="K599" s="261">
        <f t="shared" si="18"/>
        <v>88889</v>
      </c>
      <c r="L599" s="261">
        <v>7111</v>
      </c>
      <c r="M599" s="261">
        <f t="shared" si="19"/>
        <v>96000</v>
      </c>
      <c r="N599" s="137">
        <v>1.4999999999999999E-2</v>
      </c>
    </row>
    <row r="600" spans="1:14" ht="18" customHeight="1">
      <c r="A600" s="134">
        <v>8</v>
      </c>
      <c r="B600" s="135" t="s">
        <v>95</v>
      </c>
      <c r="C600" s="134">
        <v>47</v>
      </c>
      <c r="D600" s="138" t="s">
        <v>82</v>
      </c>
      <c r="E600" s="138" t="s">
        <v>726</v>
      </c>
      <c r="F600" s="135" t="s">
        <v>620</v>
      </c>
      <c r="G600" s="274">
        <v>1</v>
      </c>
      <c r="H600" s="261">
        <v>64815</v>
      </c>
      <c r="I600" s="261">
        <v>64815</v>
      </c>
      <c r="J600" s="261">
        <v>0</v>
      </c>
      <c r="K600" s="261">
        <f t="shared" si="18"/>
        <v>64815</v>
      </c>
      <c r="L600" s="261">
        <v>5185</v>
      </c>
      <c r="M600" s="261">
        <f t="shared" si="19"/>
        <v>70000</v>
      </c>
      <c r="N600" s="137">
        <v>1.09E-2</v>
      </c>
    </row>
    <row r="601" spans="1:14" ht="18" customHeight="1">
      <c r="A601" s="134">
        <v>8</v>
      </c>
      <c r="B601" s="135" t="s">
        <v>95</v>
      </c>
      <c r="C601" s="134">
        <v>77</v>
      </c>
      <c r="D601" s="138" t="s">
        <v>82</v>
      </c>
      <c r="E601" s="138" t="s">
        <v>655</v>
      </c>
      <c r="F601" s="135" t="s">
        <v>620</v>
      </c>
      <c r="G601" s="274">
        <v>2</v>
      </c>
      <c r="H601" s="261">
        <v>2778</v>
      </c>
      <c r="I601" s="261">
        <v>5556</v>
      </c>
      <c r="J601" s="261">
        <v>0</v>
      </c>
      <c r="K601" s="261">
        <f t="shared" si="18"/>
        <v>5556</v>
      </c>
      <c r="L601" s="261">
        <v>444</v>
      </c>
      <c r="M601" s="261">
        <f t="shared" si="19"/>
        <v>6000</v>
      </c>
      <c r="N601" s="137">
        <v>8.9999999999999998E-4</v>
      </c>
    </row>
    <row r="602" spans="1:14" ht="18" customHeight="1">
      <c r="A602" s="134">
        <v>8</v>
      </c>
      <c r="B602" s="135" t="s">
        <v>95</v>
      </c>
      <c r="C602" s="134">
        <v>86</v>
      </c>
      <c r="D602" s="138" t="s">
        <v>90</v>
      </c>
      <c r="E602" s="138" t="s">
        <v>658</v>
      </c>
      <c r="F602" s="135" t="s">
        <v>620</v>
      </c>
      <c r="G602" s="274">
        <v>18</v>
      </c>
      <c r="H602" s="261">
        <v>3189</v>
      </c>
      <c r="I602" s="261">
        <v>58333</v>
      </c>
      <c r="J602" s="261">
        <v>926</v>
      </c>
      <c r="K602" s="261">
        <f t="shared" si="18"/>
        <v>57407</v>
      </c>
      <c r="L602" s="261">
        <v>4593</v>
      </c>
      <c r="M602" s="261">
        <f t="shared" si="19"/>
        <v>62000</v>
      </c>
      <c r="N602" s="137">
        <v>9.7000000000000003E-3</v>
      </c>
    </row>
    <row r="603" spans="1:14" ht="18" customHeight="1">
      <c r="A603" s="134">
        <v>8</v>
      </c>
      <c r="B603" s="135" t="s">
        <v>95</v>
      </c>
      <c r="C603" s="134">
        <v>80</v>
      </c>
      <c r="D603" s="138" t="s">
        <v>90</v>
      </c>
      <c r="E603" s="138" t="s">
        <v>659</v>
      </c>
      <c r="F603" s="135" t="s">
        <v>620</v>
      </c>
      <c r="G603" s="274">
        <v>1</v>
      </c>
      <c r="H603" s="261">
        <v>6481</v>
      </c>
      <c r="I603" s="261">
        <v>6481</v>
      </c>
      <c r="J603" s="261">
        <v>0</v>
      </c>
      <c r="K603" s="261">
        <f t="shared" si="18"/>
        <v>6481</v>
      </c>
      <c r="L603" s="261">
        <v>519</v>
      </c>
      <c r="M603" s="261">
        <f t="shared" si="19"/>
        <v>7000</v>
      </c>
      <c r="N603" s="137">
        <v>1.1000000000000001E-3</v>
      </c>
    </row>
    <row r="604" spans="1:14" ht="18" customHeight="1">
      <c r="A604" s="134">
        <v>8</v>
      </c>
      <c r="B604" s="135" t="s">
        <v>95</v>
      </c>
      <c r="C604" s="134">
        <v>169</v>
      </c>
      <c r="D604" s="138" t="s">
        <v>90</v>
      </c>
      <c r="E604" s="138" t="s">
        <v>660</v>
      </c>
      <c r="F604" s="135" t="s">
        <v>620</v>
      </c>
      <c r="G604" s="274">
        <v>10</v>
      </c>
      <c r="H604" s="261">
        <v>6481</v>
      </c>
      <c r="I604" s="261">
        <v>64815</v>
      </c>
      <c r="J604" s="261">
        <v>0</v>
      </c>
      <c r="K604" s="261">
        <f t="shared" si="18"/>
        <v>64815</v>
      </c>
      <c r="L604" s="261">
        <v>5185</v>
      </c>
      <c r="M604" s="261">
        <f t="shared" si="19"/>
        <v>70000</v>
      </c>
      <c r="N604" s="137">
        <v>1.09E-2</v>
      </c>
    </row>
    <row r="605" spans="1:14" ht="18" customHeight="1">
      <c r="A605" s="134">
        <v>8</v>
      </c>
      <c r="B605" s="135" t="s">
        <v>95</v>
      </c>
      <c r="C605" s="134">
        <v>79</v>
      </c>
      <c r="D605" s="138" t="s">
        <v>90</v>
      </c>
      <c r="E605" s="138" t="s">
        <v>661</v>
      </c>
      <c r="F605" s="135" t="s">
        <v>620</v>
      </c>
      <c r="G605" s="274">
        <v>5</v>
      </c>
      <c r="H605" s="261">
        <v>6412</v>
      </c>
      <c r="I605" s="261">
        <v>32407</v>
      </c>
      <c r="J605" s="261">
        <v>349</v>
      </c>
      <c r="K605" s="261">
        <f t="shared" si="18"/>
        <v>32058</v>
      </c>
      <c r="L605" s="261">
        <v>2565</v>
      </c>
      <c r="M605" s="261">
        <f t="shared" si="19"/>
        <v>34623</v>
      </c>
      <c r="N605" s="137">
        <v>5.4000000000000003E-3</v>
      </c>
    </row>
    <row r="606" spans="1:14" ht="18" customHeight="1">
      <c r="A606" s="134">
        <v>8</v>
      </c>
      <c r="B606" s="135" t="s">
        <v>95</v>
      </c>
      <c r="C606" s="134">
        <v>82</v>
      </c>
      <c r="D606" s="138" t="s">
        <v>90</v>
      </c>
      <c r="E606" s="138" t="s">
        <v>691</v>
      </c>
      <c r="F606" s="135" t="s">
        <v>620</v>
      </c>
      <c r="G606" s="274">
        <v>7</v>
      </c>
      <c r="H606" s="261">
        <v>6481</v>
      </c>
      <c r="I606" s="261">
        <v>45370</v>
      </c>
      <c r="J606" s="261">
        <v>0</v>
      </c>
      <c r="K606" s="261">
        <f t="shared" si="18"/>
        <v>45370</v>
      </c>
      <c r="L606" s="261">
        <v>3630</v>
      </c>
      <c r="M606" s="261">
        <f t="shared" si="19"/>
        <v>49000</v>
      </c>
      <c r="N606" s="137">
        <v>7.7000000000000002E-3</v>
      </c>
    </row>
    <row r="607" spans="1:14" ht="18" customHeight="1">
      <c r="A607" s="134">
        <v>8</v>
      </c>
      <c r="B607" s="135" t="s">
        <v>95</v>
      </c>
      <c r="C607" s="134">
        <v>62</v>
      </c>
      <c r="D607" s="138" t="s">
        <v>90</v>
      </c>
      <c r="E607" s="138" t="s">
        <v>662</v>
      </c>
      <c r="F607" s="135" t="s">
        <v>620</v>
      </c>
      <c r="G607" s="274">
        <v>8</v>
      </c>
      <c r="H607" s="261">
        <v>6898</v>
      </c>
      <c r="I607" s="261">
        <v>55556</v>
      </c>
      <c r="J607" s="261">
        <v>374</v>
      </c>
      <c r="K607" s="261">
        <f t="shared" si="18"/>
        <v>55182</v>
      </c>
      <c r="L607" s="261">
        <v>4415</v>
      </c>
      <c r="M607" s="261">
        <f t="shared" si="19"/>
        <v>59597</v>
      </c>
      <c r="N607" s="137">
        <v>9.300000000000001E-3</v>
      </c>
    </row>
    <row r="608" spans="1:14" ht="18" customHeight="1">
      <c r="A608" s="134">
        <v>8</v>
      </c>
      <c r="B608" s="135" t="s">
        <v>95</v>
      </c>
      <c r="C608" s="134">
        <v>137</v>
      </c>
      <c r="D608" s="138" t="s">
        <v>90</v>
      </c>
      <c r="E608" s="138" t="s">
        <v>692</v>
      </c>
      <c r="F608" s="135" t="s">
        <v>620</v>
      </c>
      <c r="G608" s="274">
        <v>13</v>
      </c>
      <c r="H608" s="261">
        <v>6481</v>
      </c>
      <c r="I608" s="261">
        <v>84259</v>
      </c>
      <c r="J608" s="261">
        <v>0</v>
      </c>
      <c r="K608" s="261">
        <f t="shared" si="18"/>
        <v>84259</v>
      </c>
      <c r="L608" s="261">
        <v>6741</v>
      </c>
      <c r="M608" s="261">
        <f t="shared" si="19"/>
        <v>91000</v>
      </c>
      <c r="N608" s="137">
        <v>1.4200000000000001E-2</v>
      </c>
    </row>
    <row r="609" spans="1:14" ht="18" customHeight="1">
      <c r="A609" s="134">
        <v>8</v>
      </c>
      <c r="B609" s="135" t="s">
        <v>95</v>
      </c>
      <c r="C609" s="134">
        <v>219</v>
      </c>
      <c r="D609" s="138" t="s">
        <v>82</v>
      </c>
      <c r="E609" s="138" t="s">
        <v>148</v>
      </c>
      <c r="F609" s="135" t="s">
        <v>620</v>
      </c>
      <c r="G609" s="274">
        <v>1</v>
      </c>
      <c r="H609" s="261">
        <v>69444</v>
      </c>
      <c r="I609" s="261">
        <v>69444</v>
      </c>
      <c r="J609" s="261">
        <v>0</v>
      </c>
      <c r="K609" s="261">
        <f t="shared" si="18"/>
        <v>69444</v>
      </c>
      <c r="L609" s="261">
        <v>5556</v>
      </c>
      <c r="M609" s="261">
        <f t="shared" si="19"/>
        <v>75000</v>
      </c>
      <c r="N609" s="137">
        <v>1.17E-2</v>
      </c>
    </row>
    <row r="610" spans="1:14" ht="18" customHeight="1">
      <c r="A610" s="134">
        <v>8</v>
      </c>
      <c r="B610" s="135" t="s">
        <v>95</v>
      </c>
      <c r="C610" s="134">
        <v>222</v>
      </c>
      <c r="D610" s="138" t="s">
        <v>88</v>
      </c>
      <c r="E610" s="138" t="s">
        <v>667</v>
      </c>
      <c r="F610" s="135" t="s">
        <v>620</v>
      </c>
      <c r="G610" s="274">
        <v>1</v>
      </c>
      <c r="H610" s="261">
        <v>63426</v>
      </c>
      <c r="I610" s="261">
        <v>63426</v>
      </c>
      <c r="J610" s="261">
        <v>0</v>
      </c>
      <c r="K610" s="261">
        <f t="shared" si="18"/>
        <v>63426</v>
      </c>
      <c r="L610" s="261">
        <v>5074</v>
      </c>
      <c r="M610" s="261">
        <f t="shared" si="19"/>
        <v>68500</v>
      </c>
      <c r="N610" s="137">
        <v>1.0699999999999999E-2</v>
      </c>
    </row>
    <row r="611" spans="1:14" ht="18" customHeight="1">
      <c r="A611" s="134">
        <v>8</v>
      </c>
      <c r="B611" s="135" t="s">
        <v>95</v>
      </c>
      <c r="C611" s="134">
        <v>129</v>
      </c>
      <c r="D611" s="138" t="s">
        <v>88</v>
      </c>
      <c r="E611" s="138" t="s">
        <v>669</v>
      </c>
      <c r="F611" s="135" t="s">
        <v>620</v>
      </c>
      <c r="G611" s="274">
        <v>1</v>
      </c>
      <c r="H611" s="261">
        <v>44444</v>
      </c>
      <c r="I611" s="261">
        <v>44444</v>
      </c>
      <c r="J611" s="261">
        <v>0</v>
      </c>
      <c r="K611" s="261">
        <f t="shared" si="18"/>
        <v>44444</v>
      </c>
      <c r="L611" s="261">
        <v>3556</v>
      </c>
      <c r="M611" s="261">
        <f t="shared" si="19"/>
        <v>48000</v>
      </c>
      <c r="N611" s="137">
        <v>7.4999999999999997E-3</v>
      </c>
    </row>
    <row r="612" spans="1:14" ht="18" customHeight="1">
      <c r="A612" s="134">
        <v>8</v>
      </c>
      <c r="B612" s="135" t="s">
        <v>95</v>
      </c>
      <c r="C612" s="134">
        <v>117</v>
      </c>
      <c r="D612" s="138" t="s">
        <v>82</v>
      </c>
      <c r="E612" s="138" t="s">
        <v>115</v>
      </c>
      <c r="F612" s="135" t="s">
        <v>620</v>
      </c>
      <c r="G612" s="274">
        <v>2</v>
      </c>
      <c r="H612" s="261">
        <v>41667</v>
      </c>
      <c r="I612" s="261">
        <v>83333</v>
      </c>
      <c r="J612" s="261">
        <v>0</v>
      </c>
      <c r="K612" s="261">
        <f t="shared" si="18"/>
        <v>83333</v>
      </c>
      <c r="L612" s="261">
        <v>6667</v>
      </c>
      <c r="M612" s="261">
        <f t="shared" si="19"/>
        <v>90000</v>
      </c>
      <c r="N612" s="137">
        <v>1.41E-2</v>
      </c>
    </row>
    <row r="613" spans="1:14" ht="18" customHeight="1">
      <c r="A613" s="134">
        <v>8</v>
      </c>
      <c r="B613" s="135" t="s">
        <v>95</v>
      </c>
      <c r="C613" s="134">
        <v>36</v>
      </c>
      <c r="D613" s="138" t="s">
        <v>86</v>
      </c>
      <c r="E613" s="138" t="s">
        <v>670</v>
      </c>
      <c r="F613" s="135" t="s">
        <v>620</v>
      </c>
      <c r="G613" s="274">
        <v>1</v>
      </c>
      <c r="H613" s="261">
        <v>3704</v>
      </c>
      <c r="I613" s="261">
        <v>3704</v>
      </c>
      <c r="J613" s="261">
        <v>0</v>
      </c>
      <c r="K613" s="261">
        <f t="shared" si="18"/>
        <v>3704</v>
      </c>
      <c r="L613" s="261">
        <v>296</v>
      </c>
      <c r="M613" s="261">
        <f t="shared" si="19"/>
        <v>4000</v>
      </c>
      <c r="N613" s="137">
        <v>5.9999999999999995E-4</v>
      </c>
    </row>
    <row r="614" spans="1:14" ht="18" customHeight="1">
      <c r="A614" s="134">
        <v>8</v>
      </c>
      <c r="B614" s="135" t="s">
        <v>95</v>
      </c>
      <c r="C614" s="134">
        <v>61</v>
      </c>
      <c r="D614" s="138" t="s">
        <v>92</v>
      </c>
      <c r="E614" s="138" t="s">
        <v>671</v>
      </c>
      <c r="F614" s="135" t="s">
        <v>620</v>
      </c>
      <c r="G614" s="274">
        <v>11</v>
      </c>
      <c r="H614" s="261">
        <v>4630</v>
      </c>
      <c r="I614" s="261">
        <v>50926</v>
      </c>
      <c r="J614" s="261">
        <v>0</v>
      </c>
      <c r="K614" s="261">
        <f t="shared" si="18"/>
        <v>50926</v>
      </c>
      <c r="L614" s="261">
        <v>4074</v>
      </c>
      <c r="M614" s="261">
        <f t="shared" si="19"/>
        <v>55000</v>
      </c>
      <c r="N614" s="137">
        <v>8.6E-3</v>
      </c>
    </row>
    <row r="615" spans="1:14" ht="18" customHeight="1">
      <c r="A615" s="134">
        <v>8</v>
      </c>
      <c r="B615" s="135" t="s">
        <v>95</v>
      </c>
      <c r="C615" s="134">
        <v>215</v>
      </c>
      <c r="D615" s="138" t="s">
        <v>82</v>
      </c>
      <c r="E615" s="138" t="s">
        <v>127</v>
      </c>
      <c r="F615" s="135" t="s">
        <v>620</v>
      </c>
      <c r="G615" s="274">
        <v>2</v>
      </c>
      <c r="H615" s="261">
        <v>37500</v>
      </c>
      <c r="I615" s="261">
        <v>75000</v>
      </c>
      <c r="J615" s="261">
        <v>0</v>
      </c>
      <c r="K615" s="261">
        <f t="shared" si="18"/>
        <v>75000</v>
      </c>
      <c r="L615" s="261">
        <v>6000</v>
      </c>
      <c r="M615" s="261">
        <f t="shared" si="19"/>
        <v>81000</v>
      </c>
      <c r="N615" s="137">
        <v>1.2699999999999999E-2</v>
      </c>
    </row>
    <row r="616" spans="1:14" ht="18" customHeight="1">
      <c r="A616" s="134">
        <v>8</v>
      </c>
      <c r="B616" s="135" t="s">
        <v>95</v>
      </c>
      <c r="C616" s="134">
        <v>315</v>
      </c>
      <c r="D616" s="138" t="s">
        <v>82</v>
      </c>
      <c r="E616" s="138" t="s">
        <v>694</v>
      </c>
      <c r="F616" s="135" t="s">
        <v>620</v>
      </c>
      <c r="G616" s="274">
        <v>1</v>
      </c>
      <c r="H616" s="261">
        <v>1852</v>
      </c>
      <c r="I616" s="261">
        <v>1852</v>
      </c>
      <c r="J616" s="261">
        <v>0</v>
      </c>
      <c r="K616" s="261">
        <f t="shared" si="18"/>
        <v>1852</v>
      </c>
      <c r="L616" s="261">
        <v>148</v>
      </c>
      <c r="M616" s="261">
        <f t="shared" si="19"/>
        <v>2000</v>
      </c>
      <c r="N616" s="137">
        <v>2.9999999999999997E-4</v>
      </c>
    </row>
    <row r="617" spans="1:14" ht="18" customHeight="1">
      <c r="A617" s="134">
        <v>8</v>
      </c>
      <c r="B617" s="135" t="s">
        <v>95</v>
      </c>
      <c r="C617" s="134">
        <v>33</v>
      </c>
      <c r="D617" s="138" t="s">
        <v>86</v>
      </c>
      <c r="E617" s="138" t="s">
        <v>673</v>
      </c>
      <c r="F617" s="135" t="s">
        <v>620</v>
      </c>
      <c r="G617" s="274">
        <v>3</v>
      </c>
      <c r="H617" s="261">
        <v>1852</v>
      </c>
      <c r="I617" s="261">
        <v>5556</v>
      </c>
      <c r="J617" s="261">
        <v>0</v>
      </c>
      <c r="K617" s="261">
        <f t="shared" si="18"/>
        <v>5556</v>
      </c>
      <c r="L617" s="261">
        <v>444</v>
      </c>
      <c r="M617" s="261">
        <f t="shared" si="19"/>
        <v>6000</v>
      </c>
      <c r="N617" s="137">
        <v>8.9999999999999998E-4</v>
      </c>
    </row>
    <row r="618" spans="1:14" ht="18" customHeight="1">
      <c r="A618" s="134">
        <v>8</v>
      </c>
      <c r="B618" s="135" t="s">
        <v>95</v>
      </c>
      <c r="C618" s="134">
        <v>39</v>
      </c>
      <c r="D618" s="138" t="s">
        <v>86</v>
      </c>
      <c r="E618" s="138" t="s">
        <v>697</v>
      </c>
      <c r="F618" s="135" t="s">
        <v>620</v>
      </c>
      <c r="G618" s="274">
        <v>1</v>
      </c>
      <c r="H618" s="261">
        <v>3333</v>
      </c>
      <c r="I618" s="261">
        <v>3333</v>
      </c>
      <c r="J618" s="261">
        <v>0</v>
      </c>
      <c r="K618" s="261">
        <f t="shared" si="18"/>
        <v>3333</v>
      </c>
      <c r="L618" s="261">
        <v>267</v>
      </c>
      <c r="M618" s="261">
        <f t="shared" si="19"/>
        <v>3600</v>
      </c>
      <c r="N618" s="137">
        <v>5.9999999999999995E-4</v>
      </c>
    </row>
    <row r="619" spans="1:14" ht="18" customHeight="1">
      <c r="A619" s="134">
        <v>8</v>
      </c>
      <c r="B619" s="135" t="s">
        <v>95</v>
      </c>
      <c r="C619" s="134">
        <v>1050</v>
      </c>
      <c r="D619" s="138" t="s">
        <v>86</v>
      </c>
      <c r="E619" s="138" t="s">
        <v>708</v>
      </c>
      <c r="F619" s="135" t="s">
        <v>620</v>
      </c>
      <c r="G619" s="274">
        <v>1</v>
      </c>
      <c r="H619" s="261">
        <v>3333</v>
      </c>
      <c r="I619" s="261">
        <v>3333</v>
      </c>
      <c r="J619" s="261">
        <v>0</v>
      </c>
      <c r="K619" s="261">
        <f t="shared" si="18"/>
        <v>3333</v>
      </c>
      <c r="L619" s="261">
        <v>267</v>
      </c>
      <c r="M619" s="261">
        <f t="shared" si="19"/>
        <v>3600</v>
      </c>
      <c r="N619" s="137">
        <v>5.9999999999999995E-4</v>
      </c>
    </row>
    <row r="620" spans="1:14" ht="18" customHeight="1">
      <c r="A620" s="134">
        <v>9</v>
      </c>
      <c r="B620" s="135" t="s">
        <v>97</v>
      </c>
      <c r="C620" s="134">
        <v>73</v>
      </c>
      <c r="D620" s="138" t="s">
        <v>86</v>
      </c>
      <c r="E620" s="138" t="s">
        <v>619</v>
      </c>
      <c r="F620" s="135" t="s">
        <v>620</v>
      </c>
      <c r="G620" s="274">
        <v>17</v>
      </c>
      <c r="H620" s="261">
        <v>2593</v>
      </c>
      <c r="I620" s="261">
        <v>44074</v>
      </c>
      <c r="J620" s="261">
        <v>0</v>
      </c>
      <c r="K620" s="261">
        <f t="shared" si="18"/>
        <v>44074</v>
      </c>
      <c r="L620" s="261">
        <v>3526</v>
      </c>
      <c r="M620" s="261">
        <f t="shared" si="19"/>
        <v>47600</v>
      </c>
      <c r="N620" s="137">
        <v>7.1999999999999998E-3</v>
      </c>
    </row>
    <row r="621" spans="1:14" ht="18" customHeight="1">
      <c r="A621" s="134">
        <v>9</v>
      </c>
      <c r="B621" s="135" t="s">
        <v>97</v>
      </c>
      <c r="C621" s="134">
        <v>12</v>
      </c>
      <c r="D621" s="138" t="s">
        <v>88</v>
      </c>
      <c r="E621" s="138" t="s">
        <v>623</v>
      </c>
      <c r="F621" s="135" t="s">
        <v>620</v>
      </c>
      <c r="G621" s="274">
        <v>1</v>
      </c>
      <c r="H621" s="261">
        <v>41667</v>
      </c>
      <c r="I621" s="261">
        <v>41667</v>
      </c>
      <c r="J621" s="261">
        <v>0</v>
      </c>
      <c r="K621" s="261">
        <f t="shared" si="18"/>
        <v>41667</v>
      </c>
      <c r="L621" s="261">
        <v>3333</v>
      </c>
      <c r="M621" s="261">
        <f t="shared" si="19"/>
        <v>45000</v>
      </c>
      <c r="N621" s="137">
        <v>6.7999999999999996E-3</v>
      </c>
    </row>
    <row r="622" spans="1:14" ht="18" customHeight="1">
      <c r="A622" s="134">
        <v>9</v>
      </c>
      <c r="B622" s="135" t="s">
        <v>97</v>
      </c>
      <c r="C622" s="134">
        <v>40</v>
      </c>
      <c r="D622" s="138" t="s">
        <v>82</v>
      </c>
      <c r="E622" s="138" t="s">
        <v>165</v>
      </c>
      <c r="F622" s="135" t="s">
        <v>620</v>
      </c>
      <c r="G622" s="274">
        <v>1</v>
      </c>
      <c r="H622" s="261">
        <v>55093</v>
      </c>
      <c r="I622" s="261">
        <v>55093</v>
      </c>
      <c r="J622" s="261">
        <v>0</v>
      </c>
      <c r="K622" s="261">
        <f t="shared" si="18"/>
        <v>55093</v>
      </c>
      <c r="L622" s="261">
        <v>4407</v>
      </c>
      <c r="M622" s="261">
        <f t="shared" si="19"/>
        <v>59500</v>
      </c>
      <c r="N622" s="137">
        <v>9.0000000000000011E-3</v>
      </c>
    </row>
    <row r="623" spans="1:14" ht="18" customHeight="1">
      <c r="A623" s="134">
        <v>9</v>
      </c>
      <c r="B623" s="135" t="s">
        <v>97</v>
      </c>
      <c r="C623" s="134">
        <v>104</v>
      </c>
      <c r="D623" s="138" t="s">
        <v>84</v>
      </c>
      <c r="E623" s="138" t="s">
        <v>157</v>
      </c>
      <c r="F623" s="135" t="s">
        <v>620</v>
      </c>
      <c r="G623" s="274">
        <v>8</v>
      </c>
      <c r="H623" s="261">
        <v>15741</v>
      </c>
      <c r="I623" s="261">
        <v>125926</v>
      </c>
      <c r="J623" s="261">
        <v>0</v>
      </c>
      <c r="K623" s="261">
        <f t="shared" si="18"/>
        <v>125926</v>
      </c>
      <c r="L623" s="261">
        <v>10074</v>
      </c>
      <c r="M623" s="261">
        <f t="shared" si="19"/>
        <v>136000</v>
      </c>
      <c r="N623" s="137">
        <v>2.0500000000000001E-2</v>
      </c>
    </row>
    <row r="624" spans="1:14" ht="18" customHeight="1">
      <c r="A624" s="134">
        <v>9</v>
      </c>
      <c r="B624" s="135" t="s">
        <v>97</v>
      </c>
      <c r="C624" s="134">
        <v>95</v>
      </c>
      <c r="D624" s="138" t="s">
        <v>82</v>
      </c>
      <c r="E624" s="138" t="s">
        <v>624</v>
      </c>
      <c r="F624" s="135" t="s">
        <v>620</v>
      </c>
      <c r="G624" s="274">
        <v>2</v>
      </c>
      <c r="H624" s="261">
        <v>926</v>
      </c>
      <c r="I624" s="261">
        <v>1852</v>
      </c>
      <c r="J624" s="261">
        <v>0</v>
      </c>
      <c r="K624" s="261">
        <f t="shared" si="18"/>
        <v>1852</v>
      </c>
      <c r="L624" s="261">
        <v>148</v>
      </c>
      <c r="M624" s="261">
        <f t="shared" si="19"/>
        <v>2000</v>
      </c>
      <c r="N624" s="137">
        <v>2.9999999999999997E-4</v>
      </c>
    </row>
    <row r="625" spans="1:14" ht="18" customHeight="1">
      <c r="A625" s="134">
        <v>9</v>
      </c>
      <c r="B625" s="135" t="s">
        <v>97</v>
      </c>
      <c r="C625" s="134">
        <v>54</v>
      </c>
      <c r="D625" s="138" t="s">
        <v>86</v>
      </c>
      <c r="E625" s="138" t="s">
        <v>678</v>
      </c>
      <c r="F625" s="135" t="s">
        <v>620</v>
      </c>
      <c r="G625" s="274">
        <v>2</v>
      </c>
      <c r="H625" s="261">
        <v>2315</v>
      </c>
      <c r="I625" s="261">
        <v>4630</v>
      </c>
      <c r="J625" s="261">
        <v>0</v>
      </c>
      <c r="K625" s="261">
        <f t="shared" si="18"/>
        <v>4630</v>
      </c>
      <c r="L625" s="261">
        <v>370</v>
      </c>
      <c r="M625" s="261">
        <f t="shared" si="19"/>
        <v>5000</v>
      </c>
      <c r="N625" s="137">
        <v>8.0000000000000004E-4</v>
      </c>
    </row>
    <row r="626" spans="1:14" ht="18" customHeight="1">
      <c r="A626" s="134">
        <v>9</v>
      </c>
      <c r="B626" s="135" t="s">
        <v>97</v>
      </c>
      <c r="C626" s="134">
        <v>5</v>
      </c>
      <c r="D626" s="138" t="s">
        <v>84</v>
      </c>
      <c r="E626" s="138" t="s">
        <v>679</v>
      </c>
      <c r="F626" s="135" t="s">
        <v>620</v>
      </c>
      <c r="G626" s="274">
        <v>2</v>
      </c>
      <c r="H626" s="261">
        <v>11111</v>
      </c>
      <c r="I626" s="261">
        <v>22222</v>
      </c>
      <c r="J626" s="261">
        <v>0</v>
      </c>
      <c r="K626" s="261">
        <f t="shared" si="18"/>
        <v>22222</v>
      </c>
      <c r="L626" s="261">
        <v>1778</v>
      </c>
      <c r="M626" s="261">
        <f t="shared" si="19"/>
        <v>24000</v>
      </c>
      <c r="N626" s="137">
        <v>3.5999999999999999E-3</v>
      </c>
    </row>
    <row r="627" spans="1:14" ht="18" customHeight="1">
      <c r="A627" s="134">
        <v>9</v>
      </c>
      <c r="B627" s="135" t="s">
        <v>97</v>
      </c>
      <c r="C627" s="134">
        <v>136</v>
      </c>
      <c r="D627" s="138" t="s">
        <v>84</v>
      </c>
      <c r="E627" s="138" t="s">
        <v>625</v>
      </c>
      <c r="F627" s="135" t="s">
        <v>620</v>
      </c>
      <c r="G627" s="274">
        <v>9</v>
      </c>
      <c r="H627" s="261">
        <v>24074</v>
      </c>
      <c r="I627" s="261">
        <v>216667</v>
      </c>
      <c r="J627" s="261">
        <v>0</v>
      </c>
      <c r="K627" s="261">
        <f t="shared" si="18"/>
        <v>216667</v>
      </c>
      <c r="L627" s="261">
        <v>17333</v>
      </c>
      <c r="M627" s="261">
        <f t="shared" si="19"/>
        <v>234000</v>
      </c>
      <c r="N627" s="137">
        <v>3.5299999999999998E-2</v>
      </c>
    </row>
    <row r="628" spans="1:14" ht="18" customHeight="1">
      <c r="A628" s="134">
        <v>9</v>
      </c>
      <c r="B628" s="135" t="s">
        <v>97</v>
      </c>
      <c r="C628" s="134">
        <v>6</v>
      </c>
      <c r="D628" s="138" t="s">
        <v>84</v>
      </c>
      <c r="E628" s="138" t="s">
        <v>680</v>
      </c>
      <c r="F628" s="135" t="s">
        <v>620</v>
      </c>
      <c r="G628" s="274">
        <v>4</v>
      </c>
      <c r="H628" s="261">
        <v>14815</v>
      </c>
      <c r="I628" s="261">
        <v>59259</v>
      </c>
      <c r="J628" s="261">
        <v>0</v>
      </c>
      <c r="K628" s="261">
        <f t="shared" si="18"/>
        <v>59259</v>
      </c>
      <c r="L628" s="261">
        <v>4741</v>
      </c>
      <c r="M628" s="261">
        <f t="shared" si="19"/>
        <v>64000</v>
      </c>
      <c r="N628" s="137">
        <v>9.7000000000000003E-3</v>
      </c>
    </row>
    <row r="629" spans="1:14" ht="18" customHeight="1">
      <c r="A629" s="134">
        <v>9</v>
      </c>
      <c r="B629" s="135" t="s">
        <v>97</v>
      </c>
      <c r="C629" s="134">
        <v>8</v>
      </c>
      <c r="D629" s="138" t="s">
        <v>82</v>
      </c>
      <c r="E629" s="138" t="s">
        <v>151</v>
      </c>
      <c r="F629" s="135" t="s">
        <v>620</v>
      </c>
      <c r="G629" s="274">
        <v>13</v>
      </c>
      <c r="H629" s="261">
        <v>18697</v>
      </c>
      <c r="I629" s="261">
        <v>244444</v>
      </c>
      <c r="J629" s="261">
        <v>1389</v>
      </c>
      <c r="K629" s="261">
        <f t="shared" si="18"/>
        <v>243055</v>
      </c>
      <c r="L629" s="261">
        <v>19444</v>
      </c>
      <c r="M629" s="261">
        <f t="shared" si="19"/>
        <v>262499</v>
      </c>
      <c r="N629" s="137">
        <v>3.9600000000000003E-2</v>
      </c>
    </row>
    <row r="630" spans="1:14" ht="18" customHeight="1">
      <c r="A630" s="134">
        <v>9</v>
      </c>
      <c r="B630" s="135" t="s">
        <v>97</v>
      </c>
      <c r="C630" s="134">
        <v>311</v>
      </c>
      <c r="D630" s="138" t="s">
        <v>88</v>
      </c>
      <c r="E630" s="138" t="s">
        <v>626</v>
      </c>
      <c r="F630" s="135" t="s">
        <v>620</v>
      </c>
      <c r="G630" s="274">
        <v>1</v>
      </c>
      <c r="H630" s="261">
        <v>44907</v>
      </c>
      <c r="I630" s="261">
        <v>44907</v>
      </c>
      <c r="J630" s="261">
        <v>0</v>
      </c>
      <c r="K630" s="261">
        <f t="shared" si="18"/>
        <v>44907</v>
      </c>
      <c r="L630" s="261">
        <v>3593</v>
      </c>
      <c r="M630" s="261">
        <f t="shared" si="19"/>
        <v>48500</v>
      </c>
      <c r="N630" s="137">
        <v>7.3000000000000001E-3</v>
      </c>
    </row>
    <row r="631" spans="1:14" ht="18" customHeight="1">
      <c r="A631" s="134">
        <v>9</v>
      </c>
      <c r="B631" s="135" t="s">
        <v>97</v>
      </c>
      <c r="C631" s="134">
        <v>87</v>
      </c>
      <c r="D631" s="138" t="s">
        <v>84</v>
      </c>
      <c r="E631" s="138" t="s">
        <v>139</v>
      </c>
      <c r="F631" s="135" t="s">
        <v>620</v>
      </c>
      <c r="G631" s="274">
        <v>5</v>
      </c>
      <c r="H631" s="261">
        <v>37500</v>
      </c>
      <c r="I631" s="261">
        <v>187500</v>
      </c>
      <c r="J631" s="261">
        <v>0</v>
      </c>
      <c r="K631" s="261">
        <f t="shared" si="18"/>
        <v>187500</v>
      </c>
      <c r="L631" s="261">
        <v>15000</v>
      </c>
      <c r="M631" s="261">
        <f t="shared" si="19"/>
        <v>202500</v>
      </c>
      <c r="N631" s="137">
        <v>3.0499999999999999E-2</v>
      </c>
    </row>
    <row r="632" spans="1:14" ht="18" customHeight="1">
      <c r="A632" s="134">
        <v>9</v>
      </c>
      <c r="B632" s="135" t="s">
        <v>97</v>
      </c>
      <c r="C632" s="134">
        <v>206</v>
      </c>
      <c r="D632" s="138" t="s">
        <v>88</v>
      </c>
      <c r="E632" s="138" t="s">
        <v>627</v>
      </c>
      <c r="F632" s="135" t="s">
        <v>620</v>
      </c>
      <c r="G632" s="274">
        <v>2</v>
      </c>
      <c r="H632" s="261">
        <v>44907</v>
      </c>
      <c r="I632" s="261">
        <v>89815</v>
      </c>
      <c r="J632" s="261">
        <v>0</v>
      </c>
      <c r="K632" s="261">
        <f t="shared" si="18"/>
        <v>89815</v>
      </c>
      <c r="L632" s="261">
        <v>7185</v>
      </c>
      <c r="M632" s="261">
        <f t="shared" si="19"/>
        <v>97000</v>
      </c>
      <c r="N632" s="137">
        <v>1.46E-2</v>
      </c>
    </row>
    <row r="633" spans="1:14" ht="18" customHeight="1">
      <c r="A633" s="134">
        <v>9</v>
      </c>
      <c r="B633" s="135" t="s">
        <v>97</v>
      </c>
      <c r="C633" s="134">
        <v>246</v>
      </c>
      <c r="D633" s="138" t="s">
        <v>86</v>
      </c>
      <c r="E633" s="138" t="s">
        <v>629</v>
      </c>
      <c r="F633" s="135" t="s">
        <v>620</v>
      </c>
      <c r="G633" s="274">
        <v>2</v>
      </c>
      <c r="H633" s="261">
        <v>6481</v>
      </c>
      <c r="I633" s="261">
        <v>12963</v>
      </c>
      <c r="J633" s="261">
        <v>0</v>
      </c>
      <c r="K633" s="261">
        <f t="shared" si="18"/>
        <v>12963</v>
      </c>
      <c r="L633" s="261">
        <v>1037</v>
      </c>
      <c r="M633" s="261">
        <f t="shared" si="19"/>
        <v>14000</v>
      </c>
      <c r="N633" s="137">
        <v>2.0999999999999999E-3</v>
      </c>
    </row>
    <row r="634" spans="1:14" ht="18" customHeight="1">
      <c r="A634" s="134">
        <v>9</v>
      </c>
      <c r="B634" s="135" t="s">
        <v>97</v>
      </c>
      <c r="C634" s="134">
        <v>70</v>
      </c>
      <c r="D634" s="138" t="s">
        <v>86</v>
      </c>
      <c r="E634" s="138" t="s">
        <v>630</v>
      </c>
      <c r="F634" s="135" t="s">
        <v>620</v>
      </c>
      <c r="G634" s="274">
        <v>4</v>
      </c>
      <c r="H634" s="261">
        <v>4630</v>
      </c>
      <c r="I634" s="261">
        <v>18519</v>
      </c>
      <c r="J634" s="261">
        <v>0</v>
      </c>
      <c r="K634" s="261">
        <f t="shared" si="18"/>
        <v>18519</v>
      </c>
      <c r="L634" s="261">
        <v>1481</v>
      </c>
      <c r="M634" s="261">
        <f t="shared" si="19"/>
        <v>20000</v>
      </c>
      <c r="N634" s="137">
        <v>3.0000000000000001E-3</v>
      </c>
    </row>
    <row r="635" spans="1:14" ht="18" customHeight="1">
      <c r="A635" s="134">
        <v>9</v>
      </c>
      <c r="B635" s="135" t="s">
        <v>97</v>
      </c>
      <c r="C635" s="134">
        <v>71</v>
      </c>
      <c r="D635" s="138" t="s">
        <v>86</v>
      </c>
      <c r="E635" s="138" t="s">
        <v>631</v>
      </c>
      <c r="F635" s="135" t="s">
        <v>620</v>
      </c>
      <c r="G635" s="274">
        <v>1</v>
      </c>
      <c r="H635" s="261">
        <v>5556</v>
      </c>
      <c r="I635" s="261">
        <v>5556</v>
      </c>
      <c r="J635" s="261">
        <v>0</v>
      </c>
      <c r="K635" s="261">
        <f t="shared" si="18"/>
        <v>5556</v>
      </c>
      <c r="L635" s="261">
        <v>444</v>
      </c>
      <c r="M635" s="261">
        <f t="shared" si="19"/>
        <v>6000</v>
      </c>
      <c r="N635" s="137">
        <v>8.9999999999999998E-4</v>
      </c>
    </row>
    <row r="636" spans="1:14" ht="18" customHeight="1">
      <c r="A636" s="134">
        <v>9</v>
      </c>
      <c r="B636" s="135" t="s">
        <v>97</v>
      </c>
      <c r="C636" s="134">
        <v>83</v>
      </c>
      <c r="D636" s="138" t="s">
        <v>82</v>
      </c>
      <c r="E636" s="138" t="s">
        <v>632</v>
      </c>
      <c r="F636" s="135" t="s">
        <v>620</v>
      </c>
      <c r="G636" s="274">
        <v>6</v>
      </c>
      <c r="H636" s="261">
        <v>20833</v>
      </c>
      <c r="I636" s="261">
        <v>125000</v>
      </c>
      <c r="J636" s="261">
        <v>0</v>
      </c>
      <c r="K636" s="261">
        <f t="shared" si="18"/>
        <v>125000</v>
      </c>
      <c r="L636" s="261">
        <v>10000</v>
      </c>
      <c r="M636" s="261">
        <f t="shared" si="19"/>
        <v>135000</v>
      </c>
      <c r="N636" s="137">
        <v>2.0400000000000001E-2</v>
      </c>
    </row>
    <row r="637" spans="1:14" ht="18" customHeight="1">
      <c r="A637" s="134">
        <v>9</v>
      </c>
      <c r="B637" s="135" t="s">
        <v>97</v>
      </c>
      <c r="C637" s="134">
        <v>43</v>
      </c>
      <c r="D637" s="138" t="s">
        <v>82</v>
      </c>
      <c r="E637" s="138" t="s">
        <v>633</v>
      </c>
      <c r="F637" s="135" t="s">
        <v>620</v>
      </c>
      <c r="G637" s="274">
        <v>1</v>
      </c>
      <c r="H637" s="261">
        <v>8333</v>
      </c>
      <c r="I637" s="261">
        <v>8333</v>
      </c>
      <c r="J637" s="261">
        <v>0</v>
      </c>
      <c r="K637" s="261">
        <f t="shared" si="18"/>
        <v>8333</v>
      </c>
      <c r="L637" s="261">
        <v>667</v>
      </c>
      <c r="M637" s="261">
        <f t="shared" si="19"/>
        <v>9000</v>
      </c>
      <c r="N637" s="137">
        <v>1.4E-3</v>
      </c>
    </row>
    <row r="638" spans="1:14" ht="18" customHeight="1">
      <c r="A638" s="134">
        <v>9</v>
      </c>
      <c r="B638" s="135" t="s">
        <v>97</v>
      </c>
      <c r="C638" s="134">
        <v>41</v>
      </c>
      <c r="D638" s="138" t="s">
        <v>82</v>
      </c>
      <c r="E638" s="138" t="s">
        <v>163</v>
      </c>
      <c r="F638" s="135" t="s">
        <v>620</v>
      </c>
      <c r="G638" s="274">
        <v>3</v>
      </c>
      <c r="H638" s="261">
        <v>49074</v>
      </c>
      <c r="I638" s="261">
        <v>147222</v>
      </c>
      <c r="J638" s="261">
        <v>0</v>
      </c>
      <c r="K638" s="261">
        <f t="shared" si="18"/>
        <v>147222</v>
      </c>
      <c r="L638" s="261">
        <v>11778</v>
      </c>
      <c r="M638" s="261">
        <f t="shared" si="19"/>
        <v>159000</v>
      </c>
      <c r="N638" s="137">
        <v>2.4E-2</v>
      </c>
    </row>
    <row r="639" spans="1:14" ht="18" customHeight="1">
      <c r="A639" s="134">
        <v>9</v>
      </c>
      <c r="B639" s="135" t="s">
        <v>97</v>
      </c>
      <c r="C639" s="134">
        <v>122</v>
      </c>
      <c r="D639" s="138" t="s">
        <v>86</v>
      </c>
      <c r="E639" s="138" t="s">
        <v>634</v>
      </c>
      <c r="F639" s="135" t="s">
        <v>620</v>
      </c>
      <c r="G639" s="274">
        <v>2</v>
      </c>
      <c r="H639" s="261">
        <v>2698</v>
      </c>
      <c r="I639" s="261">
        <v>5556</v>
      </c>
      <c r="J639" s="261">
        <v>159</v>
      </c>
      <c r="K639" s="261">
        <f t="shared" si="18"/>
        <v>5397</v>
      </c>
      <c r="L639" s="261">
        <v>432</v>
      </c>
      <c r="M639" s="261">
        <f t="shared" si="19"/>
        <v>5829</v>
      </c>
      <c r="N639" s="137">
        <v>8.9999999999999998E-4</v>
      </c>
    </row>
    <row r="640" spans="1:14" ht="18" customHeight="1">
      <c r="A640" s="134">
        <v>9</v>
      </c>
      <c r="B640" s="135" t="s">
        <v>97</v>
      </c>
      <c r="C640" s="134">
        <v>247</v>
      </c>
      <c r="D640" s="138" t="s">
        <v>82</v>
      </c>
      <c r="E640" s="138" t="s">
        <v>700</v>
      </c>
      <c r="F640" s="135" t="s">
        <v>620</v>
      </c>
      <c r="G640" s="274">
        <v>2</v>
      </c>
      <c r="H640" s="261">
        <v>3056</v>
      </c>
      <c r="I640" s="261">
        <v>6111</v>
      </c>
      <c r="J640" s="261">
        <v>0</v>
      </c>
      <c r="K640" s="261">
        <f t="shared" si="18"/>
        <v>6111</v>
      </c>
      <c r="L640" s="261">
        <v>489</v>
      </c>
      <c r="M640" s="261">
        <f t="shared" si="19"/>
        <v>6600</v>
      </c>
      <c r="N640" s="137">
        <v>1E-3</v>
      </c>
    </row>
    <row r="641" spans="1:14" ht="18" customHeight="1">
      <c r="A641" s="134">
        <v>9</v>
      </c>
      <c r="B641" s="135" t="s">
        <v>97</v>
      </c>
      <c r="C641" s="134">
        <v>42</v>
      </c>
      <c r="D641" s="138" t="s">
        <v>82</v>
      </c>
      <c r="E641" s="138" t="s">
        <v>354</v>
      </c>
      <c r="F641" s="135" t="s">
        <v>620</v>
      </c>
      <c r="G641" s="274">
        <v>1</v>
      </c>
      <c r="H641" s="261">
        <v>32407</v>
      </c>
      <c r="I641" s="261">
        <v>32407</v>
      </c>
      <c r="J641" s="261">
        <v>0</v>
      </c>
      <c r="K641" s="261">
        <f t="shared" si="18"/>
        <v>32407</v>
      </c>
      <c r="L641" s="261">
        <v>2593</v>
      </c>
      <c r="M641" s="261">
        <f t="shared" si="19"/>
        <v>35000</v>
      </c>
      <c r="N641" s="137">
        <v>5.3E-3</v>
      </c>
    </row>
    <row r="642" spans="1:14" ht="18" customHeight="1">
      <c r="A642" s="134">
        <v>9</v>
      </c>
      <c r="B642" s="135" t="s">
        <v>97</v>
      </c>
      <c r="C642" s="134">
        <v>44</v>
      </c>
      <c r="D642" s="138" t="s">
        <v>82</v>
      </c>
      <c r="E642" s="138" t="s">
        <v>133</v>
      </c>
      <c r="F642" s="135" t="s">
        <v>620</v>
      </c>
      <c r="G642" s="274">
        <v>3</v>
      </c>
      <c r="H642" s="261">
        <v>28241</v>
      </c>
      <c r="I642" s="261">
        <v>84722</v>
      </c>
      <c r="J642" s="261">
        <v>0</v>
      </c>
      <c r="K642" s="261">
        <f t="shared" ref="K642:K705" si="20">I642-J642</f>
        <v>84722</v>
      </c>
      <c r="L642" s="261">
        <v>6778</v>
      </c>
      <c r="M642" s="261">
        <f t="shared" ref="M642:M705" si="21">K642+L642</f>
        <v>91500</v>
      </c>
      <c r="N642" s="137">
        <v>1.38E-2</v>
      </c>
    </row>
    <row r="643" spans="1:14" ht="18" customHeight="1">
      <c r="A643" s="134">
        <v>9</v>
      </c>
      <c r="B643" s="135" t="s">
        <v>97</v>
      </c>
      <c r="C643" s="134">
        <v>110</v>
      </c>
      <c r="D643" s="138" t="s">
        <v>94</v>
      </c>
      <c r="E643" s="138" t="s">
        <v>635</v>
      </c>
      <c r="F643" s="135" t="s">
        <v>620</v>
      </c>
      <c r="G643" s="274">
        <v>24</v>
      </c>
      <c r="H643" s="261">
        <v>922</v>
      </c>
      <c r="I643" s="261">
        <v>22222</v>
      </c>
      <c r="J643" s="261">
        <v>106</v>
      </c>
      <c r="K643" s="261">
        <f t="shared" si="20"/>
        <v>22116</v>
      </c>
      <c r="L643" s="261">
        <v>1769</v>
      </c>
      <c r="M643" s="261">
        <f t="shared" si="21"/>
        <v>23885</v>
      </c>
      <c r="N643" s="137">
        <v>3.5999999999999999E-3</v>
      </c>
    </row>
    <row r="644" spans="1:14" ht="18" customHeight="1">
      <c r="A644" s="134">
        <v>9</v>
      </c>
      <c r="B644" s="135" t="s">
        <v>97</v>
      </c>
      <c r="C644" s="134">
        <v>102</v>
      </c>
      <c r="D644" s="138" t="s">
        <v>82</v>
      </c>
      <c r="E644" s="138" t="s">
        <v>684</v>
      </c>
      <c r="F644" s="135" t="s">
        <v>620</v>
      </c>
      <c r="G644" s="274">
        <v>2</v>
      </c>
      <c r="H644" s="261">
        <v>6944</v>
      </c>
      <c r="I644" s="261">
        <v>13889</v>
      </c>
      <c r="J644" s="261">
        <v>0</v>
      </c>
      <c r="K644" s="261">
        <f t="shared" si="20"/>
        <v>13889</v>
      </c>
      <c r="L644" s="261">
        <v>1111</v>
      </c>
      <c r="M644" s="261">
        <f t="shared" si="21"/>
        <v>15000</v>
      </c>
      <c r="N644" s="137">
        <v>2.3E-3</v>
      </c>
    </row>
    <row r="645" spans="1:14" ht="18" customHeight="1">
      <c r="A645" s="134">
        <v>9</v>
      </c>
      <c r="B645" s="135" t="s">
        <v>97</v>
      </c>
      <c r="C645" s="134">
        <v>26</v>
      </c>
      <c r="D645" s="138" t="s">
        <v>82</v>
      </c>
      <c r="E645" s="138" t="s">
        <v>702</v>
      </c>
      <c r="F645" s="135" t="s">
        <v>620</v>
      </c>
      <c r="G645" s="274">
        <v>2</v>
      </c>
      <c r="H645" s="261">
        <v>18519</v>
      </c>
      <c r="I645" s="261">
        <v>37037</v>
      </c>
      <c r="J645" s="261">
        <v>0</v>
      </c>
      <c r="K645" s="261">
        <f t="shared" si="20"/>
        <v>37037</v>
      </c>
      <c r="L645" s="261">
        <v>2963</v>
      </c>
      <c r="M645" s="261">
        <f t="shared" si="21"/>
        <v>40000</v>
      </c>
      <c r="N645" s="137">
        <v>6.0000000000000001E-3</v>
      </c>
    </row>
    <row r="646" spans="1:14" ht="18" customHeight="1">
      <c r="A646" s="134">
        <v>9</v>
      </c>
      <c r="B646" s="135" t="s">
        <v>97</v>
      </c>
      <c r="C646" s="134">
        <v>45</v>
      </c>
      <c r="D646" s="138" t="s">
        <v>82</v>
      </c>
      <c r="E646" s="138" t="s">
        <v>636</v>
      </c>
      <c r="F646" s="135" t="s">
        <v>620</v>
      </c>
      <c r="G646" s="274">
        <v>7</v>
      </c>
      <c r="H646" s="261">
        <v>35648</v>
      </c>
      <c r="I646" s="261">
        <v>249537</v>
      </c>
      <c r="J646" s="261">
        <v>0</v>
      </c>
      <c r="K646" s="261">
        <f t="shared" si="20"/>
        <v>249537</v>
      </c>
      <c r="L646" s="261">
        <v>19963</v>
      </c>
      <c r="M646" s="261">
        <f t="shared" si="21"/>
        <v>269500</v>
      </c>
      <c r="N646" s="137">
        <v>4.0599999999999997E-2</v>
      </c>
    </row>
    <row r="647" spans="1:14" ht="18" customHeight="1">
      <c r="A647" s="134">
        <v>9</v>
      </c>
      <c r="B647" s="135" t="s">
        <v>97</v>
      </c>
      <c r="C647" s="134">
        <v>30</v>
      </c>
      <c r="D647" s="138" t="s">
        <v>90</v>
      </c>
      <c r="E647" s="138" t="s">
        <v>637</v>
      </c>
      <c r="F647" s="135" t="s">
        <v>620</v>
      </c>
      <c r="G647" s="274">
        <v>1</v>
      </c>
      <c r="H647" s="261">
        <v>6481</v>
      </c>
      <c r="I647" s="261">
        <v>6481</v>
      </c>
      <c r="J647" s="261">
        <v>0</v>
      </c>
      <c r="K647" s="261">
        <f t="shared" si="20"/>
        <v>6481</v>
      </c>
      <c r="L647" s="261">
        <v>519</v>
      </c>
      <c r="M647" s="261">
        <f t="shared" si="21"/>
        <v>7000</v>
      </c>
      <c r="N647" s="137">
        <v>1.1000000000000001E-3</v>
      </c>
    </row>
    <row r="648" spans="1:14" ht="18" customHeight="1">
      <c r="A648" s="134">
        <v>9</v>
      </c>
      <c r="B648" s="135" t="s">
        <v>97</v>
      </c>
      <c r="C648" s="134">
        <v>94</v>
      </c>
      <c r="D648" s="138" t="s">
        <v>84</v>
      </c>
      <c r="E648" s="138" t="s">
        <v>145</v>
      </c>
      <c r="F648" s="135" t="s">
        <v>620</v>
      </c>
      <c r="G648" s="274">
        <v>10</v>
      </c>
      <c r="H648" s="261">
        <v>18611</v>
      </c>
      <c r="I648" s="261">
        <v>186111</v>
      </c>
      <c r="J648" s="261">
        <v>0</v>
      </c>
      <c r="K648" s="261">
        <f t="shared" si="20"/>
        <v>186111</v>
      </c>
      <c r="L648" s="261">
        <v>14889</v>
      </c>
      <c r="M648" s="261">
        <f t="shared" si="21"/>
        <v>201000</v>
      </c>
      <c r="N648" s="137">
        <v>3.0300000000000001E-2</v>
      </c>
    </row>
    <row r="649" spans="1:14" ht="18" customHeight="1">
      <c r="A649" s="134">
        <v>9</v>
      </c>
      <c r="B649" s="135" t="s">
        <v>97</v>
      </c>
      <c r="C649" s="134">
        <v>233</v>
      </c>
      <c r="D649" s="138" t="s">
        <v>84</v>
      </c>
      <c r="E649" s="138" t="s">
        <v>112</v>
      </c>
      <c r="F649" s="135" t="s">
        <v>620</v>
      </c>
      <c r="G649" s="274">
        <v>48</v>
      </c>
      <c r="H649" s="261">
        <v>18455</v>
      </c>
      <c r="I649" s="261">
        <v>891667</v>
      </c>
      <c r="J649" s="261">
        <v>5820</v>
      </c>
      <c r="K649" s="261">
        <f t="shared" si="20"/>
        <v>885847</v>
      </c>
      <c r="L649" s="261">
        <v>70868</v>
      </c>
      <c r="M649" s="261">
        <f t="shared" si="21"/>
        <v>956715</v>
      </c>
      <c r="N649" s="137">
        <v>0.14430000000000001</v>
      </c>
    </row>
    <row r="650" spans="1:14" ht="18" customHeight="1">
      <c r="A650" s="134">
        <v>9</v>
      </c>
      <c r="B650" s="135" t="s">
        <v>97</v>
      </c>
      <c r="C650" s="134">
        <v>217</v>
      </c>
      <c r="D650" s="138" t="s">
        <v>84</v>
      </c>
      <c r="E650" s="138" t="s">
        <v>639</v>
      </c>
      <c r="F650" s="135" t="s">
        <v>620</v>
      </c>
      <c r="G650" s="274">
        <v>1</v>
      </c>
      <c r="H650" s="261">
        <v>27778</v>
      </c>
      <c r="I650" s="261">
        <v>27778</v>
      </c>
      <c r="J650" s="261">
        <v>0</v>
      </c>
      <c r="K650" s="261">
        <f t="shared" si="20"/>
        <v>27778</v>
      </c>
      <c r="L650" s="261">
        <v>2222</v>
      </c>
      <c r="M650" s="261">
        <f t="shared" si="21"/>
        <v>30000</v>
      </c>
      <c r="N650" s="137">
        <v>4.5000000000000014E-3</v>
      </c>
    </row>
    <row r="651" spans="1:14" ht="18" customHeight="1">
      <c r="A651" s="134">
        <v>9</v>
      </c>
      <c r="B651" s="135" t="s">
        <v>97</v>
      </c>
      <c r="C651" s="134">
        <v>218</v>
      </c>
      <c r="D651" s="138" t="s">
        <v>84</v>
      </c>
      <c r="E651" s="138" t="s">
        <v>640</v>
      </c>
      <c r="F651" s="135" t="s">
        <v>620</v>
      </c>
      <c r="G651" s="274">
        <v>9</v>
      </c>
      <c r="H651" s="261">
        <v>18401</v>
      </c>
      <c r="I651" s="261">
        <v>166667</v>
      </c>
      <c r="J651" s="261">
        <v>1058</v>
      </c>
      <c r="K651" s="261">
        <f t="shared" si="20"/>
        <v>165609</v>
      </c>
      <c r="L651" s="261">
        <v>13249</v>
      </c>
      <c r="M651" s="261">
        <f t="shared" si="21"/>
        <v>178858</v>
      </c>
      <c r="N651" s="137">
        <v>2.7E-2</v>
      </c>
    </row>
    <row r="652" spans="1:14" ht="18" customHeight="1">
      <c r="A652" s="134">
        <v>9</v>
      </c>
      <c r="B652" s="135" t="s">
        <v>97</v>
      </c>
      <c r="C652" s="134">
        <v>34</v>
      </c>
      <c r="D652" s="138" t="s">
        <v>86</v>
      </c>
      <c r="E652" s="138" t="s">
        <v>641</v>
      </c>
      <c r="F652" s="135" t="s">
        <v>620</v>
      </c>
      <c r="G652" s="274">
        <v>2</v>
      </c>
      <c r="H652" s="261">
        <v>6481</v>
      </c>
      <c r="I652" s="261">
        <v>12963</v>
      </c>
      <c r="J652" s="261">
        <v>0</v>
      </c>
      <c r="K652" s="261">
        <f t="shared" si="20"/>
        <v>12963</v>
      </c>
      <c r="L652" s="261">
        <v>1037</v>
      </c>
      <c r="M652" s="261">
        <f t="shared" si="21"/>
        <v>14000</v>
      </c>
      <c r="N652" s="137">
        <v>2.0999999999999999E-3</v>
      </c>
    </row>
    <row r="653" spans="1:14" ht="18" customHeight="1">
      <c r="A653" s="134">
        <v>9</v>
      </c>
      <c r="B653" s="135" t="s">
        <v>97</v>
      </c>
      <c r="C653" s="134">
        <v>121</v>
      </c>
      <c r="D653" s="138" t="s">
        <v>86</v>
      </c>
      <c r="E653" s="138" t="s">
        <v>642</v>
      </c>
      <c r="F653" s="135" t="s">
        <v>620</v>
      </c>
      <c r="G653" s="274">
        <v>3</v>
      </c>
      <c r="H653" s="261">
        <v>2778</v>
      </c>
      <c r="I653" s="261">
        <v>8333</v>
      </c>
      <c r="J653" s="261">
        <v>0</v>
      </c>
      <c r="K653" s="261">
        <f t="shared" si="20"/>
        <v>8333</v>
      </c>
      <c r="L653" s="261">
        <v>667</v>
      </c>
      <c r="M653" s="261">
        <f t="shared" si="21"/>
        <v>9000</v>
      </c>
      <c r="N653" s="137">
        <v>1.4E-3</v>
      </c>
    </row>
    <row r="654" spans="1:14" ht="18" customHeight="1">
      <c r="A654" s="134">
        <v>9</v>
      </c>
      <c r="B654" s="135" t="s">
        <v>97</v>
      </c>
      <c r="C654" s="134">
        <v>208</v>
      </c>
      <c r="D654" s="138" t="s">
        <v>86</v>
      </c>
      <c r="E654" s="138" t="s">
        <v>643</v>
      </c>
      <c r="F654" s="135" t="s">
        <v>620</v>
      </c>
      <c r="G654" s="274">
        <v>15</v>
      </c>
      <c r="H654" s="261">
        <v>3704</v>
      </c>
      <c r="I654" s="261">
        <v>55556</v>
      </c>
      <c r="J654" s="261">
        <v>0</v>
      </c>
      <c r="K654" s="261">
        <f t="shared" si="20"/>
        <v>55556</v>
      </c>
      <c r="L654" s="261">
        <v>4444</v>
      </c>
      <c r="M654" s="261">
        <f t="shared" si="21"/>
        <v>60000</v>
      </c>
      <c r="N654" s="137">
        <v>9.0000000000000011E-3</v>
      </c>
    </row>
    <row r="655" spans="1:14" ht="18" customHeight="1">
      <c r="A655" s="134">
        <v>9</v>
      </c>
      <c r="B655" s="135" t="s">
        <v>97</v>
      </c>
      <c r="C655" s="134">
        <v>90</v>
      </c>
      <c r="D655" s="138" t="s">
        <v>86</v>
      </c>
      <c r="E655" s="138" t="s">
        <v>439</v>
      </c>
      <c r="F655" s="135" t="s">
        <v>620</v>
      </c>
      <c r="G655" s="274">
        <v>2</v>
      </c>
      <c r="H655" s="261">
        <v>4259</v>
      </c>
      <c r="I655" s="261">
        <v>8519</v>
      </c>
      <c r="J655" s="261">
        <v>0</v>
      </c>
      <c r="K655" s="261">
        <f t="shared" si="20"/>
        <v>8519</v>
      </c>
      <c r="L655" s="261">
        <v>681</v>
      </c>
      <c r="M655" s="261">
        <f t="shared" si="21"/>
        <v>9200</v>
      </c>
      <c r="N655" s="137">
        <v>1.4E-3</v>
      </c>
    </row>
    <row r="656" spans="1:14" ht="18" customHeight="1">
      <c r="A656" s="134">
        <v>9</v>
      </c>
      <c r="B656" s="135" t="s">
        <v>97</v>
      </c>
      <c r="C656" s="134">
        <v>209</v>
      </c>
      <c r="D656" s="138" t="s">
        <v>82</v>
      </c>
      <c r="E656" s="138" t="s">
        <v>742</v>
      </c>
      <c r="F656" s="135" t="s">
        <v>620</v>
      </c>
      <c r="G656" s="274">
        <v>33</v>
      </c>
      <c r="H656" s="261">
        <v>18687</v>
      </c>
      <c r="I656" s="261">
        <v>619444</v>
      </c>
      <c r="J656" s="261">
        <v>2778</v>
      </c>
      <c r="K656" s="261">
        <f t="shared" si="20"/>
        <v>616666</v>
      </c>
      <c r="L656" s="261">
        <v>49333</v>
      </c>
      <c r="M656" s="261">
        <f t="shared" si="21"/>
        <v>665999</v>
      </c>
      <c r="N656" s="137">
        <v>0.10050000000000001</v>
      </c>
    </row>
    <row r="657" spans="1:14" ht="18" customHeight="1">
      <c r="A657" s="134">
        <v>9</v>
      </c>
      <c r="B657" s="135" t="s">
        <v>97</v>
      </c>
      <c r="C657" s="134">
        <v>314</v>
      </c>
      <c r="D657" s="138" t="s">
        <v>82</v>
      </c>
      <c r="E657" s="138" t="s">
        <v>685</v>
      </c>
      <c r="F657" s="135" t="s">
        <v>620</v>
      </c>
      <c r="G657" s="274">
        <v>2</v>
      </c>
      <c r="H657" s="261">
        <v>4167</v>
      </c>
      <c r="I657" s="261">
        <v>8333</v>
      </c>
      <c r="J657" s="261">
        <v>0</v>
      </c>
      <c r="K657" s="261">
        <f t="shared" si="20"/>
        <v>8333</v>
      </c>
      <c r="L657" s="261">
        <v>667</v>
      </c>
      <c r="M657" s="261">
        <f t="shared" si="21"/>
        <v>9000</v>
      </c>
      <c r="N657" s="137">
        <v>1.4E-3</v>
      </c>
    </row>
    <row r="658" spans="1:14" ht="18" customHeight="1">
      <c r="A658" s="134">
        <v>9</v>
      </c>
      <c r="B658" s="135" t="s">
        <v>97</v>
      </c>
      <c r="C658" s="134">
        <v>31</v>
      </c>
      <c r="D658" s="138" t="s">
        <v>90</v>
      </c>
      <c r="E658" s="138" t="s">
        <v>645</v>
      </c>
      <c r="F658" s="135" t="s">
        <v>620</v>
      </c>
      <c r="G658" s="274">
        <v>11</v>
      </c>
      <c r="H658" s="261">
        <v>1204</v>
      </c>
      <c r="I658" s="261">
        <v>13241</v>
      </c>
      <c r="J658" s="261">
        <v>0</v>
      </c>
      <c r="K658" s="261">
        <f t="shared" si="20"/>
        <v>13241</v>
      </c>
      <c r="L658" s="261">
        <v>1059</v>
      </c>
      <c r="M658" s="261">
        <f t="shared" si="21"/>
        <v>14300</v>
      </c>
      <c r="N658" s="137">
        <v>2.2000000000000001E-3</v>
      </c>
    </row>
    <row r="659" spans="1:14" ht="18" customHeight="1">
      <c r="A659" s="134">
        <v>9</v>
      </c>
      <c r="B659" s="135" t="s">
        <v>97</v>
      </c>
      <c r="C659" s="134">
        <v>212</v>
      </c>
      <c r="D659" s="138" t="s">
        <v>86</v>
      </c>
      <c r="E659" s="138" t="s">
        <v>160</v>
      </c>
      <c r="F659" s="135" t="s">
        <v>620</v>
      </c>
      <c r="G659" s="274">
        <v>2</v>
      </c>
      <c r="H659" s="261">
        <v>22222</v>
      </c>
      <c r="I659" s="261">
        <v>44444</v>
      </c>
      <c r="J659" s="261">
        <v>0</v>
      </c>
      <c r="K659" s="261">
        <f t="shared" si="20"/>
        <v>44444</v>
      </c>
      <c r="L659" s="261">
        <v>3556</v>
      </c>
      <c r="M659" s="261">
        <f t="shared" si="21"/>
        <v>48000</v>
      </c>
      <c r="N659" s="137">
        <v>7.1999999999999998E-3</v>
      </c>
    </row>
    <row r="660" spans="1:14" ht="18" customHeight="1">
      <c r="A660" s="134">
        <v>9</v>
      </c>
      <c r="B660" s="135" t="s">
        <v>97</v>
      </c>
      <c r="C660" s="134">
        <v>74</v>
      </c>
      <c r="D660" s="138" t="s">
        <v>86</v>
      </c>
      <c r="E660" s="138" t="s">
        <v>686</v>
      </c>
      <c r="F660" s="135" t="s">
        <v>620</v>
      </c>
      <c r="G660" s="274">
        <v>3</v>
      </c>
      <c r="H660" s="261">
        <v>6481</v>
      </c>
      <c r="I660" s="261">
        <v>19444</v>
      </c>
      <c r="J660" s="261">
        <v>0</v>
      </c>
      <c r="K660" s="261">
        <f t="shared" si="20"/>
        <v>19444</v>
      </c>
      <c r="L660" s="261">
        <v>1556</v>
      </c>
      <c r="M660" s="261">
        <f t="shared" si="21"/>
        <v>21000</v>
      </c>
      <c r="N660" s="137">
        <v>3.2000000000000002E-3</v>
      </c>
    </row>
    <row r="661" spans="1:14" ht="18" customHeight="1">
      <c r="A661" s="134">
        <v>9</v>
      </c>
      <c r="B661" s="135" t="s">
        <v>97</v>
      </c>
      <c r="C661" s="134">
        <v>235</v>
      </c>
      <c r="D661" s="138" t="s">
        <v>86</v>
      </c>
      <c r="E661" s="138" t="s">
        <v>687</v>
      </c>
      <c r="F661" s="135" t="s">
        <v>620</v>
      </c>
      <c r="G661" s="274">
        <v>3</v>
      </c>
      <c r="H661" s="261">
        <v>3426</v>
      </c>
      <c r="I661" s="261">
        <v>10278</v>
      </c>
      <c r="J661" s="261">
        <v>0</v>
      </c>
      <c r="K661" s="261">
        <f t="shared" si="20"/>
        <v>10278</v>
      </c>
      <c r="L661" s="261">
        <v>822</v>
      </c>
      <c r="M661" s="261">
        <f t="shared" si="21"/>
        <v>11100</v>
      </c>
      <c r="N661" s="137">
        <v>1.6999999999999999E-3</v>
      </c>
    </row>
    <row r="662" spans="1:14" ht="18" customHeight="1">
      <c r="A662" s="134">
        <v>9</v>
      </c>
      <c r="B662" s="135" t="s">
        <v>97</v>
      </c>
      <c r="C662" s="134">
        <v>75</v>
      </c>
      <c r="D662" s="138" t="s">
        <v>86</v>
      </c>
      <c r="E662" s="138" t="s">
        <v>647</v>
      </c>
      <c r="F662" s="135" t="s">
        <v>620</v>
      </c>
      <c r="G662" s="274">
        <v>5</v>
      </c>
      <c r="H662" s="261">
        <v>9259</v>
      </c>
      <c r="I662" s="261">
        <v>46296</v>
      </c>
      <c r="J662" s="261">
        <v>0</v>
      </c>
      <c r="K662" s="261">
        <f t="shared" si="20"/>
        <v>46296</v>
      </c>
      <c r="L662" s="261">
        <v>3704</v>
      </c>
      <c r="M662" s="261">
        <f t="shared" si="21"/>
        <v>50000</v>
      </c>
      <c r="N662" s="137">
        <v>7.4999999999999997E-3</v>
      </c>
    </row>
    <row r="663" spans="1:14" ht="18" customHeight="1">
      <c r="A663" s="134">
        <v>9</v>
      </c>
      <c r="B663" s="135" t="s">
        <v>97</v>
      </c>
      <c r="C663" s="134">
        <v>118</v>
      </c>
      <c r="D663" s="138" t="s">
        <v>82</v>
      </c>
      <c r="E663" s="138" t="s">
        <v>121</v>
      </c>
      <c r="F663" s="135" t="s">
        <v>620</v>
      </c>
      <c r="G663" s="274">
        <v>3</v>
      </c>
      <c r="H663" s="261">
        <v>41667</v>
      </c>
      <c r="I663" s="261">
        <v>125000</v>
      </c>
      <c r="J663" s="261">
        <v>0</v>
      </c>
      <c r="K663" s="261">
        <f t="shared" si="20"/>
        <v>125000</v>
      </c>
      <c r="L663" s="261">
        <v>10000</v>
      </c>
      <c r="M663" s="261">
        <f t="shared" si="21"/>
        <v>135000</v>
      </c>
      <c r="N663" s="137">
        <v>2.0400000000000001E-2</v>
      </c>
    </row>
    <row r="664" spans="1:14" ht="18" customHeight="1">
      <c r="A664" s="134">
        <v>9</v>
      </c>
      <c r="B664" s="135" t="s">
        <v>97</v>
      </c>
      <c r="C664" s="134">
        <v>205</v>
      </c>
      <c r="D664" s="138" t="s">
        <v>86</v>
      </c>
      <c r="E664" s="138" t="s">
        <v>688</v>
      </c>
      <c r="F664" s="135" t="s">
        <v>620</v>
      </c>
      <c r="G664" s="274">
        <v>1</v>
      </c>
      <c r="H664" s="261">
        <v>12037</v>
      </c>
      <c r="I664" s="261">
        <v>12037</v>
      </c>
      <c r="J664" s="261">
        <v>0</v>
      </c>
      <c r="K664" s="261">
        <f t="shared" si="20"/>
        <v>12037</v>
      </c>
      <c r="L664" s="261">
        <v>963</v>
      </c>
      <c r="M664" s="261">
        <f t="shared" si="21"/>
        <v>13000</v>
      </c>
      <c r="N664" s="137">
        <v>2E-3</v>
      </c>
    </row>
    <row r="665" spans="1:14" ht="18" customHeight="1">
      <c r="A665" s="134">
        <v>9</v>
      </c>
      <c r="B665" s="135" t="s">
        <v>97</v>
      </c>
      <c r="C665" s="134">
        <v>109</v>
      </c>
      <c r="D665" s="138" t="s">
        <v>86</v>
      </c>
      <c r="E665" s="138" t="s">
        <v>142</v>
      </c>
      <c r="F665" s="135" t="s">
        <v>620</v>
      </c>
      <c r="G665" s="274">
        <v>5</v>
      </c>
      <c r="H665" s="261">
        <v>12963</v>
      </c>
      <c r="I665" s="261">
        <v>64815</v>
      </c>
      <c r="J665" s="261">
        <v>0</v>
      </c>
      <c r="K665" s="261">
        <f t="shared" si="20"/>
        <v>64815</v>
      </c>
      <c r="L665" s="261">
        <v>5185</v>
      </c>
      <c r="M665" s="261">
        <f t="shared" si="21"/>
        <v>70000</v>
      </c>
      <c r="N665" s="137">
        <v>1.06E-2</v>
      </c>
    </row>
    <row r="666" spans="1:14" ht="18" customHeight="1">
      <c r="A666" s="134">
        <v>9</v>
      </c>
      <c r="B666" s="135" t="s">
        <v>97</v>
      </c>
      <c r="C666" s="134">
        <v>147</v>
      </c>
      <c r="D666" s="138" t="s">
        <v>86</v>
      </c>
      <c r="E666" s="138" t="s">
        <v>649</v>
      </c>
      <c r="F666" s="135" t="s">
        <v>620</v>
      </c>
      <c r="G666" s="274">
        <v>2</v>
      </c>
      <c r="H666" s="261">
        <v>6481</v>
      </c>
      <c r="I666" s="261">
        <v>12963</v>
      </c>
      <c r="J666" s="261">
        <v>0</v>
      </c>
      <c r="K666" s="261">
        <f t="shared" si="20"/>
        <v>12963</v>
      </c>
      <c r="L666" s="261">
        <v>1037</v>
      </c>
      <c r="M666" s="261">
        <f t="shared" si="21"/>
        <v>14000</v>
      </c>
      <c r="N666" s="137">
        <v>2.0999999999999999E-3</v>
      </c>
    </row>
    <row r="667" spans="1:14" ht="18" customHeight="1">
      <c r="A667" s="134">
        <v>9</v>
      </c>
      <c r="B667" s="135" t="s">
        <v>97</v>
      </c>
      <c r="C667" s="134">
        <v>46</v>
      </c>
      <c r="D667" s="138" t="s">
        <v>82</v>
      </c>
      <c r="E667" s="138" t="s">
        <v>650</v>
      </c>
      <c r="F667" s="135" t="s">
        <v>620</v>
      </c>
      <c r="G667" s="274">
        <v>1</v>
      </c>
      <c r="H667" s="261">
        <v>35648</v>
      </c>
      <c r="I667" s="261">
        <v>35648</v>
      </c>
      <c r="J667" s="261">
        <v>0</v>
      </c>
      <c r="K667" s="261">
        <f t="shared" si="20"/>
        <v>35648</v>
      </c>
      <c r="L667" s="261">
        <v>2852</v>
      </c>
      <c r="M667" s="261">
        <f t="shared" si="21"/>
        <v>38500</v>
      </c>
      <c r="N667" s="137">
        <v>5.7999999999999996E-3</v>
      </c>
    </row>
    <row r="668" spans="1:14" ht="18" customHeight="1">
      <c r="A668" s="134">
        <v>9</v>
      </c>
      <c r="B668" s="135" t="s">
        <v>97</v>
      </c>
      <c r="C668" s="134">
        <v>72</v>
      </c>
      <c r="D668" s="138" t="s">
        <v>92</v>
      </c>
      <c r="E668" s="138" t="s">
        <v>651</v>
      </c>
      <c r="F668" s="135" t="s">
        <v>620</v>
      </c>
      <c r="G668" s="274">
        <v>9</v>
      </c>
      <c r="H668" s="261">
        <v>3704</v>
      </c>
      <c r="I668" s="261">
        <v>33333</v>
      </c>
      <c r="J668" s="261">
        <v>0</v>
      </c>
      <c r="K668" s="261">
        <f t="shared" si="20"/>
        <v>33333</v>
      </c>
      <c r="L668" s="261">
        <v>2667</v>
      </c>
      <c r="M668" s="261">
        <f t="shared" si="21"/>
        <v>36000</v>
      </c>
      <c r="N668" s="137">
        <v>5.4000000000000003E-3</v>
      </c>
    </row>
    <row r="669" spans="1:14" ht="18" customHeight="1">
      <c r="A669" s="134">
        <v>9</v>
      </c>
      <c r="B669" s="135" t="s">
        <v>97</v>
      </c>
      <c r="C669" s="134">
        <v>112</v>
      </c>
      <c r="D669" s="138" t="s">
        <v>82</v>
      </c>
      <c r="E669" s="138" t="s">
        <v>652</v>
      </c>
      <c r="F669" s="135" t="s">
        <v>620</v>
      </c>
      <c r="G669" s="274">
        <v>2</v>
      </c>
      <c r="H669" s="261">
        <v>41667</v>
      </c>
      <c r="I669" s="261">
        <v>83333</v>
      </c>
      <c r="J669" s="261">
        <v>0</v>
      </c>
      <c r="K669" s="261">
        <f t="shared" si="20"/>
        <v>83333</v>
      </c>
      <c r="L669" s="261">
        <v>6667</v>
      </c>
      <c r="M669" s="261">
        <f t="shared" si="21"/>
        <v>90000</v>
      </c>
      <c r="N669" s="137">
        <v>1.3599999999999999E-2</v>
      </c>
    </row>
    <row r="670" spans="1:14" ht="18" customHeight="1">
      <c r="A670" s="134">
        <v>9</v>
      </c>
      <c r="B670" s="135" t="s">
        <v>97</v>
      </c>
      <c r="C670" s="134">
        <v>227</v>
      </c>
      <c r="D670" s="138" t="s">
        <v>82</v>
      </c>
      <c r="E670" s="138" t="s">
        <v>704</v>
      </c>
      <c r="F670" s="135" t="s">
        <v>620</v>
      </c>
      <c r="G670" s="274">
        <v>2</v>
      </c>
      <c r="H670" s="261">
        <v>1389</v>
      </c>
      <c r="I670" s="261">
        <v>2778</v>
      </c>
      <c r="J670" s="261">
        <v>0</v>
      </c>
      <c r="K670" s="261">
        <f t="shared" si="20"/>
        <v>2778</v>
      </c>
      <c r="L670" s="261">
        <v>222</v>
      </c>
      <c r="M670" s="261">
        <f t="shared" si="21"/>
        <v>3000</v>
      </c>
      <c r="N670" s="137">
        <v>5.0000000000000001E-4</v>
      </c>
    </row>
    <row r="671" spans="1:14" ht="18" customHeight="1">
      <c r="A671" s="134">
        <v>9</v>
      </c>
      <c r="B671" s="135" t="s">
        <v>97</v>
      </c>
      <c r="C671" s="134">
        <v>119</v>
      </c>
      <c r="D671" s="138" t="s">
        <v>84</v>
      </c>
      <c r="E671" s="138" t="s">
        <v>109</v>
      </c>
      <c r="F671" s="135" t="s">
        <v>620</v>
      </c>
      <c r="G671" s="274">
        <v>9</v>
      </c>
      <c r="H671" s="261">
        <v>44444</v>
      </c>
      <c r="I671" s="261">
        <v>400000</v>
      </c>
      <c r="J671" s="261">
        <v>0</v>
      </c>
      <c r="K671" s="261">
        <f t="shared" si="20"/>
        <v>400000</v>
      </c>
      <c r="L671" s="261">
        <v>32000</v>
      </c>
      <c r="M671" s="261">
        <f t="shared" si="21"/>
        <v>432000</v>
      </c>
      <c r="N671" s="137">
        <v>6.5199999999999994E-2</v>
      </c>
    </row>
    <row r="672" spans="1:14" ht="18" customHeight="1">
      <c r="A672" s="134">
        <v>9</v>
      </c>
      <c r="B672" s="135" t="s">
        <v>97</v>
      </c>
      <c r="C672" s="134">
        <v>19</v>
      </c>
      <c r="D672" s="138" t="s">
        <v>82</v>
      </c>
      <c r="E672" s="138" t="s">
        <v>654</v>
      </c>
      <c r="F672" s="135" t="s">
        <v>620</v>
      </c>
      <c r="G672" s="274">
        <v>1</v>
      </c>
      <c r="H672" s="261">
        <v>9259</v>
      </c>
      <c r="I672" s="261">
        <v>9259</v>
      </c>
      <c r="J672" s="261">
        <v>0</v>
      </c>
      <c r="K672" s="261">
        <f t="shared" si="20"/>
        <v>9259</v>
      </c>
      <c r="L672" s="261">
        <v>741</v>
      </c>
      <c r="M672" s="261">
        <f t="shared" si="21"/>
        <v>10000</v>
      </c>
      <c r="N672" s="137">
        <v>1.5E-3</v>
      </c>
    </row>
    <row r="673" spans="1:14" ht="18" customHeight="1">
      <c r="A673" s="134">
        <v>9</v>
      </c>
      <c r="B673" s="135" t="s">
        <v>97</v>
      </c>
      <c r="C673" s="134">
        <v>145</v>
      </c>
      <c r="D673" s="138" t="s">
        <v>82</v>
      </c>
      <c r="E673" s="138" t="s">
        <v>714</v>
      </c>
      <c r="F673" s="135" t="s">
        <v>620</v>
      </c>
      <c r="G673" s="274">
        <v>11</v>
      </c>
      <c r="H673" s="261">
        <v>18645</v>
      </c>
      <c r="I673" s="261">
        <v>206481</v>
      </c>
      <c r="J673" s="261">
        <v>1389</v>
      </c>
      <c r="K673" s="261">
        <f t="shared" si="20"/>
        <v>205092</v>
      </c>
      <c r="L673" s="261">
        <v>16407</v>
      </c>
      <c r="M673" s="261">
        <f t="shared" si="21"/>
        <v>221499</v>
      </c>
      <c r="N673" s="137">
        <v>3.3399999999999999E-2</v>
      </c>
    </row>
    <row r="674" spans="1:14" ht="18" customHeight="1">
      <c r="A674" s="134">
        <v>9</v>
      </c>
      <c r="B674" s="135" t="s">
        <v>97</v>
      </c>
      <c r="C674" s="134">
        <v>77</v>
      </c>
      <c r="D674" s="138" t="s">
        <v>82</v>
      </c>
      <c r="E674" s="138" t="s">
        <v>655</v>
      </c>
      <c r="F674" s="135" t="s">
        <v>620</v>
      </c>
      <c r="G674" s="274">
        <v>1</v>
      </c>
      <c r="H674" s="261">
        <v>2778</v>
      </c>
      <c r="I674" s="261">
        <v>2778</v>
      </c>
      <c r="J674" s="261">
        <v>0</v>
      </c>
      <c r="K674" s="261">
        <f t="shared" si="20"/>
        <v>2778</v>
      </c>
      <c r="L674" s="261">
        <v>222</v>
      </c>
      <c r="M674" s="261">
        <f t="shared" si="21"/>
        <v>3000</v>
      </c>
      <c r="N674" s="137">
        <v>5.0000000000000001E-4</v>
      </c>
    </row>
    <row r="675" spans="1:14" ht="18" customHeight="1">
      <c r="A675" s="134">
        <v>9</v>
      </c>
      <c r="B675" s="135" t="s">
        <v>97</v>
      </c>
      <c r="C675" s="134">
        <v>168</v>
      </c>
      <c r="D675" s="138" t="s">
        <v>82</v>
      </c>
      <c r="E675" s="138" t="s">
        <v>743</v>
      </c>
      <c r="F675" s="135" t="s">
        <v>620</v>
      </c>
      <c r="G675" s="274">
        <v>1</v>
      </c>
      <c r="H675" s="261">
        <v>6481</v>
      </c>
      <c r="I675" s="261">
        <v>6481</v>
      </c>
      <c r="J675" s="261">
        <v>0</v>
      </c>
      <c r="K675" s="261">
        <f t="shared" si="20"/>
        <v>6481</v>
      </c>
      <c r="L675" s="261">
        <v>519</v>
      </c>
      <c r="M675" s="261">
        <f t="shared" si="21"/>
        <v>7000</v>
      </c>
      <c r="N675" s="137">
        <v>1.1000000000000001E-3</v>
      </c>
    </row>
    <row r="676" spans="1:14" ht="18" customHeight="1">
      <c r="A676" s="134">
        <v>9</v>
      </c>
      <c r="B676" s="135" t="s">
        <v>97</v>
      </c>
      <c r="C676" s="134">
        <v>99</v>
      </c>
      <c r="D676" s="138" t="s">
        <v>82</v>
      </c>
      <c r="E676" s="138" t="s">
        <v>744</v>
      </c>
      <c r="F676" s="135" t="s">
        <v>745</v>
      </c>
      <c r="G676" s="274">
        <v>2</v>
      </c>
      <c r="H676" s="261">
        <v>3241</v>
      </c>
      <c r="I676" s="261">
        <v>6481</v>
      </c>
      <c r="J676" s="261">
        <v>0</v>
      </c>
      <c r="K676" s="261">
        <f t="shared" si="20"/>
        <v>6481</v>
      </c>
      <c r="L676" s="261">
        <v>519</v>
      </c>
      <c r="M676" s="261">
        <f t="shared" si="21"/>
        <v>7000</v>
      </c>
      <c r="N676" s="137">
        <v>1.1000000000000001E-3</v>
      </c>
    </row>
    <row r="677" spans="1:14" ht="18" customHeight="1">
      <c r="A677" s="134">
        <v>9</v>
      </c>
      <c r="B677" s="135" t="s">
        <v>97</v>
      </c>
      <c r="C677" s="134">
        <v>81</v>
      </c>
      <c r="D677" s="138" t="s">
        <v>90</v>
      </c>
      <c r="E677" s="138" t="s">
        <v>657</v>
      </c>
      <c r="F677" s="135" t="s">
        <v>620</v>
      </c>
      <c r="G677" s="274">
        <v>2</v>
      </c>
      <c r="H677" s="261">
        <v>1389</v>
      </c>
      <c r="I677" s="261">
        <v>2778</v>
      </c>
      <c r="J677" s="261">
        <v>0</v>
      </c>
      <c r="K677" s="261">
        <f t="shared" si="20"/>
        <v>2778</v>
      </c>
      <c r="L677" s="261">
        <v>222</v>
      </c>
      <c r="M677" s="261">
        <f t="shared" si="21"/>
        <v>3000</v>
      </c>
      <c r="N677" s="137">
        <v>5.0000000000000001E-4</v>
      </c>
    </row>
    <row r="678" spans="1:14" ht="18" customHeight="1">
      <c r="A678" s="134">
        <v>9</v>
      </c>
      <c r="B678" s="135" t="s">
        <v>97</v>
      </c>
      <c r="C678" s="134">
        <v>86</v>
      </c>
      <c r="D678" s="138" t="s">
        <v>90</v>
      </c>
      <c r="E678" s="138" t="s">
        <v>658</v>
      </c>
      <c r="F678" s="135" t="s">
        <v>620</v>
      </c>
      <c r="G678" s="274">
        <v>14</v>
      </c>
      <c r="H678" s="261">
        <v>3241</v>
      </c>
      <c r="I678" s="261">
        <v>45370</v>
      </c>
      <c r="J678" s="261">
        <v>0</v>
      </c>
      <c r="K678" s="261">
        <f t="shared" si="20"/>
        <v>45370</v>
      </c>
      <c r="L678" s="261">
        <v>3630</v>
      </c>
      <c r="M678" s="261">
        <f t="shared" si="21"/>
        <v>49000</v>
      </c>
      <c r="N678" s="137">
        <v>7.4000000000000003E-3</v>
      </c>
    </row>
    <row r="679" spans="1:14" ht="18" customHeight="1">
      <c r="A679" s="134">
        <v>9</v>
      </c>
      <c r="B679" s="135" t="s">
        <v>97</v>
      </c>
      <c r="C679" s="134">
        <v>211</v>
      </c>
      <c r="D679" s="138" t="s">
        <v>90</v>
      </c>
      <c r="E679" s="138" t="s">
        <v>746</v>
      </c>
      <c r="F679" s="135" t="s">
        <v>620</v>
      </c>
      <c r="G679" s="274">
        <v>6</v>
      </c>
      <c r="H679" s="261">
        <v>6481</v>
      </c>
      <c r="I679" s="261">
        <v>38889</v>
      </c>
      <c r="J679" s="261">
        <v>0</v>
      </c>
      <c r="K679" s="261">
        <f t="shared" si="20"/>
        <v>38889</v>
      </c>
      <c r="L679" s="261">
        <v>3111</v>
      </c>
      <c r="M679" s="261">
        <f t="shared" si="21"/>
        <v>42000</v>
      </c>
      <c r="N679" s="137">
        <v>6.3E-3</v>
      </c>
    </row>
    <row r="680" spans="1:14" ht="18" customHeight="1">
      <c r="A680" s="134">
        <v>9</v>
      </c>
      <c r="B680" s="135" t="s">
        <v>97</v>
      </c>
      <c r="C680" s="134">
        <v>63</v>
      </c>
      <c r="D680" s="138" t="s">
        <v>90</v>
      </c>
      <c r="E680" s="138" t="s">
        <v>717</v>
      </c>
      <c r="F680" s="135" t="s">
        <v>620</v>
      </c>
      <c r="G680" s="274">
        <v>2</v>
      </c>
      <c r="H680" s="261">
        <v>3704</v>
      </c>
      <c r="I680" s="261">
        <v>7407</v>
      </c>
      <c r="J680" s="261">
        <v>0</v>
      </c>
      <c r="K680" s="261">
        <f t="shared" si="20"/>
        <v>7407</v>
      </c>
      <c r="L680" s="261">
        <v>593</v>
      </c>
      <c r="M680" s="261">
        <f t="shared" si="21"/>
        <v>8000</v>
      </c>
      <c r="N680" s="137">
        <v>1.1999999999999999E-3</v>
      </c>
    </row>
    <row r="681" spans="1:14" ht="18" customHeight="1">
      <c r="A681" s="134">
        <v>9</v>
      </c>
      <c r="B681" s="135" t="s">
        <v>97</v>
      </c>
      <c r="C681" s="134">
        <v>79</v>
      </c>
      <c r="D681" s="138" t="s">
        <v>90</v>
      </c>
      <c r="E681" s="138" t="s">
        <v>661</v>
      </c>
      <c r="F681" s="135" t="s">
        <v>620</v>
      </c>
      <c r="G681" s="274">
        <v>5</v>
      </c>
      <c r="H681" s="261">
        <v>6481</v>
      </c>
      <c r="I681" s="261">
        <v>32407</v>
      </c>
      <c r="J681" s="261">
        <v>0</v>
      </c>
      <c r="K681" s="261">
        <f t="shared" si="20"/>
        <v>32407</v>
      </c>
      <c r="L681" s="261">
        <v>2593</v>
      </c>
      <c r="M681" s="261">
        <f t="shared" si="21"/>
        <v>35000</v>
      </c>
      <c r="N681" s="137">
        <v>5.3E-3</v>
      </c>
    </row>
    <row r="682" spans="1:14" ht="18" customHeight="1">
      <c r="A682" s="134">
        <v>9</v>
      </c>
      <c r="B682" s="135" t="s">
        <v>97</v>
      </c>
      <c r="C682" s="134">
        <v>62</v>
      </c>
      <c r="D682" s="138" t="s">
        <v>90</v>
      </c>
      <c r="E682" s="138" t="s">
        <v>662</v>
      </c>
      <c r="F682" s="135" t="s">
        <v>620</v>
      </c>
      <c r="G682" s="274">
        <v>7</v>
      </c>
      <c r="H682" s="261">
        <v>6944</v>
      </c>
      <c r="I682" s="261">
        <v>48611</v>
      </c>
      <c r="J682" s="261">
        <v>0</v>
      </c>
      <c r="K682" s="261">
        <f t="shared" si="20"/>
        <v>48611</v>
      </c>
      <c r="L682" s="261">
        <v>3889</v>
      </c>
      <c r="M682" s="261">
        <f t="shared" si="21"/>
        <v>52500</v>
      </c>
      <c r="N682" s="137">
        <v>7.9000000000000008E-3</v>
      </c>
    </row>
    <row r="683" spans="1:14" ht="18" customHeight="1">
      <c r="A683" s="134">
        <v>9</v>
      </c>
      <c r="B683" s="135" t="s">
        <v>97</v>
      </c>
      <c r="C683" s="134">
        <v>78</v>
      </c>
      <c r="D683" s="138" t="s">
        <v>90</v>
      </c>
      <c r="E683" s="138" t="s">
        <v>663</v>
      </c>
      <c r="F683" s="135" t="s">
        <v>620</v>
      </c>
      <c r="G683" s="274">
        <v>1</v>
      </c>
      <c r="H683" s="261">
        <v>6481</v>
      </c>
      <c r="I683" s="261">
        <v>6481</v>
      </c>
      <c r="J683" s="261">
        <v>0</v>
      </c>
      <c r="K683" s="261">
        <f t="shared" si="20"/>
        <v>6481</v>
      </c>
      <c r="L683" s="261">
        <v>519</v>
      </c>
      <c r="M683" s="261">
        <f t="shared" si="21"/>
        <v>7000</v>
      </c>
      <c r="N683" s="137">
        <v>1.1000000000000001E-3</v>
      </c>
    </row>
    <row r="684" spans="1:14" ht="18" customHeight="1">
      <c r="A684" s="134">
        <v>9</v>
      </c>
      <c r="B684" s="135" t="s">
        <v>97</v>
      </c>
      <c r="C684" s="134">
        <v>137</v>
      </c>
      <c r="D684" s="138" t="s">
        <v>90</v>
      </c>
      <c r="E684" s="138" t="s">
        <v>692</v>
      </c>
      <c r="F684" s="135" t="s">
        <v>620</v>
      </c>
      <c r="G684" s="274">
        <v>4</v>
      </c>
      <c r="H684" s="261">
        <v>6481</v>
      </c>
      <c r="I684" s="261">
        <v>25926</v>
      </c>
      <c r="J684" s="261">
        <v>0</v>
      </c>
      <c r="K684" s="261">
        <f t="shared" si="20"/>
        <v>25926</v>
      </c>
      <c r="L684" s="261">
        <v>2074</v>
      </c>
      <c r="M684" s="261">
        <f t="shared" si="21"/>
        <v>28000</v>
      </c>
      <c r="N684" s="137">
        <v>4.1999999999999997E-3</v>
      </c>
    </row>
    <row r="685" spans="1:14" ht="18" customHeight="1">
      <c r="A685" s="134">
        <v>9</v>
      </c>
      <c r="B685" s="135" t="s">
        <v>97</v>
      </c>
      <c r="C685" s="134">
        <v>219</v>
      </c>
      <c r="D685" s="138" t="s">
        <v>82</v>
      </c>
      <c r="E685" s="138" t="s">
        <v>148</v>
      </c>
      <c r="F685" s="135" t="s">
        <v>620</v>
      </c>
      <c r="G685" s="274">
        <v>2</v>
      </c>
      <c r="H685" s="261">
        <v>69444</v>
      </c>
      <c r="I685" s="261">
        <v>138889</v>
      </c>
      <c r="J685" s="261">
        <v>0</v>
      </c>
      <c r="K685" s="261">
        <f t="shared" si="20"/>
        <v>138889</v>
      </c>
      <c r="L685" s="261">
        <v>11111</v>
      </c>
      <c r="M685" s="261">
        <f t="shared" si="21"/>
        <v>150000</v>
      </c>
      <c r="N685" s="137">
        <v>2.2599999999999999E-2</v>
      </c>
    </row>
    <row r="686" spans="1:14" ht="18" customHeight="1">
      <c r="A686" s="134">
        <v>9</v>
      </c>
      <c r="B686" s="135" t="s">
        <v>97</v>
      </c>
      <c r="C686" s="134">
        <v>220</v>
      </c>
      <c r="D686" s="138" t="s">
        <v>82</v>
      </c>
      <c r="E686" s="138" t="s">
        <v>730</v>
      </c>
      <c r="F686" s="135" t="s">
        <v>620</v>
      </c>
      <c r="G686" s="274">
        <v>1</v>
      </c>
      <c r="H686" s="261">
        <v>69444</v>
      </c>
      <c r="I686" s="261">
        <v>69444</v>
      </c>
      <c r="J686" s="261">
        <v>0</v>
      </c>
      <c r="K686" s="261">
        <f t="shared" si="20"/>
        <v>69444</v>
      </c>
      <c r="L686" s="261">
        <v>5556</v>
      </c>
      <c r="M686" s="261">
        <f t="shared" si="21"/>
        <v>75000</v>
      </c>
      <c r="N686" s="137">
        <v>1.1299999999999999E-2</v>
      </c>
    </row>
    <row r="687" spans="1:14" ht="18" customHeight="1">
      <c r="A687" s="134">
        <v>9</v>
      </c>
      <c r="B687" s="135" t="s">
        <v>97</v>
      </c>
      <c r="C687" s="134">
        <v>223</v>
      </c>
      <c r="D687" s="138" t="s">
        <v>82</v>
      </c>
      <c r="E687" s="138" t="s">
        <v>136</v>
      </c>
      <c r="F687" s="135" t="s">
        <v>620</v>
      </c>
      <c r="G687" s="274">
        <v>1</v>
      </c>
      <c r="H687" s="261">
        <v>69444</v>
      </c>
      <c r="I687" s="261">
        <v>69444</v>
      </c>
      <c r="J687" s="261">
        <v>0</v>
      </c>
      <c r="K687" s="261">
        <f t="shared" si="20"/>
        <v>69444</v>
      </c>
      <c r="L687" s="261">
        <v>5556</v>
      </c>
      <c r="M687" s="261">
        <f t="shared" si="21"/>
        <v>75000</v>
      </c>
      <c r="N687" s="137">
        <v>1.1299999999999999E-2</v>
      </c>
    </row>
    <row r="688" spans="1:14" ht="18" customHeight="1">
      <c r="A688" s="134">
        <v>9</v>
      </c>
      <c r="B688" s="135" t="s">
        <v>97</v>
      </c>
      <c r="C688" s="134">
        <v>50</v>
      </c>
      <c r="D688" s="138" t="s">
        <v>82</v>
      </c>
      <c r="E688" s="138" t="s">
        <v>154</v>
      </c>
      <c r="F688" s="135" t="s">
        <v>620</v>
      </c>
      <c r="G688" s="274">
        <v>3</v>
      </c>
      <c r="H688" s="261">
        <v>49074</v>
      </c>
      <c r="I688" s="261">
        <v>147222</v>
      </c>
      <c r="J688" s="261">
        <v>0</v>
      </c>
      <c r="K688" s="261">
        <f t="shared" si="20"/>
        <v>147222</v>
      </c>
      <c r="L688" s="261">
        <v>11778</v>
      </c>
      <c r="M688" s="261">
        <f t="shared" si="21"/>
        <v>159000</v>
      </c>
      <c r="N688" s="137">
        <v>2.4E-2</v>
      </c>
    </row>
    <row r="689" spans="1:14" ht="18" customHeight="1">
      <c r="A689" s="134">
        <v>9</v>
      </c>
      <c r="B689" s="135" t="s">
        <v>97</v>
      </c>
      <c r="C689" s="134">
        <v>10</v>
      </c>
      <c r="D689" s="138" t="s">
        <v>82</v>
      </c>
      <c r="E689" s="138" t="s">
        <v>719</v>
      </c>
      <c r="F689" s="135" t="s">
        <v>620</v>
      </c>
      <c r="G689" s="274">
        <v>1</v>
      </c>
      <c r="H689" s="261">
        <v>13889</v>
      </c>
      <c r="I689" s="261">
        <v>13889</v>
      </c>
      <c r="J689" s="261">
        <v>0</v>
      </c>
      <c r="K689" s="261">
        <f t="shared" si="20"/>
        <v>13889</v>
      </c>
      <c r="L689" s="261">
        <v>1111</v>
      </c>
      <c r="M689" s="261">
        <f t="shared" si="21"/>
        <v>15000</v>
      </c>
      <c r="N689" s="137">
        <v>2.3E-3</v>
      </c>
    </row>
    <row r="690" spans="1:14" ht="18" customHeight="1">
      <c r="A690" s="134">
        <v>9</v>
      </c>
      <c r="B690" s="135" t="s">
        <v>97</v>
      </c>
      <c r="C690" s="134">
        <v>129</v>
      </c>
      <c r="D690" s="138" t="s">
        <v>88</v>
      </c>
      <c r="E690" s="138" t="s">
        <v>669</v>
      </c>
      <c r="F690" s="135" t="s">
        <v>620</v>
      </c>
      <c r="G690" s="274">
        <v>2</v>
      </c>
      <c r="H690" s="261">
        <v>44444</v>
      </c>
      <c r="I690" s="261">
        <v>88889</v>
      </c>
      <c r="J690" s="261">
        <v>0</v>
      </c>
      <c r="K690" s="261">
        <f t="shared" si="20"/>
        <v>88889</v>
      </c>
      <c r="L690" s="261">
        <v>7111</v>
      </c>
      <c r="M690" s="261">
        <f t="shared" si="21"/>
        <v>96000</v>
      </c>
      <c r="N690" s="137">
        <v>1.4500000000000001E-2</v>
      </c>
    </row>
    <row r="691" spans="1:14" ht="18" customHeight="1">
      <c r="A691" s="134">
        <v>9</v>
      </c>
      <c r="B691" s="135" t="s">
        <v>97</v>
      </c>
      <c r="C691" s="134">
        <v>117</v>
      </c>
      <c r="D691" s="138" t="s">
        <v>82</v>
      </c>
      <c r="E691" s="138" t="s">
        <v>115</v>
      </c>
      <c r="F691" s="135" t="s">
        <v>620</v>
      </c>
      <c r="G691" s="274">
        <v>6</v>
      </c>
      <c r="H691" s="261">
        <v>41667</v>
      </c>
      <c r="I691" s="261">
        <v>250000</v>
      </c>
      <c r="J691" s="261">
        <v>0</v>
      </c>
      <c r="K691" s="261">
        <f t="shared" si="20"/>
        <v>250000</v>
      </c>
      <c r="L691" s="261">
        <v>20000</v>
      </c>
      <c r="M691" s="261">
        <f t="shared" si="21"/>
        <v>270000</v>
      </c>
      <c r="N691" s="137">
        <v>4.07E-2</v>
      </c>
    </row>
    <row r="692" spans="1:14" ht="18" customHeight="1">
      <c r="A692" s="134">
        <v>9</v>
      </c>
      <c r="B692" s="135" t="s">
        <v>97</v>
      </c>
      <c r="C692" s="134">
        <v>61</v>
      </c>
      <c r="D692" s="138" t="s">
        <v>92</v>
      </c>
      <c r="E692" s="138" t="s">
        <v>671</v>
      </c>
      <c r="F692" s="135" t="s">
        <v>620</v>
      </c>
      <c r="G692" s="274">
        <v>10</v>
      </c>
      <c r="H692" s="261">
        <v>4603</v>
      </c>
      <c r="I692" s="261">
        <v>46296</v>
      </c>
      <c r="J692" s="261">
        <v>265</v>
      </c>
      <c r="K692" s="261">
        <f t="shared" si="20"/>
        <v>46031</v>
      </c>
      <c r="L692" s="261">
        <v>3683</v>
      </c>
      <c r="M692" s="261">
        <f t="shared" si="21"/>
        <v>49714</v>
      </c>
      <c r="N692" s="137">
        <v>7.4999999999999997E-3</v>
      </c>
    </row>
    <row r="693" spans="1:14" ht="18" customHeight="1">
      <c r="A693" s="134">
        <v>9</v>
      </c>
      <c r="B693" s="135" t="s">
        <v>97</v>
      </c>
      <c r="C693" s="134">
        <v>215</v>
      </c>
      <c r="D693" s="138" t="s">
        <v>82</v>
      </c>
      <c r="E693" s="138" t="s">
        <v>127</v>
      </c>
      <c r="F693" s="135" t="s">
        <v>620</v>
      </c>
      <c r="G693" s="274">
        <v>1</v>
      </c>
      <c r="H693" s="261">
        <v>37500</v>
      </c>
      <c r="I693" s="261">
        <v>37500</v>
      </c>
      <c r="J693" s="261">
        <v>0</v>
      </c>
      <c r="K693" s="261">
        <f t="shared" si="20"/>
        <v>37500</v>
      </c>
      <c r="L693" s="261">
        <v>3000</v>
      </c>
      <c r="M693" s="261">
        <f t="shared" si="21"/>
        <v>40500</v>
      </c>
      <c r="N693" s="137">
        <v>6.1000000000000004E-3</v>
      </c>
    </row>
    <row r="694" spans="1:14" ht="18" customHeight="1">
      <c r="A694" s="134">
        <v>9</v>
      </c>
      <c r="B694" s="135" t="s">
        <v>97</v>
      </c>
      <c r="C694" s="134">
        <v>214</v>
      </c>
      <c r="D694" s="138" t="s">
        <v>82</v>
      </c>
      <c r="E694" s="138" t="s">
        <v>693</v>
      </c>
      <c r="F694" s="135" t="s">
        <v>620</v>
      </c>
      <c r="G694" s="274">
        <v>1</v>
      </c>
      <c r="H694" s="261">
        <v>37500</v>
      </c>
      <c r="I694" s="261">
        <v>37500</v>
      </c>
      <c r="J694" s="261">
        <v>0</v>
      </c>
      <c r="K694" s="261">
        <f t="shared" si="20"/>
        <v>37500</v>
      </c>
      <c r="L694" s="261">
        <v>3000</v>
      </c>
      <c r="M694" s="261">
        <f t="shared" si="21"/>
        <v>40500</v>
      </c>
      <c r="N694" s="137">
        <v>6.1000000000000004E-3</v>
      </c>
    </row>
    <row r="695" spans="1:14" ht="18" customHeight="1">
      <c r="A695" s="134">
        <v>9</v>
      </c>
      <c r="B695" s="135" t="s">
        <v>97</v>
      </c>
      <c r="C695" s="134">
        <v>33</v>
      </c>
      <c r="D695" s="138" t="s">
        <v>86</v>
      </c>
      <c r="E695" s="138" t="s">
        <v>673</v>
      </c>
      <c r="F695" s="135" t="s">
        <v>620</v>
      </c>
      <c r="G695" s="274">
        <v>4</v>
      </c>
      <c r="H695" s="261">
        <v>1852</v>
      </c>
      <c r="I695" s="261">
        <v>7407</v>
      </c>
      <c r="J695" s="261">
        <v>0</v>
      </c>
      <c r="K695" s="261">
        <f t="shared" si="20"/>
        <v>7407</v>
      </c>
      <c r="L695" s="261">
        <v>593</v>
      </c>
      <c r="M695" s="261">
        <f t="shared" si="21"/>
        <v>8000</v>
      </c>
      <c r="N695" s="137">
        <v>1.1999999999999999E-3</v>
      </c>
    </row>
    <row r="696" spans="1:14" ht="18" customHeight="1">
      <c r="A696" s="134">
        <v>9</v>
      </c>
      <c r="B696" s="135" t="s">
        <v>97</v>
      </c>
      <c r="C696" s="134">
        <v>39</v>
      </c>
      <c r="D696" s="138" t="s">
        <v>86</v>
      </c>
      <c r="E696" s="138" t="s">
        <v>697</v>
      </c>
      <c r="F696" s="135" t="s">
        <v>620</v>
      </c>
      <c r="G696" s="274">
        <v>1</v>
      </c>
      <c r="H696" s="261">
        <v>3333</v>
      </c>
      <c r="I696" s="261">
        <v>3333</v>
      </c>
      <c r="J696" s="261">
        <v>0</v>
      </c>
      <c r="K696" s="261">
        <f t="shared" si="20"/>
        <v>3333</v>
      </c>
      <c r="L696" s="261">
        <v>267</v>
      </c>
      <c r="M696" s="261">
        <f t="shared" si="21"/>
        <v>3600</v>
      </c>
      <c r="N696" s="137">
        <v>5.0000000000000001E-4</v>
      </c>
    </row>
    <row r="697" spans="1:14" ht="18" customHeight="1">
      <c r="A697" s="134">
        <v>10</v>
      </c>
      <c r="B697" s="135" t="s">
        <v>98</v>
      </c>
      <c r="C697" s="134">
        <v>73</v>
      </c>
      <c r="D697" s="138" t="s">
        <v>86</v>
      </c>
      <c r="E697" s="138" t="s">
        <v>619</v>
      </c>
      <c r="F697" s="135" t="s">
        <v>620</v>
      </c>
      <c r="G697" s="274">
        <v>19</v>
      </c>
      <c r="H697" s="261">
        <v>2593</v>
      </c>
      <c r="I697" s="261">
        <v>49259</v>
      </c>
      <c r="J697" s="261">
        <v>0</v>
      </c>
      <c r="K697" s="261">
        <f t="shared" si="20"/>
        <v>49259</v>
      </c>
      <c r="L697" s="261">
        <v>3941</v>
      </c>
      <c r="M697" s="261">
        <f t="shared" si="21"/>
        <v>53200</v>
      </c>
      <c r="N697" s="137">
        <v>8.1000000000000013E-3</v>
      </c>
    </row>
    <row r="698" spans="1:14" ht="18" customHeight="1">
      <c r="A698" s="134">
        <v>10</v>
      </c>
      <c r="B698" s="135" t="s">
        <v>98</v>
      </c>
      <c r="C698" s="134">
        <v>131</v>
      </c>
      <c r="D698" s="138" t="s">
        <v>82</v>
      </c>
      <c r="E698" s="138" t="s">
        <v>677</v>
      </c>
      <c r="F698" s="135" t="s">
        <v>620</v>
      </c>
      <c r="G698" s="274">
        <v>1</v>
      </c>
      <c r="H698" s="261">
        <v>278</v>
      </c>
      <c r="I698" s="261">
        <v>278</v>
      </c>
      <c r="J698" s="261">
        <v>0</v>
      </c>
      <c r="K698" s="261">
        <f t="shared" si="20"/>
        <v>278</v>
      </c>
      <c r="L698" s="261">
        <v>22</v>
      </c>
      <c r="M698" s="261">
        <f t="shared" si="21"/>
        <v>300</v>
      </c>
      <c r="N698" s="137">
        <v>0</v>
      </c>
    </row>
    <row r="699" spans="1:14" ht="18" customHeight="1">
      <c r="A699" s="134">
        <v>10</v>
      </c>
      <c r="B699" s="135" t="s">
        <v>98</v>
      </c>
      <c r="C699" s="134">
        <v>104</v>
      </c>
      <c r="D699" s="138" t="s">
        <v>84</v>
      </c>
      <c r="E699" s="138" t="s">
        <v>157</v>
      </c>
      <c r="F699" s="135" t="s">
        <v>620</v>
      </c>
      <c r="G699" s="274">
        <v>16</v>
      </c>
      <c r="H699" s="261">
        <v>16175</v>
      </c>
      <c r="I699" s="261">
        <v>258796</v>
      </c>
      <c r="J699" s="261">
        <v>0</v>
      </c>
      <c r="K699" s="261">
        <f t="shared" si="20"/>
        <v>258796</v>
      </c>
      <c r="L699" s="261">
        <v>20704</v>
      </c>
      <c r="M699" s="261">
        <f t="shared" si="21"/>
        <v>279500</v>
      </c>
      <c r="N699" s="137">
        <v>4.2299999999999997E-2</v>
      </c>
    </row>
    <row r="700" spans="1:14" ht="18" customHeight="1">
      <c r="A700" s="134">
        <v>10</v>
      </c>
      <c r="B700" s="135" t="s">
        <v>98</v>
      </c>
      <c r="C700" s="134">
        <v>95</v>
      </c>
      <c r="D700" s="138" t="s">
        <v>82</v>
      </c>
      <c r="E700" s="138" t="s">
        <v>624</v>
      </c>
      <c r="F700" s="135" t="s">
        <v>620</v>
      </c>
      <c r="G700" s="274">
        <v>4</v>
      </c>
      <c r="H700" s="261">
        <v>926</v>
      </c>
      <c r="I700" s="261">
        <v>3704</v>
      </c>
      <c r="J700" s="261">
        <v>0</v>
      </c>
      <c r="K700" s="261">
        <f t="shared" si="20"/>
        <v>3704</v>
      </c>
      <c r="L700" s="261">
        <v>296</v>
      </c>
      <c r="M700" s="261">
        <f t="shared" si="21"/>
        <v>4000</v>
      </c>
      <c r="N700" s="137">
        <v>5.9999999999999995E-4</v>
      </c>
    </row>
    <row r="701" spans="1:14" ht="18" customHeight="1">
      <c r="A701" s="134">
        <v>10</v>
      </c>
      <c r="B701" s="135" t="s">
        <v>98</v>
      </c>
      <c r="C701" s="134">
        <v>54</v>
      </c>
      <c r="D701" s="138" t="s">
        <v>86</v>
      </c>
      <c r="E701" s="138" t="s">
        <v>678</v>
      </c>
      <c r="F701" s="135" t="s">
        <v>620</v>
      </c>
      <c r="G701" s="274">
        <v>2</v>
      </c>
      <c r="H701" s="261">
        <v>2315</v>
      </c>
      <c r="I701" s="261">
        <v>4630</v>
      </c>
      <c r="J701" s="261">
        <v>0</v>
      </c>
      <c r="K701" s="261">
        <f t="shared" si="20"/>
        <v>4630</v>
      </c>
      <c r="L701" s="261">
        <v>370</v>
      </c>
      <c r="M701" s="261">
        <f t="shared" si="21"/>
        <v>5000</v>
      </c>
      <c r="N701" s="137">
        <v>8.0000000000000004E-4</v>
      </c>
    </row>
    <row r="702" spans="1:14" ht="18" customHeight="1">
      <c r="A702" s="134">
        <v>10</v>
      </c>
      <c r="B702" s="135" t="s">
        <v>98</v>
      </c>
      <c r="C702" s="134">
        <v>5</v>
      </c>
      <c r="D702" s="138" t="s">
        <v>84</v>
      </c>
      <c r="E702" s="138" t="s">
        <v>679</v>
      </c>
      <c r="F702" s="135" t="s">
        <v>620</v>
      </c>
      <c r="G702" s="274">
        <v>1</v>
      </c>
      <c r="H702" s="261">
        <v>11111</v>
      </c>
      <c r="I702" s="261">
        <v>11111</v>
      </c>
      <c r="J702" s="261">
        <v>0</v>
      </c>
      <c r="K702" s="261">
        <f t="shared" si="20"/>
        <v>11111</v>
      </c>
      <c r="L702" s="261">
        <v>889</v>
      </c>
      <c r="M702" s="261">
        <f t="shared" si="21"/>
        <v>12000</v>
      </c>
      <c r="N702" s="137">
        <v>1.8E-3</v>
      </c>
    </row>
    <row r="703" spans="1:14" ht="18" customHeight="1">
      <c r="A703" s="134">
        <v>10</v>
      </c>
      <c r="B703" s="135" t="s">
        <v>98</v>
      </c>
      <c r="C703" s="134">
        <v>136</v>
      </c>
      <c r="D703" s="138" t="s">
        <v>84</v>
      </c>
      <c r="E703" s="138" t="s">
        <v>625</v>
      </c>
      <c r="F703" s="135" t="s">
        <v>620</v>
      </c>
      <c r="G703" s="274">
        <v>7</v>
      </c>
      <c r="H703" s="261">
        <v>24074</v>
      </c>
      <c r="I703" s="261">
        <v>168519</v>
      </c>
      <c r="J703" s="261">
        <v>0</v>
      </c>
      <c r="K703" s="261">
        <f t="shared" si="20"/>
        <v>168519</v>
      </c>
      <c r="L703" s="261">
        <v>13481</v>
      </c>
      <c r="M703" s="261">
        <f t="shared" si="21"/>
        <v>182000</v>
      </c>
      <c r="N703" s="137">
        <v>2.75E-2</v>
      </c>
    </row>
    <row r="704" spans="1:14" ht="18" customHeight="1">
      <c r="A704" s="134">
        <v>10</v>
      </c>
      <c r="B704" s="135" t="s">
        <v>98</v>
      </c>
      <c r="C704" s="134">
        <v>6</v>
      </c>
      <c r="D704" s="138" t="s">
        <v>84</v>
      </c>
      <c r="E704" s="138" t="s">
        <v>680</v>
      </c>
      <c r="F704" s="135" t="s">
        <v>620</v>
      </c>
      <c r="G704" s="274">
        <v>3</v>
      </c>
      <c r="H704" s="261">
        <v>14815</v>
      </c>
      <c r="I704" s="261">
        <v>44444</v>
      </c>
      <c r="J704" s="261">
        <v>0</v>
      </c>
      <c r="K704" s="261">
        <f t="shared" si="20"/>
        <v>44444</v>
      </c>
      <c r="L704" s="261">
        <v>3556</v>
      </c>
      <c r="M704" s="261">
        <f t="shared" si="21"/>
        <v>48000</v>
      </c>
      <c r="N704" s="137">
        <v>7.3000000000000001E-3</v>
      </c>
    </row>
    <row r="705" spans="1:14" ht="18" customHeight="1">
      <c r="A705" s="134">
        <v>10</v>
      </c>
      <c r="B705" s="135" t="s">
        <v>98</v>
      </c>
      <c r="C705" s="134">
        <v>8</v>
      </c>
      <c r="D705" s="138" t="s">
        <v>82</v>
      </c>
      <c r="E705" s="138" t="s">
        <v>151</v>
      </c>
      <c r="F705" s="135" t="s">
        <v>620</v>
      </c>
      <c r="G705" s="274">
        <v>5</v>
      </c>
      <c r="H705" s="261">
        <v>18704</v>
      </c>
      <c r="I705" s="261">
        <v>93519</v>
      </c>
      <c r="J705" s="261">
        <v>0</v>
      </c>
      <c r="K705" s="261">
        <f t="shared" si="20"/>
        <v>93519</v>
      </c>
      <c r="L705" s="261">
        <v>7481</v>
      </c>
      <c r="M705" s="261">
        <f t="shared" si="21"/>
        <v>101000</v>
      </c>
      <c r="N705" s="137">
        <v>1.5299999999999999E-2</v>
      </c>
    </row>
    <row r="706" spans="1:14" ht="18" customHeight="1">
      <c r="A706" s="134">
        <v>10</v>
      </c>
      <c r="B706" s="135" t="s">
        <v>98</v>
      </c>
      <c r="C706" s="134">
        <v>87</v>
      </c>
      <c r="D706" s="138" t="s">
        <v>84</v>
      </c>
      <c r="E706" s="138" t="s">
        <v>139</v>
      </c>
      <c r="F706" s="135" t="s">
        <v>620</v>
      </c>
      <c r="G706" s="274">
        <v>1</v>
      </c>
      <c r="H706" s="261">
        <v>37500</v>
      </c>
      <c r="I706" s="261">
        <v>37500</v>
      </c>
      <c r="J706" s="261">
        <v>0</v>
      </c>
      <c r="K706" s="261">
        <f t="shared" ref="K706:K769" si="22">I706-J706</f>
        <v>37500</v>
      </c>
      <c r="L706" s="261">
        <v>3000</v>
      </c>
      <c r="M706" s="261">
        <f t="shared" ref="M706:M769" si="23">K706+L706</f>
        <v>40500</v>
      </c>
      <c r="N706" s="137">
        <v>6.1000000000000004E-3</v>
      </c>
    </row>
    <row r="707" spans="1:14" ht="18" customHeight="1">
      <c r="A707" s="134">
        <v>10</v>
      </c>
      <c r="B707" s="135" t="s">
        <v>98</v>
      </c>
      <c r="C707" s="134">
        <v>206</v>
      </c>
      <c r="D707" s="138" t="s">
        <v>88</v>
      </c>
      <c r="E707" s="138" t="s">
        <v>627</v>
      </c>
      <c r="F707" s="135" t="s">
        <v>620</v>
      </c>
      <c r="G707" s="274">
        <v>1</v>
      </c>
      <c r="H707" s="261">
        <v>44907</v>
      </c>
      <c r="I707" s="261">
        <v>44907</v>
      </c>
      <c r="J707" s="261">
        <v>0</v>
      </c>
      <c r="K707" s="261">
        <f t="shared" si="22"/>
        <v>44907</v>
      </c>
      <c r="L707" s="261">
        <v>3593</v>
      </c>
      <c r="M707" s="261">
        <f t="shared" si="23"/>
        <v>48500</v>
      </c>
      <c r="N707" s="137">
        <v>7.3000000000000001E-3</v>
      </c>
    </row>
    <row r="708" spans="1:14" ht="18" customHeight="1">
      <c r="A708" s="134">
        <v>10</v>
      </c>
      <c r="B708" s="135" t="s">
        <v>98</v>
      </c>
      <c r="C708" s="134">
        <v>13</v>
      </c>
      <c r="D708" s="138" t="s">
        <v>82</v>
      </c>
      <c r="E708" s="138" t="s">
        <v>628</v>
      </c>
      <c r="F708" s="135" t="s">
        <v>620</v>
      </c>
      <c r="G708" s="274">
        <v>16</v>
      </c>
      <c r="H708" s="261">
        <v>18808</v>
      </c>
      <c r="I708" s="261">
        <v>300926</v>
      </c>
      <c r="J708" s="261">
        <v>0</v>
      </c>
      <c r="K708" s="261">
        <f t="shared" si="22"/>
        <v>300926</v>
      </c>
      <c r="L708" s="261">
        <v>24074</v>
      </c>
      <c r="M708" s="261">
        <f t="shared" si="23"/>
        <v>325000</v>
      </c>
      <c r="N708" s="137">
        <v>4.9200000000000001E-2</v>
      </c>
    </row>
    <row r="709" spans="1:14" ht="18" customHeight="1">
      <c r="A709" s="134">
        <v>10</v>
      </c>
      <c r="B709" s="135" t="s">
        <v>98</v>
      </c>
      <c r="C709" s="134">
        <v>70</v>
      </c>
      <c r="D709" s="138" t="s">
        <v>86</v>
      </c>
      <c r="E709" s="138" t="s">
        <v>630</v>
      </c>
      <c r="F709" s="135" t="s">
        <v>620</v>
      </c>
      <c r="G709" s="274">
        <v>4</v>
      </c>
      <c r="H709" s="261">
        <v>4630</v>
      </c>
      <c r="I709" s="261">
        <v>18519</v>
      </c>
      <c r="J709" s="261">
        <v>0</v>
      </c>
      <c r="K709" s="261">
        <f t="shared" si="22"/>
        <v>18519</v>
      </c>
      <c r="L709" s="261">
        <v>1481</v>
      </c>
      <c r="M709" s="261">
        <f t="shared" si="23"/>
        <v>20000</v>
      </c>
      <c r="N709" s="137">
        <v>3.0000000000000001E-3</v>
      </c>
    </row>
    <row r="710" spans="1:14" ht="18" customHeight="1">
      <c r="A710" s="134">
        <v>10</v>
      </c>
      <c r="B710" s="135" t="s">
        <v>98</v>
      </c>
      <c r="C710" s="134">
        <v>71</v>
      </c>
      <c r="D710" s="138" t="s">
        <v>86</v>
      </c>
      <c r="E710" s="138" t="s">
        <v>631</v>
      </c>
      <c r="F710" s="135" t="s">
        <v>620</v>
      </c>
      <c r="G710" s="274">
        <v>2</v>
      </c>
      <c r="H710" s="261">
        <v>5556</v>
      </c>
      <c r="I710" s="261">
        <v>11111</v>
      </c>
      <c r="J710" s="261">
        <v>0</v>
      </c>
      <c r="K710" s="261">
        <f t="shared" si="22"/>
        <v>11111</v>
      </c>
      <c r="L710" s="261">
        <v>889</v>
      </c>
      <c r="M710" s="261">
        <f t="shared" si="23"/>
        <v>12000</v>
      </c>
      <c r="N710" s="137">
        <v>1.8E-3</v>
      </c>
    </row>
    <row r="711" spans="1:14" ht="18" customHeight="1">
      <c r="A711" s="134">
        <v>10</v>
      </c>
      <c r="B711" s="135" t="s">
        <v>98</v>
      </c>
      <c r="C711" s="134">
        <v>83</v>
      </c>
      <c r="D711" s="138" t="s">
        <v>82</v>
      </c>
      <c r="E711" s="138" t="s">
        <v>632</v>
      </c>
      <c r="F711" s="135" t="s">
        <v>620</v>
      </c>
      <c r="G711" s="274">
        <v>6</v>
      </c>
      <c r="H711" s="261">
        <v>20833</v>
      </c>
      <c r="I711" s="261">
        <v>125000</v>
      </c>
      <c r="J711" s="261">
        <v>0</v>
      </c>
      <c r="K711" s="261">
        <f t="shared" si="22"/>
        <v>125000</v>
      </c>
      <c r="L711" s="261">
        <v>10000</v>
      </c>
      <c r="M711" s="261">
        <f t="shared" si="23"/>
        <v>135000</v>
      </c>
      <c r="N711" s="137">
        <v>2.0400000000000001E-2</v>
      </c>
    </row>
    <row r="712" spans="1:14" ht="18" customHeight="1">
      <c r="A712" s="134">
        <v>10</v>
      </c>
      <c r="B712" s="135" t="s">
        <v>98</v>
      </c>
      <c r="C712" s="134">
        <v>37</v>
      </c>
      <c r="D712" s="138" t="s">
        <v>82</v>
      </c>
      <c r="E712" s="138" t="s">
        <v>720</v>
      </c>
      <c r="F712" s="135" t="s">
        <v>620</v>
      </c>
      <c r="G712" s="274">
        <v>1</v>
      </c>
      <c r="H712" s="261">
        <v>8333</v>
      </c>
      <c r="I712" s="261">
        <v>8333</v>
      </c>
      <c r="J712" s="261">
        <v>0</v>
      </c>
      <c r="K712" s="261">
        <f t="shared" si="22"/>
        <v>8333</v>
      </c>
      <c r="L712" s="261">
        <v>667</v>
      </c>
      <c r="M712" s="261">
        <f t="shared" si="23"/>
        <v>9000</v>
      </c>
      <c r="N712" s="137">
        <v>1.4E-3</v>
      </c>
    </row>
    <row r="713" spans="1:14" ht="18" customHeight="1">
      <c r="A713" s="134">
        <v>10</v>
      </c>
      <c r="B713" s="135" t="s">
        <v>98</v>
      </c>
      <c r="C713" s="134">
        <v>41</v>
      </c>
      <c r="D713" s="138" t="s">
        <v>82</v>
      </c>
      <c r="E713" s="138" t="s">
        <v>163</v>
      </c>
      <c r="F713" s="135" t="s">
        <v>620</v>
      </c>
      <c r="G713" s="274">
        <v>3</v>
      </c>
      <c r="H713" s="261">
        <v>49074</v>
      </c>
      <c r="I713" s="261">
        <v>147222</v>
      </c>
      <c r="J713" s="261">
        <v>0</v>
      </c>
      <c r="K713" s="261">
        <f t="shared" si="22"/>
        <v>147222</v>
      </c>
      <c r="L713" s="261">
        <v>11778</v>
      </c>
      <c r="M713" s="261">
        <f t="shared" si="23"/>
        <v>159000</v>
      </c>
      <c r="N713" s="137">
        <v>2.41E-2</v>
      </c>
    </row>
    <row r="714" spans="1:14" ht="18" customHeight="1">
      <c r="A714" s="134">
        <v>10</v>
      </c>
      <c r="B714" s="135" t="s">
        <v>98</v>
      </c>
      <c r="C714" s="134">
        <v>122</v>
      </c>
      <c r="D714" s="138" t="s">
        <v>86</v>
      </c>
      <c r="E714" s="138" t="s">
        <v>634</v>
      </c>
      <c r="F714" s="135" t="s">
        <v>620</v>
      </c>
      <c r="G714" s="274">
        <v>4</v>
      </c>
      <c r="H714" s="261">
        <v>2778</v>
      </c>
      <c r="I714" s="261">
        <v>11111</v>
      </c>
      <c r="J714" s="261">
        <v>0</v>
      </c>
      <c r="K714" s="261">
        <f t="shared" si="22"/>
        <v>11111</v>
      </c>
      <c r="L714" s="261">
        <v>889</v>
      </c>
      <c r="M714" s="261">
        <f t="shared" si="23"/>
        <v>12000</v>
      </c>
      <c r="N714" s="137">
        <v>1.8E-3</v>
      </c>
    </row>
    <row r="715" spans="1:14" ht="18" customHeight="1">
      <c r="A715" s="134">
        <v>10</v>
      </c>
      <c r="B715" s="135" t="s">
        <v>98</v>
      </c>
      <c r="C715" s="134">
        <v>247</v>
      </c>
      <c r="D715" s="138" t="s">
        <v>82</v>
      </c>
      <c r="E715" s="138" t="s">
        <v>700</v>
      </c>
      <c r="F715" s="135" t="s">
        <v>620</v>
      </c>
      <c r="G715" s="274">
        <v>1</v>
      </c>
      <c r="H715" s="261">
        <v>3056</v>
      </c>
      <c r="I715" s="261">
        <v>3056</v>
      </c>
      <c r="J715" s="261">
        <v>0</v>
      </c>
      <c r="K715" s="261">
        <f t="shared" si="22"/>
        <v>3056</v>
      </c>
      <c r="L715" s="261">
        <v>244</v>
      </c>
      <c r="M715" s="261">
        <f t="shared" si="23"/>
        <v>3300</v>
      </c>
      <c r="N715" s="137">
        <v>5.0000000000000001E-4</v>
      </c>
    </row>
    <row r="716" spans="1:14" ht="18" customHeight="1">
      <c r="A716" s="134">
        <v>10</v>
      </c>
      <c r="B716" s="135" t="s">
        <v>98</v>
      </c>
      <c r="C716" s="134">
        <v>110</v>
      </c>
      <c r="D716" s="138" t="s">
        <v>94</v>
      </c>
      <c r="E716" s="138" t="s">
        <v>635</v>
      </c>
      <c r="F716" s="135" t="s">
        <v>620</v>
      </c>
      <c r="G716" s="274">
        <v>13</v>
      </c>
      <c r="H716" s="261">
        <v>926</v>
      </c>
      <c r="I716" s="261">
        <v>12037</v>
      </c>
      <c r="J716" s="261">
        <v>0</v>
      </c>
      <c r="K716" s="261">
        <f t="shared" si="22"/>
        <v>12037</v>
      </c>
      <c r="L716" s="261">
        <v>963</v>
      </c>
      <c r="M716" s="261">
        <f t="shared" si="23"/>
        <v>13000</v>
      </c>
      <c r="N716" s="137">
        <v>2E-3</v>
      </c>
    </row>
    <row r="717" spans="1:14" ht="18" customHeight="1">
      <c r="A717" s="134">
        <v>10</v>
      </c>
      <c r="B717" s="135" t="s">
        <v>98</v>
      </c>
      <c r="C717" s="134">
        <v>102</v>
      </c>
      <c r="D717" s="138" t="s">
        <v>82</v>
      </c>
      <c r="E717" s="138" t="s">
        <v>684</v>
      </c>
      <c r="F717" s="135" t="s">
        <v>620</v>
      </c>
      <c r="G717" s="274">
        <v>1</v>
      </c>
      <c r="H717" s="261">
        <v>6540</v>
      </c>
      <c r="I717" s="261">
        <v>6944</v>
      </c>
      <c r="J717" s="261">
        <v>405</v>
      </c>
      <c r="K717" s="261">
        <f t="shared" si="22"/>
        <v>6539</v>
      </c>
      <c r="L717" s="261">
        <v>523</v>
      </c>
      <c r="M717" s="261">
        <f t="shared" si="23"/>
        <v>7062</v>
      </c>
      <c r="N717" s="137">
        <v>1.1000000000000001E-3</v>
      </c>
    </row>
    <row r="718" spans="1:14" ht="18" customHeight="1">
      <c r="A718" s="134">
        <v>10</v>
      </c>
      <c r="B718" s="135" t="s">
        <v>98</v>
      </c>
      <c r="C718" s="134">
        <v>26</v>
      </c>
      <c r="D718" s="138" t="s">
        <v>82</v>
      </c>
      <c r="E718" s="138" t="s">
        <v>702</v>
      </c>
      <c r="F718" s="135" t="s">
        <v>620</v>
      </c>
      <c r="G718" s="274">
        <v>4</v>
      </c>
      <c r="H718" s="261">
        <v>18519</v>
      </c>
      <c r="I718" s="261">
        <v>74074</v>
      </c>
      <c r="J718" s="261">
        <v>0</v>
      </c>
      <c r="K718" s="261">
        <f t="shared" si="22"/>
        <v>74074</v>
      </c>
      <c r="L718" s="261">
        <v>5926</v>
      </c>
      <c r="M718" s="261">
        <f t="shared" si="23"/>
        <v>80000</v>
      </c>
      <c r="N718" s="137">
        <v>1.21E-2</v>
      </c>
    </row>
    <row r="719" spans="1:14" ht="18" customHeight="1">
      <c r="A719" s="134">
        <v>10</v>
      </c>
      <c r="B719" s="135" t="s">
        <v>98</v>
      </c>
      <c r="C719" s="134">
        <v>45</v>
      </c>
      <c r="D719" s="138" t="s">
        <v>82</v>
      </c>
      <c r="E719" s="138" t="s">
        <v>636</v>
      </c>
      <c r="F719" s="135" t="s">
        <v>620</v>
      </c>
      <c r="G719" s="274">
        <v>2</v>
      </c>
      <c r="H719" s="261">
        <v>35648</v>
      </c>
      <c r="I719" s="261">
        <v>71296</v>
      </c>
      <c r="J719" s="261">
        <v>0</v>
      </c>
      <c r="K719" s="261">
        <f t="shared" si="22"/>
        <v>71296</v>
      </c>
      <c r="L719" s="261">
        <v>5704</v>
      </c>
      <c r="M719" s="261">
        <f t="shared" si="23"/>
        <v>77000</v>
      </c>
      <c r="N719" s="137">
        <v>1.17E-2</v>
      </c>
    </row>
    <row r="720" spans="1:14" ht="18" customHeight="1">
      <c r="A720" s="134">
        <v>10</v>
      </c>
      <c r="B720" s="135" t="s">
        <v>98</v>
      </c>
      <c r="C720" s="134">
        <v>30</v>
      </c>
      <c r="D720" s="138" t="s">
        <v>90</v>
      </c>
      <c r="E720" s="138" t="s">
        <v>637</v>
      </c>
      <c r="F720" s="135" t="s">
        <v>620</v>
      </c>
      <c r="G720" s="274">
        <v>6</v>
      </c>
      <c r="H720" s="261">
        <v>6481</v>
      </c>
      <c r="I720" s="261">
        <v>38889</v>
      </c>
      <c r="J720" s="261">
        <v>0</v>
      </c>
      <c r="K720" s="261">
        <f t="shared" si="22"/>
        <v>38889</v>
      </c>
      <c r="L720" s="261">
        <v>3111</v>
      </c>
      <c r="M720" s="261">
        <f t="shared" si="23"/>
        <v>42000</v>
      </c>
      <c r="N720" s="137">
        <v>6.4000000000000003E-3</v>
      </c>
    </row>
    <row r="721" spans="1:14" ht="18" customHeight="1">
      <c r="A721" s="134">
        <v>10</v>
      </c>
      <c r="B721" s="135" t="s">
        <v>98</v>
      </c>
      <c r="C721" s="134">
        <v>94</v>
      </c>
      <c r="D721" s="138" t="s">
        <v>84</v>
      </c>
      <c r="E721" s="138" t="s">
        <v>145</v>
      </c>
      <c r="F721" s="135" t="s">
        <v>620</v>
      </c>
      <c r="G721" s="274">
        <v>12</v>
      </c>
      <c r="H721" s="261">
        <v>18596</v>
      </c>
      <c r="I721" s="261">
        <v>223148</v>
      </c>
      <c r="J721" s="261">
        <v>0</v>
      </c>
      <c r="K721" s="261">
        <f t="shared" si="22"/>
        <v>223148</v>
      </c>
      <c r="L721" s="261">
        <v>17852</v>
      </c>
      <c r="M721" s="261">
        <f t="shared" si="23"/>
        <v>241000</v>
      </c>
      <c r="N721" s="137">
        <v>3.6499999999999998E-2</v>
      </c>
    </row>
    <row r="722" spans="1:14" ht="18" customHeight="1">
      <c r="A722" s="134">
        <v>10</v>
      </c>
      <c r="B722" s="135" t="s">
        <v>98</v>
      </c>
      <c r="C722" s="134">
        <v>233</v>
      </c>
      <c r="D722" s="138" t="s">
        <v>84</v>
      </c>
      <c r="E722" s="138" t="s">
        <v>112</v>
      </c>
      <c r="F722" s="135" t="s">
        <v>620</v>
      </c>
      <c r="G722" s="274">
        <v>13</v>
      </c>
      <c r="H722" s="261">
        <v>18661</v>
      </c>
      <c r="I722" s="261">
        <v>242593</v>
      </c>
      <c r="J722" s="261">
        <v>0</v>
      </c>
      <c r="K722" s="261">
        <f t="shared" si="22"/>
        <v>242593</v>
      </c>
      <c r="L722" s="261">
        <v>19407</v>
      </c>
      <c r="M722" s="261">
        <f t="shared" si="23"/>
        <v>262000</v>
      </c>
      <c r="N722" s="137">
        <v>3.9699999999999999E-2</v>
      </c>
    </row>
    <row r="723" spans="1:14" ht="18" customHeight="1">
      <c r="A723" s="134">
        <v>10</v>
      </c>
      <c r="B723" s="135" t="s">
        <v>98</v>
      </c>
      <c r="C723" s="134">
        <v>217</v>
      </c>
      <c r="D723" s="138" t="s">
        <v>84</v>
      </c>
      <c r="E723" s="138" t="s">
        <v>639</v>
      </c>
      <c r="F723" s="135" t="s">
        <v>620</v>
      </c>
      <c r="G723" s="274">
        <v>2</v>
      </c>
      <c r="H723" s="261">
        <v>27778</v>
      </c>
      <c r="I723" s="261">
        <v>55556</v>
      </c>
      <c r="J723" s="261">
        <v>0</v>
      </c>
      <c r="K723" s="261">
        <f t="shared" si="22"/>
        <v>55556</v>
      </c>
      <c r="L723" s="261">
        <v>4444</v>
      </c>
      <c r="M723" s="261">
        <f t="shared" si="23"/>
        <v>60000</v>
      </c>
      <c r="N723" s="137">
        <v>9.1000000000000004E-3</v>
      </c>
    </row>
    <row r="724" spans="1:14" ht="18" customHeight="1">
      <c r="A724" s="134">
        <v>10</v>
      </c>
      <c r="B724" s="135" t="s">
        <v>98</v>
      </c>
      <c r="C724" s="134">
        <v>218</v>
      </c>
      <c r="D724" s="138" t="s">
        <v>84</v>
      </c>
      <c r="E724" s="138" t="s">
        <v>640</v>
      </c>
      <c r="F724" s="135" t="s">
        <v>620</v>
      </c>
      <c r="G724" s="274">
        <v>6</v>
      </c>
      <c r="H724" s="261">
        <v>19444</v>
      </c>
      <c r="I724" s="261">
        <v>116667</v>
      </c>
      <c r="J724" s="261">
        <v>0</v>
      </c>
      <c r="K724" s="261">
        <f t="shared" si="22"/>
        <v>116667</v>
      </c>
      <c r="L724" s="261">
        <v>9333</v>
      </c>
      <c r="M724" s="261">
        <f t="shared" si="23"/>
        <v>126000</v>
      </c>
      <c r="N724" s="137">
        <v>1.9099999999999999E-2</v>
      </c>
    </row>
    <row r="725" spans="1:14" ht="18" customHeight="1">
      <c r="A725" s="134">
        <v>10</v>
      </c>
      <c r="B725" s="135" t="s">
        <v>98</v>
      </c>
      <c r="C725" s="134">
        <v>34</v>
      </c>
      <c r="D725" s="138" t="s">
        <v>86</v>
      </c>
      <c r="E725" s="138" t="s">
        <v>641</v>
      </c>
      <c r="F725" s="135" t="s">
        <v>620</v>
      </c>
      <c r="G725" s="274">
        <v>2</v>
      </c>
      <c r="H725" s="261">
        <v>6481</v>
      </c>
      <c r="I725" s="261">
        <v>12963</v>
      </c>
      <c r="J725" s="261">
        <v>0</v>
      </c>
      <c r="K725" s="261">
        <f t="shared" si="22"/>
        <v>12963</v>
      </c>
      <c r="L725" s="261">
        <v>1037</v>
      </c>
      <c r="M725" s="261">
        <f t="shared" si="23"/>
        <v>14000</v>
      </c>
      <c r="N725" s="137">
        <v>2.0999999999999999E-3</v>
      </c>
    </row>
    <row r="726" spans="1:14" ht="18" customHeight="1">
      <c r="A726" s="134">
        <v>10</v>
      </c>
      <c r="B726" s="135" t="s">
        <v>98</v>
      </c>
      <c r="C726" s="134">
        <v>121</v>
      </c>
      <c r="D726" s="138" t="s">
        <v>86</v>
      </c>
      <c r="E726" s="138" t="s">
        <v>642</v>
      </c>
      <c r="F726" s="135" t="s">
        <v>620</v>
      </c>
      <c r="G726" s="274">
        <v>3</v>
      </c>
      <c r="H726" s="261">
        <v>2778</v>
      </c>
      <c r="I726" s="261">
        <v>8333</v>
      </c>
      <c r="J726" s="261">
        <v>0</v>
      </c>
      <c r="K726" s="261">
        <f t="shared" si="22"/>
        <v>8333</v>
      </c>
      <c r="L726" s="261">
        <v>667</v>
      </c>
      <c r="M726" s="261">
        <f t="shared" si="23"/>
        <v>9000</v>
      </c>
      <c r="N726" s="137">
        <v>1.4E-3</v>
      </c>
    </row>
    <row r="727" spans="1:14" ht="18" customHeight="1">
      <c r="A727" s="134">
        <v>10</v>
      </c>
      <c r="B727" s="135" t="s">
        <v>98</v>
      </c>
      <c r="C727" s="134">
        <v>208</v>
      </c>
      <c r="D727" s="138" t="s">
        <v>86</v>
      </c>
      <c r="E727" s="138" t="s">
        <v>643</v>
      </c>
      <c r="F727" s="135" t="s">
        <v>620</v>
      </c>
      <c r="G727" s="274">
        <v>11</v>
      </c>
      <c r="H727" s="261">
        <v>3704</v>
      </c>
      <c r="I727" s="261">
        <v>40741</v>
      </c>
      <c r="J727" s="261">
        <v>0</v>
      </c>
      <c r="K727" s="261">
        <f t="shared" si="22"/>
        <v>40741</v>
      </c>
      <c r="L727" s="261">
        <v>3259</v>
      </c>
      <c r="M727" s="261">
        <f t="shared" si="23"/>
        <v>44000</v>
      </c>
      <c r="N727" s="137">
        <v>6.7000000000000002E-3</v>
      </c>
    </row>
    <row r="728" spans="1:14" ht="18" customHeight="1">
      <c r="A728" s="134">
        <v>10</v>
      </c>
      <c r="B728" s="135" t="s">
        <v>98</v>
      </c>
      <c r="C728" s="134">
        <v>90</v>
      </c>
      <c r="D728" s="138" t="s">
        <v>86</v>
      </c>
      <c r="E728" s="138" t="s">
        <v>439</v>
      </c>
      <c r="F728" s="135" t="s">
        <v>620</v>
      </c>
      <c r="G728" s="274">
        <v>1</v>
      </c>
      <c r="H728" s="261">
        <v>4259</v>
      </c>
      <c r="I728" s="261">
        <v>4259</v>
      </c>
      <c r="J728" s="261">
        <v>0</v>
      </c>
      <c r="K728" s="261">
        <f t="shared" si="22"/>
        <v>4259</v>
      </c>
      <c r="L728" s="261">
        <v>341</v>
      </c>
      <c r="M728" s="261">
        <f t="shared" si="23"/>
        <v>4600</v>
      </c>
      <c r="N728" s="137">
        <v>7.000000000000001E-4</v>
      </c>
    </row>
    <row r="729" spans="1:14" ht="18" customHeight="1">
      <c r="A729" s="134">
        <v>10</v>
      </c>
      <c r="B729" s="135" t="s">
        <v>98</v>
      </c>
      <c r="C729" s="134">
        <v>123</v>
      </c>
      <c r="D729" s="138" t="s">
        <v>86</v>
      </c>
      <c r="E729" s="138" t="s">
        <v>644</v>
      </c>
      <c r="F729" s="135" t="s">
        <v>620</v>
      </c>
      <c r="G729" s="274">
        <v>3</v>
      </c>
      <c r="H729" s="261">
        <v>2778</v>
      </c>
      <c r="I729" s="261">
        <v>8333</v>
      </c>
      <c r="J729" s="261">
        <v>0</v>
      </c>
      <c r="K729" s="261">
        <f t="shared" si="22"/>
        <v>8333</v>
      </c>
      <c r="L729" s="261">
        <v>667</v>
      </c>
      <c r="M729" s="261">
        <f t="shared" si="23"/>
        <v>9000</v>
      </c>
      <c r="N729" s="137">
        <v>1.4E-3</v>
      </c>
    </row>
    <row r="730" spans="1:14" ht="18" customHeight="1">
      <c r="A730" s="134">
        <v>10</v>
      </c>
      <c r="B730" s="135" t="s">
        <v>98</v>
      </c>
      <c r="C730" s="134">
        <v>31</v>
      </c>
      <c r="D730" s="138" t="s">
        <v>90</v>
      </c>
      <c r="E730" s="138" t="s">
        <v>645</v>
      </c>
      <c r="F730" s="135" t="s">
        <v>620</v>
      </c>
      <c r="G730" s="274">
        <v>12</v>
      </c>
      <c r="H730" s="261">
        <v>1192</v>
      </c>
      <c r="I730" s="261">
        <v>14444</v>
      </c>
      <c r="J730" s="261">
        <v>140</v>
      </c>
      <c r="K730" s="261">
        <f t="shared" si="22"/>
        <v>14304</v>
      </c>
      <c r="L730" s="261">
        <v>1144</v>
      </c>
      <c r="M730" s="261">
        <f t="shared" si="23"/>
        <v>15448</v>
      </c>
      <c r="N730" s="137">
        <v>2.3E-3</v>
      </c>
    </row>
    <row r="731" spans="1:14" ht="18" customHeight="1">
      <c r="A731" s="134">
        <v>10</v>
      </c>
      <c r="B731" s="135" t="s">
        <v>98</v>
      </c>
      <c r="C731" s="134">
        <v>202</v>
      </c>
      <c r="D731" s="138" t="s">
        <v>86</v>
      </c>
      <c r="E731" s="138" t="s">
        <v>723</v>
      </c>
      <c r="F731" s="135" t="s">
        <v>620</v>
      </c>
      <c r="G731" s="274">
        <v>1</v>
      </c>
      <c r="H731" s="261">
        <v>32407</v>
      </c>
      <c r="I731" s="261">
        <v>32407</v>
      </c>
      <c r="J731" s="261">
        <v>0</v>
      </c>
      <c r="K731" s="261">
        <f t="shared" si="22"/>
        <v>32407</v>
      </c>
      <c r="L731" s="261">
        <v>2593</v>
      </c>
      <c r="M731" s="261">
        <f t="shared" si="23"/>
        <v>35000</v>
      </c>
      <c r="N731" s="137">
        <v>5.3E-3</v>
      </c>
    </row>
    <row r="732" spans="1:14" ht="18" customHeight="1">
      <c r="A732" s="134">
        <v>10</v>
      </c>
      <c r="B732" s="135" t="s">
        <v>98</v>
      </c>
      <c r="C732" s="134">
        <v>212</v>
      </c>
      <c r="D732" s="138" t="s">
        <v>86</v>
      </c>
      <c r="E732" s="138" t="s">
        <v>160</v>
      </c>
      <c r="F732" s="135" t="s">
        <v>620</v>
      </c>
      <c r="G732" s="274">
        <v>1</v>
      </c>
      <c r="H732" s="261">
        <v>22222</v>
      </c>
      <c r="I732" s="261">
        <v>22222</v>
      </c>
      <c r="J732" s="261">
        <v>0</v>
      </c>
      <c r="K732" s="261">
        <f t="shared" si="22"/>
        <v>22222</v>
      </c>
      <c r="L732" s="261">
        <v>1778</v>
      </c>
      <c r="M732" s="261">
        <f t="shared" si="23"/>
        <v>24000</v>
      </c>
      <c r="N732" s="137">
        <v>3.5999999999999999E-3</v>
      </c>
    </row>
    <row r="733" spans="1:14" ht="18" customHeight="1">
      <c r="A733" s="134">
        <v>10</v>
      </c>
      <c r="B733" s="135" t="s">
        <v>98</v>
      </c>
      <c r="C733" s="134">
        <v>74</v>
      </c>
      <c r="D733" s="138" t="s">
        <v>86</v>
      </c>
      <c r="E733" s="138" t="s">
        <v>686</v>
      </c>
      <c r="F733" s="135" t="s">
        <v>620</v>
      </c>
      <c r="G733" s="274">
        <v>2</v>
      </c>
      <c r="H733" s="261">
        <v>6481</v>
      </c>
      <c r="I733" s="261">
        <v>12963</v>
      </c>
      <c r="J733" s="261">
        <v>0</v>
      </c>
      <c r="K733" s="261">
        <f t="shared" si="22"/>
        <v>12963</v>
      </c>
      <c r="L733" s="261">
        <v>1037</v>
      </c>
      <c r="M733" s="261">
        <f t="shared" si="23"/>
        <v>14000</v>
      </c>
      <c r="N733" s="137">
        <v>2.0999999999999999E-3</v>
      </c>
    </row>
    <row r="734" spans="1:14" ht="18" customHeight="1">
      <c r="A734" s="134">
        <v>10</v>
      </c>
      <c r="B734" s="135" t="s">
        <v>98</v>
      </c>
      <c r="C734" s="134">
        <v>235</v>
      </c>
      <c r="D734" s="138" t="s">
        <v>86</v>
      </c>
      <c r="E734" s="138" t="s">
        <v>687</v>
      </c>
      <c r="F734" s="135" t="s">
        <v>620</v>
      </c>
      <c r="G734" s="274">
        <v>8</v>
      </c>
      <c r="H734" s="261">
        <v>3426</v>
      </c>
      <c r="I734" s="261">
        <v>27407</v>
      </c>
      <c r="J734" s="261">
        <v>0</v>
      </c>
      <c r="K734" s="261">
        <f t="shared" si="22"/>
        <v>27407</v>
      </c>
      <c r="L734" s="261">
        <v>2193</v>
      </c>
      <c r="M734" s="261">
        <f t="shared" si="23"/>
        <v>29600</v>
      </c>
      <c r="N734" s="137">
        <v>4.5000000000000014E-3</v>
      </c>
    </row>
    <row r="735" spans="1:14" ht="18" customHeight="1">
      <c r="A735" s="134">
        <v>10</v>
      </c>
      <c r="B735" s="135" t="s">
        <v>98</v>
      </c>
      <c r="C735" s="134">
        <v>501</v>
      </c>
      <c r="D735" s="138" t="s">
        <v>86</v>
      </c>
      <c r="E735" s="138" t="s">
        <v>646</v>
      </c>
      <c r="F735" s="135" t="s">
        <v>620</v>
      </c>
      <c r="G735" s="274">
        <v>2</v>
      </c>
      <c r="H735" s="261">
        <v>22222</v>
      </c>
      <c r="I735" s="261">
        <v>44444</v>
      </c>
      <c r="J735" s="261">
        <v>0</v>
      </c>
      <c r="K735" s="261">
        <f t="shared" si="22"/>
        <v>44444</v>
      </c>
      <c r="L735" s="261">
        <v>3556</v>
      </c>
      <c r="M735" s="261">
        <f t="shared" si="23"/>
        <v>48000</v>
      </c>
      <c r="N735" s="137">
        <v>7.3000000000000001E-3</v>
      </c>
    </row>
    <row r="736" spans="1:14" ht="18" customHeight="1">
      <c r="A736" s="134">
        <v>10</v>
      </c>
      <c r="B736" s="135" t="s">
        <v>98</v>
      </c>
      <c r="C736" s="134">
        <v>16</v>
      </c>
      <c r="D736" s="138" t="s">
        <v>82</v>
      </c>
      <c r="E736" s="138" t="s">
        <v>747</v>
      </c>
      <c r="F736" s="135" t="s">
        <v>620</v>
      </c>
      <c r="G736" s="274">
        <v>15</v>
      </c>
      <c r="H736" s="261">
        <v>18765</v>
      </c>
      <c r="I736" s="261">
        <v>281481</v>
      </c>
      <c r="J736" s="261">
        <v>0</v>
      </c>
      <c r="K736" s="261">
        <f t="shared" si="22"/>
        <v>281481</v>
      </c>
      <c r="L736" s="261">
        <v>22519</v>
      </c>
      <c r="M736" s="261">
        <f t="shared" si="23"/>
        <v>304000</v>
      </c>
      <c r="N736" s="137">
        <v>4.5999999999999999E-2</v>
      </c>
    </row>
    <row r="737" spans="1:14" ht="18" customHeight="1">
      <c r="A737" s="134">
        <v>10</v>
      </c>
      <c r="B737" s="135" t="s">
        <v>98</v>
      </c>
      <c r="C737" s="134">
        <v>118</v>
      </c>
      <c r="D737" s="138" t="s">
        <v>82</v>
      </c>
      <c r="E737" s="138" t="s">
        <v>121</v>
      </c>
      <c r="F737" s="135" t="s">
        <v>620</v>
      </c>
      <c r="G737" s="274">
        <v>4</v>
      </c>
      <c r="H737" s="261">
        <v>41667</v>
      </c>
      <c r="I737" s="261">
        <v>166667</v>
      </c>
      <c r="J737" s="261">
        <v>0</v>
      </c>
      <c r="K737" s="261">
        <f t="shared" si="22"/>
        <v>166667</v>
      </c>
      <c r="L737" s="261">
        <v>13333</v>
      </c>
      <c r="M737" s="261">
        <f t="shared" si="23"/>
        <v>180000</v>
      </c>
      <c r="N737" s="137">
        <v>2.7199999999999998E-2</v>
      </c>
    </row>
    <row r="738" spans="1:14" ht="18" customHeight="1">
      <c r="A738" s="134">
        <v>10</v>
      </c>
      <c r="B738" s="135" t="s">
        <v>98</v>
      </c>
      <c r="C738" s="134">
        <v>204</v>
      </c>
      <c r="D738" s="138" t="s">
        <v>86</v>
      </c>
      <c r="E738" s="138" t="s">
        <v>648</v>
      </c>
      <c r="F738" s="135" t="s">
        <v>620</v>
      </c>
      <c r="G738" s="274">
        <v>2</v>
      </c>
      <c r="H738" s="261">
        <v>12037</v>
      </c>
      <c r="I738" s="261">
        <v>24074</v>
      </c>
      <c r="J738" s="261">
        <v>0</v>
      </c>
      <c r="K738" s="261">
        <f t="shared" si="22"/>
        <v>24074</v>
      </c>
      <c r="L738" s="261">
        <v>1926</v>
      </c>
      <c r="M738" s="261">
        <f t="shared" si="23"/>
        <v>26000</v>
      </c>
      <c r="N738" s="137">
        <v>3.8999999999999998E-3</v>
      </c>
    </row>
    <row r="739" spans="1:14" ht="18" customHeight="1">
      <c r="A739" s="134">
        <v>10</v>
      </c>
      <c r="B739" s="135" t="s">
        <v>98</v>
      </c>
      <c r="C739" s="134">
        <v>147</v>
      </c>
      <c r="D739" s="138" t="s">
        <v>86</v>
      </c>
      <c r="E739" s="138" t="s">
        <v>649</v>
      </c>
      <c r="F739" s="135" t="s">
        <v>620</v>
      </c>
      <c r="G739" s="274">
        <v>2</v>
      </c>
      <c r="H739" s="261">
        <v>6481</v>
      </c>
      <c r="I739" s="261">
        <v>12963</v>
      </c>
      <c r="J739" s="261">
        <v>0</v>
      </c>
      <c r="K739" s="261">
        <f t="shared" si="22"/>
        <v>12963</v>
      </c>
      <c r="L739" s="261">
        <v>1037</v>
      </c>
      <c r="M739" s="261">
        <f t="shared" si="23"/>
        <v>14000</v>
      </c>
      <c r="N739" s="137">
        <v>2.0999999999999999E-3</v>
      </c>
    </row>
    <row r="740" spans="1:14" ht="18" customHeight="1">
      <c r="A740" s="134">
        <v>10</v>
      </c>
      <c r="B740" s="135" t="s">
        <v>98</v>
      </c>
      <c r="C740" s="134">
        <v>46</v>
      </c>
      <c r="D740" s="138" t="s">
        <v>82</v>
      </c>
      <c r="E740" s="138" t="s">
        <v>650</v>
      </c>
      <c r="F740" s="135" t="s">
        <v>620</v>
      </c>
      <c r="G740" s="274">
        <v>2</v>
      </c>
      <c r="H740" s="261">
        <v>35648</v>
      </c>
      <c r="I740" s="261">
        <v>71296</v>
      </c>
      <c r="J740" s="261">
        <v>0</v>
      </c>
      <c r="K740" s="261">
        <f t="shared" si="22"/>
        <v>71296</v>
      </c>
      <c r="L740" s="261">
        <v>5704</v>
      </c>
      <c r="M740" s="261">
        <f t="shared" si="23"/>
        <v>77000</v>
      </c>
      <c r="N740" s="137">
        <v>1.17E-2</v>
      </c>
    </row>
    <row r="741" spans="1:14" ht="18" customHeight="1">
      <c r="A741" s="134">
        <v>10</v>
      </c>
      <c r="B741" s="135" t="s">
        <v>98</v>
      </c>
      <c r="C741" s="134">
        <v>72</v>
      </c>
      <c r="D741" s="138" t="s">
        <v>92</v>
      </c>
      <c r="E741" s="138" t="s">
        <v>651</v>
      </c>
      <c r="F741" s="135" t="s">
        <v>620</v>
      </c>
      <c r="G741" s="274">
        <v>6</v>
      </c>
      <c r="H741" s="261">
        <v>3704</v>
      </c>
      <c r="I741" s="261">
        <v>22222</v>
      </c>
      <c r="J741" s="261">
        <v>0</v>
      </c>
      <c r="K741" s="261">
        <f t="shared" si="22"/>
        <v>22222</v>
      </c>
      <c r="L741" s="261">
        <v>1778</v>
      </c>
      <c r="M741" s="261">
        <f t="shared" si="23"/>
        <v>24000</v>
      </c>
      <c r="N741" s="137">
        <v>3.5999999999999999E-3</v>
      </c>
    </row>
    <row r="742" spans="1:14" ht="18" customHeight="1">
      <c r="A742" s="134">
        <v>10</v>
      </c>
      <c r="B742" s="135" t="s">
        <v>98</v>
      </c>
      <c r="C742" s="134">
        <v>227</v>
      </c>
      <c r="D742" s="138" t="s">
        <v>82</v>
      </c>
      <c r="E742" s="138" t="s">
        <v>704</v>
      </c>
      <c r="F742" s="135" t="s">
        <v>620</v>
      </c>
      <c r="G742" s="274">
        <v>2</v>
      </c>
      <c r="H742" s="261">
        <v>1389</v>
      </c>
      <c r="I742" s="261">
        <v>2778</v>
      </c>
      <c r="J742" s="261">
        <v>0</v>
      </c>
      <c r="K742" s="261">
        <f t="shared" si="22"/>
        <v>2778</v>
      </c>
      <c r="L742" s="261">
        <v>222</v>
      </c>
      <c r="M742" s="261">
        <f t="shared" si="23"/>
        <v>3000</v>
      </c>
      <c r="N742" s="137">
        <v>5.0000000000000001E-4</v>
      </c>
    </row>
    <row r="743" spans="1:14" ht="18" customHeight="1">
      <c r="A743" s="134">
        <v>10</v>
      </c>
      <c r="B743" s="135" t="s">
        <v>98</v>
      </c>
      <c r="C743" s="134">
        <v>101</v>
      </c>
      <c r="D743" s="138" t="s">
        <v>82</v>
      </c>
      <c r="E743" s="138" t="s">
        <v>653</v>
      </c>
      <c r="F743" s="135" t="s">
        <v>620</v>
      </c>
      <c r="G743" s="274">
        <v>1</v>
      </c>
      <c r="H743" s="261">
        <v>2315</v>
      </c>
      <c r="I743" s="261">
        <v>2315</v>
      </c>
      <c r="J743" s="261">
        <v>0</v>
      </c>
      <c r="K743" s="261">
        <f t="shared" si="22"/>
        <v>2315</v>
      </c>
      <c r="L743" s="261">
        <v>185</v>
      </c>
      <c r="M743" s="261">
        <f t="shared" si="23"/>
        <v>2500</v>
      </c>
      <c r="N743" s="137">
        <v>4.0000000000000002E-4</v>
      </c>
    </row>
    <row r="744" spans="1:14" ht="18" customHeight="1">
      <c r="A744" s="134">
        <v>10</v>
      </c>
      <c r="B744" s="135" t="s">
        <v>98</v>
      </c>
      <c r="C744" s="134">
        <v>93</v>
      </c>
      <c r="D744" s="138" t="s">
        <v>84</v>
      </c>
      <c r="E744" s="138" t="s">
        <v>118</v>
      </c>
      <c r="F744" s="135" t="s">
        <v>620</v>
      </c>
      <c r="G744" s="274">
        <v>86</v>
      </c>
      <c r="H744" s="261">
        <v>20343</v>
      </c>
      <c r="I744" s="261">
        <v>1751852</v>
      </c>
      <c r="J744" s="261">
        <v>2376</v>
      </c>
      <c r="K744" s="261">
        <f t="shared" si="22"/>
        <v>1749476</v>
      </c>
      <c r="L744" s="261">
        <v>139958</v>
      </c>
      <c r="M744" s="261">
        <f t="shared" si="23"/>
        <v>1889434</v>
      </c>
      <c r="N744" s="137">
        <v>0.28599999999999998</v>
      </c>
    </row>
    <row r="745" spans="1:14" ht="18" customHeight="1">
      <c r="A745" s="134">
        <v>10</v>
      </c>
      <c r="B745" s="135" t="s">
        <v>98</v>
      </c>
      <c r="C745" s="134">
        <v>119</v>
      </c>
      <c r="D745" s="138" t="s">
        <v>84</v>
      </c>
      <c r="E745" s="138" t="s">
        <v>109</v>
      </c>
      <c r="F745" s="135" t="s">
        <v>620</v>
      </c>
      <c r="G745" s="274">
        <v>5</v>
      </c>
      <c r="H745" s="261">
        <v>44444</v>
      </c>
      <c r="I745" s="261">
        <v>222222</v>
      </c>
      <c r="J745" s="261">
        <v>0</v>
      </c>
      <c r="K745" s="261">
        <f t="shared" si="22"/>
        <v>222222</v>
      </c>
      <c r="L745" s="261">
        <v>17778</v>
      </c>
      <c r="M745" s="261">
        <f t="shared" si="23"/>
        <v>240000</v>
      </c>
      <c r="N745" s="137">
        <v>3.6299999999999999E-2</v>
      </c>
    </row>
    <row r="746" spans="1:14" ht="18" customHeight="1">
      <c r="A746" s="134">
        <v>10</v>
      </c>
      <c r="B746" s="135" t="s">
        <v>98</v>
      </c>
      <c r="C746" s="134">
        <v>21</v>
      </c>
      <c r="D746" s="138" t="s">
        <v>90</v>
      </c>
      <c r="E746" s="138" t="s">
        <v>737</v>
      </c>
      <c r="F746" s="135" t="s">
        <v>620</v>
      </c>
      <c r="G746" s="274">
        <v>2</v>
      </c>
      <c r="H746" s="261">
        <v>7407</v>
      </c>
      <c r="I746" s="261">
        <v>14815</v>
      </c>
      <c r="J746" s="261">
        <v>0</v>
      </c>
      <c r="K746" s="261">
        <f t="shared" si="22"/>
        <v>14815</v>
      </c>
      <c r="L746" s="261">
        <v>1185</v>
      </c>
      <c r="M746" s="261">
        <f t="shared" si="23"/>
        <v>16000</v>
      </c>
      <c r="N746" s="137">
        <v>2.3999999999999998E-3</v>
      </c>
    </row>
    <row r="747" spans="1:14" ht="18" customHeight="1">
      <c r="A747" s="134">
        <v>10</v>
      </c>
      <c r="B747" s="135" t="s">
        <v>98</v>
      </c>
      <c r="C747" s="134">
        <v>20</v>
      </c>
      <c r="D747" s="138" t="s">
        <v>82</v>
      </c>
      <c r="E747" s="138" t="s">
        <v>705</v>
      </c>
      <c r="F747" s="135" t="s">
        <v>620</v>
      </c>
      <c r="G747" s="274">
        <v>1</v>
      </c>
      <c r="H747" s="261">
        <v>6481</v>
      </c>
      <c r="I747" s="261">
        <v>6481</v>
      </c>
      <c r="J747" s="261">
        <v>0</v>
      </c>
      <c r="K747" s="261">
        <f t="shared" si="22"/>
        <v>6481</v>
      </c>
      <c r="L747" s="261">
        <v>519</v>
      </c>
      <c r="M747" s="261">
        <f t="shared" si="23"/>
        <v>7000</v>
      </c>
      <c r="N747" s="137">
        <v>1.1000000000000001E-3</v>
      </c>
    </row>
    <row r="748" spans="1:14" ht="18" customHeight="1">
      <c r="A748" s="134">
        <v>10</v>
      </c>
      <c r="B748" s="135" t="s">
        <v>98</v>
      </c>
      <c r="C748" s="134">
        <v>77</v>
      </c>
      <c r="D748" s="138" t="s">
        <v>82</v>
      </c>
      <c r="E748" s="138" t="s">
        <v>655</v>
      </c>
      <c r="F748" s="135" t="s">
        <v>620</v>
      </c>
      <c r="G748" s="274">
        <v>1</v>
      </c>
      <c r="H748" s="261">
        <v>2778</v>
      </c>
      <c r="I748" s="261">
        <v>2778</v>
      </c>
      <c r="J748" s="261">
        <v>0</v>
      </c>
      <c r="K748" s="261">
        <f t="shared" si="22"/>
        <v>2778</v>
      </c>
      <c r="L748" s="261">
        <v>222</v>
      </c>
      <c r="M748" s="261">
        <f t="shared" si="23"/>
        <v>3000</v>
      </c>
      <c r="N748" s="137">
        <v>5.0000000000000001E-4</v>
      </c>
    </row>
    <row r="749" spans="1:14" ht="18" customHeight="1">
      <c r="A749" s="134">
        <v>10</v>
      </c>
      <c r="B749" s="135" t="s">
        <v>98</v>
      </c>
      <c r="C749" s="134">
        <v>111</v>
      </c>
      <c r="D749" s="138" t="s">
        <v>82</v>
      </c>
      <c r="E749" s="138" t="s">
        <v>727</v>
      </c>
      <c r="F749" s="135" t="s">
        <v>620</v>
      </c>
      <c r="G749" s="274">
        <v>0</v>
      </c>
      <c r="H749" s="261">
        <v>0</v>
      </c>
      <c r="I749" s="261">
        <v>0</v>
      </c>
      <c r="J749" s="261">
        <v>0</v>
      </c>
      <c r="K749" s="261">
        <f t="shared" si="22"/>
        <v>0</v>
      </c>
      <c r="L749" s="261">
        <v>0</v>
      </c>
      <c r="M749" s="261">
        <f t="shared" si="23"/>
        <v>0</v>
      </c>
      <c r="N749" s="137">
        <v>0</v>
      </c>
    </row>
    <row r="750" spans="1:14" ht="18" customHeight="1">
      <c r="A750" s="134">
        <v>10</v>
      </c>
      <c r="B750" s="135" t="s">
        <v>98</v>
      </c>
      <c r="C750" s="134">
        <v>162</v>
      </c>
      <c r="D750" s="138" t="s">
        <v>90</v>
      </c>
      <c r="E750" s="138" t="s">
        <v>656</v>
      </c>
      <c r="F750" s="135" t="s">
        <v>620</v>
      </c>
      <c r="G750" s="274">
        <v>3</v>
      </c>
      <c r="H750" s="261">
        <v>6481</v>
      </c>
      <c r="I750" s="261">
        <v>19444</v>
      </c>
      <c r="J750" s="261">
        <v>0</v>
      </c>
      <c r="K750" s="261">
        <f t="shared" si="22"/>
        <v>19444</v>
      </c>
      <c r="L750" s="261">
        <v>1556</v>
      </c>
      <c r="M750" s="261">
        <f t="shared" si="23"/>
        <v>21000</v>
      </c>
      <c r="N750" s="137">
        <v>3.2000000000000002E-3</v>
      </c>
    </row>
    <row r="751" spans="1:14" ht="18" customHeight="1">
      <c r="A751" s="134">
        <v>10</v>
      </c>
      <c r="B751" s="135" t="s">
        <v>98</v>
      </c>
      <c r="C751" s="134">
        <v>86</v>
      </c>
      <c r="D751" s="138" t="s">
        <v>90</v>
      </c>
      <c r="E751" s="138" t="s">
        <v>658</v>
      </c>
      <c r="F751" s="135" t="s">
        <v>620</v>
      </c>
      <c r="G751" s="274">
        <v>14</v>
      </c>
      <c r="H751" s="261">
        <v>3241</v>
      </c>
      <c r="I751" s="261">
        <v>45370</v>
      </c>
      <c r="J751" s="261">
        <v>0</v>
      </c>
      <c r="K751" s="261">
        <f t="shared" si="22"/>
        <v>45370</v>
      </c>
      <c r="L751" s="261">
        <v>3630</v>
      </c>
      <c r="M751" s="261">
        <f t="shared" si="23"/>
        <v>49000</v>
      </c>
      <c r="N751" s="137">
        <v>7.4000000000000003E-3</v>
      </c>
    </row>
    <row r="752" spans="1:14" ht="18" customHeight="1">
      <c r="A752" s="134">
        <v>10</v>
      </c>
      <c r="B752" s="135" t="s">
        <v>98</v>
      </c>
      <c r="C752" s="134">
        <v>80</v>
      </c>
      <c r="D752" s="138" t="s">
        <v>90</v>
      </c>
      <c r="E752" s="138" t="s">
        <v>659</v>
      </c>
      <c r="F752" s="135" t="s">
        <v>620</v>
      </c>
      <c r="G752" s="274">
        <v>14</v>
      </c>
      <c r="H752" s="261">
        <v>6481</v>
      </c>
      <c r="I752" s="261">
        <v>90741</v>
      </c>
      <c r="J752" s="261">
        <v>0</v>
      </c>
      <c r="K752" s="261">
        <f t="shared" si="22"/>
        <v>90741</v>
      </c>
      <c r="L752" s="261">
        <v>7259</v>
      </c>
      <c r="M752" s="261">
        <f t="shared" si="23"/>
        <v>98000</v>
      </c>
      <c r="N752" s="137">
        <v>1.4800000000000001E-2</v>
      </c>
    </row>
    <row r="753" spans="1:14" ht="18" customHeight="1">
      <c r="A753" s="134">
        <v>10</v>
      </c>
      <c r="B753" s="135" t="s">
        <v>98</v>
      </c>
      <c r="C753" s="134">
        <v>157</v>
      </c>
      <c r="D753" s="138" t="s">
        <v>90</v>
      </c>
      <c r="E753" s="138" t="s">
        <v>738</v>
      </c>
      <c r="F753" s="135" t="s">
        <v>620</v>
      </c>
      <c r="G753" s="274">
        <v>6</v>
      </c>
      <c r="H753" s="261">
        <v>7407</v>
      </c>
      <c r="I753" s="261">
        <v>44444</v>
      </c>
      <c r="J753" s="261">
        <v>0</v>
      </c>
      <c r="K753" s="261">
        <f t="shared" si="22"/>
        <v>44444</v>
      </c>
      <c r="L753" s="261">
        <v>3556</v>
      </c>
      <c r="M753" s="261">
        <f t="shared" si="23"/>
        <v>48000</v>
      </c>
      <c r="N753" s="137">
        <v>7.3000000000000001E-3</v>
      </c>
    </row>
    <row r="754" spans="1:14" ht="18" customHeight="1">
      <c r="A754" s="134">
        <v>10</v>
      </c>
      <c r="B754" s="135" t="s">
        <v>98</v>
      </c>
      <c r="C754" s="134">
        <v>63</v>
      </c>
      <c r="D754" s="138" t="s">
        <v>90</v>
      </c>
      <c r="E754" s="138" t="s">
        <v>717</v>
      </c>
      <c r="F754" s="135" t="s">
        <v>620</v>
      </c>
      <c r="G754" s="274">
        <v>1</v>
      </c>
      <c r="H754" s="261">
        <v>3704</v>
      </c>
      <c r="I754" s="261">
        <v>3704</v>
      </c>
      <c r="J754" s="261">
        <v>0</v>
      </c>
      <c r="K754" s="261">
        <f t="shared" si="22"/>
        <v>3704</v>
      </c>
      <c r="L754" s="261">
        <v>296</v>
      </c>
      <c r="M754" s="261">
        <f t="shared" si="23"/>
        <v>4000</v>
      </c>
      <c r="N754" s="137">
        <v>5.9999999999999995E-4</v>
      </c>
    </row>
    <row r="755" spans="1:14" ht="18" customHeight="1">
      <c r="A755" s="134">
        <v>10</v>
      </c>
      <c r="B755" s="135" t="s">
        <v>98</v>
      </c>
      <c r="C755" s="134">
        <v>79</v>
      </c>
      <c r="D755" s="138" t="s">
        <v>90</v>
      </c>
      <c r="E755" s="138" t="s">
        <v>661</v>
      </c>
      <c r="F755" s="135" t="s">
        <v>620</v>
      </c>
      <c r="G755" s="274">
        <v>7</v>
      </c>
      <c r="H755" s="261">
        <v>6427</v>
      </c>
      <c r="I755" s="261">
        <v>45370</v>
      </c>
      <c r="J755" s="261">
        <v>378</v>
      </c>
      <c r="K755" s="261">
        <f t="shared" si="22"/>
        <v>44992</v>
      </c>
      <c r="L755" s="261">
        <v>3599</v>
      </c>
      <c r="M755" s="261">
        <f t="shared" si="23"/>
        <v>48591</v>
      </c>
      <c r="N755" s="137">
        <v>7.4000000000000003E-3</v>
      </c>
    </row>
    <row r="756" spans="1:14" ht="18" customHeight="1">
      <c r="A756" s="134">
        <v>10</v>
      </c>
      <c r="B756" s="135" t="s">
        <v>98</v>
      </c>
      <c r="C756" s="134">
        <v>62</v>
      </c>
      <c r="D756" s="138" t="s">
        <v>90</v>
      </c>
      <c r="E756" s="138" t="s">
        <v>662</v>
      </c>
      <c r="F756" s="135" t="s">
        <v>620</v>
      </c>
      <c r="G756" s="274">
        <v>9</v>
      </c>
      <c r="H756" s="261">
        <v>6899</v>
      </c>
      <c r="I756" s="261">
        <v>62500</v>
      </c>
      <c r="J756" s="261">
        <v>405</v>
      </c>
      <c r="K756" s="261">
        <f t="shared" si="22"/>
        <v>62095</v>
      </c>
      <c r="L756" s="261">
        <v>4968</v>
      </c>
      <c r="M756" s="261">
        <f t="shared" si="23"/>
        <v>67063</v>
      </c>
      <c r="N756" s="137">
        <v>1.01E-2</v>
      </c>
    </row>
    <row r="757" spans="1:14" ht="18" customHeight="1">
      <c r="A757" s="134">
        <v>10</v>
      </c>
      <c r="B757" s="135" t="s">
        <v>98</v>
      </c>
      <c r="C757" s="134">
        <v>137</v>
      </c>
      <c r="D757" s="138" t="s">
        <v>90</v>
      </c>
      <c r="E757" s="138" t="s">
        <v>692</v>
      </c>
      <c r="F757" s="135" t="s">
        <v>620</v>
      </c>
      <c r="G757" s="274">
        <v>0</v>
      </c>
      <c r="H757" s="261">
        <v>0</v>
      </c>
      <c r="I757" s="261">
        <v>0</v>
      </c>
      <c r="J757" s="261">
        <v>0</v>
      </c>
      <c r="K757" s="261">
        <f t="shared" si="22"/>
        <v>0</v>
      </c>
      <c r="L757" s="261">
        <v>0</v>
      </c>
      <c r="M757" s="261">
        <f t="shared" si="23"/>
        <v>0</v>
      </c>
      <c r="N757" s="137">
        <v>0</v>
      </c>
    </row>
    <row r="758" spans="1:14" ht="18" customHeight="1">
      <c r="A758" s="134">
        <v>10</v>
      </c>
      <c r="B758" s="135" t="s">
        <v>98</v>
      </c>
      <c r="C758" s="134">
        <v>219</v>
      </c>
      <c r="D758" s="138" t="s">
        <v>82</v>
      </c>
      <c r="E758" s="138" t="s">
        <v>148</v>
      </c>
      <c r="F758" s="135" t="s">
        <v>620</v>
      </c>
      <c r="G758" s="274">
        <v>3</v>
      </c>
      <c r="H758" s="261">
        <v>69444</v>
      </c>
      <c r="I758" s="261">
        <v>208333</v>
      </c>
      <c r="J758" s="261">
        <v>0</v>
      </c>
      <c r="K758" s="261">
        <f t="shared" si="22"/>
        <v>208333</v>
      </c>
      <c r="L758" s="261">
        <v>16667</v>
      </c>
      <c r="M758" s="261">
        <f t="shared" si="23"/>
        <v>225000</v>
      </c>
      <c r="N758" s="137">
        <v>3.4099999999999998E-2</v>
      </c>
    </row>
    <row r="759" spans="1:14" ht="18" customHeight="1">
      <c r="A759" s="134">
        <v>10</v>
      </c>
      <c r="B759" s="135" t="s">
        <v>98</v>
      </c>
      <c r="C759" s="134">
        <v>221</v>
      </c>
      <c r="D759" s="138" t="s">
        <v>82</v>
      </c>
      <c r="E759" s="138" t="s">
        <v>666</v>
      </c>
      <c r="F759" s="135" t="s">
        <v>620</v>
      </c>
      <c r="G759" s="274">
        <v>1</v>
      </c>
      <c r="H759" s="261">
        <v>54167</v>
      </c>
      <c r="I759" s="261">
        <v>54167</v>
      </c>
      <c r="J759" s="261">
        <v>0</v>
      </c>
      <c r="K759" s="261">
        <f t="shared" si="22"/>
        <v>54167</v>
      </c>
      <c r="L759" s="261">
        <v>4333</v>
      </c>
      <c r="M759" s="261">
        <f t="shared" si="23"/>
        <v>58500</v>
      </c>
      <c r="N759" s="137">
        <v>8.8999999999999999E-3</v>
      </c>
    </row>
    <row r="760" spans="1:14" ht="18" customHeight="1">
      <c r="A760" s="134">
        <v>10</v>
      </c>
      <c r="B760" s="135" t="s">
        <v>98</v>
      </c>
      <c r="C760" s="134">
        <v>222</v>
      </c>
      <c r="D760" s="138" t="s">
        <v>88</v>
      </c>
      <c r="E760" s="138" t="s">
        <v>667</v>
      </c>
      <c r="F760" s="135" t="s">
        <v>620</v>
      </c>
      <c r="G760" s="274">
        <v>1</v>
      </c>
      <c r="H760" s="261">
        <v>63426</v>
      </c>
      <c r="I760" s="261">
        <v>63426</v>
      </c>
      <c r="J760" s="261">
        <v>0</v>
      </c>
      <c r="K760" s="261">
        <f t="shared" si="22"/>
        <v>63426</v>
      </c>
      <c r="L760" s="261">
        <v>5074</v>
      </c>
      <c r="M760" s="261">
        <f t="shared" si="23"/>
        <v>68500</v>
      </c>
      <c r="N760" s="137">
        <v>1.04E-2</v>
      </c>
    </row>
    <row r="761" spans="1:14" ht="18" customHeight="1">
      <c r="A761" s="134">
        <v>10</v>
      </c>
      <c r="B761" s="135" t="s">
        <v>98</v>
      </c>
      <c r="C761" s="134">
        <v>223</v>
      </c>
      <c r="D761" s="138" t="s">
        <v>82</v>
      </c>
      <c r="E761" s="138" t="s">
        <v>136</v>
      </c>
      <c r="F761" s="135" t="s">
        <v>620</v>
      </c>
      <c r="G761" s="274">
        <v>1</v>
      </c>
      <c r="H761" s="261">
        <v>69444</v>
      </c>
      <c r="I761" s="261">
        <v>69444</v>
      </c>
      <c r="J761" s="261">
        <v>0</v>
      </c>
      <c r="K761" s="261">
        <f t="shared" si="22"/>
        <v>69444</v>
      </c>
      <c r="L761" s="261">
        <v>5556</v>
      </c>
      <c r="M761" s="261">
        <f t="shared" si="23"/>
        <v>75000</v>
      </c>
      <c r="N761" s="137">
        <v>1.14E-2</v>
      </c>
    </row>
    <row r="762" spans="1:14" ht="18" customHeight="1">
      <c r="A762" s="134">
        <v>10</v>
      </c>
      <c r="B762" s="135" t="s">
        <v>98</v>
      </c>
      <c r="C762" s="134">
        <v>50</v>
      </c>
      <c r="D762" s="138" t="s">
        <v>82</v>
      </c>
      <c r="E762" s="138" t="s">
        <v>154</v>
      </c>
      <c r="F762" s="135" t="s">
        <v>620</v>
      </c>
      <c r="G762" s="274">
        <v>1</v>
      </c>
      <c r="H762" s="261">
        <v>49074</v>
      </c>
      <c r="I762" s="261">
        <v>49074</v>
      </c>
      <c r="J762" s="261">
        <v>0</v>
      </c>
      <c r="K762" s="261">
        <f t="shared" si="22"/>
        <v>49074</v>
      </c>
      <c r="L762" s="261">
        <v>3926</v>
      </c>
      <c r="M762" s="261">
        <f t="shared" si="23"/>
        <v>53000</v>
      </c>
      <c r="N762" s="137">
        <v>8.0000000000000002E-3</v>
      </c>
    </row>
    <row r="763" spans="1:14" ht="18" customHeight="1">
      <c r="A763" s="134">
        <v>10</v>
      </c>
      <c r="B763" s="135" t="s">
        <v>98</v>
      </c>
      <c r="C763" s="134">
        <v>117</v>
      </c>
      <c r="D763" s="138" t="s">
        <v>82</v>
      </c>
      <c r="E763" s="138" t="s">
        <v>115</v>
      </c>
      <c r="F763" s="135" t="s">
        <v>620</v>
      </c>
      <c r="G763" s="274">
        <v>4</v>
      </c>
      <c r="H763" s="261">
        <v>41667</v>
      </c>
      <c r="I763" s="261">
        <v>166667</v>
      </c>
      <c r="J763" s="261">
        <v>0</v>
      </c>
      <c r="K763" s="261">
        <f t="shared" si="22"/>
        <v>166667</v>
      </c>
      <c r="L763" s="261">
        <v>13333</v>
      </c>
      <c r="M763" s="261">
        <f t="shared" si="23"/>
        <v>180000</v>
      </c>
      <c r="N763" s="137">
        <v>2.7199999999999998E-2</v>
      </c>
    </row>
    <row r="764" spans="1:14" ht="18" customHeight="1">
      <c r="A764" s="134">
        <v>10</v>
      </c>
      <c r="B764" s="135" t="s">
        <v>98</v>
      </c>
      <c r="C764" s="134">
        <v>36</v>
      </c>
      <c r="D764" s="138" t="s">
        <v>86</v>
      </c>
      <c r="E764" s="138" t="s">
        <v>670</v>
      </c>
      <c r="F764" s="135" t="s">
        <v>620</v>
      </c>
      <c r="G764" s="274">
        <v>3</v>
      </c>
      <c r="H764" s="261">
        <v>3704</v>
      </c>
      <c r="I764" s="261">
        <v>11111</v>
      </c>
      <c r="J764" s="261">
        <v>0</v>
      </c>
      <c r="K764" s="261">
        <f t="shared" si="22"/>
        <v>11111</v>
      </c>
      <c r="L764" s="261">
        <v>889</v>
      </c>
      <c r="M764" s="261">
        <f t="shared" si="23"/>
        <v>12000</v>
      </c>
      <c r="N764" s="137">
        <v>1.8E-3</v>
      </c>
    </row>
    <row r="765" spans="1:14" ht="18" customHeight="1">
      <c r="A765" s="134">
        <v>10</v>
      </c>
      <c r="B765" s="135" t="s">
        <v>98</v>
      </c>
      <c r="C765" s="134">
        <v>61</v>
      </c>
      <c r="D765" s="138" t="s">
        <v>92</v>
      </c>
      <c r="E765" s="138" t="s">
        <v>671</v>
      </c>
      <c r="F765" s="135" t="s">
        <v>620</v>
      </c>
      <c r="G765" s="274">
        <v>8</v>
      </c>
      <c r="H765" s="261">
        <v>4630</v>
      </c>
      <c r="I765" s="261">
        <v>37037</v>
      </c>
      <c r="J765" s="261">
        <v>0</v>
      </c>
      <c r="K765" s="261">
        <f t="shared" si="22"/>
        <v>37037</v>
      </c>
      <c r="L765" s="261">
        <v>2963</v>
      </c>
      <c r="M765" s="261">
        <f t="shared" si="23"/>
        <v>40000</v>
      </c>
      <c r="N765" s="137">
        <v>6.1000000000000004E-3</v>
      </c>
    </row>
    <row r="766" spans="1:14" ht="18" customHeight="1">
      <c r="A766" s="134">
        <v>10</v>
      </c>
      <c r="B766" s="135" t="s">
        <v>98</v>
      </c>
      <c r="C766" s="134">
        <v>315</v>
      </c>
      <c r="D766" s="138" t="s">
        <v>82</v>
      </c>
      <c r="E766" s="138" t="s">
        <v>694</v>
      </c>
      <c r="F766" s="135" t="s">
        <v>620</v>
      </c>
      <c r="G766" s="274">
        <v>1</v>
      </c>
      <c r="H766" s="261">
        <v>1852</v>
      </c>
      <c r="I766" s="261">
        <v>1852</v>
      </c>
      <c r="J766" s="261">
        <v>0</v>
      </c>
      <c r="K766" s="261">
        <f t="shared" si="22"/>
        <v>1852</v>
      </c>
      <c r="L766" s="261">
        <v>148</v>
      </c>
      <c r="M766" s="261">
        <f t="shared" si="23"/>
        <v>2000</v>
      </c>
      <c r="N766" s="137">
        <v>2.9999999999999997E-4</v>
      </c>
    </row>
    <row r="767" spans="1:14" ht="18" customHeight="1">
      <c r="A767" s="134">
        <v>10</v>
      </c>
      <c r="B767" s="135" t="s">
        <v>98</v>
      </c>
      <c r="C767" s="134">
        <v>96</v>
      </c>
      <c r="D767" s="138" t="s">
        <v>88</v>
      </c>
      <c r="E767" s="138" t="s">
        <v>695</v>
      </c>
      <c r="F767" s="135" t="s">
        <v>620</v>
      </c>
      <c r="G767" s="274">
        <v>3</v>
      </c>
      <c r="H767" s="261">
        <v>35648</v>
      </c>
      <c r="I767" s="261">
        <v>106944</v>
      </c>
      <c r="J767" s="261">
        <v>0</v>
      </c>
      <c r="K767" s="261">
        <f t="shared" si="22"/>
        <v>106944</v>
      </c>
      <c r="L767" s="261">
        <v>8556</v>
      </c>
      <c r="M767" s="261">
        <f t="shared" si="23"/>
        <v>115500</v>
      </c>
      <c r="N767" s="137">
        <v>1.7500000000000002E-2</v>
      </c>
    </row>
    <row r="768" spans="1:14" ht="18" customHeight="1">
      <c r="A768" s="134">
        <v>10</v>
      </c>
      <c r="B768" s="135" t="s">
        <v>98</v>
      </c>
      <c r="C768" s="134">
        <v>33</v>
      </c>
      <c r="D768" s="138" t="s">
        <v>86</v>
      </c>
      <c r="E768" s="138" t="s">
        <v>673</v>
      </c>
      <c r="F768" s="135" t="s">
        <v>620</v>
      </c>
      <c r="G768" s="274">
        <v>5</v>
      </c>
      <c r="H768" s="261">
        <v>1852</v>
      </c>
      <c r="I768" s="261">
        <v>9259</v>
      </c>
      <c r="J768" s="261">
        <v>0</v>
      </c>
      <c r="K768" s="261">
        <f t="shared" si="22"/>
        <v>9259</v>
      </c>
      <c r="L768" s="261">
        <v>741</v>
      </c>
      <c r="M768" s="261">
        <f t="shared" si="23"/>
        <v>10000</v>
      </c>
      <c r="N768" s="137">
        <v>1.5E-3</v>
      </c>
    </row>
    <row r="769" spans="1:14" ht="18" customHeight="1">
      <c r="A769" s="134">
        <v>10</v>
      </c>
      <c r="B769" s="135" t="s">
        <v>98</v>
      </c>
      <c r="C769" s="134">
        <v>255</v>
      </c>
      <c r="D769" s="138" t="s">
        <v>88</v>
      </c>
      <c r="E769" s="138" t="s">
        <v>696</v>
      </c>
      <c r="F769" s="135" t="s">
        <v>620</v>
      </c>
      <c r="G769" s="274">
        <v>1</v>
      </c>
      <c r="H769" s="261">
        <v>35648</v>
      </c>
      <c r="I769" s="261">
        <v>35648</v>
      </c>
      <c r="J769" s="261">
        <v>0</v>
      </c>
      <c r="K769" s="261">
        <f t="shared" si="22"/>
        <v>35648</v>
      </c>
      <c r="L769" s="261">
        <v>2852</v>
      </c>
      <c r="M769" s="261">
        <f t="shared" si="23"/>
        <v>38500</v>
      </c>
      <c r="N769" s="137">
        <v>5.7999999999999996E-3</v>
      </c>
    </row>
    <row r="770" spans="1:14" ht="18" customHeight="1">
      <c r="A770" s="134">
        <v>10</v>
      </c>
      <c r="B770" s="135" t="s">
        <v>98</v>
      </c>
      <c r="C770" s="134">
        <v>39</v>
      </c>
      <c r="D770" s="138" t="s">
        <v>86</v>
      </c>
      <c r="E770" s="138" t="s">
        <v>697</v>
      </c>
      <c r="F770" s="135" t="s">
        <v>620</v>
      </c>
      <c r="G770" s="274">
        <v>1</v>
      </c>
      <c r="H770" s="261">
        <v>3333</v>
      </c>
      <c r="I770" s="261">
        <v>3333</v>
      </c>
      <c r="J770" s="261">
        <v>0</v>
      </c>
      <c r="K770" s="261">
        <f t="shared" ref="K770:K833" si="24">I770-J770</f>
        <v>3333</v>
      </c>
      <c r="L770" s="261">
        <v>267</v>
      </c>
      <c r="M770" s="261">
        <f t="shared" ref="M770:M833" si="25">K770+L770</f>
        <v>3600</v>
      </c>
      <c r="N770" s="137">
        <v>5.0000000000000001E-4</v>
      </c>
    </row>
    <row r="771" spans="1:14" ht="18" customHeight="1">
      <c r="A771" s="134">
        <v>11</v>
      </c>
      <c r="B771" s="135" t="s">
        <v>99</v>
      </c>
      <c r="C771" s="134">
        <v>73</v>
      </c>
      <c r="D771" s="138" t="s">
        <v>86</v>
      </c>
      <c r="E771" s="138" t="s">
        <v>619</v>
      </c>
      <c r="F771" s="135" t="s">
        <v>620</v>
      </c>
      <c r="G771" s="274">
        <v>10</v>
      </c>
      <c r="H771" s="261">
        <v>2593</v>
      </c>
      <c r="I771" s="261">
        <v>25926</v>
      </c>
      <c r="J771" s="261">
        <v>0</v>
      </c>
      <c r="K771" s="261">
        <f t="shared" si="24"/>
        <v>25926</v>
      </c>
      <c r="L771" s="261">
        <v>2074</v>
      </c>
      <c r="M771" s="261">
        <f t="shared" si="25"/>
        <v>28000</v>
      </c>
      <c r="N771" s="137">
        <v>4.6999999999999993E-3</v>
      </c>
    </row>
    <row r="772" spans="1:14" ht="18" customHeight="1">
      <c r="A772" s="134">
        <v>11</v>
      </c>
      <c r="B772" s="135" t="s">
        <v>99</v>
      </c>
      <c r="C772" s="134">
        <v>132</v>
      </c>
      <c r="D772" s="138" t="s">
        <v>86</v>
      </c>
      <c r="E772" s="138" t="s">
        <v>675</v>
      </c>
      <c r="F772" s="135" t="s">
        <v>676</v>
      </c>
      <c r="G772" s="274">
        <v>1</v>
      </c>
      <c r="H772" s="261">
        <v>7870</v>
      </c>
      <c r="I772" s="261">
        <v>7870</v>
      </c>
      <c r="J772" s="261">
        <v>0</v>
      </c>
      <c r="K772" s="261">
        <f t="shared" si="24"/>
        <v>7870</v>
      </c>
      <c r="L772" s="261">
        <v>630</v>
      </c>
      <c r="M772" s="261">
        <f t="shared" si="25"/>
        <v>8500</v>
      </c>
      <c r="N772" s="137">
        <v>1.4E-3</v>
      </c>
    </row>
    <row r="773" spans="1:14" ht="18" customHeight="1">
      <c r="A773" s="134">
        <v>11</v>
      </c>
      <c r="B773" s="135" t="s">
        <v>99</v>
      </c>
      <c r="C773" s="134">
        <v>65</v>
      </c>
      <c r="D773" s="138" t="s">
        <v>86</v>
      </c>
      <c r="E773" s="138" t="s">
        <v>621</v>
      </c>
      <c r="F773" s="135" t="s">
        <v>620</v>
      </c>
      <c r="G773" s="274">
        <v>5</v>
      </c>
      <c r="H773" s="261">
        <v>2778</v>
      </c>
      <c r="I773" s="261">
        <v>13889</v>
      </c>
      <c r="J773" s="261">
        <v>0</v>
      </c>
      <c r="K773" s="261">
        <f t="shared" si="24"/>
        <v>13889</v>
      </c>
      <c r="L773" s="261">
        <v>1111</v>
      </c>
      <c r="M773" s="261">
        <f t="shared" si="25"/>
        <v>15000</v>
      </c>
      <c r="N773" s="137">
        <v>2.5000000000000001E-3</v>
      </c>
    </row>
    <row r="774" spans="1:14" ht="18" customHeight="1">
      <c r="A774" s="134">
        <v>11</v>
      </c>
      <c r="B774" s="135" t="s">
        <v>99</v>
      </c>
      <c r="C774" s="134">
        <v>131</v>
      </c>
      <c r="D774" s="138" t="s">
        <v>82</v>
      </c>
      <c r="E774" s="138" t="s">
        <v>677</v>
      </c>
      <c r="F774" s="135" t="s">
        <v>620</v>
      </c>
      <c r="G774" s="274">
        <v>1</v>
      </c>
      <c r="H774" s="261">
        <v>278</v>
      </c>
      <c r="I774" s="261">
        <v>278</v>
      </c>
      <c r="J774" s="261">
        <v>0</v>
      </c>
      <c r="K774" s="261">
        <f t="shared" si="24"/>
        <v>278</v>
      </c>
      <c r="L774" s="261">
        <v>22</v>
      </c>
      <c r="M774" s="261">
        <f t="shared" si="25"/>
        <v>300</v>
      </c>
      <c r="N774" s="137">
        <v>1E-4</v>
      </c>
    </row>
    <row r="775" spans="1:14" ht="18" customHeight="1">
      <c r="A775" s="134">
        <v>11</v>
      </c>
      <c r="B775" s="135" t="s">
        <v>99</v>
      </c>
      <c r="C775" s="134">
        <v>104</v>
      </c>
      <c r="D775" s="138" t="s">
        <v>84</v>
      </c>
      <c r="E775" s="138" t="s">
        <v>157</v>
      </c>
      <c r="F775" s="135" t="s">
        <v>620</v>
      </c>
      <c r="G775" s="274">
        <v>7</v>
      </c>
      <c r="H775" s="261">
        <v>15939</v>
      </c>
      <c r="I775" s="261">
        <v>111574</v>
      </c>
      <c r="J775" s="261">
        <v>0</v>
      </c>
      <c r="K775" s="261">
        <f t="shared" si="24"/>
        <v>111574</v>
      </c>
      <c r="L775" s="261">
        <v>8926</v>
      </c>
      <c r="M775" s="261">
        <f t="shared" si="25"/>
        <v>120500</v>
      </c>
      <c r="N775" s="137">
        <v>2.0400000000000001E-2</v>
      </c>
    </row>
    <row r="776" spans="1:14" ht="18" customHeight="1">
      <c r="A776" s="134">
        <v>11</v>
      </c>
      <c r="B776" s="135" t="s">
        <v>99</v>
      </c>
      <c r="C776" s="134">
        <v>54</v>
      </c>
      <c r="D776" s="138" t="s">
        <v>86</v>
      </c>
      <c r="E776" s="138" t="s">
        <v>678</v>
      </c>
      <c r="F776" s="135" t="s">
        <v>620</v>
      </c>
      <c r="G776" s="274">
        <v>1</v>
      </c>
      <c r="H776" s="261">
        <v>2315</v>
      </c>
      <c r="I776" s="261">
        <v>2315</v>
      </c>
      <c r="J776" s="261">
        <v>0</v>
      </c>
      <c r="K776" s="261">
        <f t="shared" si="24"/>
        <v>2315</v>
      </c>
      <c r="L776" s="261">
        <v>185</v>
      </c>
      <c r="M776" s="261">
        <f t="shared" si="25"/>
        <v>2500</v>
      </c>
      <c r="N776" s="137">
        <v>4.0000000000000002E-4</v>
      </c>
    </row>
    <row r="777" spans="1:14" ht="18" customHeight="1">
      <c r="A777" s="134">
        <v>11</v>
      </c>
      <c r="B777" s="135" t="s">
        <v>99</v>
      </c>
      <c r="C777" s="134">
        <v>5</v>
      </c>
      <c r="D777" s="138" t="s">
        <v>84</v>
      </c>
      <c r="E777" s="138" t="s">
        <v>679</v>
      </c>
      <c r="F777" s="135" t="s">
        <v>620</v>
      </c>
      <c r="G777" s="274">
        <v>1</v>
      </c>
      <c r="H777" s="261">
        <v>11111</v>
      </c>
      <c r="I777" s="261">
        <v>11111</v>
      </c>
      <c r="J777" s="261">
        <v>0</v>
      </c>
      <c r="K777" s="261">
        <f t="shared" si="24"/>
        <v>11111</v>
      </c>
      <c r="L777" s="261">
        <v>889</v>
      </c>
      <c r="M777" s="261">
        <f t="shared" si="25"/>
        <v>12000</v>
      </c>
      <c r="N777" s="137">
        <v>2E-3</v>
      </c>
    </row>
    <row r="778" spans="1:14" ht="18" customHeight="1">
      <c r="A778" s="134">
        <v>11</v>
      </c>
      <c r="B778" s="135" t="s">
        <v>99</v>
      </c>
      <c r="C778" s="134">
        <v>136</v>
      </c>
      <c r="D778" s="138" t="s">
        <v>84</v>
      </c>
      <c r="E778" s="138" t="s">
        <v>625</v>
      </c>
      <c r="F778" s="135" t="s">
        <v>620</v>
      </c>
      <c r="G778" s="274">
        <v>1</v>
      </c>
      <c r="H778" s="261">
        <v>24074</v>
      </c>
      <c r="I778" s="261">
        <v>24074</v>
      </c>
      <c r="J778" s="261">
        <v>0</v>
      </c>
      <c r="K778" s="261">
        <f t="shared" si="24"/>
        <v>24074</v>
      </c>
      <c r="L778" s="261">
        <v>1926</v>
      </c>
      <c r="M778" s="261">
        <f t="shared" si="25"/>
        <v>26000</v>
      </c>
      <c r="N778" s="137">
        <v>4.4000000000000003E-3</v>
      </c>
    </row>
    <row r="779" spans="1:14" ht="18" customHeight="1">
      <c r="A779" s="134">
        <v>11</v>
      </c>
      <c r="B779" s="135" t="s">
        <v>99</v>
      </c>
      <c r="C779" s="134">
        <v>6</v>
      </c>
      <c r="D779" s="138" t="s">
        <v>84</v>
      </c>
      <c r="E779" s="138" t="s">
        <v>680</v>
      </c>
      <c r="F779" s="135" t="s">
        <v>620</v>
      </c>
      <c r="G779" s="274">
        <v>8</v>
      </c>
      <c r="H779" s="261">
        <v>14815</v>
      </c>
      <c r="I779" s="261">
        <v>118519</v>
      </c>
      <c r="J779" s="261">
        <v>0</v>
      </c>
      <c r="K779" s="261">
        <f t="shared" si="24"/>
        <v>118519</v>
      </c>
      <c r="L779" s="261">
        <v>9481</v>
      </c>
      <c r="M779" s="261">
        <f t="shared" si="25"/>
        <v>128000</v>
      </c>
      <c r="N779" s="137">
        <v>2.1700000000000001E-2</v>
      </c>
    </row>
    <row r="780" spans="1:14" ht="18" customHeight="1">
      <c r="A780" s="134">
        <v>11</v>
      </c>
      <c r="B780" s="135" t="s">
        <v>99</v>
      </c>
      <c r="C780" s="134">
        <v>8</v>
      </c>
      <c r="D780" s="138" t="s">
        <v>82</v>
      </c>
      <c r="E780" s="138" t="s">
        <v>151</v>
      </c>
      <c r="F780" s="135" t="s">
        <v>620</v>
      </c>
      <c r="G780" s="274">
        <v>12</v>
      </c>
      <c r="H780" s="261">
        <v>18596</v>
      </c>
      <c r="I780" s="261">
        <v>223148</v>
      </c>
      <c r="J780" s="261">
        <v>0</v>
      </c>
      <c r="K780" s="261">
        <f t="shared" si="24"/>
        <v>223148</v>
      </c>
      <c r="L780" s="261">
        <v>17852</v>
      </c>
      <c r="M780" s="261">
        <f t="shared" si="25"/>
        <v>241000</v>
      </c>
      <c r="N780" s="137">
        <v>4.0800000000000003E-2</v>
      </c>
    </row>
    <row r="781" spans="1:14" ht="18" customHeight="1">
      <c r="A781" s="134">
        <v>11</v>
      </c>
      <c r="B781" s="135" t="s">
        <v>99</v>
      </c>
      <c r="C781" s="134">
        <v>311</v>
      </c>
      <c r="D781" s="138" t="s">
        <v>88</v>
      </c>
      <c r="E781" s="138" t="s">
        <v>626</v>
      </c>
      <c r="F781" s="135" t="s">
        <v>620</v>
      </c>
      <c r="G781" s="274">
        <v>1</v>
      </c>
      <c r="H781" s="261">
        <v>44907</v>
      </c>
      <c r="I781" s="261">
        <v>44907</v>
      </c>
      <c r="J781" s="261">
        <v>0</v>
      </c>
      <c r="K781" s="261">
        <f t="shared" si="24"/>
        <v>44907</v>
      </c>
      <c r="L781" s="261">
        <v>3593</v>
      </c>
      <c r="M781" s="261">
        <f t="shared" si="25"/>
        <v>48500</v>
      </c>
      <c r="N781" s="137">
        <v>8.199999999999999E-3</v>
      </c>
    </row>
    <row r="782" spans="1:14" ht="18" customHeight="1">
      <c r="A782" s="134">
        <v>11</v>
      </c>
      <c r="B782" s="135" t="s">
        <v>99</v>
      </c>
      <c r="C782" s="134">
        <v>87</v>
      </c>
      <c r="D782" s="138" t="s">
        <v>84</v>
      </c>
      <c r="E782" s="138" t="s">
        <v>139</v>
      </c>
      <c r="F782" s="135" t="s">
        <v>620</v>
      </c>
      <c r="G782" s="274">
        <v>3</v>
      </c>
      <c r="H782" s="261">
        <v>37500</v>
      </c>
      <c r="I782" s="261">
        <v>112500</v>
      </c>
      <c r="J782" s="261">
        <v>0</v>
      </c>
      <c r="K782" s="261">
        <f t="shared" si="24"/>
        <v>112500</v>
      </c>
      <c r="L782" s="261">
        <v>9000</v>
      </c>
      <c r="M782" s="261">
        <f t="shared" si="25"/>
        <v>121500</v>
      </c>
      <c r="N782" s="137">
        <v>2.06E-2</v>
      </c>
    </row>
    <row r="783" spans="1:14" ht="18" customHeight="1">
      <c r="A783" s="134">
        <v>11</v>
      </c>
      <c r="B783" s="135" t="s">
        <v>99</v>
      </c>
      <c r="C783" s="134">
        <v>206</v>
      </c>
      <c r="D783" s="138" t="s">
        <v>88</v>
      </c>
      <c r="E783" s="138" t="s">
        <v>627</v>
      </c>
      <c r="F783" s="135" t="s">
        <v>620</v>
      </c>
      <c r="G783" s="274">
        <v>1</v>
      </c>
      <c r="H783" s="261">
        <v>44907</v>
      </c>
      <c r="I783" s="261">
        <v>44907</v>
      </c>
      <c r="J783" s="261">
        <v>0</v>
      </c>
      <c r="K783" s="261">
        <f t="shared" si="24"/>
        <v>44907</v>
      </c>
      <c r="L783" s="261">
        <v>3593</v>
      </c>
      <c r="M783" s="261">
        <f t="shared" si="25"/>
        <v>48500</v>
      </c>
      <c r="N783" s="137">
        <v>8.199999999999999E-3</v>
      </c>
    </row>
    <row r="784" spans="1:14" ht="18" customHeight="1">
      <c r="A784" s="134">
        <v>11</v>
      </c>
      <c r="B784" s="135" t="s">
        <v>99</v>
      </c>
      <c r="C784" s="134">
        <v>246</v>
      </c>
      <c r="D784" s="138" t="s">
        <v>86</v>
      </c>
      <c r="E784" s="138" t="s">
        <v>629</v>
      </c>
      <c r="F784" s="135" t="s">
        <v>620</v>
      </c>
      <c r="G784" s="274">
        <v>7</v>
      </c>
      <c r="H784" s="261">
        <v>6481</v>
      </c>
      <c r="I784" s="261">
        <v>45370</v>
      </c>
      <c r="J784" s="261">
        <v>0</v>
      </c>
      <c r="K784" s="261">
        <f t="shared" si="24"/>
        <v>45370</v>
      </c>
      <c r="L784" s="261">
        <v>3630</v>
      </c>
      <c r="M784" s="261">
        <f t="shared" si="25"/>
        <v>49000</v>
      </c>
      <c r="N784" s="137">
        <v>8.3000000000000001E-3</v>
      </c>
    </row>
    <row r="785" spans="1:14" ht="18" customHeight="1">
      <c r="A785" s="134">
        <v>11</v>
      </c>
      <c r="B785" s="135" t="s">
        <v>99</v>
      </c>
      <c r="C785" s="134">
        <v>83</v>
      </c>
      <c r="D785" s="138" t="s">
        <v>82</v>
      </c>
      <c r="E785" s="138" t="s">
        <v>632</v>
      </c>
      <c r="F785" s="135" t="s">
        <v>620</v>
      </c>
      <c r="G785" s="274">
        <v>3</v>
      </c>
      <c r="H785" s="261">
        <v>20833</v>
      </c>
      <c r="I785" s="261">
        <v>62500</v>
      </c>
      <c r="J785" s="261">
        <v>0</v>
      </c>
      <c r="K785" s="261">
        <f t="shared" si="24"/>
        <v>62500</v>
      </c>
      <c r="L785" s="261">
        <v>5000</v>
      </c>
      <c r="M785" s="261">
        <f t="shared" si="25"/>
        <v>67500</v>
      </c>
      <c r="N785" s="137">
        <v>1.14E-2</v>
      </c>
    </row>
    <row r="786" spans="1:14" ht="18" customHeight="1">
      <c r="A786" s="134">
        <v>11</v>
      </c>
      <c r="B786" s="135" t="s">
        <v>99</v>
      </c>
      <c r="C786" s="134">
        <v>52</v>
      </c>
      <c r="D786" s="138" t="s">
        <v>82</v>
      </c>
      <c r="E786" s="138" t="s">
        <v>682</v>
      </c>
      <c r="F786" s="135" t="s">
        <v>620</v>
      </c>
      <c r="G786" s="274">
        <v>2</v>
      </c>
      <c r="H786" s="261">
        <v>5556</v>
      </c>
      <c r="I786" s="261">
        <v>11111</v>
      </c>
      <c r="J786" s="261">
        <v>0</v>
      </c>
      <c r="K786" s="261">
        <f t="shared" si="24"/>
        <v>11111</v>
      </c>
      <c r="L786" s="261">
        <v>889</v>
      </c>
      <c r="M786" s="261">
        <f t="shared" si="25"/>
        <v>12000</v>
      </c>
      <c r="N786" s="137">
        <v>2E-3</v>
      </c>
    </row>
    <row r="787" spans="1:14" ht="18" customHeight="1">
      <c r="A787" s="134">
        <v>11</v>
      </c>
      <c r="B787" s="135" t="s">
        <v>99</v>
      </c>
      <c r="C787" s="134">
        <v>41</v>
      </c>
      <c r="D787" s="138" t="s">
        <v>82</v>
      </c>
      <c r="E787" s="138" t="s">
        <v>163</v>
      </c>
      <c r="F787" s="135" t="s">
        <v>620</v>
      </c>
      <c r="G787" s="274">
        <v>4</v>
      </c>
      <c r="H787" s="261">
        <v>49074</v>
      </c>
      <c r="I787" s="261">
        <v>196296</v>
      </c>
      <c r="J787" s="261">
        <v>0</v>
      </c>
      <c r="K787" s="261">
        <f t="shared" si="24"/>
        <v>196296</v>
      </c>
      <c r="L787" s="261">
        <v>15704</v>
      </c>
      <c r="M787" s="261">
        <f t="shared" si="25"/>
        <v>212000</v>
      </c>
      <c r="N787" s="137">
        <v>3.5900000000000001E-2</v>
      </c>
    </row>
    <row r="788" spans="1:14" ht="18" customHeight="1">
      <c r="A788" s="134">
        <v>11</v>
      </c>
      <c r="B788" s="135" t="s">
        <v>99</v>
      </c>
      <c r="C788" s="134">
        <v>122</v>
      </c>
      <c r="D788" s="138" t="s">
        <v>86</v>
      </c>
      <c r="E788" s="138" t="s">
        <v>634</v>
      </c>
      <c r="F788" s="135" t="s">
        <v>620</v>
      </c>
      <c r="G788" s="274">
        <v>0</v>
      </c>
      <c r="H788" s="261">
        <v>0</v>
      </c>
      <c r="I788" s="261">
        <v>0</v>
      </c>
      <c r="J788" s="261">
        <v>0</v>
      </c>
      <c r="K788" s="261">
        <f t="shared" si="24"/>
        <v>0</v>
      </c>
      <c r="L788" s="261">
        <v>0</v>
      </c>
      <c r="M788" s="261">
        <f t="shared" si="25"/>
        <v>0</v>
      </c>
      <c r="N788" s="137">
        <v>0</v>
      </c>
    </row>
    <row r="789" spans="1:14" ht="18" customHeight="1">
      <c r="A789" s="134">
        <v>11</v>
      </c>
      <c r="B789" s="135" t="s">
        <v>99</v>
      </c>
      <c r="C789" s="134">
        <v>247</v>
      </c>
      <c r="D789" s="138" t="s">
        <v>82</v>
      </c>
      <c r="E789" s="138" t="s">
        <v>700</v>
      </c>
      <c r="F789" s="135" t="s">
        <v>620</v>
      </c>
      <c r="G789" s="274">
        <v>2</v>
      </c>
      <c r="H789" s="261">
        <v>3056</v>
      </c>
      <c r="I789" s="261">
        <v>6111</v>
      </c>
      <c r="J789" s="261">
        <v>0</v>
      </c>
      <c r="K789" s="261">
        <f t="shared" si="24"/>
        <v>6111</v>
      </c>
      <c r="L789" s="261">
        <v>489</v>
      </c>
      <c r="M789" s="261">
        <f t="shared" si="25"/>
        <v>6600</v>
      </c>
      <c r="N789" s="137">
        <v>1.1000000000000001E-3</v>
      </c>
    </row>
    <row r="790" spans="1:14" ht="18" customHeight="1">
      <c r="A790" s="134">
        <v>11</v>
      </c>
      <c r="B790" s="135" t="s">
        <v>99</v>
      </c>
      <c r="C790" s="134">
        <v>11</v>
      </c>
      <c r="D790" s="138" t="s">
        <v>82</v>
      </c>
      <c r="E790" s="138" t="s">
        <v>748</v>
      </c>
      <c r="F790" s="135" t="s">
        <v>620</v>
      </c>
      <c r="G790" s="274">
        <v>9</v>
      </c>
      <c r="H790" s="261">
        <v>18724</v>
      </c>
      <c r="I790" s="261">
        <v>168519</v>
      </c>
      <c r="J790" s="261">
        <v>0</v>
      </c>
      <c r="K790" s="261">
        <f t="shared" si="24"/>
        <v>168519</v>
      </c>
      <c r="L790" s="261">
        <v>13481</v>
      </c>
      <c r="M790" s="261">
        <f t="shared" si="25"/>
        <v>182000</v>
      </c>
      <c r="N790" s="137">
        <v>3.0800000000000001E-2</v>
      </c>
    </row>
    <row r="791" spans="1:14" ht="18" customHeight="1">
      <c r="A791" s="134">
        <v>11</v>
      </c>
      <c r="B791" s="135" t="s">
        <v>99</v>
      </c>
      <c r="C791" s="134">
        <v>110</v>
      </c>
      <c r="D791" s="138" t="s">
        <v>94</v>
      </c>
      <c r="E791" s="138" t="s">
        <v>635</v>
      </c>
      <c r="F791" s="135" t="s">
        <v>620</v>
      </c>
      <c r="G791" s="274">
        <v>22</v>
      </c>
      <c r="H791" s="261">
        <v>926</v>
      </c>
      <c r="I791" s="261">
        <v>20370</v>
      </c>
      <c r="J791" s="261">
        <v>0</v>
      </c>
      <c r="K791" s="261">
        <f t="shared" si="24"/>
        <v>20370</v>
      </c>
      <c r="L791" s="261">
        <v>1630</v>
      </c>
      <c r="M791" s="261">
        <f t="shared" si="25"/>
        <v>22000</v>
      </c>
      <c r="N791" s="137">
        <v>3.7000000000000002E-3</v>
      </c>
    </row>
    <row r="792" spans="1:14" ht="18" customHeight="1">
      <c r="A792" s="134">
        <v>11</v>
      </c>
      <c r="B792" s="135" t="s">
        <v>99</v>
      </c>
      <c r="C792" s="134">
        <v>102</v>
      </c>
      <c r="D792" s="138" t="s">
        <v>82</v>
      </c>
      <c r="E792" s="138" t="s">
        <v>684</v>
      </c>
      <c r="F792" s="135" t="s">
        <v>620</v>
      </c>
      <c r="G792" s="274">
        <v>1</v>
      </c>
      <c r="H792" s="261">
        <v>6944</v>
      </c>
      <c r="I792" s="261">
        <v>6944</v>
      </c>
      <c r="J792" s="261">
        <v>0</v>
      </c>
      <c r="K792" s="261">
        <f t="shared" si="24"/>
        <v>6944</v>
      </c>
      <c r="L792" s="261">
        <v>556</v>
      </c>
      <c r="M792" s="261">
        <f t="shared" si="25"/>
        <v>7500</v>
      </c>
      <c r="N792" s="137">
        <v>1.2999999999999999E-3</v>
      </c>
    </row>
    <row r="793" spans="1:14" ht="18" customHeight="1">
      <c r="A793" s="134">
        <v>11</v>
      </c>
      <c r="B793" s="135" t="s">
        <v>99</v>
      </c>
      <c r="C793" s="134">
        <v>30</v>
      </c>
      <c r="D793" s="138" t="s">
        <v>90</v>
      </c>
      <c r="E793" s="138" t="s">
        <v>637</v>
      </c>
      <c r="F793" s="135" t="s">
        <v>620</v>
      </c>
      <c r="G793" s="274">
        <v>2</v>
      </c>
      <c r="H793" s="261">
        <v>6481</v>
      </c>
      <c r="I793" s="261">
        <v>12963</v>
      </c>
      <c r="J793" s="261">
        <v>0</v>
      </c>
      <c r="K793" s="261">
        <f t="shared" si="24"/>
        <v>12963</v>
      </c>
      <c r="L793" s="261">
        <v>1037</v>
      </c>
      <c r="M793" s="261">
        <f t="shared" si="25"/>
        <v>14000</v>
      </c>
      <c r="N793" s="137">
        <v>2.3999999999999998E-3</v>
      </c>
    </row>
    <row r="794" spans="1:14" ht="18" customHeight="1">
      <c r="A794" s="134">
        <v>11</v>
      </c>
      <c r="B794" s="135" t="s">
        <v>99</v>
      </c>
      <c r="C794" s="134">
        <v>94</v>
      </c>
      <c r="D794" s="138" t="s">
        <v>84</v>
      </c>
      <c r="E794" s="138" t="s">
        <v>145</v>
      </c>
      <c r="F794" s="135" t="s">
        <v>620</v>
      </c>
      <c r="G794" s="274">
        <v>17</v>
      </c>
      <c r="H794" s="261">
        <v>18736</v>
      </c>
      <c r="I794" s="261">
        <v>318519</v>
      </c>
      <c r="J794" s="261">
        <v>0</v>
      </c>
      <c r="K794" s="261">
        <f t="shared" si="24"/>
        <v>318519</v>
      </c>
      <c r="L794" s="261">
        <v>25481</v>
      </c>
      <c r="M794" s="261">
        <f t="shared" si="25"/>
        <v>344000</v>
      </c>
      <c r="N794" s="137">
        <v>5.8200000000000002E-2</v>
      </c>
    </row>
    <row r="795" spans="1:14" ht="18" customHeight="1">
      <c r="A795" s="134">
        <v>11</v>
      </c>
      <c r="B795" s="135" t="s">
        <v>99</v>
      </c>
      <c r="C795" s="134">
        <v>233</v>
      </c>
      <c r="D795" s="138" t="s">
        <v>84</v>
      </c>
      <c r="E795" s="138" t="s">
        <v>112</v>
      </c>
      <c r="F795" s="135" t="s">
        <v>620</v>
      </c>
      <c r="G795" s="274">
        <v>36</v>
      </c>
      <c r="H795" s="261">
        <v>18544</v>
      </c>
      <c r="I795" s="261">
        <v>670370</v>
      </c>
      <c r="J795" s="261">
        <v>2778</v>
      </c>
      <c r="K795" s="261">
        <f t="shared" si="24"/>
        <v>667592</v>
      </c>
      <c r="L795" s="261">
        <v>53407</v>
      </c>
      <c r="M795" s="261">
        <f t="shared" si="25"/>
        <v>720999</v>
      </c>
      <c r="N795" s="137">
        <v>0.122</v>
      </c>
    </row>
    <row r="796" spans="1:14" ht="18" customHeight="1">
      <c r="A796" s="134">
        <v>11</v>
      </c>
      <c r="B796" s="135" t="s">
        <v>99</v>
      </c>
      <c r="C796" s="134">
        <v>217</v>
      </c>
      <c r="D796" s="138" t="s">
        <v>84</v>
      </c>
      <c r="E796" s="138" t="s">
        <v>639</v>
      </c>
      <c r="F796" s="135" t="s">
        <v>620</v>
      </c>
      <c r="G796" s="274">
        <v>3</v>
      </c>
      <c r="H796" s="261">
        <v>27778</v>
      </c>
      <c r="I796" s="261">
        <v>83333</v>
      </c>
      <c r="J796" s="261">
        <v>0</v>
      </c>
      <c r="K796" s="261">
        <f t="shared" si="24"/>
        <v>83333</v>
      </c>
      <c r="L796" s="261">
        <v>6667</v>
      </c>
      <c r="M796" s="261">
        <f t="shared" si="25"/>
        <v>90000</v>
      </c>
      <c r="N796" s="137">
        <v>1.52E-2</v>
      </c>
    </row>
    <row r="797" spans="1:14" ht="18" customHeight="1">
      <c r="A797" s="134">
        <v>11</v>
      </c>
      <c r="B797" s="135" t="s">
        <v>99</v>
      </c>
      <c r="C797" s="134">
        <v>218</v>
      </c>
      <c r="D797" s="138" t="s">
        <v>84</v>
      </c>
      <c r="E797" s="138" t="s">
        <v>640</v>
      </c>
      <c r="F797" s="135" t="s">
        <v>620</v>
      </c>
      <c r="G797" s="274">
        <v>17</v>
      </c>
      <c r="H797" s="261">
        <v>18791</v>
      </c>
      <c r="I797" s="261">
        <v>319444</v>
      </c>
      <c r="J797" s="261">
        <v>0</v>
      </c>
      <c r="K797" s="261">
        <f t="shared" si="24"/>
        <v>319444</v>
      </c>
      <c r="L797" s="261">
        <v>25556</v>
      </c>
      <c r="M797" s="261">
        <f t="shared" si="25"/>
        <v>345000</v>
      </c>
      <c r="N797" s="137">
        <v>5.8400000000000001E-2</v>
      </c>
    </row>
    <row r="798" spans="1:14" ht="18" customHeight="1">
      <c r="A798" s="134">
        <v>11</v>
      </c>
      <c r="B798" s="135" t="s">
        <v>99</v>
      </c>
      <c r="C798" s="134">
        <v>34</v>
      </c>
      <c r="D798" s="138" t="s">
        <v>86</v>
      </c>
      <c r="E798" s="138" t="s">
        <v>641</v>
      </c>
      <c r="F798" s="135" t="s">
        <v>620</v>
      </c>
      <c r="G798" s="274">
        <v>2</v>
      </c>
      <c r="H798" s="261">
        <v>6481</v>
      </c>
      <c r="I798" s="261">
        <v>12963</v>
      </c>
      <c r="J798" s="261">
        <v>0</v>
      </c>
      <c r="K798" s="261">
        <f t="shared" si="24"/>
        <v>12963</v>
      </c>
      <c r="L798" s="261">
        <v>1037</v>
      </c>
      <c r="M798" s="261">
        <f t="shared" si="25"/>
        <v>14000</v>
      </c>
      <c r="N798" s="137">
        <v>2.3999999999999998E-3</v>
      </c>
    </row>
    <row r="799" spans="1:14" ht="18" customHeight="1">
      <c r="A799" s="134">
        <v>11</v>
      </c>
      <c r="B799" s="135" t="s">
        <v>99</v>
      </c>
      <c r="C799" s="134">
        <v>121</v>
      </c>
      <c r="D799" s="138" t="s">
        <v>86</v>
      </c>
      <c r="E799" s="138" t="s">
        <v>642</v>
      </c>
      <c r="F799" s="135" t="s">
        <v>620</v>
      </c>
      <c r="G799" s="274">
        <v>1</v>
      </c>
      <c r="H799" s="261">
        <v>2778</v>
      </c>
      <c r="I799" s="261">
        <v>2778</v>
      </c>
      <c r="J799" s="261">
        <v>0</v>
      </c>
      <c r="K799" s="261">
        <f t="shared" si="24"/>
        <v>2778</v>
      </c>
      <c r="L799" s="261">
        <v>222</v>
      </c>
      <c r="M799" s="261">
        <f t="shared" si="25"/>
        <v>3000</v>
      </c>
      <c r="N799" s="137">
        <v>5.0000000000000001E-4</v>
      </c>
    </row>
    <row r="800" spans="1:14" ht="18" customHeight="1">
      <c r="A800" s="134">
        <v>11</v>
      </c>
      <c r="B800" s="135" t="s">
        <v>99</v>
      </c>
      <c r="C800" s="134">
        <v>208</v>
      </c>
      <c r="D800" s="138" t="s">
        <v>86</v>
      </c>
      <c r="E800" s="138" t="s">
        <v>643</v>
      </c>
      <c r="F800" s="135" t="s">
        <v>620</v>
      </c>
      <c r="G800" s="274">
        <v>9</v>
      </c>
      <c r="H800" s="261">
        <v>3704</v>
      </c>
      <c r="I800" s="261">
        <v>33333</v>
      </c>
      <c r="J800" s="261">
        <v>0</v>
      </c>
      <c r="K800" s="261">
        <f t="shared" si="24"/>
        <v>33333</v>
      </c>
      <c r="L800" s="261">
        <v>2667</v>
      </c>
      <c r="M800" s="261">
        <f t="shared" si="25"/>
        <v>36000</v>
      </c>
      <c r="N800" s="137">
        <v>6.1000000000000004E-3</v>
      </c>
    </row>
    <row r="801" spans="1:14" ht="18" customHeight="1">
      <c r="A801" s="134">
        <v>11</v>
      </c>
      <c r="B801" s="135" t="s">
        <v>99</v>
      </c>
      <c r="C801" s="134">
        <v>90</v>
      </c>
      <c r="D801" s="138" t="s">
        <v>86</v>
      </c>
      <c r="E801" s="138" t="s">
        <v>439</v>
      </c>
      <c r="F801" s="135" t="s">
        <v>620</v>
      </c>
      <c r="G801" s="274">
        <v>3</v>
      </c>
      <c r="H801" s="261">
        <v>4259</v>
      </c>
      <c r="I801" s="261">
        <v>12778</v>
      </c>
      <c r="J801" s="261">
        <v>0</v>
      </c>
      <c r="K801" s="261">
        <f t="shared" si="24"/>
        <v>12778</v>
      </c>
      <c r="L801" s="261">
        <v>1022</v>
      </c>
      <c r="M801" s="261">
        <f t="shared" si="25"/>
        <v>13800</v>
      </c>
      <c r="N801" s="137">
        <v>2.3E-3</v>
      </c>
    </row>
    <row r="802" spans="1:14" ht="18" customHeight="1">
      <c r="A802" s="134">
        <v>11</v>
      </c>
      <c r="B802" s="135" t="s">
        <v>99</v>
      </c>
      <c r="C802" s="134">
        <v>123</v>
      </c>
      <c r="D802" s="138" t="s">
        <v>86</v>
      </c>
      <c r="E802" s="138" t="s">
        <v>644</v>
      </c>
      <c r="F802" s="135" t="s">
        <v>620</v>
      </c>
      <c r="G802" s="274">
        <v>4</v>
      </c>
      <c r="H802" s="261">
        <v>2778</v>
      </c>
      <c r="I802" s="261">
        <v>11111</v>
      </c>
      <c r="J802" s="261">
        <v>0</v>
      </c>
      <c r="K802" s="261">
        <f t="shared" si="24"/>
        <v>11111</v>
      </c>
      <c r="L802" s="261">
        <v>889</v>
      </c>
      <c r="M802" s="261">
        <f t="shared" si="25"/>
        <v>12000</v>
      </c>
      <c r="N802" s="137">
        <v>2E-3</v>
      </c>
    </row>
    <row r="803" spans="1:14" ht="18" customHeight="1">
      <c r="A803" s="134">
        <v>11</v>
      </c>
      <c r="B803" s="135" t="s">
        <v>99</v>
      </c>
      <c r="C803" s="134">
        <v>31</v>
      </c>
      <c r="D803" s="138" t="s">
        <v>90</v>
      </c>
      <c r="E803" s="138" t="s">
        <v>645</v>
      </c>
      <c r="F803" s="135" t="s">
        <v>620</v>
      </c>
      <c r="G803" s="274">
        <v>9</v>
      </c>
      <c r="H803" s="261">
        <v>1204</v>
      </c>
      <c r="I803" s="261">
        <v>10833</v>
      </c>
      <c r="J803" s="261">
        <v>0</v>
      </c>
      <c r="K803" s="261">
        <f t="shared" si="24"/>
        <v>10833</v>
      </c>
      <c r="L803" s="261">
        <v>867</v>
      </c>
      <c r="M803" s="261">
        <f t="shared" si="25"/>
        <v>11700</v>
      </c>
      <c r="N803" s="137">
        <v>2E-3</v>
      </c>
    </row>
    <row r="804" spans="1:14" ht="18" customHeight="1">
      <c r="A804" s="134">
        <v>11</v>
      </c>
      <c r="B804" s="135" t="s">
        <v>99</v>
      </c>
      <c r="C804" s="134">
        <v>74</v>
      </c>
      <c r="D804" s="138" t="s">
        <v>86</v>
      </c>
      <c r="E804" s="138" t="s">
        <v>686</v>
      </c>
      <c r="F804" s="135" t="s">
        <v>620</v>
      </c>
      <c r="G804" s="274">
        <v>5</v>
      </c>
      <c r="H804" s="261">
        <v>6481</v>
      </c>
      <c r="I804" s="261">
        <v>32407</v>
      </c>
      <c r="J804" s="261">
        <v>0</v>
      </c>
      <c r="K804" s="261">
        <f t="shared" si="24"/>
        <v>32407</v>
      </c>
      <c r="L804" s="261">
        <v>2593</v>
      </c>
      <c r="M804" s="261">
        <f t="shared" si="25"/>
        <v>35000</v>
      </c>
      <c r="N804" s="137">
        <v>5.8999999999999999E-3</v>
      </c>
    </row>
    <row r="805" spans="1:14" ht="18" customHeight="1">
      <c r="A805" s="134">
        <v>11</v>
      </c>
      <c r="B805" s="135" t="s">
        <v>99</v>
      </c>
      <c r="C805" s="134">
        <v>235</v>
      </c>
      <c r="D805" s="138" t="s">
        <v>86</v>
      </c>
      <c r="E805" s="138" t="s">
        <v>687</v>
      </c>
      <c r="F805" s="135" t="s">
        <v>620</v>
      </c>
      <c r="G805" s="274">
        <v>1</v>
      </c>
      <c r="H805" s="261">
        <v>3426</v>
      </c>
      <c r="I805" s="261">
        <v>3426</v>
      </c>
      <c r="J805" s="261">
        <v>0</v>
      </c>
      <c r="K805" s="261">
        <f t="shared" si="24"/>
        <v>3426</v>
      </c>
      <c r="L805" s="261">
        <v>274</v>
      </c>
      <c r="M805" s="261">
        <f t="shared" si="25"/>
        <v>3700</v>
      </c>
      <c r="N805" s="137">
        <v>5.9999999999999995E-4</v>
      </c>
    </row>
    <row r="806" spans="1:14" ht="18" customHeight="1">
      <c r="A806" s="134">
        <v>11</v>
      </c>
      <c r="B806" s="135" t="s">
        <v>99</v>
      </c>
      <c r="C806" s="134">
        <v>118</v>
      </c>
      <c r="D806" s="138" t="s">
        <v>82</v>
      </c>
      <c r="E806" s="138" t="s">
        <v>121</v>
      </c>
      <c r="F806" s="135" t="s">
        <v>620</v>
      </c>
      <c r="G806" s="274">
        <v>4</v>
      </c>
      <c r="H806" s="261">
        <v>41667</v>
      </c>
      <c r="I806" s="261">
        <v>166667</v>
      </c>
      <c r="J806" s="261">
        <v>0</v>
      </c>
      <c r="K806" s="261">
        <f t="shared" si="24"/>
        <v>166667</v>
      </c>
      <c r="L806" s="261">
        <v>13333</v>
      </c>
      <c r="M806" s="261">
        <f t="shared" si="25"/>
        <v>180000</v>
      </c>
      <c r="N806" s="137">
        <v>3.0499999999999999E-2</v>
      </c>
    </row>
    <row r="807" spans="1:14" ht="18" customHeight="1">
      <c r="A807" s="134">
        <v>11</v>
      </c>
      <c r="B807" s="135" t="s">
        <v>99</v>
      </c>
      <c r="C807" s="134">
        <v>204</v>
      </c>
      <c r="D807" s="138" t="s">
        <v>86</v>
      </c>
      <c r="E807" s="138" t="s">
        <v>648</v>
      </c>
      <c r="F807" s="135" t="s">
        <v>620</v>
      </c>
      <c r="G807" s="274">
        <v>1</v>
      </c>
      <c r="H807" s="261">
        <v>12037</v>
      </c>
      <c r="I807" s="261">
        <v>12037</v>
      </c>
      <c r="J807" s="261">
        <v>0</v>
      </c>
      <c r="K807" s="261">
        <f t="shared" si="24"/>
        <v>12037</v>
      </c>
      <c r="L807" s="261">
        <v>963</v>
      </c>
      <c r="M807" s="261">
        <f t="shared" si="25"/>
        <v>13000</v>
      </c>
      <c r="N807" s="137">
        <v>2.2000000000000001E-3</v>
      </c>
    </row>
    <row r="808" spans="1:14" ht="18" customHeight="1">
      <c r="A808" s="134">
        <v>11</v>
      </c>
      <c r="B808" s="135" t="s">
        <v>99</v>
      </c>
      <c r="C808" s="134">
        <v>109</v>
      </c>
      <c r="D808" s="138" t="s">
        <v>86</v>
      </c>
      <c r="E808" s="138" t="s">
        <v>142</v>
      </c>
      <c r="F808" s="135" t="s">
        <v>620</v>
      </c>
      <c r="G808" s="274">
        <v>5</v>
      </c>
      <c r="H808" s="261">
        <v>12963</v>
      </c>
      <c r="I808" s="261">
        <v>64815</v>
      </c>
      <c r="J808" s="261">
        <v>0</v>
      </c>
      <c r="K808" s="261">
        <f t="shared" si="24"/>
        <v>64815</v>
      </c>
      <c r="L808" s="261">
        <v>5185</v>
      </c>
      <c r="M808" s="261">
        <f t="shared" si="25"/>
        <v>70000</v>
      </c>
      <c r="N808" s="137">
        <v>1.18E-2</v>
      </c>
    </row>
    <row r="809" spans="1:14" ht="18" customHeight="1">
      <c r="A809" s="134">
        <v>11</v>
      </c>
      <c r="B809" s="135" t="s">
        <v>99</v>
      </c>
      <c r="C809" s="134">
        <v>147</v>
      </c>
      <c r="D809" s="138" t="s">
        <v>86</v>
      </c>
      <c r="E809" s="138" t="s">
        <v>649</v>
      </c>
      <c r="F809" s="135" t="s">
        <v>620</v>
      </c>
      <c r="G809" s="274">
        <v>4</v>
      </c>
      <c r="H809" s="261">
        <v>6481</v>
      </c>
      <c r="I809" s="261">
        <v>25926</v>
      </c>
      <c r="J809" s="261">
        <v>0</v>
      </c>
      <c r="K809" s="261">
        <f t="shared" si="24"/>
        <v>25926</v>
      </c>
      <c r="L809" s="261">
        <v>2074</v>
      </c>
      <c r="M809" s="261">
        <f t="shared" si="25"/>
        <v>28000</v>
      </c>
      <c r="N809" s="137">
        <v>4.6999999999999993E-3</v>
      </c>
    </row>
    <row r="810" spans="1:14" ht="18" customHeight="1">
      <c r="A810" s="134">
        <v>11</v>
      </c>
      <c r="B810" s="135" t="s">
        <v>99</v>
      </c>
      <c r="C810" s="134">
        <v>72</v>
      </c>
      <c r="D810" s="138" t="s">
        <v>92</v>
      </c>
      <c r="E810" s="138" t="s">
        <v>651</v>
      </c>
      <c r="F810" s="135" t="s">
        <v>620</v>
      </c>
      <c r="G810" s="274">
        <v>9</v>
      </c>
      <c r="H810" s="261">
        <v>3704</v>
      </c>
      <c r="I810" s="261">
        <v>33333</v>
      </c>
      <c r="J810" s="261">
        <v>0</v>
      </c>
      <c r="K810" s="261">
        <f t="shared" si="24"/>
        <v>33333</v>
      </c>
      <c r="L810" s="261">
        <v>2667</v>
      </c>
      <c r="M810" s="261">
        <f t="shared" si="25"/>
        <v>36000</v>
      </c>
      <c r="N810" s="137">
        <v>6.1000000000000004E-3</v>
      </c>
    </row>
    <row r="811" spans="1:14" ht="18" customHeight="1">
      <c r="A811" s="134">
        <v>11</v>
      </c>
      <c r="B811" s="135" t="s">
        <v>99</v>
      </c>
      <c r="C811" s="134">
        <v>93</v>
      </c>
      <c r="D811" s="138" t="s">
        <v>84</v>
      </c>
      <c r="E811" s="138" t="s">
        <v>118</v>
      </c>
      <c r="F811" s="135" t="s">
        <v>620</v>
      </c>
      <c r="G811" s="274">
        <v>7</v>
      </c>
      <c r="H811" s="261">
        <v>20370</v>
      </c>
      <c r="I811" s="261">
        <v>142593</v>
      </c>
      <c r="J811" s="261">
        <v>0</v>
      </c>
      <c r="K811" s="261">
        <f t="shared" si="24"/>
        <v>142593</v>
      </c>
      <c r="L811" s="261">
        <v>11407</v>
      </c>
      <c r="M811" s="261">
        <f t="shared" si="25"/>
        <v>154000</v>
      </c>
      <c r="N811" s="137">
        <v>2.6100000000000002E-2</v>
      </c>
    </row>
    <row r="812" spans="1:14" ht="18" customHeight="1">
      <c r="A812" s="134">
        <v>11</v>
      </c>
      <c r="B812" s="135" t="s">
        <v>99</v>
      </c>
      <c r="C812" s="134">
        <v>119</v>
      </c>
      <c r="D812" s="138" t="s">
        <v>84</v>
      </c>
      <c r="E812" s="138" t="s">
        <v>109</v>
      </c>
      <c r="F812" s="135" t="s">
        <v>620</v>
      </c>
      <c r="G812" s="274">
        <v>5</v>
      </c>
      <c r="H812" s="261">
        <v>44444</v>
      </c>
      <c r="I812" s="261">
        <v>222222</v>
      </c>
      <c r="J812" s="261">
        <v>0</v>
      </c>
      <c r="K812" s="261">
        <f t="shared" si="24"/>
        <v>222222</v>
      </c>
      <c r="L812" s="261">
        <v>17778</v>
      </c>
      <c r="M812" s="261">
        <f t="shared" si="25"/>
        <v>240000</v>
      </c>
      <c r="N812" s="137">
        <v>4.0599999999999997E-2</v>
      </c>
    </row>
    <row r="813" spans="1:14" ht="18" customHeight="1">
      <c r="A813" s="134">
        <v>11</v>
      </c>
      <c r="B813" s="135" t="s">
        <v>99</v>
      </c>
      <c r="C813" s="134">
        <v>21</v>
      </c>
      <c r="D813" s="138" t="s">
        <v>90</v>
      </c>
      <c r="E813" s="138" t="s">
        <v>737</v>
      </c>
      <c r="F813" s="135" t="s">
        <v>620</v>
      </c>
      <c r="G813" s="274">
        <v>4</v>
      </c>
      <c r="H813" s="261">
        <v>7407</v>
      </c>
      <c r="I813" s="261">
        <v>29630</v>
      </c>
      <c r="J813" s="261">
        <v>0</v>
      </c>
      <c r="K813" s="261">
        <f t="shared" si="24"/>
        <v>29630</v>
      </c>
      <c r="L813" s="261">
        <v>2370</v>
      </c>
      <c r="M813" s="261">
        <f t="shared" si="25"/>
        <v>32000</v>
      </c>
      <c r="N813" s="137">
        <v>5.4000000000000003E-3</v>
      </c>
    </row>
    <row r="814" spans="1:14" ht="18" customHeight="1">
      <c r="A814" s="134">
        <v>11</v>
      </c>
      <c r="B814" s="135" t="s">
        <v>99</v>
      </c>
      <c r="C814" s="134">
        <v>19</v>
      </c>
      <c r="D814" s="138" t="s">
        <v>82</v>
      </c>
      <c r="E814" s="138" t="s">
        <v>654</v>
      </c>
      <c r="F814" s="135" t="s">
        <v>620</v>
      </c>
      <c r="G814" s="274">
        <v>1</v>
      </c>
      <c r="H814" s="261">
        <v>9259</v>
      </c>
      <c r="I814" s="261">
        <v>9259</v>
      </c>
      <c r="J814" s="261">
        <v>0</v>
      </c>
      <c r="K814" s="261">
        <f t="shared" si="24"/>
        <v>9259</v>
      </c>
      <c r="L814" s="261">
        <v>741</v>
      </c>
      <c r="M814" s="261">
        <f t="shared" si="25"/>
        <v>10000</v>
      </c>
      <c r="N814" s="137">
        <v>1.6999999999999999E-3</v>
      </c>
    </row>
    <row r="815" spans="1:14" ht="18" customHeight="1">
      <c r="A815" s="134">
        <v>11</v>
      </c>
      <c r="B815" s="135" t="s">
        <v>99</v>
      </c>
      <c r="C815" s="134">
        <v>22</v>
      </c>
      <c r="D815" s="138" t="s">
        <v>88</v>
      </c>
      <c r="E815" s="138" t="s">
        <v>712</v>
      </c>
      <c r="F815" s="135" t="s">
        <v>620</v>
      </c>
      <c r="G815" s="274">
        <v>20</v>
      </c>
      <c r="H815" s="261">
        <v>18657</v>
      </c>
      <c r="I815" s="261">
        <v>373148</v>
      </c>
      <c r="J815" s="261">
        <v>0</v>
      </c>
      <c r="K815" s="261">
        <f t="shared" si="24"/>
        <v>373148</v>
      </c>
      <c r="L815" s="261">
        <v>29852</v>
      </c>
      <c r="M815" s="261">
        <f t="shared" si="25"/>
        <v>403000</v>
      </c>
      <c r="N815" s="137">
        <v>6.8199999999999997E-2</v>
      </c>
    </row>
    <row r="816" spans="1:14" ht="18" customHeight="1">
      <c r="A816" s="134">
        <v>11</v>
      </c>
      <c r="B816" s="135" t="s">
        <v>99</v>
      </c>
      <c r="C816" s="134">
        <v>239</v>
      </c>
      <c r="D816" s="138" t="s">
        <v>82</v>
      </c>
      <c r="E816" s="138" t="s">
        <v>713</v>
      </c>
      <c r="F816" s="135" t="s">
        <v>620</v>
      </c>
      <c r="G816" s="274">
        <v>13</v>
      </c>
      <c r="H816" s="261">
        <v>18875</v>
      </c>
      <c r="I816" s="261">
        <v>245370</v>
      </c>
      <c r="J816" s="261">
        <v>0</v>
      </c>
      <c r="K816" s="261">
        <f t="shared" si="24"/>
        <v>245370</v>
      </c>
      <c r="L816" s="261">
        <v>19630</v>
      </c>
      <c r="M816" s="261">
        <f t="shared" si="25"/>
        <v>265000</v>
      </c>
      <c r="N816" s="137">
        <v>4.4800000000000013E-2</v>
      </c>
    </row>
    <row r="817" spans="1:14" ht="18" customHeight="1">
      <c r="A817" s="134">
        <v>11</v>
      </c>
      <c r="B817" s="135" t="s">
        <v>99</v>
      </c>
      <c r="C817" s="134">
        <v>145</v>
      </c>
      <c r="D817" s="138" t="s">
        <v>82</v>
      </c>
      <c r="E817" s="138" t="s">
        <v>714</v>
      </c>
      <c r="F817" s="135" t="s">
        <v>620</v>
      </c>
      <c r="G817" s="274">
        <v>14</v>
      </c>
      <c r="H817" s="261">
        <v>18585</v>
      </c>
      <c r="I817" s="261">
        <v>260185</v>
      </c>
      <c r="J817" s="261">
        <v>0</v>
      </c>
      <c r="K817" s="261">
        <f t="shared" si="24"/>
        <v>260185</v>
      </c>
      <c r="L817" s="261">
        <v>20815</v>
      </c>
      <c r="M817" s="261">
        <f t="shared" si="25"/>
        <v>281000</v>
      </c>
      <c r="N817" s="137">
        <v>4.7500000000000001E-2</v>
      </c>
    </row>
    <row r="818" spans="1:14" ht="18" customHeight="1">
      <c r="A818" s="134">
        <v>11</v>
      </c>
      <c r="B818" s="135" t="s">
        <v>99</v>
      </c>
      <c r="C818" s="134">
        <v>111</v>
      </c>
      <c r="D818" s="138" t="s">
        <v>82</v>
      </c>
      <c r="E818" s="138" t="s">
        <v>727</v>
      </c>
      <c r="F818" s="135" t="s">
        <v>620</v>
      </c>
      <c r="G818" s="274">
        <v>1</v>
      </c>
      <c r="H818" s="261">
        <v>6481</v>
      </c>
      <c r="I818" s="261">
        <v>6481</v>
      </c>
      <c r="J818" s="261">
        <v>0</v>
      </c>
      <c r="K818" s="261">
        <f t="shared" si="24"/>
        <v>6481</v>
      </c>
      <c r="L818" s="261">
        <v>519</v>
      </c>
      <c r="M818" s="261">
        <f t="shared" si="25"/>
        <v>7000</v>
      </c>
      <c r="N818" s="137">
        <v>1.1999999999999999E-3</v>
      </c>
    </row>
    <row r="819" spans="1:14" ht="18" customHeight="1">
      <c r="A819" s="134">
        <v>11</v>
      </c>
      <c r="B819" s="135" t="s">
        <v>99</v>
      </c>
      <c r="C819" s="134">
        <v>168</v>
      </c>
      <c r="D819" s="138" t="s">
        <v>82</v>
      </c>
      <c r="E819" s="138" t="s">
        <v>743</v>
      </c>
      <c r="F819" s="135" t="s">
        <v>620</v>
      </c>
      <c r="G819" s="274">
        <v>11</v>
      </c>
      <c r="H819" s="261">
        <v>6481</v>
      </c>
      <c r="I819" s="261">
        <v>71296</v>
      </c>
      <c r="J819" s="261">
        <v>0</v>
      </c>
      <c r="K819" s="261">
        <f t="shared" si="24"/>
        <v>71296</v>
      </c>
      <c r="L819" s="261">
        <v>5704</v>
      </c>
      <c r="M819" s="261">
        <f t="shared" si="25"/>
        <v>77000</v>
      </c>
      <c r="N819" s="137">
        <v>1.2999999999999999E-2</v>
      </c>
    </row>
    <row r="820" spans="1:14" ht="18" customHeight="1">
      <c r="A820" s="134">
        <v>11</v>
      </c>
      <c r="B820" s="135" t="s">
        <v>99</v>
      </c>
      <c r="C820" s="134">
        <v>99</v>
      </c>
      <c r="D820" s="138" t="s">
        <v>82</v>
      </c>
      <c r="E820" s="138" t="s">
        <v>744</v>
      </c>
      <c r="F820" s="135" t="s">
        <v>745</v>
      </c>
      <c r="G820" s="274">
        <v>1</v>
      </c>
      <c r="H820" s="261">
        <v>3241</v>
      </c>
      <c r="I820" s="261">
        <v>3241</v>
      </c>
      <c r="J820" s="261">
        <v>0</v>
      </c>
      <c r="K820" s="261">
        <f t="shared" si="24"/>
        <v>3241</v>
      </c>
      <c r="L820" s="261">
        <v>259</v>
      </c>
      <c r="M820" s="261">
        <f t="shared" si="25"/>
        <v>3500</v>
      </c>
      <c r="N820" s="137">
        <v>5.9999999999999995E-4</v>
      </c>
    </row>
    <row r="821" spans="1:14" ht="18" customHeight="1">
      <c r="A821" s="134">
        <v>11</v>
      </c>
      <c r="B821" s="135" t="s">
        <v>99</v>
      </c>
      <c r="C821" s="134">
        <v>240</v>
      </c>
      <c r="D821" s="138" t="s">
        <v>82</v>
      </c>
      <c r="E821" s="138" t="s">
        <v>715</v>
      </c>
      <c r="F821" s="135" t="s">
        <v>620</v>
      </c>
      <c r="G821" s="274">
        <v>5</v>
      </c>
      <c r="H821" s="261">
        <v>6481</v>
      </c>
      <c r="I821" s="261">
        <v>32407</v>
      </c>
      <c r="J821" s="261">
        <v>0</v>
      </c>
      <c r="K821" s="261">
        <f t="shared" si="24"/>
        <v>32407</v>
      </c>
      <c r="L821" s="261">
        <v>2593</v>
      </c>
      <c r="M821" s="261">
        <f t="shared" si="25"/>
        <v>35000</v>
      </c>
      <c r="N821" s="137">
        <v>5.8999999999999999E-3</v>
      </c>
    </row>
    <row r="822" spans="1:14" ht="18" customHeight="1">
      <c r="A822" s="134">
        <v>11</v>
      </c>
      <c r="B822" s="135" t="s">
        <v>99</v>
      </c>
      <c r="C822" s="134">
        <v>156</v>
      </c>
      <c r="D822" s="138" t="s">
        <v>88</v>
      </c>
      <c r="E822" s="138" t="s">
        <v>716</v>
      </c>
      <c r="F822" s="135" t="s">
        <v>620</v>
      </c>
      <c r="G822" s="274">
        <v>4</v>
      </c>
      <c r="H822" s="261">
        <v>6481</v>
      </c>
      <c r="I822" s="261">
        <v>25926</v>
      </c>
      <c r="J822" s="261">
        <v>0</v>
      </c>
      <c r="K822" s="261">
        <f t="shared" si="24"/>
        <v>25926</v>
      </c>
      <c r="L822" s="261">
        <v>2074</v>
      </c>
      <c r="M822" s="261">
        <f t="shared" si="25"/>
        <v>28000</v>
      </c>
      <c r="N822" s="137">
        <v>4.6999999999999993E-3</v>
      </c>
    </row>
    <row r="823" spans="1:14" ht="18" customHeight="1">
      <c r="A823" s="134">
        <v>11</v>
      </c>
      <c r="B823" s="135" t="s">
        <v>99</v>
      </c>
      <c r="C823" s="134">
        <v>81</v>
      </c>
      <c r="D823" s="138" t="s">
        <v>90</v>
      </c>
      <c r="E823" s="138" t="s">
        <v>657</v>
      </c>
      <c r="F823" s="135" t="s">
        <v>620</v>
      </c>
      <c r="G823" s="274">
        <v>2</v>
      </c>
      <c r="H823" s="261">
        <v>1389</v>
      </c>
      <c r="I823" s="261">
        <v>2778</v>
      </c>
      <c r="J823" s="261">
        <v>0</v>
      </c>
      <c r="K823" s="261">
        <f t="shared" si="24"/>
        <v>2778</v>
      </c>
      <c r="L823" s="261">
        <v>222</v>
      </c>
      <c r="M823" s="261">
        <f t="shared" si="25"/>
        <v>3000</v>
      </c>
      <c r="N823" s="137">
        <v>5.0000000000000001E-4</v>
      </c>
    </row>
    <row r="824" spans="1:14" ht="18" customHeight="1">
      <c r="A824" s="134">
        <v>11</v>
      </c>
      <c r="B824" s="135" t="s">
        <v>99</v>
      </c>
      <c r="C824" s="134">
        <v>86</v>
      </c>
      <c r="D824" s="138" t="s">
        <v>90</v>
      </c>
      <c r="E824" s="138" t="s">
        <v>658</v>
      </c>
      <c r="F824" s="135" t="s">
        <v>620</v>
      </c>
      <c r="G824" s="274">
        <v>15</v>
      </c>
      <c r="H824" s="261">
        <v>3241</v>
      </c>
      <c r="I824" s="261">
        <v>48611</v>
      </c>
      <c r="J824" s="261">
        <v>0</v>
      </c>
      <c r="K824" s="261">
        <f t="shared" si="24"/>
        <v>48611</v>
      </c>
      <c r="L824" s="261">
        <v>3889</v>
      </c>
      <c r="M824" s="261">
        <f t="shared" si="25"/>
        <v>52500</v>
      </c>
      <c r="N824" s="137">
        <v>8.8999999999999999E-3</v>
      </c>
    </row>
    <row r="825" spans="1:14" ht="18" customHeight="1">
      <c r="A825" s="134">
        <v>11</v>
      </c>
      <c r="B825" s="135" t="s">
        <v>99</v>
      </c>
      <c r="C825" s="134">
        <v>80</v>
      </c>
      <c r="D825" s="138" t="s">
        <v>90</v>
      </c>
      <c r="E825" s="138" t="s">
        <v>659</v>
      </c>
      <c r="F825" s="135" t="s">
        <v>620</v>
      </c>
      <c r="G825" s="274">
        <v>0</v>
      </c>
      <c r="H825" s="261">
        <v>0</v>
      </c>
      <c r="I825" s="261">
        <v>0</v>
      </c>
      <c r="J825" s="261">
        <v>0</v>
      </c>
      <c r="K825" s="261">
        <f t="shared" si="24"/>
        <v>0</v>
      </c>
      <c r="L825" s="261">
        <v>0</v>
      </c>
      <c r="M825" s="261">
        <f t="shared" si="25"/>
        <v>0</v>
      </c>
      <c r="N825" s="137">
        <v>0</v>
      </c>
    </row>
    <row r="826" spans="1:14" ht="18" customHeight="1">
      <c r="A826" s="134">
        <v>11</v>
      </c>
      <c r="B826" s="135" t="s">
        <v>99</v>
      </c>
      <c r="C826" s="134">
        <v>63</v>
      </c>
      <c r="D826" s="138" t="s">
        <v>90</v>
      </c>
      <c r="E826" s="138" t="s">
        <v>717</v>
      </c>
      <c r="F826" s="135" t="s">
        <v>620</v>
      </c>
      <c r="G826" s="274">
        <v>1</v>
      </c>
      <c r="H826" s="261">
        <v>3704</v>
      </c>
      <c r="I826" s="261">
        <v>3704</v>
      </c>
      <c r="J826" s="261">
        <v>0</v>
      </c>
      <c r="K826" s="261">
        <f t="shared" si="24"/>
        <v>3704</v>
      </c>
      <c r="L826" s="261">
        <v>296</v>
      </c>
      <c r="M826" s="261">
        <f t="shared" si="25"/>
        <v>4000</v>
      </c>
      <c r="N826" s="137">
        <v>7.000000000000001E-4</v>
      </c>
    </row>
    <row r="827" spans="1:14" ht="18" customHeight="1">
      <c r="A827" s="134">
        <v>11</v>
      </c>
      <c r="B827" s="135" t="s">
        <v>99</v>
      </c>
      <c r="C827" s="134">
        <v>79</v>
      </c>
      <c r="D827" s="138" t="s">
        <v>90</v>
      </c>
      <c r="E827" s="138" t="s">
        <v>661</v>
      </c>
      <c r="F827" s="135" t="s">
        <v>620</v>
      </c>
      <c r="G827" s="274">
        <v>3</v>
      </c>
      <c r="H827" s="261">
        <v>6481</v>
      </c>
      <c r="I827" s="261">
        <v>19444</v>
      </c>
      <c r="J827" s="261">
        <v>0</v>
      </c>
      <c r="K827" s="261">
        <f t="shared" si="24"/>
        <v>19444</v>
      </c>
      <c r="L827" s="261">
        <v>1556</v>
      </c>
      <c r="M827" s="261">
        <f t="shared" si="25"/>
        <v>21000</v>
      </c>
      <c r="N827" s="137">
        <v>3.5999999999999999E-3</v>
      </c>
    </row>
    <row r="828" spans="1:14" ht="18" customHeight="1">
      <c r="A828" s="134">
        <v>11</v>
      </c>
      <c r="B828" s="135" t="s">
        <v>99</v>
      </c>
      <c r="C828" s="134">
        <v>62</v>
      </c>
      <c r="D828" s="138" t="s">
        <v>90</v>
      </c>
      <c r="E828" s="138" t="s">
        <v>662</v>
      </c>
      <c r="F828" s="135" t="s">
        <v>620</v>
      </c>
      <c r="G828" s="274">
        <v>3</v>
      </c>
      <c r="H828" s="261">
        <v>6944</v>
      </c>
      <c r="I828" s="261">
        <v>20833</v>
      </c>
      <c r="J828" s="261">
        <v>0</v>
      </c>
      <c r="K828" s="261">
        <f t="shared" si="24"/>
        <v>20833</v>
      </c>
      <c r="L828" s="261">
        <v>1667</v>
      </c>
      <c r="M828" s="261">
        <f t="shared" si="25"/>
        <v>22500</v>
      </c>
      <c r="N828" s="137">
        <v>3.8E-3</v>
      </c>
    </row>
    <row r="829" spans="1:14" ht="18" customHeight="1">
      <c r="A829" s="134">
        <v>11</v>
      </c>
      <c r="B829" s="135" t="s">
        <v>99</v>
      </c>
      <c r="C829" s="134">
        <v>137</v>
      </c>
      <c r="D829" s="138" t="s">
        <v>90</v>
      </c>
      <c r="E829" s="138" t="s">
        <v>692</v>
      </c>
      <c r="F829" s="135" t="s">
        <v>620</v>
      </c>
      <c r="G829" s="274">
        <v>6</v>
      </c>
      <c r="H829" s="261">
        <v>6481</v>
      </c>
      <c r="I829" s="261">
        <v>38889</v>
      </c>
      <c r="J829" s="261">
        <v>0</v>
      </c>
      <c r="K829" s="261">
        <f t="shared" si="24"/>
        <v>38889</v>
      </c>
      <c r="L829" s="261">
        <v>3111</v>
      </c>
      <c r="M829" s="261">
        <f t="shared" si="25"/>
        <v>42000</v>
      </c>
      <c r="N829" s="137">
        <v>7.1000000000000004E-3</v>
      </c>
    </row>
    <row r="830" spans="1:14" ht="18" customHeight="1">
      <c r="A830" s="134">
        <v>11</v>
      </c>
      <c r="B830" s="135" t="s">
        <v>99</v>
      </c>
      <c r="C830" s="134">
        <v>219</v>
      </c>
      <c r="D830" s="138" t="s">
        <v>82</v>
      </c>
      <c r="E830" s="138" t="s">
        <v>148</v>
      </c>
      <c r="F830" s="135" t="s">
        <v>620</v>
      </c>
      <c r="G830" s="274">
        <v>1</v>
      </c>
      <c r="H830" s="261">
        <v>69444</v>
      </c>
      <c r="I830" s="261">
        <v>69444</v>
      </c>
      <c r="J830" s="261">
        <v>0</v>
      </c>
      <c r="K830" s="261">
        <f t="shared" si="24"/>
        <v>69444</v>
      </c>
      <c r="L830" s="261">
        <v>5556</v>
      </c>
      <c r="M830" s="261">
        <f t="shared" si="25"/>
        <v>75000</v>
      </c>
      <c r="N830" s="137">
        <v>1.2699999999999999E-2</v>
      </c>
    </row>
    <row r="831" spans="1:14" ht="18" customHeight="1">
      <c r="A831" s="134">
        <v>11</v>
      </c>
      <c r="B831" s="135" t="s">
        <v>99</v>
      </c>
      <c r="C831" s="134">
        <v>140</v>
      </c>
      <c r="D831" s="138" t="s">
        <v>82</v>
      </c>
      <c r="E831" s="138" t="s">
        <v>665</v>
      </c>
      <c r="F831" s="135" t="s">
        <v>620</v>
      </c>
      <c r="G831" s="274">
        <v>1</v>
      </c>
      <c r="H831" s="261">
        <v>90741</v>
      </c>
      <c r="I831" s="261">
        <v>90741</v>
      </c>
      <c r="J831" s="261">
        <v>0</v>
      </c>
      <c r="K831" s="261">
        <f t="shared" si="24"/>
        <v>90741</v>
      </c>
      <c r="L831" s="261">
        <v>7259</v>
      </c>
      <c r="M831" s="261">
        <f t="shared" si="25"/>
        <v>98000</v>
      </c>
      <c r="N831" s="137">
        <v>1.66E-2</v>
      </c>
    </row>
    <row r="832" spans="1:14" ht="18" customHeight="1">
      <c r="A832" s="134">
        <v>11</v>
      </c>
      <c r="B832" s="135" t="s">
        <v>99</v>
      </c>
      <c r="C832" s="134">
        <v>221</v>
      </c>
      <c r="D832" s="138" t="s">
        <v>82</v>
      </c>
      <c r="E832" s="138" t="s">
        <v>666</v>
      </c>
      <c r="F832" s="135" t="s">
        <v>620</v>
      </c>
      <c r="G832" s="274">
        <v>1</v>
      </c>
      <c r="H832" s="261">
        <v>54167</v>
      </c>
      <c r="I832" s="261">
        <v>54167</v>
      </c>
      <c r="J832" s="261">
        <v>0</v>
      </c>
      <c r="K832" s="261">
        <f t="shared" si="24"/>
        <v>54167</v>
      </c>
      <c r="L832" s="261">
        <v>4333</v>
      </c>
      <c r="M832" s="261">
        <f t="shared" si="25"/>
        <v>58500</v>
      </c>
      <c r="N832" s="137">
        <v>9.8999999999999991E-3</v>
      </c>
    </row>
    <row r="833" spans="1:14" ht="18" customHeight="1">
      <c r="A833" s="134">
        <v>11</v>
      </c>
      <c r="B833" s="135" t="s">
        <v>99</v>
      </c>
      <c r="C833" s="134">
        <v>223</v>
      </c>
      <c r="D833" s="138" t="s">
        <v>82</v>
      </c>
      <c r="E833" s="138" t="s">
        <v>136</v>
      </c>
      <c r="F833" s="135" t="s">
        <v>620</v>
      </c>
      <c r="G833" s="274">
        <v>2</v>
      </c>
      <c r="H833" s="261">
        <v>69444</v>
      </c>
      <c r="I833" s="261">
        <v>138889</v>
      </c>
      <c r="J833" s="261">
        <v>0</v>
      </c>
      <c r="K833" s="261">
        <f t="shared" si="24"/>
        <v>138889</v>
      </c>
      <c r="L833" s="261">
        <v>11111</v>
      </c>
      <c r="M833" s="261">
        <f t="shared" si="25"/>
        <v>150000</v>
      </c>
      <c r="N833" s="137">
        <v>2.5399999999999999E-2</v>
      </c>
    </row>
    <row r="834" spans="1:14" ht="18" customHeight="1">
      <c r="A834" s="134">
        <v>11</v>
      </c>
      <c r="B834" s="135" t="s">
        <v>99</v>
      </c>
      <c r="C834" s="134">
        <v>50</v>
      </c>
      <c r="D834" s="138" t="s">
        <v>82</v>
      </c>
      <c r="E834" s="138" t="s">
        <v>154</v>
      </c>
      <c r="F834" s="135" t="s">
        <v>620</v>
      </c>
      <c r="G834" s="274">
        <v>3</v>
      </c>
      <c r="H834" s="261">
        <v>49074</v>
      </c>
      <c r="I834" s="261">
        <v>147222</v>
      </c>
      <c r="J834" s="261">
        <v>0</v>
      </c>
      <c r="K834" s="261">
        <f t="shared" ref="K834:K897" si="26">I834-J834</f>
        <v>147222</v>
      </c>
      <c r="L834" s="261">
        <v>11778</v>
      </c>
      <c r="M834" s="261">
        <f t="shared" ref="M834:M897" si="27">K834+L834</f>
        <v>159000</v>
      </c>
      <c r="N834" s="137">
        <v>2.69E-2</v>
      </c>
    </row>
    <row r="835" spans="1:14" ht="18" customHeight="1">
      <c r="A835" s="134">
        <v>11</v>
      </c>
      <c r="B835" s="135" t="s">
        <v>99</v>
      </c>
      <c r="C835" s="134">
        <v>117</v>
      </c>
      <c r="D835" s="138" t="s">
        <v>82</v>
      </c>
      <c r="E835" s="138" t="s">
        <v>115</v>
      </c>
      <c r="F835" s="135" t="s">
        <v>620</v>
      </c>
      <c r="G835" s="274">
        <v>1</v>
      </c>
      <c r="H835" s="261">
        <v>41667</v>
      </c>
      <c r="I835" s="261">
        <v>41667</v>
      </c>
      <c r="J835" s="261">
        <v>0</v>
      </c>
      <c r="K835" s="261">
        <f t="shared" si="26"/>
        <v>41667</v>
      </c>
      <c r="L835" s="261">
        <v>3333</v>
      </c>
      <c r="M835" s="261">
        <f t="shared" si="27"/>
        <v>45000</v>
      </c>
      <c r="N835" s="137">
        <v>7.6E-3</v>
      </c>
    </row>
    <row r="836" spans="1:14" ht="18" customHeight="1">
      <c r="A836" s="134">
        <v>11</v>
      </c>
      <c r="B836" s="135" t="s">
        <v>99</v>
      </c>
      <c r="C836" s="134">
        <v>36</v>
      </c>
      <c r="D836" s="138" t="s">
        <v>86</v>
      </c>
      <c r="E836" s="138" t="s">
        <v>670</v>
      </c>
      <c r="F836" s="135" t="s">
        <v>620</v>
      </c>
      <c r="G836" s="274">
        <v>3</v>
      </c>
      <c r="H836" s="261">
        <v>3704</v>
      </c>
      <c r="I836" s="261">
        <v>11111</v>
      </c>
      <c r="J836" s="261">
        <v>0</v>
      </c>
      <c r="K836" s="261">
        <f t="shared" si="26"/>
        <v>11111</v>
      </c>
      <c r="L836" s="261">
        <v>889</v>
      </c>
      <c r="M836" s="261">
        <f t="shared" si="27"/>
        <v>12000</v>
      </c>
      <c r="N836" s="137">
        <v>2E-3</v>
      </c>
    </row>
    <row r="837" spans="1:14" ht="18" customHeight="1">
      <c r="A837" s="134">
        <v>11</v>
      </c>
      <c r="B837" s="135" t="s">
        <v>99</v>
      </c>
      <c r="C837" s="134">
        <v>61</v>
      </c>
      <c r="D837" s="138" t="s">
        <v>92</v>
      </c>
      <c r="E837" s="138" t="s">
        <v>671</v>
      </c>
      <c r="F837" s="135" t="s">
        <v>620</v>
      </c>
      <c r="G837" s="274">
        <v>18</v>
      </c>
      <c r="H837" s="261">
        <v>4630</v>
      </c>
      <c r="I837" s="261">
        <v>83333</v>
      </c>
      <c r="J837" s="261">
        <v>0</v>
      </c>
      <c r="K837" s="261">
        <f t="shared" si="26"/>
        <v>83333</v>
      </c>
      <c r="L837" s="261">
        <v>6667</v>
      </c>
      <c r="M837" s="261">
        <f t="shared" si="27"/>
        <v>90000</v>
      </c>
      <c r="N837" s="137">
        <v>1.52E-2</v>
      </c>
    </row>
    <row r="838" spans="1:14" ht="18" customHeight="1">
      <c r="A838" s="134">
        <v>11</v>
      </c>
      <c r="B838" s="135" t="s">
        <v>99</v>
      </c>
      <c r="C838" s="134">
        <v>215</v>
      </c>
      <c r="D838" s="138" t="s">
        <v>82</v>
      </c>
      <c r="E838" s="138" t="s">
        <v>127</v>
      </c>
      <c r="F838" s="135" t="s">
        <v>620</v>
      </c>
      <c r="G838" s="274">
        <v>4</v>
      </c>
      <c r="H838" s="261">
        <v>37500</v>
      </c>
      <c r="I838" s="261">
        <v>150000</v>
      </c>
      <c r="J838" s="261">
        <v>0</v>
      </c>
      <c r="K838" s="261">
        <f t="shared" si="26"/>
        <v>150000</v>
      </c>
      <c r="L838" s="261">
        <v>12000</v>
      </c>
      <c r="M838" s="261">
        <f t="shared" si="27"/>
        <v>162000</v>
      </c>
      <c r="N838" s="137">
        <v>2.7400000000000001E-2</v>
      </c>
    </row>
    <row r="839" spans="1:14" ht="18" customHeight="1">
      <c r="A839" s="134">
        <v>11</v>
      </c>
      <c r="B839" s="135" t="s">
        <v>99</v>
      </c>
      <c r="C839" s="134">
        <v>214</v>
      </c>
      <c r="D839" s="138" t="s">
        <v>82</v>
      </c>
      <c r="E839" s="138" t="s">
        <v>693</v>
      </c>
      <c r="F839" s="135" t="s">
        <v>620</v>
      </c>
      <c r="G839" s="274">
        <v>1</v>
      </c>
      <c r="H839" s="261">
        <v>37500</v>
      </c>
      <c r="I839" s="261">
        <v>37500</v>
      </c>
      <c r="J839" s="261">
        <v>0</v>
      </c>
      <c r="K839" s="261">
        <f t="shared" si="26"/>
        <v>37500</v>
      </c>
      <c r="L839" s="261">
        <v>3000</v>
      </c>
      <c r="M839" s="261">
        <f t="shared" si="27"/>
        <v>40500</v>
      </c>
      <c r="N839" s="137">
        <v>6.8999999999999999E-3</v>
      </c>
    </row>
    <row r="840" spans="1:14" ht="18" customHeight="1">
      <c r="A840" s="134">
        <v>11</v>
      </c>
      <c r="B840" s="135" t="s">
        <v>99</v>
      </c>
      <c r="C840" s="134">
        <v>315</v>
      </c>
      <c r="D840" s="138" t="s">
        <v>82</v>
      </c>
      <c r="E840" s="138" t="s">
        <v>694</v>
      </c>
      <c r="F840" s="135" t="s">
        <v>620</v>
      </c>
      <c r="G840" s="274">
        <v>3</v>
      </c>
      <c r="H840" s="261">
        <v>1852</v>
      </c>
      <c r="I840" s="261">
        <v>5556</v>
      </c>
      <c r="J840" s="261">
        <v>0</v>
      </c>
      <c r="K840" s="261">
        <f t="shared" si="26"/>
        <v>5556</v>
      </c>
      <c r="L840" s="261">
        <v>444</v>
      </c>
      <c r="M840" s="261">
        <f t="shared" si="27"/>
        <v>6000</v>
      </c>
      <c r="N840" s="137">
        <v>1E-3</v>
      </c>
    </row>
    <row r="841" spans="1:14" ht="18" customHeight="1">
      <c r="A841" s="134">
        <v>11</v>
      </c>
      <c r="B841" s="135" t="s">
        <v>99</v>
      </c>
      <c r="C841" s="134">
        <v>33</v>
      </c>
      <c r="D841" s="138" t="s">
        <v>86</v>
      </c>
      <c r="E841" s="138" t="s">
        <v>673</v>
      </c>
      <c r="F841" s="135" t="s">
        <v>620</v>
      </c>
      <c r="G841" s="274">
        <v>1</v>
      </c>
      <c r="H841" s="261">
        <v>1852</v>
      </c>
      <c r="I841" s="261">
        <v>1852</v>
      </c>
      <c r="J841" s="261">
        <v>0</v>
      </c>
      <c r="K841" s="261">
        <f t="shared" si="26"/>
        <v>1852</v>
      </c>
      <c r="L841" s="261">
        <v>148</v>
      </c>
      <c r="M841" s="261">
        <f t="shared" si="27"/>
        <v>2000</v>
      </c>
      <c r="N841" s="137">
        <v>2.9999999999999997E-4</v>
      </c>
    </row>
    <row r="842" spans="1:14" ht="18" customHeight="1">
      <c r="A842" s="134">
        <v>11</v>
      </c>
      <c r="B842" s="135" t="s">
        <v>99</v>
      </c>
      <c r="C842" s="134">
        <v>39</v>
      </c>
      <c r="D842" s="138" t="s">
        <v>86</v>
      </c>
      <c r="E842" s="138" t="s">
        <v>697</v>
      </c>
      <c r="F842" s="135" t="s">
        <v>620</v>
      </c>
      <c r="G842" s="274">
        <v>1</v>
      </c>
      <c r="H842" s="261">
        <v>3333</v>
      </c>
      <c r="I842" s="261">
        <v>3333</v>
      </c>
      <c r="J842" s="261">
        <v>0</v>
      </c>
      <c r="K842" s="261">
        <f t="shared" si="26"/>
        <v>3333</v>
      </c>
      <c r="L842" s="261">
        <v>267</v>
      </c>
      <c r="M842" s="261">
        <f t="shared" si="27"/>
        <v>3600</v>
      </c>
      <c r="N842" s="137">
        <v>5.9999999999999995E-4</v>
      </c>
    </row>
    <row r="843" spans="1:14" ht="18" customHeight="1">
      <c r="A843" s="134">
        <v>12</v>
      </c>
      <c r="B843" s="135" t="s">
        <v>101</v>
      </c>
      <c r="C843" s="134">
        <v>316</v>
      </c>
      <c r="D843" s="138" t="s">
        <v>82</v>
      </c>
      <c r="E843" s="138" t="s">
        <v>709</v>
      </c>
      <c r="F843" s="135" t="s">
        <v>620</v>
      </c>
      <c r="G843" s="274">
        <v>0</v>
      </c>
      <c r="H843" s="261">
        <v>0</v>
      </c>
      <c r="I843" s="261">
        <v>0</v>
      </c>
      <c r="J843" s="261">
        <v>0</v>
      </c>
      <c r="K843" s="261">
        <f t="shared" si="26"/>
        <v>0</v>
      </c>
      <c r="L843" s="261">
        <v>0</v>
      </c>
      <c r="M843" s="261">
        <f t="shared" si="27"/>
        <v>0</v>
      </c>
      <c r="N843" s="137">
        <v>0</v>
      </c>
    </row>
    <row r="844" spans="1:14" ht="18" customHeight="1">
      <c r="A844" s="134">
        <v>12</v>
      </c>
      <c r="B844" s="135" t="s">
        <v>101</v>
      </c>
      <c r="C844" s="134">
        <v>73</v>
      </c>
      <c r="D844" s="138" t="s">
        <v>86</v>
      </c>
      <c r="E844" s="138" t="s">
        <v>619</v>
      </c>
      <c r="F844" s="135" t="s">
        <v>620</v>
      </c>
      <c r="G844" s="274">
        <v>16</v>
      </c>
      <c r="H844" s="261">
        <v>2593</v>
      </c>
      <c r="I844" s="261">
        <v>41481</v>
      </c>
      <c r="J844" s="261">
        <v>0</v>
      </c>
      <c r="K844" s="261">
        <f t="shared" si="26"/>
        <v>41481</v>
      </c>
      <c r="L844" s="261">
        <v>3319</v>
      </c>
      <c r="M844" s="261">
        <f t="shared" si="27"/>
        <v>44800</v>
      </c>
      <c r="N844" s="137">
        <v>4.4000000000000003E-3</v>
      </c>
    </row>
    <row r="845" spans="1:14" ht="18" customHeight="1">
      <c r="A845" s="134">
        <v>12</v>
      </c>
      <c r="B845" s="135" t="s">
        <v>101</v>
      </c>
      <c r="C845" s="134">
        <v>65</v>
      </c>
      <c r="D845" s="138" t="s">
        <v>86</v>
      </c>
      <c r="E845" s="138" t="s">
        <v>621</v>
      </c>
      <c r="F845" s="135" t="s">
        <v>620</v>
      </c>
      <c r="G845" s="274">
        <v>1</v>
      </c>
      <c r="H845" s="261">
        <v>2778</v>
      </c>
      <c r="I845" s="261">
        <v>2778</v>
      </c>
      <c r="J845" s="261">
        <v>0</v>
      </c>
      <c r="K845" s="261">
        <f t="shared" si="26"/>
        <v>2778</v>
      </c>
      <c r="L845" s="261">
        <v>222</v>
      </c>
      <c r="M845" s="261">
        <f t="shared" si="27"/>
        <v>3000</v>
      </c>
      <c r="N845" s="137">
        <v>2.9999999999999997E-4</v>
      </c>
    </row>
    <row r="846" spans="1:14" ht="18" customHeight="1">
      <c r="A846" s="134">
        <v>12</v>
      </c>
      <c r="B846" s="135" t="s">
        <v>101</v>
      </c>
      <c r="C846" s="134">
        <v>12</v>
      </c>
      <c r="D846" s="138" t="s">
        <v>88</v>
      </c>
      <c r="E846" s="138" t="s">
        <v>623</v>
      </c>
      <c r="F846" s="135" t="s">
        <v>620</v>
      </c>
      <c r="G846" s="274">
        <v>4</v>
      </c>
      <c r="H846" s="261">
        <v>41667</v>
      </c>
      <c r="I846" s="261">
        <v>166667</v>
      </c>
      <c r="J846" s="261">
        <v>0</v>
      </c>
      <c r="K846" s="261">
        <f t="shared" si="26"/>
        <v>166667</v>
      </c>
      <c r="L846" s="261">
        <v>13333</v>
      </c>
      <c r="M846" s="261">
        <f t="shared" si="27"/>
        <v>180000</v>
      </c>
      <c r="N846" s="137">
        <v>1.78E-2</v>
      </c>
    </row>
    <row r="847" spans="1:14" ht="18" customHeight="1">
      <c r="A847" s="134">
        <v>12</v>
      </c>
      <c r="B847" s="135" t="s">
        <v>101</v>
      </c>
      <c r="C847" s="134">
        <v>40</v>
      </c>
      <c r="D847" s="138" t="s">
        <v>82</v>
      </c>
      <c r="E847" s="138" t="s">
        <v>165</v>
      </c>
      <c r="F847" s="135" t="s">
        <v>620</v>
      </c>
      <c r="G847" s="274">
        <v>4</v>
      </c>
      <c r="H847" s="261">
        <v>55093</v>
      </c>
      <c r="I847" s="261">
        <v>220370</v>
      </c>
      <c r="J847" s="261">
        <v>0</v>
      </c>
      <c r="K847" s="261">
        <f t="shared" si="26"/>
        <v>220370</v>
      </c>
      <c r="L847" s="261">
        <v>17630</v>
      </c>
      <c r="M847" s="261">
        <f t="shared" si="27"/>
        <v>238000</v>
      </c>
      <c r="N847" s="137">
        <v>2.3599999999999999E-2</v>
      </c>
    </row>
    <row r="848" spans="1:14" ht="18" customHeight="1">
      <c r="A848" s="134">
        <v>12</v>
      </c>
      <c r="B848" s="135" t="s">
        <v>101</v>
      </c>
      <c r="C848" s="134">
        <v>131</v>
      </c>
      <c r="D848" s="138" t="s">
        <v>82</v>
      </c>
      <c r="E848" s="138" t="s">
        <v>677</v>
      </c>
      <c r="F848" s="135" t="s">
        <v>620</v>
      </c>
      <c r="G848" s="274">
        <v>1</v>
      </c>
      <c r="H848" s="261">
        <v>278</v>
      </c>
      <c r="I848" s="261">
        <v>278</v>
      </c>
      <c r="J848" s="261">
        <v>0</v>
      </c>
      <c r="K848" s="261">
        <f t="shared" si="26"/>
        <v>278</v>
      </c>
      <c r="L848" s="261">
        <v>22</v>
      </c>
      <c r="M848" s="261">
        <f t="shared" si="27"/>
        <v>300</v>
      </c>
      <c r="N848" s="137">
        <v>0</v>
      </c>
    </row>
    <row r="849" spans="1:14" ht="18" customHeight="1">
      <c r="A849" s="134">
        <v>12</v>
      </c>
      <c r="B849" s="135" t="s">
        <v>101</v>
      </c>
      <c r="C849" s="134">
        <v>95</v>
      </c>
      <c r="D849" s="138" t="s">
        <v>82</v>
      </c>
      <c r="E849" s="138" t="s">
        <v>624</v>
      </c>
      <c r="F849" s="135" t="s">
        <v>620</v>
      </c>
      <c r="G849" s="274">
        <v>2</v>
      </c>
      <c r="H849" s="261">
        <v>926</v>
      </c>
      <c r="I849" s="261">
        <v>1852</v>
      </c>
      <c r="J849" s="261">
        <v>0</v>
      </c>
      <c r="K849" s="261">
        <f t="shared" si="26"/>
        <v>1852</v>
      </c>
      <c r="L849" s="261">
        <v>148</v>
      </c>
      <c r="M849" s="261">
        <f t="shared" si="27"/>
        <v>2000</v>
      </c>
      <c r="N849" s="137">
        <v>2.0000000000000001E-4</v>
      </c>
    </row>
    <row r="850" spans="1:14" ht="18" customHeight="1">
      <c r="A850" s="134">
        <v>12</v>
      </c>
      <c r="B850" s="135" t="s">
        <v>101</v>
      </c>
      <c r="C850" s="134">
        <v>136</v>
      </c>
      <c r="D850" s="138" t="s">
        <v>84</v>
      </c>
      <c r="E850" s="138" t="s">
        <v>625</v>
      </c>
      <c r="F850" s="135" t="s">
        <v>620</v>
      </c>
      <c r="G850" s="274">
        <v>6</v>
      </c>
      <c r="H850" s="261">
        <v>24074</v>
      </c>
      <c r="I850" s="261">
        <v>144444</v>
      </c>
      <c r="J850" s="261">
        <v>0</v>
      </c>
      <c r="K850" s="261">
        <f t="shared" si="26"/>
        <v>144444</v>
      </c>
      <c r="L850" s="261">
        <v>11556</v>
      </c>
      <c r="M850" s="261">
        <f t="shared" si="27"/>
        <v>156000</v>
      </c>
      <c r="N850" s="137">
        <v>1.55E-2</v>
      </c>
    </row>
    <row r="851" spans="1:14" ht="18" customHeight="1">
      <c r="A851" s="134">
        <v>12</v>
      </c>
      <c r="B851" s="135" t="s">
        <v>101</v>
      </c>
      <c r="C851" s="134">
        <v>135</v>
      </c>
      <c r="D851" s="138" t="s">
        <v>84</v>
      </c>
      <c r="E851" s="138" t="s">
        <v>710</v>
      </c>
      <c r="F851" s="135" t="s">
        <v>620</v>
      </c>
      <c r="G851" s="274">
        <v>2</v>
      </c>
      <c r="H851" s="261">
        <v>13889</v>
      </c>
      <c r="I851" s="261">
        <v>27778</v>
      </c>
      <c r="J851" s="261">
        <v>0</v>
      </c>
      <c r="K851" s="261">
        <f t="shared" si="26"/>
        <v>27778</v>
      </c>
      <c r="L851" s="261">
        <v>2222</v>
      </c>
      <c r="M851" s="261">
        <f t="shared" si="27"/>
        <v>30000</v>
      </c>
      <c r="N851" s="137">
        <v>3.0000000000000001E-3</v>
      </c>
    </row>
    <row r="852" spans="1:14" ht="18" customHeight="1">
      <c r="A852" s="134">
        <v>12</v>
      </c>
      <c r="B852" s="135" t="s">
        <v>101</v>
      </c>
      <c r="C852" s="134">
        <v>6</v>
      </c>
      <c r="D852" s="138" t="s">
        <v>84</v>
      </c>
      <c r="E852" s="138" t="s">
        <v>680</v>
      </c>
      <c r="F852" s="135" t="s">
        <v>620</v>
      </c>
      <c r="G852" s="274">
        <v>5</v>
      </c>
      <c r="H852" s="261">
        <v>14815</v>
      </c>
      <c r="I852" s="261">
        <v>74074</v>
      </c>
      <c r="J852" s="261">
        <v>0</v>
      </c>
      <c r="K852" s="261">
        <f t="shared" si="26"/>
        <v>74074</v>
      </c>
      <c r="L852" s="261">
        <v>5926</v>
      </c>
      <c r="M852" s="261">
        <f t="shared" si="27"/>
        <v>80000</v>
      </c>
      <c r="N852" s="137">
        <v>7.9000000000000008E-3</v>
      </c>
    </row>
    <row r="853" spans="1:14" ht="18" customHeight="1">
      <c r="A853" s="134">
        <v>12</v>
      </c>
      <c r="B853" s="135" t="s">
        <v>101</v>
      </c>
      <c r="C853" s="134">
        <v>87</v>
      </c>
      <c r="D853" s="138" t="s">
        <v>84</v>
      </c>
      <c r="E853" s="138" t="s">
        <v>139</v>
      </c>
      <c r="F853" s="135" t="s">
        <v>620</v>
      </c>
      <c r="G853" s="274">
        <v>2</v>
      </c>
      <c r="H853" s="261">
        <v>37500</v>
      </c>
      <c r="I853" s="261">
        <v>75000</v>
      </c>
      <c r="J853" s="261">
        <v>0</v>
      </c>
      <c r="K853" s="261">
        <f t="shared" si="26"/>
        <v>75000</v>
      </c>
      <c r="L853" s="261">
        <v>6000</v>
      </c>
      <c r="M853" s="261">
        <f t="shared" si="27"/>
        <v>81000</v>
      </c>
      <c r="N853" s="137">
        <v>8.0000000000000002E-3</v>
      </c>
    </row>
    <row r="854" spans="1:14" ht="18" customHeight="1">
      <c r="A854" s="134">
        <v>12</v>
      </c>
      <c r="B854" s="135" t="s">
        <v>101</v>
      </c>
      <c r="C854" s="134">
        <v>206</v>
      </c>
      <c r="D854" s="138" t="s">
        <v>88</v>
      </c>
      <c r="E854" s="138" t="s">
        <v>627</v>
      </c>
      <c r="F854" s="135" t="s">
        <v>620</v>
      </c>
      <c r="G854" s="274">
        <v>1</v>
      </c>
      <c r="H854" s="261">
        <v>44907</v>
      </c>
      <c r="I854" s="261">
        <v>44907</v>
      </c>
      <c r="J854" s="261">
        <v>0</v>
      </c>
      <c r="K854" s="261">
        <f t="shared" si="26"/>
        <v>44907</v>
      </c>
      <c r="L854" s="261">
        <v>3593</v>
      </c>
      <c r="M854" s="261">
        <f t="shared" si="27"/>
        <v>48500</v>
      </c>
      <c r="N854" s="137">
        <v>4.7999999999999996E-3</v>
      </c>
    </row>
    <row r="855" spans="1:14" ht="18" customHeight="1">
      <c r="A855" s="134">
        <v>12</v>
      </c>
      <c r="B855" s="135" t="s">
        <v>101</v>
      </c>
      <c r="C855" s="134">
        <v>246</v>
      </c>
      <c r="D855" s="138" t="s">
        <v>86</v>
      </c>
      <c r="E855" s="138" t="s">
        <v>629</v>
      </c>
      <c r="F855" s="135" t="s">
        <v>620</v>
      </c>
      <c r="G855" s="274">
        <v>7</v>
      </c>
      <c r="H855" s="261">
        <v>6481</v>
      </c>
      <c r="I855" s="261">
        <v>45370</v>
      </c>
      <c r="J855" s="261">
        <v>0</v>
      </c>
      <c r="K855" s="261">
        <f t="shared" si="26"/>
        <v>45370</v>
      </c>
      <c r="L855" s="261">
        <v>3630</v>
      </c>
      <c r="M855" s="261">
        <f t="shared" si="27"/>
        <v>49000</v>
      </c>
      <c r="N855" s="137">
        <v>4.8999999999999998E-3</v>
      </c>
    </row>
    <row r="856" spans="1:14" ht="18" customHeight="1">
      <c r="A856" s="134">
        <v>12</v>
      </c>
      <c r="B856" s="135" t="s">
        <v>101</v>
      </c>
      <c r="C856" s="134">
        <v>70</v>
      </c>
      <c r="D856" s="138" t="s">
        <v>86</v>
      </c>
      <c r="E856" s="138" t="s">
        <v>630</v>
      </c>
      <c r="F856" s="135" t="s">
        <v>620</v>
      </c>
      <c r="G856" s="274">
        <v>7</v>
      </c>
      <c r="H856" s="261">
        <v>4630</v>
      </c>
      <c r="I856" s="261">
        <v>32407</v>
      </c>
      <c r="J856" s="261">
        <v>0</v>
      </c>
      <c r="K856" s="261">
        <f t="shared" si="26"/>
        <v>32407</v>
      </c>
      <c r="L856" s="261">
        <v>2593</v>
      </c>
      <c r="M856" s="261">
        <f t="shared" si="27"/>
        <v>35000</v>
      </c>
      <c r="N856" s="137">
        <v>3.5000000000000001E-3</v>
      </c>
    </row>
    <row r="857" spans="1:14" ht="18" customHeight="1">
      <c r="A857" s="134">
        <v>12</v>
      </c>
      <c r="B857" s="135" t="s">
        <v>101</v>
      </c>
      <c r="C857" s="134">
        <v>83</v>
      </c>
      <c r="D857" s="138" t="s">
        <v>82</v>
      </c>
      <c r="E857" s="138" t="s">
        <v>632</v>
      </c>
      <c r="F857" s="135" t="s">
        <v>620</v>
      </c>
      <c r="G857" s="274">
        <v>7</v>
      </c>
      <c r="H857" s="261">
        <v>20833</v>
      </c>
      <c r="I857" s="261">
        <v>145833</v>
      </c>
      <c r="J857" s="261">
        <v>0</v>
      </c>
      <c r="K857" s="261">
        <f t="shared" si="26"/>
        <v>145833</v>
      </c>
      <c r="L857" s="261">
        <v>11667</v>
      </c>
      <c r="M857" s="261">
        <f t="shared" si="27"/>
        <v>157500</v>
      </c>
      <c r="N857" s="137">
        <v>1.5599999999999999E-2</v>
      </c>
    </row>
    <row r="858" spans="1:14" ht="18" customHeight="1">
      <c r="A858" s="134">
        <v>12</v>
      </c>
      <c r="B858" s="135" t="s">
        <v>101</v>
      </c>
      <c r="C858" s="134">
        <v>14</v>
      </c>
      <c r="D858" s="138" t="s">
        <v>82</v>
      </c>
      <c r="E858" s="138" t="s">
        <v>749</v>
      </c>
      <c r="F858" s="135" t="s">
        <v>620</v>
      </c>
      <c r="G858" s="274">
        <v>0</v>
      </c>
      <c r="H858" s="261">
        <v>0</v>
      </c>
      <c r="I858" s="261">
        <v>0</v>
      </c>
      <c r="J858" s="261">
        <v>0</v>
      </c>
      <c r="K858" s="261">
        <f t="shared" si="26"/>
        <v>0</v>
      </c>
      <c r="L858" s="261">
        <v>0</v>
      </c>
      <c r="M858" s="261">
        <f t="shared" si="27"/>
        <v>0</v>
      </c>
      <c r="N858" s="137">
        <v>0</v>
      </c>
    </row>
    <row r="859" spans="1:14" ht="18" customHeight="1">
      <c r="A859" s="134">
        <v>12</v>
      </c>
      <c r="B859" s="135" t="s">
        <v>101</v>
      </c>
      <c r="C859" s="134">
        <v>27</v>
      </c>
      <c r="D859" s="138" t="s">
        <v>82</v>
      </c>
      <c r="E859" s="138" t="s">
        <v>750</v>
      </c>
      <c r="F859" s="135" t="s">
        <v>620</v>
      </c>
      <c r="G859" s="274">
        <v>0</v>
      </c>
      <c r="H859" s="261">
        <v>0</v>
      </c>
      <c r="I859" s="261">
        <v>0</v>
      </c>
      <c r="J859" s="261">
        <v>0</v>
      </c>
      <c r="K859" s="261">
        <f t="shared" si="26"/>
        <v>0</v>
      </c>
      <c r="L859" s="261">
        <v>0</v>
      </c>
      <c r="M859" s="261">
        <f t="shared" si="27"/>
        <v>0</v>
      </c>
      <c r="N859" s="137">
        <v>0</v>
      </c>
    </row>
    <row r="860" spans="1:14" ht="18" customHeight="1">
      <c r="A860" s="134">
        <v>12</v>
      </c>
      <c r="B860" s="135" t="s">
        <v>101</v>
      </c>
      <c r="C860" s="134">
        <v>41</v>
      </c>
      <c r="D860" s="138" t="s">
        <v>82</v>
      </c>
      <c r="E860" s="138" t="s">
        <v>163</v>
      </c>
      <c r="F860" s="135" t="s">
        <v>620</v>
      </c>
      <c r="G860" s="274">
        <v>1</v>
      </c>
      <c r="H860" s="261">
        <v>49074</v>
      </c>
      <c r="I860" s="261">
        <v>49074</v>
      </c>
      <c r="J860" s="261">
        <v>0</v>
      </c>
      <c r="K860" s="261">
        <f t="shared" si="26"/>
        <v>49074</v>
      </c>
      <c r="L860" s="261">
        <v>3926</v>
      </c>
      <c r="M860" s="261">
        <f t="shared" si="27"/>
        <v>53000</v>
      </c>
      <c r="N860" s="137">
        <v>5.3E-3</v>
      </c>
    </row>
    <row r="861" spans="1:14" ht="18" customHeight="1">
      <c r="A861" s="134">
        <v>12</v>
      </c>
      <c r="B861" s="135" t="s">
        <v>101</v>
      </c>
      <c r="C861" s="134">
        <v>122</v>
      </c>
      <c r="D861" s="138" t="s">
        <v>86</v>
      </c>
      <c r="E861" s="138" t="s">
        <v>634</v>
      </c>
      <c r="F861" s="135" t="s">
        <v>620</v>
      </c>
      <c r="G861" s="274">
        <v>1</v>
      </c>
      <c r="H861" s="261">
        <v>2778</v>
      </c>
      <c r="I861" s="261">
        <v>2778</v>
      </c>
      <c r="J861" s="261">
        <v>0</v>
      </c>
      <c r="K861" s="261">
        <f t="shared" si="26"/>
        <v>2778</v>
      </c>
      <c r="L861" s="261">
        <v>222</v>
      </c>
      <c r="M861" s="261">
        <f t="shared" si="27"/>
        <v>3000</v>
      </c>
      <c r="N861" s="137">
        <v>2.9999999999999997E-4</v>
      </c>
    </row>
    <row r="862" spans="1:14" ht="18" customHeight="1">
      <c r="A862" s="134">
        <v>12</v>
      </c>
      <c r="B862" s="135" t="s">
        <v>101</v>
      </c>
      <c r="C862" s="134">
        <v>247</v>
      </c>
      <c r="D862" s="138" t="s">
        <v>82</v>
      </c>
      <c r="E862" s="138" t="s">
        <v>700</v>
      </c>
      <c r="F862" s="135" t="s">
        <v>620</v>
      </c>
      <c r="G862" s="274">
        <v>5</v>
      </c>
      <c r="H862" s="261">
        <v>3056</v>
      </c>
      <c r="I862" s="261">
        <v>15278</v>
      </c>
      <c r="J862" s="261">
        <v>0</v>
      </c>
      <c r="K862" s="261">
        <f t="shared" si="26"/>
        <v>15278</v>
      </c>
      <c r="L862" s="261">
        <v>1222</v>
      </c>
      <c r="M862" s="261">
        <f t="shared" si="27"/>
        <v>16500</v>
      </c>
      <c r="N862" s="137">
        <v>1.6000000000000001E-3</v>
      </c>
    </row>
    <row r="863" spans="1:14" ht="18" customHeight="1">
      <c r="A863" s="134">
        <v>12</v>
      </c>
      <c r="B863" s="135" t="s">
        <v>101</v>
      </c>
      <c r="C863" s="134">
        <v>42</v>
      </c>
      <c r="D863" s="138" t="s">
        <v>82</v>
      </c>
      <c r="E863" s="138" t="s">
        <v>354</v>
      </c>
      <c r="F863" s="135" t="s">
        <v>620</v>
      </c>
      <c r="G863" s="274">
        <v>3</v>
      </c>
      <c r="H863" s="261">
        <v>32407</v>
      </c>
      <c r="I863" s="261">
        <v>97222</v>
      </c>
      <c r="J863" s="261">
        <v>0</v>
      </c>
      <c r="K863" s="261">
        <f t="shared" si="26"/>
        <v>97222</v>
      </c>
      <c r="L863" s="261">
        <v>7778</v>
      </c>
      <c r="M863" s="261">
        <f t="shared" si="27"/>
        <v>105000</v>
      </c>
      <c r="N863" s="137">
        <v>1.04E-2</v>
      </c>
    </row>
    <row r="864" spans="1:14" ht="18" customHeight="1">
      <c r="A864" s="134">
        <v>12</v>
      </c>
      <c r="B864" s="135" t="s">
        <v>101</v>
      </c>
      <c r="C864" s="134">
        <v>44</v>
      </c>
      <c r="D864" s="138" t="s">
        <v>82</v>
      </c>
      <c r="E864" s="138" t="s">
        <v>133</v>
      </c>
      <c r="F864" s="135" t="s">
        <v>620</v>
      </c>
      <c r="G864" s="274">
        <v>8</v>
      </c>
      <c r="H864" s="261">
        <v>28241</v>
      </c>
      <c r="I864" s="261">
        <v>225926</v>
      </c>
      <c r="J864" s="261">
        <v>0</v>
      </c>
      <c r="K864" s="261">
        <f t="shared" si="26"/>
        <v>225926</v>
      </c>
      <c r="L864" s="261">
        <v>18074</v>
      </c>
      <c r="M864" s="261">
        <f t="shared" si="27"/>
        <v>244000</v>
      </c>
      <c r="N864" s="137">
        <v>2.4199999999999999E-2</v>
      </c>
    </row>
    <row r="865" spans="1:14" ht="18" customHeight="1">
      <c r="A865" s="134">
        <v>12</v>
      </c>
      <c r="B865" s="135" t="s">
        <v>101</v>
      </c>
      <c r="C865" s="134">
        <v>110</v>
      </c>
      <c r="D865" s="138" t="s">
        <v>94</v>
      </c>
      <c r="E865" s="138" t="s">
        <v>635</v>
      </c>
      <c r="F865" s="135" t="s">
        <v>620</v>
      </c>
      <c r="G865" s="274">
        <v>29</v>
      </c>
      <c r="H865" s="261">
        <v>926</v>
      </c>
      <c r="I865" s="261">
        <v>26852</v>
      </c>
      <c r="J865" s="261">
        <v>0</v>
      </c>
      <c r="K865" s="261">
        <f t="shared" si="26"/>
        <v>26852</v>
      </c>
      <c r="L865" s="261">
        <v>2148</v>
      </c>
      <c r="M865" s="261">
        <f t="shared" si="27"/>
        <v>29000</v>
      </c>
      <c r="N865" s="137">
        <v>2.8999999999999998E-3</v>
      </c>
    </row>
    <row r="866" spans="1:14" ht="18" customHeight="1">
      <c r="A866" s="134">
        <v>12</v>
      </c>
      <c r="B866" s="135" t="s">
        <v>101</v>
      </c>
      <c r="C866" s="134">
        <v>102</v>
      </c>
      <c r="D866" s="138" t="s">
        <v>82</v>
      </c>
      <c r="E866" s="138" t="s">
        <v>684</v>
      </c>
      <c r="F866" s="135" t="s">
        <v>620</v>
      </c>
      <c r="G866" s="274">
        <v>4</v>
      </c>
      <c r="H866" s="261">
        <v>6944</v>
      </c>
      <c r="I866" s="261">
        <v>27778</v>
      </c>
      <c r="J866" s="261">
        <v>0</v>
      </c>
      <c r="K866" s="261">
        <f t="shared" si="26"/>
        <v>27778</v>
      </c>
      <c r="L866" s="261">
        <v>2222</v>
      </c>
      <c r="M866" s="261">
        <f t="shared" si="27"/>
        <v>30000</v>
      </c>
      <c r="N866" s="137">
        <v>3.0000000000000001E-3</v>
      </c>
    </row>
    <row r="867" spans="1:14" ht="18" customHeight="1">
      <c r="A867" s="134">
        <v>12</v>
      </c>
      <c r="B867" s="135" t="s">
        <v>101</v>
      </c>
      <c r="C867" s="134">
        <v>45</v>
      </c>
      <c r="D867" s="138" t="s">
        <v>82</v>
      </c>
      <c r="E867" s="138" t="s">
        <v>636</v>
      </c>
      <c r="F867" s="135" t="s">
        <v>620</v>
      </c>
      <c r="G867" s="274">
        <v>7</v>
      </c>
      <c r="H867" s="261">
        <v>35648</v>
      </c>
      <c r="I867" s="261">
        <v>249537</v>
      </c>
      <c r="J867" s="261">
        <v>0</v>
      </c>
      <c r="K867" s="261">
        <f t="shared" si="26"/>
        <v>249537</v>
      </c>
      <c r="L867" s="261">
        <v>19963</v>
      </c>
      <c r="M867" s="261">
        <f t="shared" si="27"/>
        <v>269500</v>
      </c>
      <c r="N867" s="137">
        <v>2.6700000000000002E-2</v>
      </c>
    </row>
    <row r="868" spans="1:14" ht="18" customHeight="1">
      <c r="A868" s="134">
        <v>12</v>
      </c>
      <c r="B868" s="135" t="s">
        <v>101</v>
      </c>
      <c r="C868" s="134">
        <v>30</v>
      </c>
      <c r="D868" s="138" t="s">
        <v>90</v>
      </c>
      <c r="E868" s="138" t="s">
        <v>637</v>
      </c>
      <c r="F868" s="135" t="s">
        <v>620</v>
      </c>
      <c r="G868" s="274">
        <v>4</v>
      </c>
      <c r="H868" s="261">
        <v>6481</v>
      </c>
      <c r="I868" s="261">
        <v>25926</v>
      </c>
      <c r="J868" s="261">
        <v>0</v>
      </c>
      <c r="K868" s="261">
        <f t="shared" si="26"/>
        <v>25926</v>
      </c>
      <c r="L868" s="261">
        <v>2074</v>
      </c>
      <c r="M868" s="261">
        <f t="shared" si="27"/>
        <v>28000</v>
      </c>
      <c r="N868" s="137">
        <v>2.8E-3</v>
      </c>
    </row>
    <row r="869" spans="1:14" ht="18" customHeight="1">
      <c r="A869" s="134">
        <v>12</v>
      </c>
      <c r="B869" s="135" t="s">
        <v>101</v>
      </c>
      <c r="C869" s="134">
        <v>233</v>
      </c>
      <c r="D869" s="138" t="s">
        <v>84</v>
      </c>
      <c r="E869" s="138" t="s">
        <v>112</v>
      </c>
      <c r="F869" s="135" t="s">
        <v>620</v>
      </c>
      <c r="G869" s="274">
        <v>1</v>
      </c>
      <c r="H869" s="261">
        <v>18519</v>
      </c>
      <c r="I869" s="261">
        <v>18519</v>
      </c>
      <c r="J869" s="261">
        <v>0</v>
      </c>
      <c r="K869" s="261">
        <f t="shared" si="26"/>
        <v>18519</v>
      </c>
      <c r="L869" s="261">
        <v>1481</v>
      </c>
      <c r="M869" s="261">
        <f t="shared" si="27"/>
        <v>20000</v>
      </c>
      <c r="N869" s="137">
        <v>2E-3</v>
      </c>
    </row>
    <row r="870" spans="1:14" ht="18" customHeight="1">
      <c r="A870" s="134">
        <v>12</v>
      </c>
      <c r="B870" s="135" t="s">
        <v>101</v>
      </c>
      <c r="C870" s="134">
        <v>217</v>
      </c>
      <c r="D870" s="138" t="s">
        <v>84</v>
      </c>
      <c r="E870" s="138" t="s">
        <v>639</v>
      </c>
      <c r="F870" s="135" t="s">
        <v>620</v>
      </c>
      <c r="G870" s="274">
        <v>13</v>
      </c>
      <c r="H870" s="261">
        <v>28134</v>
      </c>
      <c r="I870" s="261">
        <v>365741</v>
      </c>
      <c r="J870" s="261">
        <v>0</v>
      </c>
      <c r="K870" s="261">
        <f t="shared" si="26"/>
        <v>365741</v>
      </c>
      <c r="L870" s="261">
        <v>29259</v>
      </c>
      <c r="M870" s="261">
        <f t="shared" si="27"/>
        <v>395000</v>
      </c>
      <c r="N870" s="137">
        <v>3.9100000000000003E-2</v>
      </c>
    </row>
    <row r="871" spans="1:14" ht="18" customHeight="1">
      <c r="A871" s="134">
        <v>12</v>
      </c>
      <c r="B871" s="135" t="s">
        <v>101</v>
      </c>
      <c r="C871" s="134">
        <v>34</v>
      </c>
      <c r="D871" s="138" t="s">
        <v>86</v>
      </c>
      <c r="E871" s="138" t="s">
        <v>641</v>
      </c>
      <c r="F871" s="135" t="s">
        <v>620</v>
      </c>
      <c r="G871" s="274">
        <v>11</v>
      </c>
      <c r="H871" s="261">
        <v>6481</v>
      </c>
      <c r="I871" s="261">
        <v>71296</v>
      </c>
      <c r="J871" s="261">
        <v>0</v>
      </c>
      <c r="K871" s="261">
        <f t="shared" si="26"/>
        <v>71296</v>
      </c>
      <c r="L871" s="261">
        <v>5704</v>
      </c>
      <c r="M871" s="261">
        <f t="shared" si="27"/>
        <v>77000</v>
      </c>
      <c r="N871" s="137">
        <v>7.6E-3</v>
      </c>
    </row>
    <row r="872" spans="1:14" ht="18" customHeight="1">
      <c r="A872" s="134">
        <v>12</v>
      </c>
      <c r="B872" s="135" t="s">
        <v>101</v>
      </c>
      <c r="C872" s="134">
        <v>121</v>
      </c>
      <c r="D872" s="138" t="s">
        <v>86</v>
      </c>
      <c r="E872" s="138" t="s">
        <v>642</v>
      </c>
      <c r="F872" s="135" t="s">
        <v>620</v>
      </c>
      <c r="G872" s="274">
        <v>18</v>
      </c>
      <c r="H872" s="261">
        <v>2778</v>
      </c>
      <c r="I872" s="261">
        <v>50000</v>
      </c>
      <c r="J872" s="261">
        <v>0</v>
      </c>
      <c r="K872" s="261">
        <f t="shared" si="26"/>
        <v>50000</v>
      </c>
      <c r="L872" s="261">
        <v>4000</v>
      </c>
      <c r="M872" s="261">
        <f t="shared" si="27"/>
        <v>54000</v>
      </c>
      <c r="N872" s="137">
        <v>5.4000000000000003E-3</v>
      </c>
    </row>
    <row r="873" spans="1:14" ht="18" customHeight="1">
      <c r="A873" s="134">
        <v>12</v>
      </c>
      <c r="B873" s="135" t="s">
        <v>101</v>
      </c>
      <c r="C873" s="134">
        <v>208</v>
      </c>
      <c r="D873" s="138" t="s">
        <v>86</v>
      </c>
      <c r="E873" s="138" t="s">
        <v>643</v>
      </c>
      <c r="F873" s="135" t="s">
        <v>620</v>
      </c>
      <c r="G873" s="274">
        <v>18</v>
      </c>
      <c r="H873" s="261">
        <v>3704</v>
      </c>
      <c r="I873" s="261">
        <v>66667</v>
      </c>
      <c r="J873" s="261">
        <v>0</v>
      </c>
      <c r="K873" s="261">
        <f t="shared" si="26"/>
        <v>66667</v>
      </c>
      <c r="L873" s="261">
        <v>5333</v>
      </c>
      <c r="M873" s="261">
        <f t="shared" si="27"/>
        <v>72000</v>
      </c>
      <c r="N873" s="137">
        <v>7.1000000000000004E-3</v>
      </c>
    </row>
    <row r="874" spans="1:14" ht="18" customHeight="1">
      <c r="A874" s="134">
        <v>12</v>
      </c>
      <c r="B874" s="135" t="s">
        <v>101</v>
      </c>
      <c r="C874" s="134">
        <v>90</v>
      </c>
      <c r="D874" s="138" t="s">
        <v>86</v>
      </c>
      <c r="E874" s="138" t="s">
        <v>439</v>
      </c>
      <c r="F874" s="135" t="s">
        <v>620</v>
      </c>
      <c r="G874" s="274">
        <v>3</v>
      </c>
      <c r="H874" s="261">
        <v>4259</v>
      </c>
      <c r="I874" s="261">
        <v>12778</v>
      </c>
      <c r="J874" s="261">
        <v>0</v>
      </c>
      <c r="K874" s="261">
        <f t="shared" si="26"/>
        <v>12778</v>
      </c>
      <c r="L874" s="261">
        <v>1022</v>
      </c>
      <c r="M874" s="261">
        <f t="shared" si="27"/>
        <v>13800</v>
      </c>
      <c r="N874" s="137">
        <v>1.4E-3</v>
      </c>
    </row>
    <row r="875" spans="1:14" ht="18" customHeight="1">
      <c r="A875" s="134">
        <v>12</v>
      </c>
      <c r="B875" s="135" t="s">
        <v>101</v>
      </c>
      <c r="C875" s="134">
        <v>123</v>
      </c>
      <c r="D875" s="138" t="s">
        <v>86</v>
      </c>
      <c r="E875" s="138" t="s">
        <v>644</v>
      </c>
      <c r="F875" s="135" t="s">
        <v>620</v>
      </c>
      <c r="G875" s="274">
        <v>6</v>
      </c>
      <c r="H875" s="261">
        <v>2778</v>
      </c>
      <c r="I875" s="261">
        <v>16667</v>
      </c>
      <c r="J875" s="261">
        <v>0</v>
      </c>
      <c r="K875" s="261">
        <f t="shared" si="26"/>
        <v>16667</v>
      </c>
      <c r="L875" s="261">
        <v>1333</v>
      </c>
      <c r="M875" s="261">
        <f t="shared" si="27"/>
        <v>18000</v>
      </c>
      <c r="N875" s="137">
        <v>1.8E-3</v>
      </c>
    </row>
    <row r="876" spans="1:14" ht="18" customHeight="1">
      <c r="A876" s="134">
        <v>12</v>
      </c>
      <c r="B876" s="135" t="s">
        <v>101</v>
      </c>
      <c r="C876" s="134">
        <v>314</v>
      </c>
      <c r="D876" s="138" t="s">
        <v>82</v>
      </c>
      <c r="E876" s="138" t="s">
        <v>685</v>
      </c>
      <c r="F876" s="135" t="s">
        <v>620</v>
      </c>
      <c r="G876" s="274">
        <v>2</v>
      </c>
      <c r="H876" s="261">
        <v>4167</v>
      </c>
      <c r="I876" s="261">
        <v>8333</v>
      </c>
      <c r="J876" s="261">
        <v>0</v>
      </c>
      <c r="K876" s="261">
        <f t="shared" si="26"/>
        <v>8333</v>
      </c>
      <c r="L876" s="261">
        <v>667</v>
      </c>
      <c r="M876" s="261">
        <f t="shared" si="27"/>
        <v>9000</v>
      </c>
      <c r="N876" s="137">
        <v>8.9999999999999998E-4</v>
      </c>
    </row>
    <row r="877" spans="1:14" ht="18" customHeight="1">
      <c r="A877" s="134">
        <v>12</v>
      </c>
      <c r="B877" s="135" t="s">
        <v>101</v>
      </c>
      <c r="C877" s="134">
        <v>31</v>
      </c>
      <c r="D877" s="138" t="s">
        <v>90</v>
      </c>
      <c r="E877" s="138" t="s">
        <v>645</v>
      </c>
      <c r="F877" s="135" t="s">
        <v>620</v>
      </c>
      <c r="G877" s="274">
        <v>8</v>
      </c>
      <c r="H877" s="261">
        <v>1204</v>
      </c>
      <c r="I877" s="261">
        <v>9630</v>
      </c>
      <c r="J877" s="261">
        <v>0</v>
      </c>
      <c r="K877" s="261">
        <f t="shared" si="26"/>
        <v>9630</v>
      </c>
      <c r="L877" s="261">
        <v>770</v>
      </c>
      <c r="M877" s="261">
        <f t="shared" si="27"/>
        <v>10400</v>
      </c>
      <c r="N877" s="137">
        <v>1E-3</v>
      </c>
    </row>
    <row r="878" spans="1:14" ht="18" customHeight="1">
      <c r="A878" s="134">
        <v>12</v>
      </c>
      <c r="B878" s="135" t="s">
        <v>101</v>
      </c>
      <c r="C878" s="134">
        <v>201</v>
      </c>
      <c r="D878" s="138" t="s">
        <v>86</v>
      </c>
      <c r="E878" s="138" t="s">
        <v>722</v>
      </c>
      <c r="F878" s="135" t="s">
        <v>620</v>
      </c>
      <c r="G878" s="274">
        <v>1</v>
      </c>
      <c r="H878" s="261">
        <v>18519</v>
      </c>
      <c r="I878" s="261">
        <v>18519</v>
      </c>
      <c r="J878" s="261">
        <v>0</v>
      </c>
      <c r="K878" s="261">
        <f t="shared" si="26"/>
        <v>18519</v>
      </c>
      <c r="L878" s="261">
        <v>1481</v>
      </c>
      <c r="M878" s="261">
        <f t="shared" si="27"/>
        <v>20000</v>
      </c>
      <c r="N878" s="137">
        <v>2E-3</v>
      </c>
    </row>
    <row r="879" spans="1:14" ht="18" customHeight="1">
      <c r="A879" s="134">
        <v>12</v>
      </c>
      <c r="B879" s="135" t="s">
        <v>101</v>
      </c>
      <c r="C879" s="134">
        <v>212</v>
      </c>
      <c r="D879" s="138" t="s">
        <v>86</v>
      </c>
      <c r="E879" s="138" t="s">
        <v>160</v>
      </c>
      <c r="F879" s="135" t="s">
        <v>620</v>
      </c>
      <c r="G879" s="274">
        <v>9</v>
      </c>
      <c r="H879" s="261">
        <v>22222</v>
      </c>
      <c r="I879" s="261">
        <v>200000</v>
      </c>
      <c r="J879" s="261">
        <v>0</v>
      </c>
      <c r="K879" s="261">
        <f t="shared" si="26"/>
        <v>200000</v>
      </c>
      <c r="L879" s="261">
        <v>16000</v>
      </c>
      <c r="M879" s="261">
        <f t="shared" si="27"/>
        <v>216000</v>
      </c>
      <c r="N879" s="137">
        <v>2.1399999999999999E-2</v>
      </c>
    </row>
    <row r="880" spans="1:14" ht="18" customHeight="1">
      <c r="A880" s="134">
        <v>12</v>
      </c>
      <c r="B880" s="135" t="s">
        <v>101</v>
      </c>
      <c r="C880" s="134">
        <v>74</v>
      </c>
      <c r="D880" s="138" t="s">
        <v>86</v>
      </c>
      <c r="E880" s="138" t="s">
        <v>686</v>
      </c>
      <c r="F880" s="135" t="s">
        <v>620</v>
      </c>
      <c r="G880" s="274">
        <v>10</v>
      </c>
      <c r="H880" s="261">
        <v>6481</v>
      </c>
      <c r="I880" s="261">
        <v>64815</v>
      </c>
      <c r="J880" s="261">
        <v>0</v>
      </c>
      <c r="K880" s="261">
        <f t="shared" si="26"/>
        <v>64815</v>
      </c>
      <c r="L880" s="261">
        <v>5185</v>
      </c>
      <c r="M880" s="261">
        <f t="shared" si="27"/>
        <v>70000</v>
      </c>
      <c r="N880" s="137">
        <v>6.8999999999999999E-3</v>
      </c>
    </row>
    <row r="881" spans="1:14" ht="18" customHeight="1">
      <c r="A881" s="134">
        <v>12</v>
      </c>
      <c r="B881" s="135" t="s">
        <v>101</v>
      </c>
      <c r="C881" s="134">
        <v>306</v>
      </c>
      <c r="D881" s="138" t="s">
        <v>86</v>
      </c>
      <c r="E881" s="138" t="s">
        <v>711</v>
      </c>
      <c r="F881" s="135" t="s">
        <v>620</v>
      </c>
      <c r="G881" s="274">
        <v>1</v>
      </c>
      <c r="H881" s="261">
        <v>2315</v>
      </c>
      <c r="I881" s="261">
        <v>2315</v>
      </c>
      <c r="J881" s="261">
        <v>0</v>
      </c>
      <c r="K881" s="261">
        <f t="shared" si="26"/>
        <v>2315</v>
      </c>
      <c r="L881" s="261">
        <v>185</v>
      </c>
      <c r="M881" s="261">
        <f t="shared" si="27"/>
        <v>2500</v>
      </c>
      <c r="N881" s="137">
        <v>2.0000000000000001E-4</v>
      </c>
    </row>
    <row r="882" spans="1:14" ht="18" customHeight="1">
      <c r="A882" s="134">
        <v>12</v>
      </c>
      <c r="B882" s="135" t="s">
        <v>101</v>
      </c>
      <c r="C882" s="134">
        <v>235</v>
      </c>
      <c r="D882" s="138" t="s">
        <v>86</v>
      </c>
      <c r="E882" s="138" t="s">
        <v>687</v>
      </c>
      <c r="F882" s="135" t="s">
        <v>620</v>
      </c>
      <c r="G882" s="274">
        <v>3</v>
      </c>
      <c r="H882" s="261">
        <v>3426</v>
      </c>
      <c r="I882" s="261">
        <v>10278</v>
      </c>
      <c r="J882" s="261">
        <v>0</v>
      </c>
      <c r="K882" s="261">
        <f t="shared" si="26"/>
        <v>10278</v>
      </c>
      <c r="L882" s="261">
        <v>822</v>
      </c>
      <c r="M882" s="261">
        <f t="shared" si="27"/>
        <v>11100</v>
      </c>
      <c r="N882" s="137">
        <v>1.1000000000000001E-3</v>
      </c>
    </row>
    <row r="883" spans="1:14" ht="18" customHeight="1">
      <c r="A883" s="134">
        <v>12</v>
      </c>
      <c r="B883" s="135" t="s">
        <v>101</v>
      </c>
      <c r="C883" s="134">
        <v>134</v>
      </c>
      <c r="D883" s="138" t="s">
        <v>86</v>
      </c>
      <c r="E883" s="138" t="s">
        <v>703</v>
      </c>
      <c r="F883" s="135" t="s">
        <v>620</v>
      </c>
      <c r="G883" s="274">
        <v>3</v>
      </c>
      <c r="H883" s="261">
        <v>12963</v>
      </c>
      <c r="I883" s="261">
        <v>38889</v>
      </c>
      <c r="J883" s="261">
        <v>0</v>
      </c>
      <c r="K883" s="261">
        <f t="shared" si="26"/>
        <v>38889</v>
      </c>
      <c r="L883" s="261">
        <v>3111</v>
      </c>
      <c r="M883" s="261">
        <f t="shared" si="27"/>
        <v>42000</v>
      </c>
      <c r="N883" s="137">
        <v>4.1999999999999997E-3</v>
      </c>
    </row>
    <row r="884" spans="1:14" ht="18" customHeight="1">
      <c r="A884" s="134">
        <v>12</v>
      </c>
      <c r="B884" s="135" t="s">
        <v>101</v>
      </c>
      <c r="C884" s="134">
        <v>75</v>
      </c>
      <c r="D884" s="138" t="s">
        <v>86</v>
      </c>
      <c r="E884" s="138" t="s">
        <v>647</v>
      </c>
      <c r="F884" s="135" t="s">
        <v>620</v>
      </c>
      <c r="G884" s="274">
        <v>3</v>
      </c>
      <c r="H884" s="261">
        <v>9259</v>
      </c>
      <c r="I884" s="261">
        <v>27778</v>
      </c>
      <c r="J884" s="261">
        <v>0</v>
      </c>
      <c r="K884" s="261">
        <f t="shared" si="26"/>
        <v>27778</v>
      </c>
      <c r="L884" s="261">
        <v>2222</v>
      </c>
      <c r="M884" s="261">
        <f t="shared" si="27"/>
        <v>30000</v>
      </c>
      <c r="N884" s="137">
        <v>3.0000000000000001E-3</v>
      </c>
    </row>
    <row r="885" spans="1:14" ht="18" customHeight="1">
      <c r="A885" s="134">
        <v>12</v>
      </c>
      <c r="B885" s="135" t="s">
        <v>101</v>
      </c>
      <c r="C885" s="134">
        <v>51</v>
      </c>
      <c r="D885" s="138" t="s">
        <v>82</v>
      </c>
      <c r="E885" s="138" t="s">
        <v>724</v>
      </c>
      <c r="F885" s="135" t="s">
        <v>620</v>
      </c>
      <c r="G885" s="274">
        <v>1</v>
      </c>
      <c r="H885" s="261">
        <v>29167</v>
      </c>
      <c r="I885" s="261">
        <v>29167</v>
      </c>
      <c r="J885" s="261">
        <v>0</v>
      </c>
      <c r="K885" s="261">
        <f t="shared" si="26"/>
        <v>29167</v>
      </c>
      <c r="L885" s="261">
        <v>2333</v>
      </c>
      <c r="M885" s="261">
        <f t="shared" si="27"/>
        <v>31500</v>
      </c>
      <c r="N885" s="137">
        <v>3.0999999999999999E-3</v>
      </c>
    </row>
    <row r="886" spans="1:14" ht="18" customHeight="1">
      <c r="A886" s="134">
        <v>12</v>
      </c>
      <c r="B886" s="135" t="s">
        <v>101</v>
      </c>
      <c r="C886" s="134">
        <v>88</v>
      </c>
      <c r="D886" s="138" t="s">
        <v>82</v>
      </c>
      <c r="E886" s="138" t="s">
        <v>124</v>
      </c>
      <c r="F886" s="135" t="s">
        <v>620</v>
      </c>
      <c r="G886" s="274">
        <v>18</v>
      </c>
      <c r="H886" s="261">
        <v>32870</v>
      </c>
      <c r="I886" s="261">
        <v>591667</v>
      </c>
      <c r="J886" s="261">
        <v>0</v>
      </c>
      <c r="K886" s="261">
        <f t="shared" si="26"/>
        <v>591667</v>
      </c>
      <c r="L886" s="261">
        <v>47333</v>
      </c>
      <c r="M886" s="261">
        <f t="shared" si="27"/>
        <v>639000</v>
      </c>
      <c r="N886" s="137">
        <v>6.3299999999999995E-2</v>
      </c>
    </row>
    <row r="887" spans="1:14" ht="18" customHeight="1">
      <c r="A887" s="134">
        <v>12</v>
      </c>
      <c r="B887" s="135" t="s">
        <v>101</v>
      </c>
      <c r="C887" s="134">
        <v>118</v>
      </c>
      <c r="D887" s="138" t="s">
        <v>82</v>
      </c>
      <c r="E887" s="138" t="s">
        <v>121</v>
      </c>
      <c r="F887" s="135" t="s">
        <v>620</v>
      </c>
      <c r="G887" s="274">
        <v>4</v>
      </c>
      <c r="H887" s="261">
        <v>41667</v>
      </c>
      <c r="I887" s="261">
        <v>166667</v>
      </c>
      <c r="J887" s="261">
        <v>0</v>
      </c>
      <c r="K887" s="261">
        <f t="shared" si="26"/>
        <v>166667</v>
      </c>
      <c r="L887" s="261">
        <v>13333</v>
      </c>
      <c r="M887" s="261">
        <f t="shared" si="27"/>
        <v>180000</v>
      </c>
      <c r="N887" s="137">
        <v>1.78E-2</v>
      </c>
    </row>
    <row r="888" spans="1:14" ht="18" customHeight="1">
      <c r="A888" s="134">
        <v>12</v>
      </c>
      <c r="B888" s="135" t="s">
        <v>101</v>
      </c>
      <c r="C888" s="134">
        <v>205</v>
      </c>
      <c r="D888" s="138" t="s">
        <v>86</v>
      </c>
      <c r="E888" s="138" t="s">
        <v>688</v>
      </c>
      <c r="F888" s="135" t="s">
        <v>620</v>
      </c>
      <c r="G888" s="274">
        <v>1</v>
      </c>
      <c r="H888" s="261">
        <v>12037</v>
      </c>
      <c r="I888" s="261">
        <v>12037</v>
      </c>
      <c r="J888" s="261">
        <v>0</v>
      </c>
      <c r="K888" s="261">
        <f t="shared" si="26"/>
        <v>12037</v>
      </c>
      <c r="L888" s="261">
        <v>963</v>
      </c>
      <c r="M888" s="261">
        <f t="shared" si="27"/>
        <v>13000</v>
      </c>
      <c r="N888" s="137">
        <v>1.2999999999999999E-3</v>
      </c>
    </row>
    <row r="889" spans="1:14" ht="18" customHeight="1">
      <c r="A889" s="134">
        <v>12</v>
      </c>
      <c r="B889" s="135" t="s">
        <v>101</v>
      </c>
      <c r="C889" s="134">
        <v>204</v>
      </c>
      <c r="D889" s="138" t="s">
        <v>86</v>
      </c>
      <c r="E889" s="138" t="s">
        <v>648</v>
      </c>
      <c r="F889" s="135" t="s">
        <v>620</v>
      </c>
      <c r="G889" s="274">
        <v>2</v>
      </c>
      <c r="H889" s="261">
        <v>12037</v>
      </c>
      <c r="I889" s="261">
        <v>24074</v>
      </c>
      <c r="J889" s="261">
        <v>0</v>
      </c>
      <c r="K889" s="261">
        <f t="shared" si="26"/>
        <v>24074</v>
      </c>
      <c r="L889" s="261">
        <v>1926</v>
      </c>
      <c r="M889" s="261">
        <f t="shared" si="27"/>
        <v>26000</v>
      </c>
      <c r="N889" s="137">
        <v>2.5999999999999999E-3</v>
      </c>
    </row>
    <row r="890" spans="1:14" ht="18" customHeight="1">
      <c r="A890" s="134">
        <v>12</v>
      </c>
      <c r="B890" s="135" t="s">
        <v>101</v>
      </c>
      <c r="C890" s="134">
        <v>109</v>
      </c>
      <c r="D890" s="138" t="s">
        <v>86</v>
      </c>
      <c r="E890" s="138" t="s">
        <v>142</v>
      </c>
      <c r="F890" s="135" t="s">
        <v>620</v>
      </c>
      <c r="G890" s="274">
        <v>30</v>
      </c>
      <c r="H890" s="261">
        <v>12963</v>
      </c>
      <c r="I890" s="261">
        <v>388889</v>
      </c>
      <c r="J890" s="261">
        <v>0</v>
      </c>
      <c r="K890" s="261">
        <f t="shared" si="26"/>
        <v>388889</v>
      </c>
      <c r="L890" s="261">
        <v>31111</v>
      </c>
      <c r="M890" s="261">
        <f t="shared" si="27"/>
        <v>420000</v>
      </c>
      <c r="N890" s="137">
        <v>4.1599999999999998E-2</v>
      </c>
    </row>
    <row r="891" spans="1:14" ht="18" customHeight="1">
      <c r="A891" s="134">
        <v>12</v>
      </c>
      <c r="B891" s="135" t="s">
        <v>101</v>
      </c>
      <c r="C891" s="134">
        <v>147</v>
      </c>
      <c r="D891" s="138" t="s">
        <v>86</v>
      </c>
      <c r="E891" s="138" t="s">
        <v>649</v>
      </c>
      <c r="F891" s="135" t="s">
        <v>620</v>
      </c>
      <c r="G891" s="274">
        <v>5</v>
      </c>
      <c r="H891" s="261">
        <v>6481</v>
      </c>
      <c r="I891" s="261">
        <v>32407</v>
      </c>
      <c r="J891" s="261">
        <v>0</v>
      </c>
      <c r="K891" s="261">
        <f t="shared" si="26"/>
        <v>32407</v>
      </c>
      <c r="L891" s="261">
        <v>2593</v>
      </c>
      <c r="M891" s="261">
        <f t="shared" si="27"/>
        <v>35000</v>
      </c>
      <c r="N891" s="137">
        <v>3.5000000000000001E-3</v>
      </c>
    </row>
    <row r="892" spans="1:14" ht="18" customHeight="1">
      <c r="A892" s="134">
        <v>12</v>
      </c>
      <c r="B892" s="135" t="s">
        <v>101</v>
      </c>
      <c r="C892" s="134">
        <v>46</v>
      </c>
      <c r="D892" s="138" t="s">
        <v>82</v>
      </c>
      <c r="E892" s="138" t="s">
        <v>650</v>
      </c>
      <c r="F892" s="135" t="s">
        <v>620</v>
      </c>
      <c r="G892" s="274">
        <v>4</v>
      </c>
      <c r="H892" s="261">
        <v>35648</v>
      </c>
      <c r="I892" s="261">
        <v>142593</v>
      </c>
      <c r="J892" s="261">
        <v>0</v>
      </c>
      <c r="K892" s="261">
        <f t="shared" si="26"/>
        <v>142593</v>
      </c>
      <c r="L892" s="261">
        <v>11407</v>
      </c>
      <c r="M892" s="261">
        <f t="shared" si="27"/>
        <v>154000</v>
      </c>
      <c r="N892" s="137">
        <v>1.5299999999999999E-2</v>
      </c>
    </row>
    <row r="893" spans="1:14" ht="18" customHeight="1">
      <c r="A893" s="134">
        <v>12</v>
      </c>
      <c r="B893" s="135" t="s">
        <v>101</v>
      </c>
      <c r="C893" s="134">
        <v>72</v>
      </c>
      <c r="D893" s="138" t="s">
        <v>92</v>
      </c>
      <c r="E893" s="138" t="s">
        <v>651</v>
      </c>
      <c r="F893" s="135" t="s">
        <v>620</v>
      </c>
      <c r="G893" s="274">
        <v>8</v>
      </c>
      <c r="H893" s="261">
        <v>3704</v>
      </c>
      <c r="I893" s="261">
        <v>29630</v>
      </c>
      <c r="J893" s="261">
        <v>0</v>
      </c>
      <c r="K893" s="261">
        <f t="shared" si="26"/>
        <v>29630</v>
      </c>
      <c r="L893" s="261">
        <v>2370</v>
      </c>
      <c r="M893" s="261">
        <f t="shared" si="27"/>
        <v>32000</v>
      </c>
      <c r="N893" s="137">
        <v>3.2000000000000002E-3</v>
      </c>
    </row>
    <row r="894" spans="1:14" ht="18" customHeight="1">
      <c r="A894" s="134">
        <v>12</v>
      </c>
      <c r="B894" s="135" t="s">
        <v>101</v>
      </c>
      <c r="C894" s="134">
        <v>112</v>
      </c>
      <c r="D894" s="138" t="s">
        <v>82</v>
      </c>
      <c r="E894" s="138" t="s">
        <v>652</v>
      </c>
      <c r="F894" s="135" t="s">
        <v>620</v>
      </c>
      <c r="G894" s="274">
        <v>3</v>
      </c>
      <c r="H894" s="261">
        <v>41667</v>
      </c>
      <c r="I894" s="261">
        <v>125000</v>
      </c>
      <c r="J894" s="261">
        <v>0</v>
      </c>
      <c r="K894" s="261">
        <f t="shared" si="26"/>
        <v>125000</v>
      </c>
      <c r="L894" s="261">
        <v>10000</v>
      </c>
      <c r="M894" s="261">
        <f t="shared" si="27"/>
        <v>135000</v>
      </c>
      <c r="N894" s="137">
        <v>1.34E-2</v>
      </c>
    </row>
    <row r="895" spans="1:14" ht="18" customHeight="1">
      <c r="A895" s="134">
        <v>12</v>
      </c>
      <c r="B895" s="135" t="s">
        <v>101</v>
      </c>
      <c r="C895" s="134">
        <v>227</v>
      </c>
      <c r="D895" s="138" t="s">
        <v>82</v>
      </c>
      <c r="E895" s="138" t="s">
        <v>704</v>
      </c>
      <c r="F895" s="135" t="s">
        <v>620</v>
      </c>
      <c r="G895" s="274">
        <v>4</v>
      </c>
      <c r="H895" s="261">
        <v>1389</v>
      </c>
      <c r="I895" s="261">
        <v>5556</v>
      </c>
      <c r="J895" s="261">
        <v>0</v>
      </c>
      <c r="K895" s="261">
        <f t="shared" si="26"/>
        <v>5556</v>
      </c>
      <c r="L895" s="261">
        <v>444</v>
      </c>
      <c r="M895" s="261">
        <f t="shared" si="27"/>
        <v>6000</v>
      </c>
      <c r="N895" s="137">
        <v>5.9999999999999995E-4</v>
      </c>
    </row>
    <row r="896" spans="1:14" ht="18" customHeight="1">
      <c r="A896" s="134">
        <v>12</v>
      </c>
      <c r="B896" s="135" t="s">
        <v>101</v>
      </c>
      <c r="C896" s="134">
        <v>119</v>
      </c>
      <c r="D896" s="138" t="s">
        <v>84</v>
      </c>
      <c r="E896" s="138" t="s">
        <v>109</v>
      </c>
      <c r="F896" s="135" t="s">
        <v>620</v>
      </c>
      <c r="G896" s="274">
        <v>16</v>
      </c>
      <c r="H896" s="261">
        <v>44444</v>
      </c>
      <c r="I896" s="261">
        <v>711111</v>
      </c>
      <c r="J896" s="261">
        <v>0</v>
      </c>
      <c r="K896" s="261">
        <f t="shared" si="26"/>
        <v>711111</v>
      </c>
      <c r="L896" s="261">
        <v>56889</v>
      </c>
      <c r="M896" s="261">
        <f t="shared" si="27"/>
        <v>768000</v>
      </c>
      <c r="N896" s="137">
        <v>7.6100000000000001E-2</v>
      </c>
    </row>
    <row r="897" spans="1:14" ht="18" customHeight="1">
      <c r="A897" s="134">
        <v>12</v>
      </c>
      <c r="B897" s="135" t="s">
        <v>101</v>
      </c>
      <c r="C897" s="134">
        <v>21</v>
      </c>
      <c r="D897" s="138" t="s">
        <v>90</v>
      </c>
      <c r="E897" s="138" t="s">
        <v>737</v>
      </c>
      <c r="F897" s="135" t="s">
        <v>620</v>
      </c>
      <c r="G897" s="274">
        <v>1</v>
      </c>
      <c r="H897" s="261">
        <v>7407</v>
      </c>
      <c r="I897" s="261">
        <v>7407</v>
      </c>
      <c r="J897" s="261">
        <v>0</v>
      </c>
      <c r="K897" s="261">
        <f t="shared" si="26"/>
        <v>7407</v>
      </c>
      <c r="L897" s="261">
        <v>593</v>
      </c>
      <c r="M897" s="261">
        <f t="shared" si="27"/>
        <v>8000</v>
      </c>
      <c r="N897" s="137">
        <v>8.0000000000000004E-4</v>
      </c>
    </row>
    <row r="898" spans="1:14" ht="18" customHeight="1">
      <c r="A898" s="134">
        <v>12</v>
      </c>
      <c r="B898" s="135" t="s">
        <v>101</v>
      </c>
      <c r="C898" s="134">
        <v>19</v>
      </c>
      <c r="D898" s="138" t="s">
        <v>82</v>
      </c>
      <c r="E898" s="138" t="s">
        <v>654</v>
      </c>
      <c r="F898" s="135" t="s">
        <v>620</v>
      </c>
      <c r="G898" s="274">
        <v>3</v>
      </c>
      <c r="H898" s="261">
        <v>9259</v>
      </c>
      <c r="I898" s="261">
        <v>27778</v>
      </c>
      <c r="J898" s="261">
        <v>0</v>
      </c>
      <c r="K898" s="261">
        <f t="shared" ref="K898:K961" si="28">I898-J898</f>
        <v>27778</v>
      </c>
      <c r="L898" s="261">
        <v>2222</v>
      </c>
      <c r="M898" s="261">
        <f t="shared" ref="M898:M961" si="29">K898+L898</f>
        <v>30000</v>
      </c>
      <c r="N898" s="137">
        <v>3.0000000000000001E-3</v>
      </c>
    </row>
    <row r="899" spans="1:14" ht="18" customHeight="1">
      <c r="A899" s="134">
        <v>12</v>
      </c>
      <c r="B899" s="135" t="s">
        <v>101</v>
      </c>
      <c r="C899" s="134">
        <v>20</v>
      </c>
      <c r="D899" s="138" t="s">
        <v>82</v>
      </c>
      <c r="E899" s="138" t="s">
        <v>705</v>
      </c>
      <c r="F899" s="135" t="s">
        <v>620</v>
      </c>
      <c r="G899" s="274">
        <v>1</v>
      </c>
      <c r="H899" s="261">
        <v>6481</v>
      </c>
      <c r="I899" s="261">
        <v>6481</v>
      </c>
      <c r="J899" s="261">
        <v>0</v>
      </c>
      <c r="K899" s="261">
        <f t="shared" si="28"/>
        <v>6481</v>
      </c>
      <c r="L899" s="261">
        <v>519</v>
      </c>
      <c r="M899" s="261">
        <f t="shared" si="29"/>
        <v>7000</v>
      </c>
      <c r="N899" s="137">
        <v>7.000000000000001E-4</v>
      </c>
    </row>
    <row r="900" spans="1:14" ht="18" customHeight="1">
      <c r="A900" s="134">
        <v>12</v>
      </c>
      <c r="B900" s="135" t="s">
        <v>101</v>
      </c>
      <c r="C900" s="134">
        <v>168</v>
      </c>
      <c r="D900" s="138" t="s">
        <v>82</v>
      </c>
      <c r="E900" s="138" t="s">
        <v>743</v>
      </c>
      <c r="F900" s="135" t="s">
        <v>620</v>
      </c>
      <c r="G900" s="274">
        <v>0</v>
      </c>
      <c r="H900" s="261">
        <v>0</v>
      </c>
      <c r="I900" s="261">
        <v>0</v>
      </c>
      <c r="J900" s="261">
        <v>0</v>
      </c>
      <c r="K900" s="261">
        <f t="shared" si="28"/>
        <v>0</v>
      </c>
      <c r="L900" s="261">
        <v>0</v>
      </c>
      <c r="M900" s="261">
        <f t="shared" si="29"/>
        <v>0</v>
      </c>
      <c r="N900" s="137">
        <v>0</v>
      </c>
    </row>
    <row r="901" spans="1:14" ht="18" customHeight="1">
      <c r="A901" s="134">
        <v>12</v>
      </c>
      <c r="B901" s="135" t="s">
        <v>101</v>
      </c>
      <c r="C901" s="134">
        <v>86</v>
      </c>
      <c r="D901" s="138" t="s">
        <v>90</v>
      </c>
      <c r="E901" s="138" t="s">
        <v>658</v>
      </c>
      <c r="F901" s="135" t="s">
        <v>620</v>
      </c>
      <c r="G901" s="274">
        <v>13</v>
      </c>
      <c r="H901" s="261">
        <v>3241</v>
      </c>
      <c r="I901" s="261">
        <v>42130</v>
      </c>
      <c r="J901" s="261">
        <v>0</v>
      </c>
      <c r="K901" s="261">
        <f t="shared" si="28"/>
        <v>42130</v>
      </c>
      <c r="L901" s="261">
        <v>3370</v>
      </c>
      <c r="M901" s="261">
        <f t="shared" si="29"/>
        <v>45500</v>
      </c>
      <c r="N901" s="137">
        <v>4.5000000000000014E-3</v>
      </c>
    </row>
    <row r="902" spans="1:14" ht="18" customHeight="1">
      <c r="A902" s="134">
        <v>12</v>
      </c>
      <c r="B902" s="135" t="s">
        <v>101</v>
      </c>
      <c r="C902" s="134">
        <v>80</v>
      </c>
      <c r="D902" s="138" t="s">
        <v>90</v>
      </c>
      <c r="E902" s="138" t="s">
        <v>659</v>
      </c>
      <c r="F902" s="135" t="s">
        <v>620</v>
      </c>
      <c r="G902" s="274">
        <v>0</v>
      </c>
      <c r="H902" s="261">
        <v>0</v>
      </c>
      <c r="I902" s="261">
        <v>0</v>
      </c>
      <c r="J902" s="261">
        <v>0</v>
      </c>
      <c r="K902" s="261">
        <f t="shared" si="28"/>
        <v>0</v>
      </c>
      <c r="L902" s="261">
        <v>0</v>
      </c>
      <c r="M902" s="261">
        <f t="shared" si="29"/>
        <v>0</v>
      </c>
      <c r="N902" s="137">
        <v>0</v>
      </c>
    </row>
    <row r="903" spans="1:14" ht="18" customHeight="1">
      <c r="A903" s="134">
        <v>12</v>
      </c>
      <c r="B903" s="135" t="s">
        <v>101</v>
      </c>
      <c r="C903" s="134">
        <v>91</v>
      </c>
      <c r="D903" s="138" t="s">
        <v>90</v>
      </c>
      <c r="E903" s="138" t="s">
        <v>728</v>
      </c>
      <c r="F903" s="135" t="s">
        <v>620</v>
      </c>
      <c r="G903" s="274">
        <v>1</v>
      </c>
      <c r="H903" s="261">
        <v>11111</v>
      </c>
      <c r="I903" s="261">
        <v>11111</v>
      </c>
      <c r="J903" s="261">
        <v>0</v>
      </c>
      <c r="K903" s="261">
        <f t="shared" si="28"/>
        <v>11111</v>
      </c>
      <c r="L903" s="261">
        <v>889</v>
      </c>
      <c r="M903" s="261">
        <f t="shared" si="29"/>
        <v>12000</v>
      </c>
      <c r="N903" s="137">
        <v>1.1999999999999999E-3</v>
      </c>
    </row>
    <row r="904" spans="1:14" ht="18" customHeight="1">
      <c r="A904" s="134">
        <v>12</v>
      </c>
      <c r="B904" s="135" t="s">
        <v>101</v>
      </c>
      <c r="C904" s="134">
        <v>79</v>
      </c>
      <c r="D904" s="138" t="s">
        <v>90</v>
      </c>
      <c r="E904" s="138" t="s">
        <v>661</v>
      </c>
      <c r="F904" s="135" t="s">
        <v>620</v>
      </c>
      <c r="G904" s="274">
        <v>4</v>
      </c>
      <c r="H904" s="261">
        <v>6481</v>
      </c>
      <c r="I904" s="261">
        <v>25926</v>
      </c>
      <c r="J904" s="261">
        <v>0</v>
      </c>
      <c r="K904" s="261">
        <f t="shared" si="28"/>
        <v>25926</v>
      </c>
      <c r="L904" s="261">
        <v>2074</v>
      </c>
      <c r="M904" s="261">
        <f t="shared" si="29"/>
        <v>28000</v>
      </c>
      <c r="N904" s="137">
        <v>2.8E-3</v>
      </c>
    </row>
    <row r="905" spans="1:14" ht="18" customHeight="1">
      <c r="A905" s="134">
        <v>12</v>
      </c>
      <c r="B905" s="135" t="s">
        <v>101</v>
      </c>
      <c r="C905" s="134">
        <v>62</v>
      </c>
      <c r="D905" s="138" t="s">
        <v>90</v>
      </c>
      <c r="E905" s="138" t="s">
        <v>662</v>
      </c>
      <c r="F905" s="135" t="s">
        <v>620</v>
      </c>
      <c r="G905" s="274">
        <v>7</v>
      </c>
      <c r="H905" s="261">
        <v>6944</v>
      </c>
      <c r="I905" s="261">
        <v>48611</v>
      </c>
      <c r="J905" s="261">
        <v>0</v>
      </c>
      <c r="K905" s="261">
        <f t="shared" si="28"/>
        <v>48611</v>
      </c>
      <c r="L905" s="261">
        <v>3889</v>
      </c>
      <c r="M905" s="261">
        <f t="shared" si="29"/>
        <v>52500</v>
      </c>
      <c r="N905" s="137">
        <v>5.1999999999999998E-3</v>
      </c>
    </row>
    <row r="906" spans="1:14" ht="18" customHeight="1">
      <c r="A906" s="134">
        <v>12</v>
      </c>
      <c r="B906" s="135" t="s">
        <v>101</v>
      </c>
      <c r="C906" s="134">
        <v>84</v>
      </c>
      <c r="D906" s="138" t="s">
        <v>90</v>
      </c>
      <c r="E906" s="138" t="s">
        <v>664</v>
      </c>
      <c r="F906" s="135" t="s">
        <v>620</v>
      </c>
      <c r="G906" s="274">
        <v>0</v>
      </c>
      <c r="H906" s="261">
        <v>0</v>
      </c>
      <c r="I906" s="261">
        <v>0</v>
      </c>
      <c r="J906" s="261">
        <v>0</v>
      </c>
      <c r="K906" s="261">
        <f t="shared" si="28"/>
        <v>0</v>
      </c>
      <c r="L906" s="261">
        <v>0</v>
      </c>
      <c r="M906" s="261">
        <f t="shared" si="29"/>
        <v>0</v>
      </c>
      <c r="N906" s="137">
        <v>0</v>
      </c>
    </row>
    <row r="907" spans="1:14" ht="18" customHeight="1">
      <c r="A907" s="134">
        <v>12</v>
      </c>
      <c r="B907" s="135" t="s">
        <v>101</v>
      </c>
      <c r="C907" s="134">
        <v>219</v>
      </c>
      <c r="D907" s="138" t="s">
        <v>82</v>
      </c>
      <c r="E907" s="138" t="s">
        <v>148</v>
      </c>
      <c r="F907" s="135" t="s">
        <v>620</v>
      </c>
      <c r="G907" s="274">
        <v>2</v>
      </c>
      <c r="H907" s="261">
        <v>69444</v>
      </c>
      <c r="I907" s="261">
        <v>138889</v>
      </c>
      <c r="J907" s="261">
        <v>0</v>
      </c>
      <c r="K907" s="261">
        <f t="shared" si="28"/>
        <v>138889</v>
      </c>
      <c r="L907" s="261">
        <v>11111</v>
      </c>
      <c r="M907" s="261">
        <f t="shared" si="29"/>
        <v>150000</v>
      </c>
      <c r="N907" s="137">
        <v>1.49E-2</v>
      </c>
    </row>
    <row r="908" spans="1:14" ht="18" customHeight="1">
      <c r="A908" s="134">
        <v>12</v>
      </c>
      <c r="B908" s="135" t="s">
        <v>101</v>
      </c>
      <c r="C908" s="134">
        <v>220</v>
      </c>
      <c r="D908" s="138" t="s">
        <v>82</v>
      </c>
      <c r="E908" s="138" t="s">
        <v>730</v>
      </c>
      <c r="F908" s="135" t="s">
        <v>620</v>
      </c>
      <c r="G908" s="274">
        <v>2</v>
      </c>
      <c r="H908" s="261">
        <v>69444</v>
      </c>
      <c r="I908" s="261">
        <v>138889</v>
      </c>
      <c r="J908" s="261">
        <v>0</v>
      </c>
      <c r="K908" s="261">
        <f t="shared" si="28"/>
        <v>138889</v>
      </c>
      <c r="L908" s="261">
        <v>11111</v>
      </c>
      <c r="M908" s="261">
        <f t="shared" si="29"/>
        <v>150000</v>
      </c>
      <c r="N908" s="137">
        <v>1.49E-2</v>
      </c>
    </row>
    <row r="909" spans="1:14" ht="18" customHeight="1">
      <c r="A909" s="134">
        <v>12</v>
      </c>
      <c r="B909" s="135" t="s">
        <v>101</v>
      </c>
      <c r="C909" s="134">
        <v>140</v>
      </c>
      <c r="D909" s="138" t="s">
        <v>82</v>
      </c>
      <c r="E909" s="138" t="s">
        <v>665</v>
      </c>
      <c r="F909" s="135" t="s">
        <v>620</v>
      </c>
      <c r="G909" s="274">
        <v>2</v>
      </c>
      <c r="H909" s="261">
        <v>90741</v>
      </c>
      <c r="I909" s="261">
        <v>181481</v>
      </c>
      <c r="J909" s="261">
        <v>0</v>
      </c>
      <c r="K909" s="261">
        <f t="shared" si="28"/>
        <v>181481</v>
      </c>
      <c r="L909" s="261">
        <v>14519</v>
      </c>
      <c r="M909" s="261">
        <f t="shared" si="29"/>
        <v>196000</v>
      </c>
      <c r="N909" s="137">
        <v>1.9400000000000001E-2</v>
      </c>
    </row>
    <row r="910" spans="1:14" ht="18" customHeight="1">
      <c r="A910" s="134">
        <v>12</v>
      </c>
      <c r="B910" s="135" t="s">
        <v>101</v>
      </c>
      <c r="C910" s="134">
        <v>221</v>
      </c>
      <c r="D910" s="138" t="s">
        <v>82</v>
      </c>
      <c r="E910" s="138" t="s">
        <v>666</v>
      </c>
      <c r="F910" s="135" t="s">
        <v>620</v>
      </c>
      <c r="G910" s="274">
        <v>2</v>
      </c>
      <c r="H910" s="261">
        <v>54167</v>
      </c>
      <c r="I910" s="261">
        <v>108333</v>
      </c>
      <c r="J910" s="261">
        <v>0</v>
      </c>
      <c r="K910" s="261">
        <f t="shared" si="28"/>
        <v>108333</v>
      </c>
      <c r="L910" s="261">
        <v>8667</v>
      </c>
      <c r="M910" s="261">
        <f t="shared" si="29"/>
        <v>117000</v>
      </c>
      <c r="N910" s="137">
        <v>1.1599999999999999E-2</v>
      </c>
    </row>
    <row r="911" spans="1:14" ht="18" customHeight="1">
      <c r="A911" s="134">
        <v>12</v>
      </c>
      <c r="B911" s="135" t="s">
        <v>101</v>
      </c>
      <c r="C911" s="134">
        <v>226</v>
      </c>
      <c r="D911" s="138" t="s">
        <v>82</v>
      </c>
      <c r="E911" s="138" t="s">
        <v>718</v>
      </c>
      <c r="F911" s="135" t="s">
        <v>620</v>
      </c>
      <c r="G911" s="274">
        <v>2</v>
      </c>
      <c r="H911" s="261">
        <v>90741</v>
      </c>
      <c r="I911" s="261">
        <v>181481</v>
      </c>
      <c r="J911" s="261">
        <v>0</v>
      </c>
      <c r="K911" s="261">
        <f t="shared" si="28"/>
        <v>181481</v>
      </c>
      <c r="L911" s="261">
        <v>14519</v>
      </c>
      <c r="M911" s="261">
        <f t="shared" si="29"/>
        <v>196000</v>
      </c>
      <c r="N911" s="137">
        <v>1.9400000000000001E-2</v>
      </c>
    </row>
    <row r="912" spans="1:14" ht="18" customHeight="1">
      <c r="A912" s="134">
        <v>12</v>
      </c>
      <c r="B912" s="135" t="s">
        <v>101</v>
      </c>
      <c r="C912" s="134">
        <v>222</v>
      </c>
      <c r="D912" s="138" t="s">
        <v>88</v>
      </c>
      <c r="E912" s="138" t="s">
        <v>667</v>
      </c>
      <c r="F912" s="135" t="s">
        <v>620</v>
      </c>
      <c r="G912" s="274">
        <v>2</v>
      </c>
      <c r="H912" s="261">
        <v>63426</v>
      </c>
      <c r="I912" s="261">
        <v>126852</v>
      </c>
      <c r="J912" s="261">
        <v>0</v>
      </c>
      <c r="K912" s="261">
        <f t="shared" si="28"/>
        <v>126852</v>
      </c>
      <c r="L912" s="261">
        <v>10148</v>
      </c>
      <c r="M912" s="261">
        <f t="shared" si="29"/>
        <v>137000</v>
      </c>
      <c r="N912" s="137">
        <v>1.3599999999999999E-2</v>
      </c>
    </row>
    <row r="913" spans="1:14" ht="18" customHeight="1">
      <c r="A913" s="134">
        <v>12</v>
      </c>
      <c r="B913" s="135" t="s">
        <v>101</v>
      </c>
      <c r="C913" s="134">
        <v>223</v>
      </c>
      <c r="D913" s="138" t="s">
        <v>82</v>
      </c>
      <c r="E913" s="138" t="s">
        <v>136</v>
      </c>
      <c r="F913" s="135" t="s">
        <v>620</v>
      </c>
      <c r="G913" s="274">
        <v>7</v>
      </c>
      <c r="H913" s="261">
        <v>69444</v>
      </c>
      <c r="I913" s="261">
        <v>486111</v>
      </c>
      <c r="J913" s="261">
        <v>0</v>
      </c>
      <c r="K913" s="261">
        <f t="shared" si="28"/>
        <v>486111</v>
      </c>
      <c r="L913" s="261">
        <v>38889</v>
      </c>
      <c r="M913" s="261">
        <f t="shared" si="29"/>
        <v>525000</v>
      </c>
      <c r="N913" s="137">
        <v>5.1999999999999998E-2</v>
      </c>
    </row>
    <row r="914" spans="1:14" ht="18" customHeight="1">
      <c r="A914" s="134">
        <v>12</v>
      </c>
      <c r="B914" s="135" t="s">
        <v>101</v>
      </c>
      <c r="C914" s="134">
        <v>229</v>
      </c>
      <c r="D914" s="138" t="s">
        <v>82</v>
      </c>
      <c r="E914" s="138" t="s">
        <v>732</v>
      </c>
      <c r="F914" s="135" t="s">
        <v>620</v>
      </c>
      <c r="G914" s="274">
        <v>1</v>
      </c>
      <c r="H914" s="261">
        <v>66204</v>
      </c>
      <c r="I914" s="261">
        <v>66204</v>
      </c>
      <c r="J914" s="261">
        <v>0</v>
      </c>
      <c r="K914" s="261">
        <f t="shared" si="28"/>
        <v>66204</v>
      </c>
      <c r="L914" s="261">
        <v>5296</v>
      </c>
      <c r="M914" s="261">
        <f t="shared" si="29"/>
        <v>71500</v>
      </c>
      <c r="N914" s="137">
        <v>7.1000000000000004E-3</v>
      </c>
    </row>
    <row r="915" spans="1:14" ht="18" customHeight="1">
      <c r="A915" s="134">
        <v>12</v>
      </c>
      <c r="B915" s="135" t="s">
        <v>101</v>
      </c>
      <c r="C915" s="134">
        <v>50</v>
      </c>
      <c r="D915" s="138" t="s">
        <v>82</v>
      </c>
      <c r="E915" s="138" t="s">
        <v>154</v>
      </c>
      <c r="F915" s="135" t="s">
        <v>620</v>
      </c>
      <c r="G915" s="274">
        <v>5</v>
      </c>
      <c r="H915" s="261">
        <v>49074</v>
      </c>
      <c r="I915" s="261">
        <v>245370</v>
      </c>
      <c r="J915" s="261">
        <v>0</v>
      </c>
      <c r="K915" s="261">
        <f t="shared" si="28"/>
        <v>245370</v>
      </c>
      <c r="L915" s="261">
        <v>19630</v>
      </c>
      <c r="M915" s="261">
        <f t="shared" si="29"/>
        <v>265000</v>
      </c>
      <c r="N915" s="137">
        <v>2.63E-2</v>
      </c>
    </row>
    <row r="916" spans="1:14" ht="18" customHeight="1">
      <c r="A916" s="134">
        <v>12</v>
      </c>
      <c r="B916" s="135" t="s">
        <v>101</v>
      </c>
      <c r="C916" s="134">
        <v>10</v>
      </c>
      <c r="D916" s="138" t="s">
        <v>82</v>
      </c>
      <c r="E916" s="138" t="s">
        <v>719</v>
      </c>
      <c r="F916" s="135" t="s">
        <v>620</v>
      </c>
      <c r="G916" s="274">
        <v>2</v>
      </c>
      <c r="H916" s="261">
        <v>13889</v>
      </c>
      <c r="I916" s="261">
        <v>27778</v>
      </c>
      <c r="J916" s="261">
        <v>0</v>
      </c>
      <c r="K916" s="261">
        <f t="shared" si="28"/>
        <v>27778</v>
      </c>
      <c r="L916" s="261">
        <v>2222</v>
      </c>
      <c r="M916" s="261">
        <f t="shared" si="29"/>
        <v>30000</v>
      </c>
      <c r="N916" s="137">
        <v>3.0000000000000001E-3</v>
      </c>
    </row>
    <row r="917" spans="1:14" ht="18" customHeight="1">
      <c r="A917" s="134">
        <v>12</v>
      </c>
      <c r="B917" s="135" t="s">
        <v>101</v>
      </c>
      <c r="C917" s="134">
        <v>120</v>
      </c>
      <c r="D917" s="138" t="s">
        <v>88</v>
      </c>
      <c r="E917" s="138" t="s">
        <v>668</v>
      </c>
      <c r="F917" s="135" t="s">
        <v>620</v>
      </c>
      <c r="G917" s="274">
        <v>3</v>
      </c>
      <c r="H917" s="261">
        <v>41667</v>
      </c>
      <c r="I917" s="261">
        <v>125000</v>
      </c>
      <c r="J917" s="261">
        <v>0</v>
      </c>
      <c r="K917" s="261">
        <f t="shared" si="28"/>
        <v>125000</v>
      </c>
      <c r="L917" s="261">
        <v>10000</v>
      </c>
      <c r="M917" s="261">
        <f t="shared" si="29"/>
        <v>135000</v>
      </c>
      <c r="N917" s="137">
        <v>1.34E-2</v>
      </c>
    </row>
    <row r="918" spans="1:14" ht="18" customHeight="1">
      <c r="A918" s="134">
        <v>12</v>
      </c>
      <c r="B918" s="135" t="s">
        <v>101</v>
      </c>
      <c r="C918" s="134">
        <v>129</v>
      </c>
      <c r="D918" s="138" t="s">
        <v>88</v>
      </c>
      <c r="E918" s="138" t="s">
        <v>669</v>
      </c>
      <c r="F918" s="135" t="s">
        <v>620</v>
      </c>
      <c r="G918" s="274">
        <v>3</v>
      </c>
      <c r="H918" s="261">
        <v>44444</v>
      </c>
      <c r="I918" s="261">
        <v>133333</v>
      </c>
      <c r="J918" s="261">
        <v>0</v>
      </c>
      <c r="K918" s="261">
        <f t="shared" si="28"/>
        <v>133333</v>
      </c>
      <c r="L918" s="261">
        <v>10667</v>
      </c>
      <c r="M918" s="261">
        <f t="shared" si="29"/>
        <v>144000</v>
      </c>
      <c r="N918" s="137">
        <v>1.43E-2</v>
      </c>
    </row>
    <row r="919" spans="1:14" ht="18" customHeight="1">
      <c r="A919" s="134">
        <v>12</v>
      </c>
      <c r="B919" s="135" t="s">
        <v>101</v>
      </c>
      <c r="C919" s="134">
        <v>116</v>
      </c>
      <c r="D919" s="138" t="s">
        <v>84</v>
      </c>
      <c r="E919" s="138" t="s">
        <v>733</v>
      </c>
      <c r="F919" s="135" t="s">
        <v>620</v>
      </c>
      <c r="G919" s="274">
        <v>17</v>
      </c>
      <c r="H919" s="261">
        <v>5556</v>
      </c>
      <c r="I919" s="261">
        <v>94444</v>
      </c>
      <c r="J919" s="261">
        <v>0</v>
      </c>
      <c r="K919" s="261">
        <f t="shared" si="28"/>
        <v>94444</v>
      </c>
      <c r="L919" s="261">
        <v>7556</v>
      </c>
      <c r="M919" s="261">
        <f t="shared" si="29"/>
        <v>102000</v>
      </c>
      <c r="N919" s="137">
        <v>1.01E-2</v>
      </c>
    </row>
    <row r="920" spans="1:14" ht="18" customHeight="1">
      <c r="A920" s="134">
        <v>12</v>
      </c>
      <c r="B920" s="135" t="s">
        <v>101</v>
      </c>
      <c r="C920" s="134">
        <v>117</v>
      </c>
      <c r="D920" s="138" t="s">
        <v>82</v>
      </c>
      <c r="E920" s="138" t="s">
        <v>115</v>
      </c>
      <c r="F920" s="135" t="s">
        <v>620</v>
      </c>
      <c r="G920" s="274">
        <v>13</v>
      </c>
      <c r="H920" s="261">
        <v>41667</v>
      </c>
      <c r="I920" s="261">
        <v>541667</v>
      </c>
      <c r="J920" s="261">
        <v>0</v>
      </c>
      <c r="K920" s="261">
        <f t="shared" si="28"/>
        <v>541667</v>
      </c>
      <c r="L920" s="261">
        <v>43333</v>
      </c>
      <c r="M920" s="261">
        <f t="shared" si="29"/>
        <v>585000</v>
      </c>
      <c r="N920" s="137">
        <v>5.8000000000000003E-2</v>
      </c>
    </row>
    <row r="921" spans="1:14" ht="18" customHeight="1">
      <c r="A921" s="134">
        <v>12</v>
      </c>
      <c r="B921" s="135" t="s">
        <v>101</v>
      </c>
      <c r="C921" s="134">
        <v>36</v>
      </c>
      <c r="D921" s="138" t="s">
        <v>86</v>
      </c>
      <c r="E921" s="138" t="s">
        <v>670</v>
      </c>
      <c r="F921" s="135" t="s">
        <v>620</v>
      </c>
      <c r="G921" s="274">
        <v>6</v>
      </c>
      <c r="H921" s="261">
        <v>3704</v>
      </c>
      <c r="I921" s="261">
        <v>22222</v>
      </c>
      <c r="J921" s="261">
        <v>0</v>
      </c>
      <c r="K921" s="261">
        <f t="shared" si="28"/>
        <v>22222</v>
      </c>
      <c r="L921" s="261">
        <v>1778</v>
      </c>
      <c r="M921" s="261">
        <f t="shared" si="29"/>
        <v>24000</v>
      </c>
      <c r="N921" s="137">
        <v>2.3999999999999998E-3</v>
      </c>
    </row>
    <row r="922" spans="1:14" ht="18" customHeight="1">
      <c r="A922" s="134">
        <v>12</v>
      </c>
      <c r="B922" s="135" t="s">
        <v>101</v>
      </c>
      <c r="C922" s="134">
        <v>61</v>
      </c>
      <c r="D922" s="138" t="s">
        <v>92</v>
      </c>
      <c r="E922" s="138" t="s">
        <v>671</v>
      </c>
      <c r="F922" s="135" t="s">
        <v>620</v>
      </c>
      <c r="G922" s="274">
        <v>1</v>
      </c>
      <c r="H922" s="261">
        <v>4630</v>
      </c>
      <c r="I922" s="261">
        <v>4630</v>
      </c>
      <c r="J922" s="261">
        <v>0</v>
      </c>
      <c r="K922" s="261">
        <f t="shared" si="28"/>
        <v>4630</v>
      </c>
      <c r="L922" s="261">
        <v>370</v>
      </c>
      <c r="M922" s="261">
        <f t="shared" si="29"/>
        <v>5000</v>
      </c>
      <c r="N922" s="137">
        <v>5.0000000000000001E-4</v>
      </c>
    </row>
    <row r="923" spans="1:14" ht="18" customHeight="1">
      <c r="A923" s="134">
        <v>12</v>
      </c>
      <c r="B923" s="135" t="s">
        <v>101</v>
      </c>
      <c r="C923" s="134">
        <v>215</v>
      </c>
      <c r="D923" s="138" t="s">
        <v>82</v>
      </c>
      <c r="E923" s="138" t="s">
        <v>127</v>
      </c>
      <c r="F923" s="135" t="s">
        <v>620</v>
      </c>
      <c r="G923" s="274">
        <v>11</v>
      </c>
      <c r="H923" s="261">
        <v>37500</v>
      </c>
      <c r="I923" s="261">
        <v>412500</v>
      </c>
      <c r="J923" s="261">
        <v>0</v>
      </c>
      <c r="K923" s="261">
        <f t="shared" si="28"/>
        <v>412500</v>
      </c>
      <c r="L923" s="261">
        <v>33000</v>
      </c>
      <c r="M923" s="261">
        <f t="shared" si="29"/>
        <v>445500</v>
      </c>
      <c r="N923" s="137">
        <v>4.4200000000000003E-2</v>
      </c>
    </row>
    <row r="924" spans="1:14" ht="18" customHeight="1">
      <c r="A924" s="134">
        <v>12</v>
      </c>
      <c r="B924" s="135" t="s">
        <v>101</v>
      </c>
      <c r="C924" s="134">
        <v>214</v>
      </c>
      <c r="D924" s="138" t="s">
        <v>82</v>
      </c>
      <c r="E924" s="138" t="s">
        <v>693</v>
      </c>
      <c r="F924" s="135" t="s">
        <v>620</v>
      </c>
      <c r="G924" s="274">
        <v>7</v>
      </c>
      <c r="H924" s="261">
        <v>37500</v>
      </c>
      <c r="I924" s="261">
        <v>262500</v>
      </c>
      <c r="J924" s="261">
        <v>0</v>
      </c>
      <c r="K924" s="261">
        <f t="shared" si="28"/>
        <v>262500</v>
      </c>
      <c r="L924" s="261">
        <v>21000</v>
      </c>
      <c r="M924" s="261">
        <f t="shared" si="29"/>
        <v>283500</v>
      </c>
      <c r="N924" s="137">
        <v>2.81E-2</v>
      </c>
    </row>
    <row r="925" spans="1:14" ht="18" customHeight="1">
      <c r="A925" s="134">
        <v>12</v>
      </c>
      <c r="B925" s="135" t="s">
        <v>101</v>
      </c>
      <c r="C925" s="134">
        <v>113</v>
      </c>
      <c r="D925" s="138" t="s">
        <v>84</v>
      </c>
      <c r="E925" s="138" t="s">
        <v>130</v>
      </c>
      <c r="F925" s="135" t="s">
        <v>620</v>
      </c>
      <c r="G925" s="274">
        <v>28</v>
      </c>
      <c r="H925" s="261">
        <v>22222</v>
      </c>
      <c r="I925" s="261">
        <v>622222</v>
      </c>
      <c r="J925" s="261">
        <v>0</v>
      </c>
      <c r="K925" s="261">
        <f t="shared" si="28"/>
        <v>622222</v>
      </c>
      <c r="L925" s="261">
        <v>49778</v>
      </c>
      <c r="M925" s="261">
        <f t="shared" si="29"/>
        <v>672000</v>
      </c>
      <c r="N925" s="137">
        <v>6.6600000000000006E-2</v>
      </c>
    </row>
    <row r="926" spans="1:14" ht="18" customHeight="1">
      <c r="A926" s="134">
        <v>12</v>
      </c>
      <c r="B926" s="135" t="s">
        <v>101</v>
      </c>
      <c r="C926" s="134">
        <v>256</v>
      </c>
      <c r="D926" s="138" t="s">
        <v>84</v>
      </c>
      <c r="E926" s="138" t="s">
        <v>751</v>
      </c>
      <c r="F926" s="135" t="s">
        <v>620</v>
      </c>
      <c r="G926" s="274">
        <v>1</v>
      </c>
      <c r="H926" s="261">
        <v>18519</v>
      </c>
      <c r="I926" s="261">
        <v>18519</v>
      </c>
      <c r="J926" s="261">
        <v>0</v>
      </c>
      <c r="K926" s="261">
        <f t="shared" si="28"/>
        <v>18519</v>
      </c>
      <c r="L926" s="261">
        <v>1481</v>
      </c>
      <c r="M926" s="261">
        <f t="shared" si="29"/>
        <v>20000</v>
      </c>
      <c r="N926" s="137">
        <v>2E-3</v>
      </c>
    </row>
    <row r="927" spans="1:14" ht="18" customHeight="1">
      <c r="A927" s="134">
        <v>12</v>
      </c>
      <c r="B927" s="135" t="s">
        <v>101</v>
      </c>
      <c r="C927" s="134">
        <v>96</v>
      </c>
      <c r="D927" s="138" t="s">
        <v>88</v>
      </c>
      <c r="E927" s="138" t="s">
        <v>695</v>
      </c>
      <c r="F927" s="135" t="s">
        <v>620</v>
      </c>
      <c r="G927" s="274">
        <v>5</v>
      </c>
      <c r="H927" s="261">
        <v>35648</v>
      </c>
      <c r="I927" s="261">
        <v>178241</v>
      </c>
      <c r="J927" s="261">
        <v>0</v>
      </c>
      <c r="K927" s="261">
        <f t="shared" si="28"/>
        <v>178241</v>
      </c>
      <c r="L927" s="261">
        <v>14259</v>
      </c>
      <c r="M927" s="261">
        <f t="shared" si="29"/>
        <v>192500</v>
      </c>
      <c r="N927" s="137">
        <v>1.9099999999999999E-2</v>
      </c>
    </row>
    <row r="928" spans="1:14" ht="18" customHeight="1">
      <c r="A928" s="134">
        <v>12</v>
      </c>
      <c r="B928" s="135" t="s">
        <v>101</v>
      </c>
      <c r="C928" s="134">
        <v>255</v>
      </c>
      <c r="D928" s="138" t="s">
        <v>88</v>
      </c>
      <c r="E928" s="138" t="s">
        <v>696</v>
      </c>
      <c r="F928" s="135" t="s">
        <v>620</v>
      </c>
      <c r="G928" s="274">
        <v>2</v>
      </c>
      <c r="H928" s="261">
        <v>35648</v>
      </c>
      <c r="I928" s="261">
        <v>71296</v>
      </c>
      <c r="J928" s="261">
        <v>0</v>
      </c>
      <c r="K928" s="261">
        <f t="shared" si="28"/>
        <v>71296</v>
      </c>
      <c r="L928" s="261">
        <v>5704</v>
      </c>
      <c r="M928" s="261">
        <f t="shared" si="29"/>
        <v>77000</v>
      </c>
      <c r="N928" s="137">
        <v>7.6E-3</v>
      </c>
    </row>
    <row r="929" spans="1:14" ht="18" customHeight="1">
      <c r="A929" s="134">
        <v>13</v>
      </c>
      <c r="B929" s="135" t="s">
        <v>107</v>
      </c>
      <c r="C929" s="134">
        <v>73</v>
      </c>
      <c r="D929" s="138" t="s">
        <v>86</v>
      </c>
      <c r="E929" s="138" t="s">
        <v>619</v>
      </c>
      <c r="F929" s="135" t="s">
        <v>620</v>
      </c>
      <c r="G929" s="274">
        <v>25</v>
      </c>
      <c r="H929" s="261">
        <v>2593</v>
      </c>
      <c r="I929" s="261">
        <v>64815</v>
      </c>
      <c r="J929" s="261">
        <v>0</v>
      </c>
      <c r="K929" s="261">
        <f t="shared" si="28"/>
        <v>64815</v>
      </c>
      <c r="L929" s="261">
        <v>5185</v>
      </c>
      <c r="M929" s="261">
        <f t="shared" si="29"/>
        <v>70000</v>
      </c>
      <c r="N929" s="137">
        <v>4.0999999999999986E-3</v>
      </c>
    </row>
    <row r="930" spans="1:14" ht="18" customHeight="1">
      <c r="A930" s="134">
        <v>13</v>
      </c>
      <c r="B930" s="135" t="s">
        <v>107</v>
      </c>
      <c r="C930" s="134">
        <v>65</v>
      </c>
      <c r="D930" s="138" t="s">
        <v>86</v>
      </c>
      <c r="E930" s="138" t="s">
        <v>621</v>
      </c>
      <c r="F930" s="135" t="s">
        <v>620</v>
      </c>
      <c r="G930" s="274">
        <v>1</v>
      </c>
      <c r="H930" s="261">
        <v>2778</v>
      </c>
      <c r="I930" s="261">
        <v>2778</v>
      </c>
      <c r="J930" s="261">
        <v>0</v>
      </c>
      <c r="K930" s="261">
        <f t="shared" si="28"/>
        <v>2778</v>
      </c>
      <c r="L930" s="261">
        <v>222</v>
      </c>
      <c r="M930" s="261">
        <f t="shared" si="29"/>
        <v>3000</v>
      </c>
      <c r="N930" s="137">
        <v>2.0000000000000001E-4</v>
      </c>
    </row>
    <row r="931" spans="1:14" ht="18" customHeight="1">
      <c r="A931" s="134">
        <v>13</v>
      </c>
      <c r="B931" s="135" t="s">
        <v>107</v>
      </c>
      <c r="C931" s="134">
        <v>12</v>
      </c>
      <c r="D931" s="138" t="s">
        <v>88</v>
      </c>
      <c r="E931" s="138" t="s">
        <v>623</v>
      </c>
      <c r="F931" s="135" t="s">
        <v>620</v>
      </c>
      <c r="G931" s="274">
        <v>7</v>
      </c>
      <c r="H931" s="261">
        <v>41667</v>
      </c>
      <c r="I931" s="261">
        <v>291667</v>
      </c>
      <c r="J931" s="261">
        <v>0</v>
      </c>
      <c r="K931" s="261">
        <f t="shared" si="28"/>
        <v>291667</v>
      </c>
      <c r="L931" s="261">
        <v>23333</v>
      </c>
      <c r="M931" s="261">
        <f t="shared" si="29"/>
        <v>315000</v>
      </c>
      <c r="N931" s="137">
        <v>1.8499999999999999E-2</v>
      </c>
    </row>
    <row r="932" spans="1:14" ht="18" customHeight="1">
      <c r="A932" s="134">
        <v>13</v>
      </c>
      <c r="B932" s="135" t="s">
        <v>107</v>
      </c>
      <c r="C932" s="134">
        <v>313</v>
      </c>
      <c r="D932" s="138" t="s">
        <v>82</v>
      </c>
      <c r="E932" s="138" t="s">
        <v>734</v>
      </c>
      <c r="F932" s="135" t="s">
        <v>620</v>
      </c>
      <c r="G932" s="274">
        <v>1</v>
      </c>
      <c r="H932" s="261">
        <v>4167</v>
      </c>
      <c r="I932" s="261">
        <v>4167</v>
      </c>
      <c r="J932" s="261">
        <v>0</v>
      </c>
      <c r="K932" s="261">
        <f t="shared" si="28"/>
        <v>4167</v>
      </c>
      <c r="L932" s="261">
        <v>333</v>
      </c>
      <c r="M932" s="261">
        <f t="shared" si="29"/>
        <v>4500</v>
      </c>
      <c r="N932" s="137">
        <v>2.9999999999999997E-4</v>
      </c>
    </row>
    <row r="933" spans="1:14" ht="18" customHeight="1">
      <c r="A933" s="134">
        <v>13</v>
      </c>
      <c r="B933" s="135" t="s">
        <v>107</v>
      </c>
      <c r="C933" s="134">
        <v>40</v>
      </c>
      <c r="D933" s="138" t="s">
        <v>82</v>
      </c>
      <c r="E933" s="138" t="s">
        <v>165</v>
      </c>
      <c r="F933" s="135" t="s">
        <v>620</v>
      </c>
      <c r="G933" s="274">
        <v>4</v>
      </c>
      <c r="H933" s="261">
        <v>55093</v>
      </c>
      <c r="I933" s="261">
        <v>220370</v>
      </c>
      <c r="J933" s="261">
        <v>0</v>
      </c>
      <c r="K933" s="261">
        <f t="shared" si="28"/>
        <v>220370</v>
      </c>
      <c r="L933" s="261">
        <v>17630</v>
      </c>
      <c r="M933" s="261">
        <f t="shared" si="29"/>
        <v>238000</v>
      </c>
      <c r="N933" s="137">
        <v>1.4E-2</v>
      </c>
    </row>
    <row r="934" spans="1:14" ht="18" customHeight="1">
      <c r="A934" s="134">
        <v>13</v>
      </c>
      <c r="B934" s="135" t="s">
        <v>107</v>
      </c>
      <c r="C934" s="134">
        <v>104</v>
      </c>
      <c r="D934" s="138" t="s">
        <v>84</v>
      </c>
      <c r="E934" s="138" t="s">
        <v>157</v>
      </c>
      <c r="F934" s="135" t="s">
        <v>620</v>
      </c>
      <c r="G934" s="274">
        <v>1</v>
      </c>
      <c r="H934" s="261">
        <v>15741</v>
      </c>
      <c r="I934" s="261">
        <v>15741</v>
      </c>
      <c r="J934" s="261">
        <v>0</v>
      </c>
      <c r="K934" s="261">
        <f t="shared" si="28"/>
        <v>15741</v>
      </c>
      <c r="L934" s="261">
        <v>1259</v>
      </c>
      <c r="M934" s="261">
        <f t="shared" si="29"/>
        <v>17000</v>
      </c>
      <c r="N934" s="137">
        <v>1E-3</v>
      </c>
    </row>
    <row r="935" spans="1:14" ht="18" customHeight="1">
      <c r="A935" s="134">
        <v>13</v>
      </c>
      <c r="B935" s="135" t="s">
        <v>107</v>
      </c>
      <c r="C935" s="134">
        <v>54</v>
      </c>
      <c r="D935" s="138" t="s">
        <v>86</v>
      </c>
      <c r="E935" s="138" t="s">
        <v>678</v>
      </c>
      <c r="F935" s="135" t="s">
        <v>620</v>
      </c>
      <c r="G935" s="274">
        <v>2</v>
      </c>
      <c r="H935" s="261">
        <v>2315</v>
      </c>
      <c r="I935" s="261">
        <v>4630</v>
      </c>
      <c r="J935" s="261">
        <v>0</v>
      </c>
      <c r="K935" s="261">
        <f t="shared" si="28"/>
        <v>4630</v>
      </c>
      <c r="L935" s="261">
        <v>370</v>
      </c>
      <c r="M935" s="261">
        <f t="shared" si="29"/>
        <v>5000</v>
      </c>
      <c r="N935" s="137">
        <v>2.9999999999999997E-4</v>
      </c>
    </row>
    <row r="936" spans="1:14" ht="18" customHeight="1">
      <c r="A936" s="134">
        <v>13</v>
      </c>
      <c r="B936" s="135" t="s">
        <v>107</v>
      </c>
      <c r="C936" s="134">
        <v>5</v>
      </c>
      <c r="D936" s="138" t="s">
        <v>84</v>
      </c>
      <c r="E936" s="138" t="s">
        <v>679</v>
      </c>
      <c r="F936" s="135" t="s">
        <v>620</v>
      </c>
      <c r="G936" s="274">
        <v>1</v>
      </c>
      <c r="H936" s="261">
        <v>11111</v>
      </c>
      <c r="I936" s="261">
        <v>11111</v>
      </c>
      <c r="J936" s="261">
        <v>0</v>
      </c>
      <c r="K936" s="261">
        <f t="shared" si="28"/>
        <v>11111</v>
      </c>
      <c r="L936" s="261">
        <v>889</v>
      </c>
      <c r="M936" s="261">
        <f t="shared" si="29"/>
        <v>12000</v>
      </c>
      <c r="N936" s="137">
        <v>7.000000000000001E-4</v>
      </c>
    </row>
    <row r="937" spans="1:14" ht="18" customHeight="1">
      <c r="A937" s="134">
        <v>13</v>
      </c>
      <c r="B937" s="135" t="s">
        <v>107</v>
      </c>
      <c r="C937" s="134">
        <v>136</v>
      </c>
      <c r="D937" s="138" t="s">
        <v>84</v>
      </c>
      <c r="E937" s="138" t="s">
        <v>625</v>
      </c>
      <c r="F937" s="135" t="s">
        <v>620</v>
      </c>
      <c r="G937" s="274">
        <v>6</v>
      </c>
      <c r="H937" s="261">
        <v>24074</v>
      </c>
      <c r="I937" s="261">
        <v>144444</v>
      </c>
      <c r="J937" s="261">
        <v>0</v>
      </c>
      <c r="K937" s="261">
        <f t="shared" si="28"/>
        <v>144444</v>
      </c>
      <c r="L937" s="261">
        <v>11556</v>
      </c>
      <c r="M937" s="261">
        <f t="shared" si="29"/>
        <v>156000</v>
      </c>
      <c r="N937" s="137">
        <v>9.1999999999999998E-3</v>
      </c>
    </row>
    <row r="938" spans="1:14" ht="18" customHeight="1">
      <c r="A938" s="134">
        <v>13</v>
      </c>
      <c r="B938" s="135" t="s">
        <v>107</v>
      </c>
      <c r="C938" s="134">
        <v>135</v>
      </c>
      <c r="D938" s="138" t="s">
        <v>84</v>
      </c>
      <c r="E938" s="138" t="s">
        <v>710</v>
      </c>
      <c r="F938" s="135" t="s">
        <v>620</v>
      </c>
      <c r="G938" s="274">
        <v>4</v>
      </c>
      <c r="H938" s="261">
        <v>13889</v>
      </c>
      <c r="I938" s="261">
        <v>55556</v>
      </c>
      <c r="J938" s="261">
        <v>0</v>
      </c>
      <c r="K938" s="261">
        <f t="shared" si="28"/>
        <v>55556</v>
      </c>
      <c r="L938" s="261">
        <v>4444</v>
      </c>
      <c r="M938" s="261">
        <f t="shared" si="29"/>
        <v>60000</v>
      </c>
      <c r="N938" s="137">
        <v>3.5000000000000001E-3</v>
      </c>
    </row>
    <row r="939" spans="1:14" ht="18" customHeight="1">
      <c r="A939" s="134">
        <v>13</v>
      </c>
      <c r="B939" s="135" t="s">
        <v>107</v>
      </c>
      <c r="C939" s="134">
        <v>6</v>
      </c>
      <c r="D939" s="138" t="s">
        <v>84</v>
      </c>
      <c r="E939" s="138" t="s">
        <v>680</v>
      </c>
      <c r="F939" s="135" t="s">
        <v>620</v>
      </c>
      <c r="G939" s="274">
        <v>2</v>
      </c>
      <c r="H939" s="261">
        <v>14815</v>
      </c>
      <c r="I939" s="261">
        <v>29630</v>
      </c>
      <c r="J939" s="261">
        <v>0</v>
      </c>
      <c r="K939" s="261">
        <f t="shared" si="28"/>
        <v>29630</v>
      </c>
      <c r="L939" s="261">
        <v>2370</v>
      </c>
      <c r="M939" s="261">
        <f t="shared" si="29"/>
        <v>32000</v>
      </c>
      <c r="N939" s="137">
        <v>1.9E-3</v>
      </c>
    </row>
    <row r="940" spans="1:14" ht="18" customHeight="1">
      <c r="A940" s="134">
        <v>13</v>
      </c>
      <c r="B940" s="135" t="s">
        <v>107</v>
      </c>
      <c r="C940" s="134">
        <v>8</v>
      </c>
      <c r="D940" s="138" t="s">
        <v>82</v>
      </c>
      <c r="E940" s="138" t="s">
        <v>151</v>
      </c>
      <c r="F940" s="135" t="s">
        <v>620</v>
      </c>
      <c r="G940" s="274">
        <v>2</v>
      </c>
      <c r="H940" s="261">
        <v>18519</v>
      </c>
      <c r="I940" s="261">
        <v>37037</v>
      </c>
      <c r="J940" s="261">
        <v>0</v>
      </c>
      <c r="K940" s="261">
        <f t="shared" si="28"/>
        <v>37037</v>
      </c>
      <c r="L940" s="261">
        <v>2963</v>
      </c>
      <c r="M940" s="261">
        <f t="shared" si="29"/>
        <v>40000</v>
      </c>
      <c r="N940" s="137">
        <v>2.3E-3</v>
      </c>
    </row>
    <row r="941" spans="1:14" ht="18" customHeight="1">
      <c r="A941" s="134">
        <v>13</v>
      </c>
      <c r="B941" s="135" t="s">
        <v>107</v>
      </c>
      <c r="C941" s="134">
        <v>311</v>
      </c>
      <c r="D941" s="138" t="s">
        <v>88</v>
      </c>
      <c r="E941" s="138" t="s">
        <v>626</v>
      </c>
      <c r="F941" s="135" t="s">
        <v>620</v>
      </c>
      <c r="G941" s="274">
        <v>3</v>
      </c>
      <c r="H941" s="261">
        <v>44907</v>
      </c>
      <c r="I941" s="261">
        <v>134722</v>
      </c>
      <c r="J941" s="261">
        <v>0</v>
      </c>
      <c r="K941" s="261">
        <f t="shared" si="28"/>
        <v>134722</v>
      </c>
      <c r="L941" s="261">
        <v>10778</v>
      </c>
      <c r="M941" s="261">
        <f t="shared" si="29"/>
        <v>145500</v>
      </c>
      <c r="N941" s="137">
        <v>8.5000000000000006E-3</v>
      </c>
    </row>
    <row r="942" spans="1:14" ht="18" customHeight="1">
      <c r="A942" s="134">
        <v>13</v>
      </c>
      <c r="B942" s="135" t="s">
        <v>107</v>
      </c>
      <c r="C942" s="134">
        <v>87</v>
      </c>
      <c r="D942" s="138" t="s">
        <v>84</v>
      </c>
      <c r="E942" s="138" t="s">
        <v>139</v>
      </c>
      <c r="F942" s="135" t="s">
        <v>620</v>
      </c>
      <c r="G942" s="274">
        <v>11</v>
      </c>
      <c r="H942" s="261">
        <v>37500</v>
      </c>
      <c r="I942" s="261">
        <v>412500</v>
      </c>
      <c r="J942" s="261">
        <v>0</v>
      </c>
      <c r="K942" s="261">
        <f t="shared" si="28"/>
        <v>412500</v>
      </c>
      <c r="L942" s="261">
        <v>33000</v>
      </c>
      <c r="M942" s="261">
        <f t="shared" si="29"/>
        <v>445500</v>
      </c>
      <c r="N942" s="137">
        <v>2.6200000000000001E-2</v>
      </c>
    </row>
    <row r="943" spans="1:14" ht="18" customHeight="1">
      <c r="A943" s="134">
        <v>13</v>
      </c>
      <c r="B943" s="135" t="s">
        <v>107</v>
      </c>
      <c r="C943" s="134">
        <v>246</v>
      </c>
      <c r="D943" s="138" t="s">
        <v>86</v>
      </c>
      <c r="E943" s="138" t="s">
        <v>629</v>
      </c>
      <c r="F943" s="135" t="s">
        <v>620</v>
      </c>
      <c r="G943" s="274">
        <v>6</v>
      </c>
      <c r="H943" s="261">
        <v>6481</v>
      </c>
      <c r="I943" s="261">
        <v>38889</v>
      </c>
      <c r="J943" s="261">
        <v>0</v>
      </c>
      <c r="K943" s="261">
        <f t="shared" si="28"/>
        <v>38889</v>
      </c>
      <c r="L943" s="261">
        <v>3111</v>
      </c>
      <c r="M943" s="261">
        <f t="shared" si="29"/>
        <v>42000</v>
      </c>
      <c r="N943" s="137">
        <v>2.5000000000000001E-3</v>
      </c>
    </row>
    <row r="944" spans="1:14" ht="18" customHeight="1">
      <c r="A944" s="134">
        <v>13</v>
      </c>
      <c r="B944" s="135" t="s">
        <v>107</v>
      </c>
      <c r="C944" s="134">
        <v>70</v>
      </c>
      <c r="D944" s="138" t="s">
        <v>86</v>
      </c>
      <c r="E944" s="138" t="s">
        <v>630</v>
      </c>
      <c r="F944" s="135" t="s">
        <v>620</v>
      </c>
      <c r="G944" s="274">
        <v>2</v>
      </c>
      <c r="H944" s="261">
        <v>4630</v>
      </c>
      <c r="I944" s="261">
        <v>9259</v>
      </c>
      <c r="J944" s="261">
        <v>0</v>
      </c>
      <c r="K944" s="261">
        <f t="shared" si="28"/>
        <v>9259</v>
      </c>
      <c r="L944" s="261">
        <v>741</v>
      </c>
      <c r="M944" s="261">
        <f t="shared" si="29"/>
        <v>10000</v>
      </c>
      <c r="N944" s="137">
        <v>5.9999999999999995E-4</v>
      </c>
    </row>
    <row r="945" spans="1:14" ht="18" customHeight="1">
      <c r="A945" s="134">
        <v>13</v>
      </c>
      <c r="B945" s="135" t="s">
        <v>107</v>
      </c>
      <c r="C945" s="134">
        <v>71</v>
      </c>
      <c r="D945" s="138" t="s">
        <v>86</v>
      </c>
      <c r="E945" s="138" t="s">
        <v>631</v>
      </c>
      <c r="F945" s="135" t="s">
        <v>620</v>
      </c>
      <c r="G945" s="274">
        <v>3</v>
      </c>
      <c r="H945" s="261">
        <v>5556</v>
      </c>
      <c r="I945" s="261">
        <v>16667</v>
      </c>
      <c r="J945" s="261">
        <v>0</v>
      </c>
      <c r="K945" s="261">
        <f t="shared" si="28"/>
        <v>16667</v>
      </c>
      <c r="L945" s="261">
        <v>1333</v>
      </c>
      <c r="M945" s="261">
        <f t="shared" si="29"/>
        <v>18000</v>
      </c>
      <c r="N945" s="137">
        <v>1.1000000000000001E-3</v>
      </c>
    </row>
    <row r="946" spans="1:14" ht="18" customHeight="1">
      <c r="A946" s="134">
        <v>13</v>
      </c>
      <c r="B946" s="135" t="s">
        <v>107</v>
      </c>
      <c r="C946" s="134">
        <v>83</v>
      </c>
      <c r="D946" s="138" t="s">
        <v>82</v>
      </c>
      <c r="E946" s="138" t="s">
        <v>632</v>
      </c>
      <c r="F946" s="135" t="s">
        <v>620</v>
      </c>
      <c r="G946" s="274">
        <v>9</v>
      </c>
      <c r="H946" s="261">
        <v>20833</v>
      </c>
      <c r="I946" s="261">
        <v>187500</v>
      </c>
      <c r="J946" s="261">
        <v>0</v>
      </c>
      <c r="K946" s="261">
        <f t="shared" si="28"/>
        <v>187500</v>
      </c>
      <c r="L946" s="261">
        <v>15000</v>
      </c>
      <c r="M946" s="261">
        <f t="shared" si="29"/>
        <v>202500</v>
      </c>
      <c r="N946" s="137">
        <v>1.1900000000000001E-2</v>
      </c>
    </row>
    <row r="947" spans="1:14" ht="18" customHeight="1">
      <c r="A947" s="134">
        <v>13</v>
      </c>
      <c r="B947" s="135" t="s">
        <v>107</v>
      </c>
      <c r="C947" s="134">
        <v>52</v>
      </c>
      <c r="D947" s="138" t="s">
        <v>82</v>
      </c>
      <c r="E947" s="138" t="s">
        <v>682</v>
      </c>
      <c r="F947" s="135" t="s">
        <v>620</v>
      </c>
      <c r="G947" s="274">
        <v>1</v>
      </c>
      <c r="H947" s="261">
        <v>5556</v>
      </c>
      <c r="I947" s="261">
        <v>5556</v>
      </c>
      <c r="J947" s="261">
        <v>0</v>
      </c>
      <c r="K947" s="261">
        <f t="shared" si="28"/>
        <v>5556</v>
      </c>
      <c r="L947" s="261">
        <v>444</v>
      </c>
      <c r="M947" s="261">
        <f t="shared" si="29"/>
        <v>6000</v>
      </c>
      <c r="N947" s="137">
        <v>4.0000000000000002E-4</v>
      </c>
    </row>
    <row r="948" spans="1:14" ht="18" customHeight="1">
      <c r="A948" s="134">
        <v>13</v>
      </c>
      <c r="B948" s="135" t="s">
        <v>107</v>
      </c>
      <c r="C948" s="134">
        <v>43</v>
      </c>
      <c r="D948" s="138" t="s">
        <v>82</v>
      </c>
      <c r="E948" s="138" t="s">
        <v>633</v>
      </c>
      <c r="F948" s="135" t="s">
        <v>620</v>
      </c>
      <c r="G948" s="274">
        <v>1</v>
      </c>
      <c r="H948" s="261">
        <v>8333</v>
      </c>
      <c r="I948" s="261">
        <v>8333</v>
      </c>
      <c r="J948" s="261">
        <v>0</v>
      </c>
      <c r="K948" s="261">
        <f t="shared" si="28"/>
        <v>8333</v>
      </c>
      <c r="L948" s="261">
        <v>667</v>
      </c>
      <c r="M948" s="261">
        <f t="shared" si="29"/>
        <v>9000</v>
      </c>
      <c r="N948" s="137">
        <v>5.0000000000000001E-4</v>
      </c>
    </row>
    <row r="949" spans="1:14" ht="18" customHeight="1">
      <c r="A949" s="134">
        <v>13</v>
      </c>
      <c r="B949" s="135" t="s">
        <v>107</v>
      </c>
      <c r="C949" s="134">
        <v>41</v>
      </c>
      <c r="D949" s="138" t="s">
        <v>82</v>
      </c>
      <c r="E949" s="138" t="s">
        <v>163</v>
      </c>
      <c r="F949" s="135" t="s">
        <v>620</v>
      </c>
      <c r="G949" s="274">
        <v>5</v>
      </c>
      <c r="H949" s="261">
        <v>49074</v>
      </c>
      <c r="I949" s="261">
        <v>245370</v>
      </c>
      <c r="J949" s="261">
        <v>0</v>
      </c>
      <c r="K949" s="261">
        <f t="shared" si="28"/>
        <v>245370</v>
      </c>
      <c r="L949" s="261">
        <v>19630</v>
      </c>
      <c r="M949" s="261">
        <f t="shared" si="29"/>
        <v>265000</v>
      </c>
      <c r="N949" s="137">
        <v>1.5599999999999999E-2</v>
      </c>
    </row>
    <row r="950" spans="1:14" ht="18" customHeight="1">
      <c r="A950" s="134">
        <v>13</v>
      </c>
      <c r="B950" s="135" t="s">
        <v>107</v>
      </c>
      <c r="C950" s="134">
        <v>122</v>
      </c>
      <c r="D950" s="138" t="s">
        <v>86</v>
      </c>
      <c r="E950" s="138" t="s">
        <v>634</v>
      </c>
      <c r="F950" s="135" t="s">
        <v>620</v>
      </c>
      <c r="G950" s="274">
        <v>1</v>
      </c>
      <c r="H950" s="261">
        <v>2778</v>
      </c>
      <c r="I950" s="261">
        <v>2778</v>
      </c>
      <c r="J950" s="261">
        <v>0</v>
      </c>
      <c r="K950" s="261">
        <f t="shared" si="28"/>
        <v>2778</v>
      </c>
      <c r="L950" s="261">
        <v>222</v>
      </c>
      <c r="M950" s="261">
        <f t="shared" si="29"/>
        <v>3000</v>
      </c>
      <c r="N950" s="137">
        <v>2.0000000000000001E-4</v>
      </c>
    </row>
    <row r="951" spans="1:14" ht="18" customHeight="1">
      <c r="A951" s="134">
        <v>13</v>
      </c>
      <c r="B951" s="135" t="s">
        <v>107</v>
      </c>
      <c r="C951" s="134">
        <v>247</v>
      </c>
      <c r="D951" s="138" t="s">
        <v>82</v>
      </c>
      <c r="E951" s="138" t="s">
        <v>700</v>
      </c>
      <c r="F951" s="135" t="s">
        <v>620</v>
      </c>
      <c r="G951" s="274">
        <v>1</v>
      </c>
      <c r="H951" s="261">
        <v>3056</v>
      </c>
      <c r="I951" s="261">
        <v>3056</v>
      </c>
      <c r="J951" s="261">
        <v>0</v>
      </c>
      <c r="K951" s="261">
        <f t="shared" si="28"/>
        <v>3056</v>
      </c>
      <c r="L951" s="261">
        <v>244</v>
      </c>
      <c r="M951" s="261">
        <f t="shared" si="29"/>
        <v>3300</v>
      </c>
      <c r="N951" s="137">
        <v>2.0000000000000001E-4</v>
      </c>
    </row>
    <row r="952" spans="1:14" ht="18" customHeight="1">
      <c r="A952" s="134">
        <v>13</v>
      </c>
      <c r="B952" s="135" t="s">
        <v>107</v>
      </c>
      <c r="C952" s="134">
        <v>42</v>
      </c>
      <c r="D952" s="138" t="s">
        <v>82</v>
      </c>
      <c r="E952" s="138" t="s">
        <v>354</v>
      </c>
      <c r="F952" s="135" t="s">
        <v>620</v>
      </c>
      <c r="G952" s="274">
        <v>7</v>
      </c>
      <c r="H952" s="261">
        <v>32407</v>
      </c>
      <c r="I952" s="261">
        <v>226852</v>
      </c>
      <c r="J952" s="261">
        <v>0</v>
      </c>
      <c r="K952" s="261">
        <f t="shared" si="28"/>
        <v>226852</v>
      </c>
      <c r="L952" s="261">
        <v>18148</v>
      </c>
      <c r="M952" s="261">
        <f t="shared" si="29"/>
        <v>245000</v>
      </c>
      <c r="N952" s="137">
        <v>1.44E-2</v>
      </c>
    </row>
    <row r="953" spans="1:14" ht="18" customHeight="1">
      <c r="A953" s="134">
        <v>13</v>
      </c>
      <c r="B953" s="135" t="s">
        <v>107</v>
      </c>
      <c r="C953" s="134">
        <v>44</v>
      </c>
      <c r="D953" s="138" t="s">
        <v>82</v>
      </c>
      <c r="E953" s="138" t="s">
        <v>133</v>
      </c>
      <c r="F953" s="135" t="s">
        <v>620</v>
      </c>
      <c r="G953" s="274">
        <v>33</v>
      </c>
      <c r="H953" s="261">
        <v>28241</v>
      </c>
      <c r="I953" s="261">
        <v>931944</v>
      </c>
      <c r="J953" s="261">
        <v>0</v>
      </c>
      <c r="K953" s="261">
        <f t="shared" si="28"/>
        <v>931944</v>
      </c>
      <c r="L953" s="261">
        <v>74556</v>
      </c>
      <c r="M953" s="261">
        <f t="shared" si="29"/>
        <v>1006500</v>
      </c>
      <c r="N953" s="137">
        <v>5.91E-2</v>
      </c>
    </row>
    <row r="954" spans="1:14" ht="18" customHeight="1">
      <c r="A954" s="134">
        <v>13</v>
      </c>
      <c r="B954" s="135" t="s">
        <v>107</v>
      </c>
      <c r="C954" s="134">
        <v>110</v>
      </c>
      <c r="D954" s="138" t="s">
        <v>94</v>
      </c>
      <c r="E954" s="138" t="s">
        <v>635</v>
      </c>
      <c r="F954" s="135" t="s">
        <v>620</v>
      </c>
      <c r="G954" s="274">
        <v>31</v>
      </c>
      <c r="H954" s="261">
        <v>926</v>
      </c>
      <c r="I954" s="261">
        <v>28704</v>
      </c>
      <c r="J954" s="261">
        <v>0</v>
      </c>
      <c r="K954" s="261">
        <f t="shared" si="28"/>
        <v>28704</v>
      </c>
      <c r="L954" s="261">
        <v>2296</v>
      </c>
      <c r="M954" s="261">
        <f t="shared" si="29"/>
        <v>31000</v>
      </c>
      <c r="N954" s="137">
        <v>1.8E-3</v>
      </c>
    </row>
    <row r="955" spans="1:14" ht="18" customHeight="1">
      <c r="A955" s="134">
        <v>13</v>
      </c>
      <c r="B955" s="135" t="s">
        <v>107</v>
      </c>
      <c r="C955" s="134">
        <v>102</v>
      </c>
      <c r="D955" s="138" t="s">
        <v>82</v>
      </c>
      <c r="E955" s="138" t="s">
        <v>684</v>
      </c>
      <c r="F955" s="135" t="s">
        <v>620</v>
      </c>
      <c r="G955" s="274">
        <v>4</v>
      </c>
      <c r="H955" s="261">
        <v>6944</v>
      </c>
      <c r="I955" s="261">
        <v>27778</v>
      </c>
      <c r="J955" s="261">
        <v>0</v>
      </c>
      <c r="K955" s="261">
        <f t="shared" si="28"/>
        <v>27778</v>
      </c>
      <c r="L955" s="261">
        <v>2222</v>
      </c>
      <c r="M955" s="261">
        <f t="shared" si="29"/>
        <v>30000</v>
      </c>
      <c r="N955" s="137">
        <v>1.8E-3</v>
      </c>
    </row>
    <row r="956" spans="1:14" ht="18" customHeight="1">
      <c r="A956" s="134">
        <v>13</v>
      </c>
      <c r="B956" s="135" t="s">
        <v>107</v>
      </c>
      <c r="C956" s="134">
        <v>45</v>
      </c>
      <c r="D956" s="138" t="s">
        <v>82</v>
      </c>
      <c r="E956" s="138" t="s">
        <v>636</v>
      </c>
      <c r="F956" s="135" t="s">
        <v>620</v>
      </c>
      <c r="G956" s="274">
        <v>7</v>
      </c>
      <c r="H956" s="261">
        <v>35648</v>
      </c>
      <c r="I956" s="261">
        <v>249537</v>
      </c>
      <c r="J956" s="261">
        <v>0</v>
      </c>
      <c r="K956" s="261">
        <f t="shared" si="28"/>
        <v>249537</v>
      </c>
      <c r="L956" s="261">
        <v>19963</v>
      </c>
      <c r="M956" s="261">
        <f t="shared" si="29"/>
        <v>269500</v>
      </c>
      <c r="N956" s="137">
        <v>1.5800000000000002E-2</v>
      </c>
    </row>
    <row r="957" spans="1:14" ht="18" customHeight="1">
      <c r="A957" s="134">
        <v>13</v>
      </c>
      <c r="B957" s="135" t="s">
        <v>107</v>
      </c>
      <c r="C957" s="134">
        <v>30</v>
      </c>
      <c r="D957" s="138" t="s">
        <v>90</v>
      </c>
      <c r="E957" s="138" t="s">
        <v>637</v>
      </c>
      <c r="F957" s="135" t="s">
        <v>620</v>
      </c>
      <c r="G957" s="274">
        <v>7</v>
      </c>
      <c r="H957" s="261">
        <v>6481</v>
      </c>
      <c r="I957" s="261">
        <v>45370</v>
      </c>
      <c r="J957" s="261">
        <v>0</v>
      </c>
      <c r="K957" s="261">
        <f t="shared" si="28"/>
        <v>45370</v>
      </c>
      <c r="L957" s="261">
        <v>3630</v>
      </c>
      <c r="M957" s="261">
        <f t="shared" si="29"/>
        <v>49000</v>
      </c>
      <c r="N957" s="137">
        <v>2.8999999999999998E-3</v>
      </c>
    </row>
    <row r="958" spans="1:14" ht="18" customHeight="1">
      <c r="A958" s="134">
        <v>13</v>
      </c>
      <c r="B958" s="135" t="s">
        <v>107</v>
      </c>
      <c r="C958" s="134">
        <v>94</v>
      </c>
      <c r="D958" s="138" t="s">
        <v>84</v>
      </c>
      <c r="E958" s="138" t="s">
        <v>145</v>
      </c>
      <c r="F958" s="135" t="s">
        <v>620</v>
      </c>
      <c r="G958" s="274">
        <v>2</v>
      </c>
      <c r="H958" s="261">
        <v>18519</v>
      </c>
      <c r="I958" s="261">
        <v>37037</v>
      </c>
      <c r="J958" s="261">
        <v>0</v>
      </c>
      <c r="K958" s="261">
        <f t="shared" si="28"/>
        <v>37037</v>
      </c>
      <c r="L958" s="261">
        <v>2963</v>
      </c>
      <c r="M958" s="261">
        <f t="shared" si="29"/>
        <v>40000</v>
      </c>
      <c r="N958" s="137">
        <v>2.3E-3</v>
      </c>
    </row>
    <row r="959" spans="1:14" ht="18" customHeight="1">
      <c r="A959" s="134">
        <v>13</v>
      </c>
      <c r="B959" s="135" t="s">
        <v>107</v>
      </c>
      <c r="C959" s="134">
        <v>233</v>
      </c>
      <c r="D959" s="138" t="s">
        <v>84</v>
      </c>
      <c r="E959" s="138" t="s">
        <v>112</v>
      </c>
      <c r="F959" s="135" t="s">
        <v>620</v>
      </c>
      <c r="G959" s="274">
        <v>1</v>
      </c>
      <c r="H959" s="261">
        <v>18519</v>
      </c>
      <c r="I959" s="261">
        <v>18519</v>
      </c>
      <c r="J959" s="261">
        <v>0</v>
      </c>
      <c r="K959" s="261">
        <f t="shared" si="28"/>
        <v>18519</v>
      </c>
      <c r="L959" s="261">
        <v>1481</v>
      </c>
      <c r="M959" s="261">
        <f t="shared" si="29"/>
        <v>20000</v>
      </c>
      <c r="N959" s="137">
        <v>1.1999999999999999E-3</v>
      </c>
    </row>
    <row r="960" spans="1:14" ht="18" customHeight="1">
      <c r="A960" s="134">
        <v>13</v>
      </c>
      <c r="B960" s="135" t="s">
        <v>107</v>
      </c>
      <c r="C960" s="134">
        <v>217</v>
      </c>
      <c r="D960" s="138" t="s">
        <v>84</v>
      </c>
      <c r="E960" s="138" t="s">
        <v>639</v>
      </c>
      <c r="F960" s="135" t="s">
        <v>620</v>
      </c>
      <c r="G960" s="274">
        <v>1</v>
      </c>
      <c r="H960" s="261">
        <v>27778</v>
      </c>
      <c r="I960" s="261">
        <v>27778</v>
      </c>
      <c r="J960" s="261">
        <v>0</v>
      </c>
      <c r="K960" s="261">
        <f t="shared" si="28"/>
        <v>27778</v>
      </c>
      <c r="L960" s="261">
        <v>2222</v>
      </c>
      <c r="M960" s="261">
        <f t="shared" si="29"/>
        <v>30000</v>
      </c>
      <c r="N960" s="137">
        <v>1.8E-3</v>
      </c>
    </row>
    <row r="961" spans="1:14" ht="18" customHeight="1">
      <c r="A961" s="134">
        <v>13</v>
      </c>
      <c r="B961" s="135" t="s">
        <v>107</v>
      </c>
      <c r="C961" s="134">
        <v>34</v>
      </c>
      <c r="D961" s="138" t="s">
        <v>86</v>
      </c>
      <c r="E961" s="138" t="s">
        <v>641</v>
      </c>
      <c r="F961" s="135" t="s">
        <v>620</v>
      </c>
      <c r="G961" s="274">
        <v>10</v>
      </c>
      <c r="H961" s="261">
        <v>6481</v>
      </c>
      <c r="I961" s="261">
        <v>64815</v>
      </c>
      <c r="J961" s="261">
        <v>0</v>
      </c>
      <c r="K961" s="261">
        <f t="shared" si="28"/>
        <v>64815</v>
      </c>
      <c r="L961" s="261">
        <v>5185</v>
      </c>
      <c r="M961" s="261">
        <f t="shared" si="29"/>
        <v>70000</v>
      </c>
      <c r="N961" s="137">
        <v>4.0999999999999986E-3</v>
      </c>
    </row>
    <row r="962" spans="1:14" ht="18" customHeight="1">
      <c r="A962" s="134">
        <v>13</v>
      </c>
      <c r="B962" s="135" t="s">
        <v>107</v>
      </c>
      <c r="C962" s="134">
        <v>66</v>
      </c>
      <c r="D962" s="138" t="s">
        <v>86</v>
      </c>
      <c r="E962" s="138" t="s">
        <v>721</v>
      </c>
      <c r="F962" s="135" t="s">
        <v>620</v>
      </c>
      <c r="G962" s="274">
        <v>2</v>
      </c>
      <c r="H962" s="261">
        <v>11574</v>
      </c>
      <c r="I962" s="261">
        <v>23148</v>
      </c>
      <c r="J962" s="261">
        <v>0</v>
      </c>
      <c r="K962" s="261">
        <f t="shared" ref="K962:K1025" si="30">I962-J962</f>
        <v>23148</v>
      </c>
      <c r="L962" s="261">
        <v>1852</v>
      </c>
      <c r="M962" s="261">
        <f t="shared" ref="M962:M1025" si="31">K962+L962</f>
        <v>25000</v>
      </c>
      <c r="N962" s="137">
        <v>1.5E-3</v>
      </c>
    </row>
    <row r="963" spans="1:14" ht="18" customHeight="1">
      <c r="A963" s="134">
        <v>13</v>
      </c>
      <c r="B963" s="135" t="s">
        <v>107</v>
      </c>
      <c r="C963" s="134">
        <v>121</v>
      </c>
      <c r="D963" s="138" t="s">
        <v>86</v>
      </c>
      <c r="E963" s="138" t="s">
        <v>642</v>
      </c>
      <c r="F963" s="135" t="s">
        <v>620</v>
      </c>
      <c r="G963" s="274">
        <v>19</v>
      </c>
      <c r="H963" s="261">
        <v>2778</v>
      </c>
      <c r="I963" s="261">
        <v>52778</v>
      </c>
      <c r="J963" s="261">
        <v>0</v>
      </c>
      <c r="K963" s="261">
        <f t="shared" si="30"/>
        <v>52778</v>
      </c>
      <c r="L963" s="261">
        <v>4222</v>
      </c>
      <c r="M963" s="261">
        <f t="shared" si="31"/>
        <v>57000</v>
      </c>
      <c r="N963" s="137">
        <v>3.3E-3</v>
      </c>
    </row>
    <row r="964" spans="1:14" ht="18" customHeight="1">
      <c r="A964" s="134">
        <v>13</v>
      </c>
      <c r="B964" s="135" t="s">
        <v>107</v>
      </c>
      <c r="C964" s="134">
        <v>208</v>
      </c>
      <c r="D964" s="138" t="s">
        <v>86</v>
      </c>
      <c r="E964" s="138" t="s">
        <v>643</v>
      </c>
      <c r="F964" s="135" t="s">
        <v>620</v>
      </c>
      <c r="G964" s="274">
        <v>26</v>
      </c>
      <c r="H964" s="261">
        <v>3704</v>
      </c>
      <c r="I964" s="261">
        <v>96296</v>
      </c>
      <c r="J964" s="261">
        <v>0</v>
      </c>
      <c r="K964" s="261">
        <f t="shared" si="30"/>
        <v>96296</v>
      </c>
      <c r="L964" s="261">
        <v>7704</v>
      </c>
      <c r="M964" s="261">
        <f t="shared" si="31"/>
        <v>104000</v>
      </c>
      <c r="N964" s="137">
        <v>6.1000000000000004E-3</v>
      </c>
    </row>
    <row r="965" spans="1:14" ht="18" customHeight="1">
      <c r="A965" s="134">
        <v>13</v>
      </c>
      <c r="B965" s="135" t="s">
        <v>107</v>
      </c>
      <c r="C965" s="134">
        <v>90</v>
      </c>
      <c r="D965" s="138" t="s">
        <v>86</v>
      </c>
      <c r="E965" s="138" t="s">
        <v>439</v>
      </c>
      <c r="F965" s="135" t="s">
        <v>620</v>
      </c>
      <c r="G965" s="274">
        <v>2</v>
      </c>
      <c r="H965" s="261">
        <v>4259</v>
      </c>
      <c r="I965" s="261">
        <v>8519</v>
      </c>
      <c r="J965" s="261">
        <v>0</v>
      </c>
      <c r="K965" s="261">
        <f t="shared" si="30"/>
        <v>8519</v>
      </c>
      <c r="L965" s="261">
        <v>681</v>
      </c>
      <c r="M965" s="261">
        <f t="shared" si="31"/>
        <v>9200</v>
      </c>
      <c r="N965" s="137">
        <v>5.0000000000000001E-4</v>
      </c>
    </row>
    <row r="966" spans="1:14" ht="18" customHeight="1">
      <c r="A966" s="134">
        <v>13</v>
      </c>
      <c r="B966" s="135" t="s">
        <v>107</v>
      </c>
      <c r="C966" s="134">
        <v>123</v>
      </c>
      <c r="D966" s="138" t="s">
        <v>86</v>
      </c>
      <c r="E966" s="138" t="s">
        <v>644</v>
      </c>
      <c r="F966" s="135" t="s">
        <v>620</v>
      </c>
      <c r="G966" s="274">
        <v>9</v>
      </c>
      <c r="H966" s="261">
        <v>2778</v>
      </c>
      <c r="I966" s="261">
        <v>25000</v>
      </c>
      <c r="J966" s="261">
        <v>0</v>
      </c>
      <c r="K966" s="261">
        <f t="shared" si="30"/>
        <v>25000</v>
      </c>
      <c r="L966" s="261">
        <v>2000</v>
      </c>
      <c r="M966" s="261">
        <f t="shared" si="31"/>
        <v>27000</v>
      </c>
      <c r="N966" s="137">
        <v>1.6000000000000001E-3</v>
      </c>
    </row>
    <row r="967" spans="1:14" ht="18" customHeight="1">
      <c r="A967" s="134">
        <v>13</v>
      </c>
      <c r="B967" s="135" t="s">
        <v>107</v>
      </c>
      <c r="C967" s="134">
        <v>314</v>
      </c>
      <c r="D967" s="138" t="s">
        <v>82</v>
      </c>
      <c r="E967" s="138" t="s">
        <v>685</v>
      </c>
      <c r="F967" s="135" t="s">
        <v>620</v>
      </c>
      <c r="G967" s="274">
        <v>4</v>
      </c>
      <c r="H967" s="261">
        <v>4167</v>
      </c>
      <c r="I967" s="261">
        <v>16667</v>
      </c>
      <c r="J967" s="261">
        <v>0</v>
      </c>
      <c r="K967" s="261">
        <f t="shared" si="30"/>
        <v>16667</v>
      </c>
      <c r="L967" s="261">
        <v>1333</v>
      </c>
      <c r="M967" s="261">
        <f t="shared" si="31"/>
        <v>18000</v>
      </c>
      <c r="N967" s="137">
        <v>1.1000000000000001E-3</v>
      </c>
    </row>
    <row r="968" spans="1:14" ht="18" customHeight="1">
      <c r="A968" s="134">
        <v>13</v>
      </c>
      <c r="B968" s="135" t="s">
        <v>107</v>
      </c>
      <c r="C968" s="134">
        <v>31</v>
      </c>
      <c r="D968" s="138" t="s">
        <v>90</v>
      </c>
      <c r="E968" s="138" t="s">
        <v>645</v>
      </c>
      <c r="F968" s="135" t="s">
        <v>620</v>
      </c>
      <c r="G968" s="274">
        <v>3</v>
      </c>
      <c r="H968" s="261">
        <v>1204</v>
      </c>
      <c r="I968" s="261">
        <v>3611</v>
      </c>
      <c r="J968" s="261">
        <v>0</v>
      </c>
      <c r="K968" s="261">
        <f t="shared" si="30"/>
        <v>3611</v>
      </c>
      <c r="L968" s="261">
        <v>289</v>
      </c>
      <c r="M968" s="261">
        <f t="shared" si="31"/>
        <v>3900</v>
      </c>
      <c r="N968" s="137">
        <v>2.0000000000000001E-4</v>
      </c>
    </row>
    <row r="969" spans="1:14" ht="18" customHeight="1">
      <c r="A969" s="134">
        <v>13</v>
      </c>
      <c r="B969" s="135" t="s">
        <v>107</v>
      </c>
      <c r="C969" s="134">
        <v>201</v>
      </c>
      <c r="D969" s="138" t="s">
        <v>86</v>
      </c>
      <c r="E969" s="138" t="s">
        <v>722</v>
      </c>
      <c r="F969" s="135" t="s">
        <v>620</v>
      </c>
      <c r="G969" s="274">
        <v>1</v>
      </c>
      <c r="H969" s="261">
        <v>18519</v>
      </c>
      <c r="I969" s="261">
        <v>18519</v>
      </c>
      <c r="J969" s="261">
        <v>0</v>
      </c>
      <c r="K969" s="261">
        <f t="shared" si="30"/>
        <v>18519</v>
      </c>
      <c r="L969" s="261">
        <v>1481</v>
      </c>
      <c r="M969" s="261">
        <f t="shared" si="31"/>
        <v>20000</v>
      </c>
      <c r="N969" s="137">
        <v>1.1999999999999999E-3</v>
      </c>
    </row>
    <row r="970" spans="1:14" ht="18" customHeight="1">
      <c r="A970" s="134">
        <v>13</v>
      </c>
      <c r="B970" s="135" t="s">
        <v>107</v>
      </c>
      <c r="C970" s="134">
        <v>202</v>
      </c>
      <c r="D970" s="138" t="s">
        <v>86</v>
      </c>
      <c r="E970" s="138" t="s">
        <v>723</v>
      </c>
      <c r="F970" s="135" t="s">
        <v>620</v>
      </c>
      <c r="G970" s="274">
        <v>1</v>
      </c>
      <c r="H970" s="261">
        <v>32407</v>
      </c>
      <c r="I970" s="261">
        <v>32407</v>
      </c>
      <c r="J970" s="261">
        <v>0</v>
      </c>
      <c r="K970" s="261">
        <f t="shared" si="30"/>
        <v>32407</v>
      </c>
      <c r="L970" s="261">
        <v>2593</v>
      </c>
      <c r="M970" s="261">
        <f t="shared" si="31"/>
        <v>35000</v>
      </c>
      <c r="N970" s="137">
        <v>2.0999999999999999E-3</v>
      </c>
    </row>
    <row r="971" spans="1:14" ht="18" customHeight="1">
      <c r="A971" s="134">
        <v>13</v>
      </c>
      <c r="B971" s="135" t="s">
        <v>107</v>
      </c>
      <c r="C971" s="134">
        <v>212</v>
      </c>
      <c r="D971" s="138" t="s">
        <v>86</v>
      </c>
      <c r="E971" s="138" t="s">
        <v>160</v>
      </c>
      <c r="F971" s="135" t="s">
        <v>620</v>
      </c>
      <c r="G971" s="274">
        <v>17</v>
      </c>
      <c r="H971" s="261">
        <v>22222</v>
      </c>
      <c r="I971" s="261">
        <v>377778</v>
      </c>
      <c r="J971" s="261">
        <v>0</v>
      </c>
      <c r="K971" s="261">
        <f t="shared" si="30"/>
        <v>377778</v>
      </c>
      <c r="L971" s="261">
        <v>30222</v>
      </c>
      <c r="M971" s="261">
        <f t="shared" si="31"/>
        <v>408000</v>
      </c>
      <c r="N971" s="137">
        <v>2.4E-2</v>
      </c>
    </row>
    <row r="972" spans="1:14" ht="18" customHeight="1">
      <c r="A972" s="134">
        <v>13</v>
      </c>
      <c r="B972" s="135" t="s">
        <v>107</v>
      </c>
      <c r="C972" s="134">
        <v>74</v>
      </c>
      <c r="D972" s="138" t="s">
        <v>86</v>
      </c>
      <c r="E972" s="138" t="s">
        <v>686</v>
      </c>
      <c r="F972" s="135" t="s">
        <v>620</v>
      </c>
      <c r="G972" s="274">
        <v>11</v>
      </c>
      <c r="H972" s="261">
        <v>6481</v>
      </c>
      <c r="I972" s="261">
        <v>71296</v>
      </c>
      <c r="J972" s="261">
        <v>0</v>
      </c>
      <c r="K972" s="261">
        <f t="shared" si="30"/>
        <v>71296</v>
      </c>
      <c r="L972" s="261">
        <v>5704</v>
      </c>
      <c r="M972" s="261">
        <f t="shared" si="31"/>
        <v>77000</v>
      </c>
      <c r="N972" s="137">
        <v>4.5000000000000014E-3</v>
      </c>
    </row>
    <row r="973" spans="1:14" ht="18" customHeight="1">
      <c r="A973" s="134">
        <v>13</v>
      </c>
      <c r="B973" s="135" t="s">
        <v>107</v>
      </c>
      <c r="C973" s="134">
        <v>306</v>
      </c>
      <c r="D973" s="138" t="s">
        <v>86</v>
      </c>
      <c r="E973" s="138" t="s">
        <v>711</v>
      </c>
      <c r="F973" s="135" t="s">
        <v>620</v>
      </c>
      <c r="G973" s="274">
        <v>2</v>
      </c>
      <c r="H973" s="261">
        <v>2315</v>
      </c>
      <c r="I973" s="261">
        <v>4630</v>
      </c>
      <c r="J973" s="261">
        <v>0</v>
      </c>
      <c r="K973" s="261">
        <f t="shared" si="30"/>
        <v>4630</v>
      </c>
      <c r="L973" s="261">
        <v>370</v>
      </c>
      <c r="M973" s="261">
        <f t="shared" si="31"/>
        <v>5000</v>
      </c>
      <c r="N973" s="137">
        <v>2.9999999999999997E-4</v>
      </c>
    </row>
    <row r="974" spans="1:14" ht="18" customHeight="1">
      <c r="A974" s="134">
        <v>13</v>
      </c>
      <c r="B974" s="135" t="s">
        <v>107</v>
      </c>
      <c r="C974" s="134">
        <v>235</v>
      </c>
      <c r="D974" s="138" t="s">
        <v>86</v>
      </c>
      <c r="E974" s="138" t="s">
        <v>687</v>
      </c>
      <c r="F974" s="135" t="s">
        <v>620</v>
      </c>
      <c r="G974" s="274">
        <v>1</v>
      </c>
      <c r="H974" s="261">
        <v>3426</v>
      </c>
      <c r="I974" s="261">
        <v>3426</v>
      </c>
      <c r="J974" s="261">
        <v>0</v>
      </c>
      <c r="K974" s="261">
        <f t="shared" si="30"/>
        <v>3426</v>
      </c>
      <c r="L974" s="261">
        <v>274</v>
      </c>
      <c r="M974" s="261">
        <f t="shared" si="31"/>
        <v>3700</v>
      </c>
      <c r="N974" s="137">
        <v>2.0000000000000001E-4</v>
      </c>
    </row>
    <row r="975" spans="1:14" ht="18" customHeight="1">
      <c r="A975" s="134">
        <v>13</v>
      </c>
      <c r="B975" s="135" t="s">
        <v>107</v>
      </c>
      <c r="C975" s="134">
        <v>134</v>
      </c>
      <c r="D975" s="138" t="s">
        <v>86</v>
      </c>
      <c r="E975" s="138" t="s">
        <v>703</v>
      </c>
      <c r="F975" s="135" t="s">
        <v>620</v>
      </c>
      <c r="G975" s="274">
        <v>4</v>
      </c>
      <c r="H975" s="261">
        <v>12963</v>
      </c>
      <c r="I975" s="261">
        <v>51852</v>
      </c>
      <c r="J975" s="261">
        <v>0</v>
      </c>
      <c r="K975" s="261">
        <f t="shared" si="30"/>
        <v>51852</v>
      </c>
      <c r="L975" s="261">
        <v>4148</v>
      </c>
      <c r="M975" s="261">
        <f t="shared" si="31"/>
        <v>56000</v>
      </c>
      <c r="N975" s="137">
        <v>3.3E-3</v>
      </c>
    </row>
    <row r="976" spans="1:14" ht="18" customHeight="1">
      <c r="A976" s="134">
        <v>13</v>
      </c>
      <c r="B976" s="135" t="s">
        <v>107</v>
      </c>
      <c r="C976" s="134">
        <v>501</v>
      </c>
      <c r="D976" s="138" t="s">
        <v>86</v>
      </c>
      <c r="E976" s="138" t="s">
        <v>646</v>
      </c>
      <c r="F976" s="135" t="s">
        <v>620</v>
      </c>
      <c r="G976" s="274">
        <v>2</v>
      </c>
      <c r="H976" s="261">
        <v>22222</v>
      </c>
      <c r="I976" s="261">
        <v>44444</v>
      </c>
      <c r="J976" s="261">
        <v>0</v>
      </c>
      <c r="K976" s="261">
        <f t="shared" si="30"/>
        <v>44444</v>
      </c>
      <c r="L976" s="261">
        <v>3556</v>
      </c>
      <c r="M976" s="261">
        <f t="shared" si="31"/>
        <v>48000</v>
      </c>
      <c r="N976" s="137">
        <v>2.8E-3</v>
      </c>
    </row>
    <row r="977" spans="1:14" ht="18" customHeight="1">
      <c r="A977" s="134">
        <v>13</v>
      </c>
      <c r="B977" s="135" t="s">
        <v>107</v>
      </c>
      <c r="C977" s="134">
        <v>75</v>
      </c>
      <c r="D977" s="138" t="s">
        <v>86</v>
      </c>
      <c r="E977" s="138" t="s">
        <v>647</v>
      </c>
      <c r="F977" s="135" t="s">
        <v>620</v>
      </c>
      <c r="G977" s="274">
        <v>3</v>
      </c>
      <c r="H977" s="261">
        <v>9259</v>
      </c>
      <c r="I977" s="261">
        <v>27778</v>
      </c>
      <c r="J977" s="261">
        <v>0</v>
      </c>
      <c r="K977" s="261">
        <f t="shared" si="30"/>
        <v>27778</v>
      </c>
      <c r="L977" s="261">
        <v>2222</v>
      </c>
      <c r="M977" s="261">
        <f t="shared" si="31"/>
        <v>30000</v>
      </c>
      <c r="N977" s="137">
        <v>1.8E-3</v>
      </c>
    </row>
    <row r="978" spans="1:14" ht="18" customHeight="1">
      <c r="A978" s="134">
        <v>13</v>
      </c>
      <c r="B978" s="135" t="s">
        <v>107</v>
      </c>
      <c r="C978" s="134">
        <v>51</v>
      </c>
      <c r="D978" s="138" t="s">
        <v>82</v>
      </c>
      <c r="E978" s="138" t="s">
        <v>724</v>
      </c>
      <c r="F978" s="135" t="s">
        <v>620</v>
      </c>
      <c r="G978" s="274">
        <v>7</v>
      </c>
      <c r="H978" s="261">
        <v>29167</v>
      </c>
      <c r="I978" s="261">
        <v>204167</v>
      </c>
      <c r="J978" s="261">
        <v>0</v>
      </c>
      <c r="K978" s="261">
        <f t="shared" si="30"/>
        <v>204167</v>
      </c>
      <c r="L978" s="261">
        <v>16333</v>
      </c>
      <c r="M978" s="261">
        <f t="shared" si="31"/>
        <v>220500</v>
      </c>
      <c r="N978" s="137">
        <v>1.29E-2</v>
      </c>
    </row>
    <row r="979" spans="1:14" ht="18" customHeight="1">
      <c r="A979" s="134">
        <v>13</v>
      </c>
      <c r="B979" s="135" t="s">
        <v>107</v>
      </c>
      <c r="C979" s="134">
        <v>88</v>
      </c>
      <c r="D979" s="138" t="s">
        <v>82</v>
      </c>
      <c r="E979" s="138" t="s">
        <v>124</v>
      </c>
      <c r="F979" s="135" t="s">
        <v>620</v>
      </c>
      <c r="G979" s="274">
        <v>28</v>
      </c>
      <c r="H979" s="261">
        <v>32870</v>
      </c>
      <c r="I979" s="261">
        <v>920370</v>
      </c>
      <c r="J979" s="261">
        <v>0</v>
      </c>
      <c r="K979" s="261">
        <f t="shared" si="30"/>
        <v>920370</v>
      </c>
      <c r="L979" s="261">
        <v>73630</v>
      </c>
      <c r="M979" s="261">
        <f t="shared" si="31"/>
        <v>994000</v>
      </c>
      <c r="N979" s="137">
        <v>5.8400000000000001E-2</v>
      </c>
    </row>
    <row r="980" spans="1:14" ht="18" customHeight="1">
      <c r="A980" s="134">
        <v>13</v>
      </c>
      <c r="B980" s="135" t="s">
        <v>107</v>
      </c>
      <c r="C980" s="134">
        <v>118</v>
      </c>
      <c r="D980" s="138" t="s">
        <v>82</v>
      </c>
      <c r="E980" s="138" t="s">
        <v>121</v>
      </c>
      <c r="F980" s="135" t="s">
        <v>620</v>
      </c>
      <c r="G980" s="274">
        <v>12</v>
      </c>
      <c r="H980" s="261">
        <v>41667</v>
      </c>
      <c r="I980" s="261">
        <v>500000</v>
      </c>
      <c r="J980" s="261">
        <v>0</v>
      </c>
      <c r="K980" s="261">
        <f t="shared" si="30"/>
        <v>500000</v>
      </c>
      <c r="L980" s="261">
        <v>40000</v>
      </c>
      <c r="M980" s="261">
        <f t="shared" si="31"/>
        <v>540000</v>
      </c>
      <c r="N980" s="137">
        <v>3.1699999999999999E-2</v>
      </c>
    </row>
    <row r="981" spans="1:14" ht="18" customHeight="1">
      <c r="A981" s="134">
        <v>13</v>
      </c>
      <c r="B981" s="135" t="s">
        <v>107</v>
      </c>
      <c r="C981" s="134">
        <v>205</v>
      </c>
      <c r="D981" s="138" t="s">
        <v>86</v>
      </c>
      <c r="E981" s="138" t="s">
        <v>688</v>
      </c>
      <c r="F981" s="135" t="s">
        <v>620</v>
      </c>
      <c r="G981" s="274">
        <v>2</v>
      </c>
      <c r="H981" s="261">
        <v>12037</v>
      </c>
      <c r="I981" s="261">
        <v>24074</v>
      </c>
      <c r="J981" s="261">
        <v>0</v>
      </c>
      <c r="K981" s="261">
        <f t="shared" si="30"/>
        <v>24074</v>
      </c>
      <c r="L981" s="261">
        <v>1926</v>
      </c>
      <c r="M981" s="261">
        <f t="shared" si="31"/>
        <v>26000</v>
      </c>
      <c r="N981" s="137">
        <v>1.5E-3</v>
      </c>
    </row>
    <row r="982" spans="1:14" ht="18" customHeight="1">
      <c r="A982" s="134">
        <v>13</v>
      </c>
      <c r="B982" s="135" t="s">
        <v>107</v>
      </c>
      <c r="C982" s="134">
        <v>204</v>
      </c>
      <c r="D982" s="138" t="s">
        <v>86</v>
      </c>
      <c r="E982" s="138" t="s">
        <v>648</v>
      </c>
      <c r="F982" s="135" t="s">
        <v>620</v>
      </c>
      <c r="G982" s="274">
        <v>2</v>
      </c>
      <c r="H982" s="261">
        <v>12037</v>
      </c>
      <c r="I982" s="261">
        <v>24074</v>
      </c>
      <c r="J982" s="261">
        <v>0</v>
      </c>
      <c r="K982" s="261">
        <f t="shared" si="30"/>
        <v>24074</v>
      </c>
      <c r="L982" s="261">
        <v>1926</v>
      </c>
      <c r="M982" s="261">
        <f t="shared" si="31"/>
        <v>26000</v>
      </c>
      <c r="N982" s="137">
        <v>1.5E-3</v>
      </c>
    </row>
    <row r="983" spans="1:14" ht="18" customHeight="1">
      <c r="A983" s="134">
        <v>13</v>
      </c>
      <c r="B983" s="135" t="s">
        <v>107</v>
      </c>
      <c r="C983" s="134">
        <v>109</v>
      </c>
      <c r="D983" s="138" t="s">
        <v>86</v>
      </c>
      <c r="E983" s="138" t="s">
        <v>142</v>
      </c>
      <c r="F983" s="135" t="s">
        <v>620</v>
      </c>
      <c r="G983" s="274">
        <v>42</v>
      </c>
      <c r="H983" s="261">
        <v>12963</v>
      </c>
      <c r="I983" s="261">
        <v>544444</v>
      </c>
      <c r="J983" s="261">
        <v>0</v>
      </c>
      <c r="K983" s="261">
        <f t="shared" si="30"/>
        <v>544444</v>
      </c>
      <c r="L983" s="261">
        <v>43556</v>
      </c>
      <c r="M983" s="261">
        <f t="shared" si="31"/>
        <v>588000</v>
      </c>
      <c r="N983" s="137">
        <v>3.4500000000000003E-2</v>
      </c>
    </row>
    <row r="984" spans="1:14" ht="18" customHeight="1">
      <c r="A984" s="134">
        <v>13</v>
      </c>
      <c r="B984" s="135" t="s">
        <v>107</v>
      </c>
      <c r="C984" s="134">
        <v>147</v>
      </c>
      <c r="D984" s="138" t="s">
        <v>86</v>
      </c>
      <c r="E984" s="138" t="s">
        <v>649</v>
      </c>
      <c r="F984" s="135" t="s">
        <v>620</v>
      </c>
      <c r="G984" s="274">
        <v>8</v>
      </c>
      <c r="H984" s="261">
        <v>6481</v>
      </c>
      <c r="I984" s="261">
        <v>51852</v>
      </c>
      <c r="J984" s="261">
        <v>0</v>
      </c>
      <c r="K984" s="261">
        <f t="shared" si="30"/>
        <v>51852</v>
      </c>
      <c r="L984" s="261">
        <v>4148</v>
      </c>
      <c r="M984" s="261">
        <f t="shared" si="31"/>
        <v>56000</v>
      </c>
      <c r="N984" s="137">
        <v>3.3E-3</v>
      </c>
    </row>
    <row r="985" spans="1:14" ht="18" customHeight="1">
      <c r="A985" s="134">
        <v>13</v>
      </c>
      <c r="B985" s="135" t="s">
        <v>107</v>
      </c>
      <c r="C985" s="134">
        <v>46</v>
      </c>
      <c r="D985" s="138" t="s">
        <v>82</v>
      </c>
      <c r="E985" s="138" t="s">
        <v>650</v>
      </c>
      <c r="F985" s="135" t="s">
        <v>620</v>
      </c>
      <c r="G985" s="274">
        <v>1</v>
      </c>
      <c r="H985" s="261">
        <v>35648</v>
      </c>
      <c r="I985" s="261">
        <v>35648</v>
      </c>
      <c r="J985" s="261">
        <v>0</v>
      </c>
      <c r="K985" s="261">
        <f t="shared" si="30"/>
        <v>35648</v>
      </c>
      <c r="L985" s="261">
        <v>2852</v>
      </c>
      <c r="M985" s="261">
        <f t="shared" si="31"/>
        <v>38500</v>
      </c>
      <c r="N985" s="137">
        <v>2.3E-3</v>
      </c>
    </row>
    <row r="986" spans="1:14" ht="18" customHeight="1">
      <c r="A986" s="134">
        <v>13</v>
      </c>
      <c r="B986" s="135" t="s">
        <v>107</v>
      </c>
      <c r="C986" s="134">
        <v>72</v>
      </c>
      <c r="D986" s="138" t="s">
        <v>92</v>
      </c>
      <c r="E986" s="138" t="s">
        <v>651</v>
      </c>
      <c r="F986" s="135" t="s">
        <v>620</v>
      </c>
      <c r="G986" s="274">
        <v>19</v>
      </c>
      <c r="H986" s="261">
        <v>3704</v>
      </c>
      <c r="I986" s="261">
        <v>70370</v>
      </c>
      <c r="J986" s="261">
        <v>0</v>
      </c>
      <c r="K986" s="261">
        <f t="shared" si="30"/>
        <v>70370</v>
      </c>
      <c r="L986" s="261">
        <v>5630</v>
      </c>
      <c r="M986" s="261">
        <f t="shared" si="31"/>
        <v>76000</v>
      </c>
      <c r="N986" s="137">
        <v>4.5000000000000014E-3</v>
      </c>
    </row>
    <row r="987" spans="1:14" ht="18" customHeight="1">
      <c r="A987" s="134">
        <v>13</v>
      </c>
      <c r="B987" s="135" t="s">
        <v>107</v>
      </c>
      <c r="C987" s="134">
        <v>112</v>
      </c>
      <c r="D987" s="138" t="s">
        <v>82</v>
      </c>
      <c r="E987" s="138" t="s">
        <v>652</v>
      </c>
      <c r="F987" s="135" t="s">
        <v>620</v>
      </c>
      <c r="G987" s="274">
        <v>6</v>
      </c>
      <c r="H987" s="261">
        <v>41667</v>
      </c>
      <c r="I987" s="261">
        <v>250000</v>
      </c>
      <c r="J987" s="261">
        <v>0</v>
      </c>
      <c r="K987" s="261">
        <f t="shared" si="30"/>
        <v>250000</v>
      </c>
      <c r="L987" s="261">
        <v>20000</v>
      </c>
      <c r="M987" s="261">
        <f t="shared" si="31"/>
        <v>270000</v>
      </c>
      <c r="N987" s="137">
        <v>1.5900000000000001E-2</v>
      </c>
    </row>
    <row r="988" spans="1:14" ht="18" customHeight="1">
      <c r="A988" s="134">
        <v>13</v>
      </c>
      <c r="B988" s="135" t="s">
        <v>107</v>
      </c>
      <c r="C988" s="134">
        <v>227</v>
      </c>
      <c r="D988" s="138" t="s">
        <v>82</v>
      </c>
      <c r="E988" s="138" t="s">
        <v>704</v>
      </c>
      <c r="F988" s="135" t="s">
        <v>620</v>
      </c>
      <c r="G988" s="274">
        <v>11</v>
      </c>
      <c r="H988" s="261">
        <v>1389</v>
      </c>
      <c r="I988" s="261">
        <v>15278</v>
      </c>
      <c r="J988" s="261">
        <v>0</v>
      </c>
      <c r="K988" s="261">
        <f t="shared" si="30"/>
        <v>15278</v>
      </c>
      <c r="L988" s="261">
        <v>1222</v>
      </c>
      <c r="M988" s="261">
        <f t="shared" si="31"/>
        <v>16500</v>
      </c>
      <c r="N988" s="137">
        <v>1E-3</v>
      </c>
    </row>
    <row r="989" spans="1:14" ht="18" customHeight="1">
      <c r="A989" s="134">
        <v>13</v>
      </c>
      <c r="B989" s="135" t="s">
        <v>107</v>
      </c>
      <c r="C989" s="134">
        <v>119</v>
      </c>
      <c r="D989" s="138" t="s">
        <v>84</v>
      </c>
      <c r="E989" s="138" t="s">
        <v>109</v>
      </c>
      <c r="F989" s="135" t="s">
        <v>620</v>
      </c>
      <c r="G989" s="274">
        <v>31</v>
      </c>
      <c r="H989" s="261">
        <v>44444</v>
      </c>
      <c r="I989" s="261">
        <v>1377778</v>
      </c>
      <c r="J989" s="261">
        <v>0</v>
      </c>
      <c r="K989" s="261">
        <f t="shared" si="30"/>
        <v>1377778</v>
      </c>
      <c r="L989" s="261">
        <v>110222</v>
      </c>
      <c r="M989" s="261">
        <f t="shared" si="31"/>
        <v>1488000</v>
      </c>
      <c r="N989" s="137">
        <v>8.7400000000000005E-2</v>
      </c>
    </row>
    <row r="990" spans="1:14" ht="18" customHeight="1">
      <c r="A990" s="134">
        <v>13</v>
      </c>
      <c r="B990" s="135" t="s">
        <v>107</v>
      </c>
      <c r="C990" s="134">
        <v>21</v>
      </c>
      <c r="D990" s="138" t="s">
        <v>90</v>
      </c>
      <c r="E990" s="138" t="s">
        <v>737</v>
      </c>
      <c r="F990" s="135" t="s">
        <v>620</v>
      </c>
      <c r="G990" s="274">
        <v>3</v>
      </c>
      <c r="H990" s="261">
        <v>7407</v>
      </c>
      <c r="I990" s="261">
        <v>22222</v>
      </c>
      <c r="J990" s="261">
        <v>0</v>
      </c>
      <c r="K990" s="261">
        <f t="shared" si="30"/>
        <v>22222</v>
      </c>
      <c r="L990" s="261">
        <v>1778</v>
      </c>
      <c r="M990" s="261">
        <f t="shared" si="31"/>
        <v>24000</v>
      </c>
      <c r="N990" s="137">
        <v>1.4E-3</v>
      </c>
    </row>
    <row r="991" spans="1:14" ht="18" customHeight="1">
      <c r="A991" s="134">
        <v>13</v>
      </c>
      <c r="B991" s="135" t="s">
        <v>107</v>
      </c>
      <c r="C991" s="134">
        <v>19</v>
      </c>
      <c r="D991" s="138" t="s">
        <v>82</v>
      </c>
      <c r="E991" s="138" t="s">
        <v>654</v>
      </c>
      <c r="F991" s="135" t="s">
        <v>620</v>
      </c>
      <c r="G991" s="274">
        <v>3</v>
      </c>
      <c r="H991" s="261">
        <v>9259</v>
      </c>
      <c r="I991" s="261">
        <v>27778</v>
      </c>
      <c r="J991" s="261">
        <v>0</v>
      </c>
      <c r="K991" s="261">
        <f t="shared" si="30"/>
        <v>27778</v>
      </c>
      <c r="L991" s="261">
        <v>2222</v>
      </c>
      <c r="M991" s="261">
        <f t="shared" si="31"/>
        <v>30000</v>
      </c>
      <c r="N991" s="137">
        <v>1.8E-3</v>
      </c>
    </row>
    <row r="992" spans="1:14" ht="18" customHeight="1">
      <c r="A992" s="134">
        <v>13</v>
      </c>
      <c r="B992" s="135" t="s">
        <v>107</v>
      </c>
      <c r="C992" s="134">
        <v>20</v>
      </c>
      <c r="D992" s="138" t="s">
        <v>82</v>
      </c>
      <c r="E992" s="138" t="s">
        <v>705</v>
      </c>
      <c r="F992" s="135" t="s">
        <v>620</v>
      </c>
      <c r="G992" s="274">
        <v>1</v>
      </c>
      <c r="H992" s="261">
        <v>6481</v>
      </c>
      <c r="I992" s="261">
        <v>6481</v>
      </c>
      <c r="J992" s="261">
        <v>0</v>
      </c>
      <c r="K992" s="261">
        <f t="shared" si="30"/>
        <v>6481</v>
      </c>
      <c r="L992" s="261">
        <v>519</v>
      </c>
      <c r="M992" s="261">
        <f t="shared" si="31"/>
        <v>7000</v>
      </c>
      <c r="N992" s="137">
        <v>4.0000000000000002E-4</v>
      </c>
    </row>
    <row r="993" spans="1:14" ht="18" customHeight="1">
      <c r="A993" s="134">
        <v>13</v>
      </c>
      <c r="B993" s="135" t="s">
        <v>107</v>
      </c>
      <c r="C993" s="134">
        <v>48</v>
      </c>
      <c r="D993" s="138" t="s">
        <v>82</v>
      </c>
      <c r="E993" s="138" t="s">
        <v>725</v>
      </c>
      <c r="F993" s="135" t="s">
        <v>620</v>
      </c>
      <c r="G993" s="274">
        <v>1</v>
      </c>
      <c r="H993" s="261">
        <v>129630</v>
      </c>
      <c r="I993" s="261">
        <v>129630</v>
      </c>
      <c r="J993" s="261">
        <v>0</v>
      </c>
      <c r="K993" s="261">
        <f t="shared" si="30"/>
        <v>129630</v>
      </c>
      <c r="L993" s="261">
        <v>10370</v>
      </c>
      <c r="M993" s="261">
        <f t="shared" si="31"/>
        <v>140000</v>
      </c>
      <c r="N993" s="137">
        <v>8.199999999999999E-3</v>
      </c>
    </row>
    <row r="994" spans="1:14" ht="18" customHeight="1">
      <c r="A994" s="134">
        <v>13</v>
      </c>
      <c r="B994" s="135" t="s">
        <v>107</v>
      </c>
      <c r="C994" s="134">
        <v>47</v>
      </c>
      <c r="D994" s="138" t="s">
        <v>82</v>
      </c>
      <c r="E994" s="138" t="s">
        <v>726</v>
      </c>
      <c r="F994" s="135" t="s">
        <v>620</v>
      </c>
      <c r="G994" s="274">
        <v>1</v>
      </c>
      <c r="H994" s="261">
        <v>64815</v>
      </c>
      <c r="I994" s="261">
        <v>64815</v>
      </c>
      <c r="J994" s="261">
        <v>0</v>
      </c>
      <c r="K994" s="261">
        <f t="shared" si="30"/>
        <v>64815</v>
      </c>
      <c r="L994" s="261">
        <v>5185</v>
      </c>
      <c r="M994" s="261">
        <f t="shared" si="31"/>
        <v>70000</v>
      </c>
      <c r="N994" s="137">
        <v>4.0999999999999986E-3</v>
      </c>
    </row>
    <row r="995" spans="1:14" ht="18" customHeight="1">
      <c r="A995" s="134">
        <v>13</v>
      </c>
      <c r="B995" s="135" t="s">
        <v>107</v>
      </c>
      <c r="C995" s="134">
        <v>77</v>
      </c>
      <c r="D995" s="138" t="s">
        <v>82</v>
      </c>
      <c r="E995" s="138" t="s">
        <v>655</v>
      </c>
      <c r="F995" s="135" t="s">
        <v>620</v>
      </c>
      <c r="G995" s="274">
        <v>2</v>
      </c>
      <c r="H995" s="261">
        <v>2778</v>
      </c>
      <c r="I995" s="261">
        <v>5556</v>
      </c>
      <c r="J995" s="261">
        <v>0</v>
      </c>
      <c r="K995" s="261">
        <f t="shared" si="30"/>
        <v>5556</v>
      </c>
      <c r="L995" s="261">
        <v>444</v>
      </c>
      <c r="M995" s="261">
        <f t="shared" si="31"/>
        <v>6000</v>
      </c>
      <c r="N995" s="137">
        <v>4.0000000000000002E-4</v>
      </c>
    </row>
    <row r="996" spans="1:14" ht="18" customHeight="1">
      <c r="A996" s="134">
        <v>13</v>
      </c>
      <c r="B996" s="135" t="s">
        <v>107</v>
      </c>
      <c r="C996" s="134">
        <v>111</v>
      </c>
      <c r="D996" s="138" t="s">
        <v>82</v>
      </c>
      <c r="E996" s="138" t="s">
        <v>727</v>
      </c>
      <c r="F996" s="135" t="s">
        <v>620</v>
      </c>
      <c r="G996" s="274">
        <v>0</v>
      </c>
      <c r="H996" s="261">
        <v>0</v>
      </c>
      <c r="I996" s="261">
        <v>0</v>
      </c>
      <c r="J996" s="261">
        <v>0</v>
      </c>
      <c r="K996" s="261">
        <f t="shared" si="30"/>
        <v>0</v>
      </c>
      <c r="L996" s="261">
        <v>0</v>
      </c>
      <c r="M996" s="261">
        <f t="shared" si="31"/>
        <v>0</v>
      </c>
      <c r="N996" s="137">
        <v>0</v>
      </c>
    </row>
    <row r="997" spans="1:14" ht="18" customHeight="1">
      <c r="A997" s="134">
        <v>13</v>
      </c>
      <c r="B997" s="135" t="s">
        <v>107</v>
      </c>
      <c r="C997" s="134">
        <v>81</v>
      </c>
      <c r="D997" s="138" t="s">
        <v>90</v>
      </c>
      <c r="E997" s="138" t="s">
        <v>657</v>
      </c>
      <c r="F997" s="135" t="s">
        <v>620</v>
      </c>
      <c r="G997" s="274">
        <v>1</v>
      </c>
      <c r="H997" s="261">
        <v>1389</v>
      </c>
      <c r="I997" s="261">
        <v>1389</v>
      </c>
      <c r="J997" s="261">
        <v>0</v>
      </c>
      <c r="K997" s="261">
        <f t="shared" si="30"/>
        <v>1389</v>
      </c>
      <c r="L997" s="261">
        <v>111</v>
      </c>
      <c r="M997" s="261">
        <f t="shared" si="31"/>
        <v>1500</v>
      </c>
      <c r="N997" s="137">
        <v>1E-4</v>
      </c>
    </row>
    <row r="998" spans="1:14" ht="18" customHeight="1">
      <c r="A998" s="134">
        <v>13</v>
      </c>
      <c r="B998" s="135" t="s">
        <v>107</v>
      </c>
      <c r="C998" s="134">
        <v>86</v>
      </c>
      <c r="D998" s="138" t="s">
        <v>90</v>
      </c>
      <c r="E998" s="138" t="s">
        <v>658</v>
      </c>
      <c r="F998" s="135" t="s">
        <v>620</v>
      </c>
      <c r="G998" s="274">
        <v>5</v>
      </c>
      <c r="H998" s="261">
        <v>3241</v>
      </c>
      <c r="I998" s="261">
        <v>16204</v>
      </c>
      <c r="J998" s="261">
        <v>0</v>
      </c>
      <c r="K998" s="261">
        <f t="shared" si="30"/>
        <v>16204</v>
      </c>
      <c r="L998" s="261">
        <v>1296</v>
      </c>
      <c r="M998" s="261">
        <f t="shared" si="31"/>
        <v>17500</v>
      </c>
      <c r="N998" s="137">
        <v>1E-3</v>
      </c>
    </row>
    <row r="999" spans="1:14" ht="18" customHeight="1">
      <c r="A999" s="134">
        <v>13</v>
      </c>
      <c r="B999" s="135" t="s">
        <v>107</v>
      </c>
      <c r="C999" s="134">
        <v>91</v>
      </c>
      <c r="D999" s="138" t="s">
        <v>90</v>
      </c>
      <c r="E999" s="138" t="s">
        <v>728</v>
      </c>
      <c r="F999" s="135" t="s">
        <v>620</v>
      </c>
      <c r="G999" s="274">
        <v>1</v>
      </c>
      <c r="H999" s="261">
        <v>11111</v>
      </c>
      <c r="I999" s="261">
        <v>11111</v>
      </c>
      <c r="J999" s="261">
        <v>0</v>
      </c>
      <c r="K999" s="261">
        <f t="shared" si="30"/>
        <v>11111</v>
      </c>
      <c r="L999" s="261">
        <v>889</v>
      </c>
      <c r="M999" s="261">
        <f t="shared" si="31"/>
        <v>12000</v>
      </c>
      <c r="N999" s="137">
        <v>7.000000000000001E-4</v>
      </c>
    </row>
    <row r="1000" spans="1:14" ht="18" customHeight="1">
      <c r="A1000" s="134">
        <v>13</v>
      </c>
      <c r="B1000" s="135" t="s">
        <v>107</v>
      </c>
      <c r="C1000" s="134">
        <v>63</v>
      </c>
      <c r="D1000" s="138" t="s">
        <v>90</v>
      </c>
      <c r="E1000" s="138" t="s">
        <v>717</v>
      </c>
      <c r="F1000" s="135" t="s">
        <v>620</v>
      </c>
      <c r="G1000" s="274">
        <v>1</v>
      </c>
      <c r="H1000" s="261">
        <v>3704</v>
      </c>
      <c r="I1000" s="261">
        <v>3704</v>
      </c>
      <c r="J1000" s="261">
        <v>0</v>
      </c>
      <c r="K1000" s="261">
        <f t="shared" si="30"/>
        <v>3704</v>
      </c>
      <c r="L1000" s="261">
        <v>296</v>
      </c>
      <c r="M1000" s="261">
        <f t="shared" si="31"/>
        <v>4000</v>
      </c>
      <c r="N1000" s="137">
        <v>2.0000000000000001E-4</v>
      </c>
    </row>
    <row r="1001" spans="1:14" ht="18" customHeight="1">
      <c r="A1001" s="134">
        <v>13</v>
      </c>
      <c r="B1001" s="135" t="s">
        <v>107</v>
      </c>
      <c r="C1001" s="134">
        <v>79</v>
      </c>
      <c r="D1001" s="138" t="s">
        <v>90</v>
      </c>
      <c r="E1001" s="138" t="s">
        <v>661</v>
      </c>
      <c r="F1001" s="135" t="s">
        <v>620</v>
      </c>
      <c r="G1001" s="274">
        <v>6</v>
      </c>
      <c r="H1001" s="261">
        <v>6481</v>
      </c>
      <c r="I1001" s="261">
        <v>38889</v>
      </c>
      <c r="J1001" s="261">
        <v>0</v>
      </c>
      <c r="K1001" s="261">
        <f t="shared" si="30"/>
        <v>38889</v>
      </c>
      <c r="L1001" s="261">
        <v>3111</v>
      </c>
      <c r="M1001" s="261">
        <f t="shared" si="31"/>
        <v>42000</v>
      </c>
      <c r="N1001" s="137">
        <v>2.5000000000000001E-3</v>
      </c>
    </row>
    <row r="1002" spans="1:14" ht="18" customHeight="1">
      <c r="A1002" s="134">
        <v>13</v>
      </c>
      <c r="B1002" s="135" t="s">
        <v>107</v>
      </c>
      <c r="C1002" s="134">
        <v>62</v>
      </c>
      <c r="D1002" s="138" t="s">
        <v>90</v>
      </c>
      <c r="E1002" s="138" t="s">
        <v>662</v>
      </c>
      <c r="F1002" s="135" t="s">
        <v>620</v>
      </c>
      <c r="G1002" s="274">
        <v>3</v>
      </c>
      <c r="H1002" s="261">
        <v>6944</v>
      </c>
      <c r="I1002" s="261">
        <v>20833</v>
      </c>
      <c r="J1002" s="261">
        <v>0</v>
      </c>
      <c r="K1002" s="261">
        <f t="shared" si="30"/>
        <v>20833</v>
      </c>
      <c r="L1002" s="261">
        <v>1667</v>
      </c>
      <c r="M1002" s="261">
        <f t="shared" si="31"/>
        <v>22500</v>
      </c>
      <c r="N1002" s="137">
        <v>1.2999999999999999E-3</v>
      </c>
    </row>
    <row r="1003" spans="1:14" ht="18" customHeight="1">
      <c r="A1003" s="134">
        <v>13</v>
      </c>
      <c r="B1003" s="135" t="s">
        <v>107</v>
      </c>
      <c r="C1003" s="134">
        <v>219</v>
      </c>
      <c r="D1003" s="138" t="s">
        <v>82</v>
      </c>
      <c r="E1003" s="138" t="s">
        <v>148</v>
      </c>
      <c r="F1003" s="135" t="s">
        <v>620</v>
      </c>
      <c r="G1003" s="274">
        <v>6</v>
      </c>
      <c r="H1003" s="261">
        <v>69444</v>
      </c>
      <c r="I1003" s="261">
        <v>416667</v>
      </c>
      <c r="J1003" s="261">
        <v>0</v>
      </c>
      <c r="K1003" s="261">
        <f t="shared" si="30"/>
        <v>416667</v>
      </c>
      <c r="L1003" s="261">
        <v>33333</v>
      </c>
      <c r="M1003" s="261">
        <f t="shared" si="31"/>
        <v>450000</v>
      </c>
      <c r="N1003" s="137">
        <v>2.64E-2</v>
      </c>
    </row>
    <row r="1004" spans="1:14" ht="18" customHeight="1">
      <c r="A1004" s="134">
        <v>13</v>
      </c>
      <c r="B1004" s="135" t="s">
        <v>107</v>
      </c>
      <c r="C1004" s="134">
        <v>220</v>
      </c>
      <c r="D1004" s="138" t="s">
        <v>82</v>
      </c>
      <c r="E1004" s="138" t="s">
        <v>730</v>
      </c>
      <c r="F1004" s="135" t="s">
        <v>620</v>
      </c>
      <c r="G1004" s="274">
        <v>3</v>
      </c>
      <c r="H1004" s="261">
        <v>69444</v>
      </c>
      <c r="I1004" s="261">
        <v>208333</v>
      </c>
      <c r="J1004" s="261">
        <v>0</v>
      </c>
      <c r="K1004" s="261">
        <f t="shared" si="30"/>
        <v>208333</v>
      </c>
      <c r="L1004" s="261">
        <v>16667</v>
      </c>
      <c r="M1004" s="261">
        <f t="shared" si="31"/>
        <v>225000</v>
      </c>
      <c r="N1004" s="137">
        <v>1.32E-2</v>
      </c>
    </row>
    <row r="1005" spans="1:14" ht="18" customHeight="1">
      <c r="A1005" s="134">
        <v>13</v>
      </c>
      <c r="B1005" s="135" t="s">
        <v>107</v>
      </c>
      <c r="C1005" s="134">
        <v>140</v>
      </c>
      <c r="D1005" s="138" t="s">
        <v>82</v>
      </c>
      <c r="E1005" s="138" t="s">
        <v>665</v>
      </c>
      <c r="F1005" s="135" t="s">
        <v>620</v>
      </c>
      <c r="G1005" s="274">
        <v>3</v>
      </c>
      <c r="H1005" s="261">
        <v>90741</v>
      </c>
      <c r="I1005" s="261">
        <v>272222</v>
      </c>
      <c r="J1005" s="261">
        <v>0</v>
      </c>
      <c r="K1005" s="261">
        <f t="shared" si="30"/>
        <v>272222</v>
      </c>
      <c r="L1005" s="261">
        <v>21778</v>
      </c>
      <c r="M1005" s="261">
        <f t="shared" si="31"/>
        <v>294000</v>
      </c>
      <c r="N1005" s="137">
        <v>1.7299999999999999E-2</v>
      </c>
    </row>
    <row r="1006" spans="1:14" ht="18" customHeight="1">
      <c r="A1006" s="134">
        <v>13</v>
      </c>
      <c r="B1006" s="135" t="s">
        <v>107</v>
      </c>
      <c r="C1006" s="134">
        <v>221</v>
      </c>
      <c r="D1006" s="138" t="s">
        <v>82</v>
      </c>
      <c r="E1006" s="138" t="s">
        <v>666</v>
      </c>
      <c r="F1006" s="135" t="s">
        <v>620</v>
      </c>
      <c r="G1006" s="274">
        <v>4</v>
      </c>
      <c r="H1006" s="261">
        <v>54167</v>
      </c>
      <c r="I1006" s="261">
        <v>216667</v>
      </c>
      <c r="J1006" s="261">
        <v>0</v>
      </c>
      <c r="K1006" s="261">
        <f t="shared" si="30"/>
        <v>216667</v>
      </c>
      <c r="L1006" s="261">
        <v>17333</v>
      </c>
      <c r="M1006" s="261">
        <f t="shared" si="31"/>
        <v>234000</v>
      </c>
      <c r="N1006" s="137">
        <v>1.37E-2</v>
      </c>
    </row>
    <row r="1007" spans="1:14" ht="18" customHeight="1">
      <c r="A1007" s="134">
        <v>13</v>
      </c>
      <c r="B1007" s="135" t="s">
        <v>107</v>
      </c>
      <c r="C1007" s="134">
        <v>224</v>
      </c>
      <c r="D1007" s="138" t="s">
        <v>82</v>
      </c>
      <c r="E1007" s="138" t="s">
        <v>707</v>
      </c>
      <c r="F1007" s="135" t="s">
        <v>620</v>
      </c>
      <c r="G1007" s="274">
        <v>3</v>
      </c>
      <c r="H1007" s="261">
        <v>62500</v>
      </c>
      <c r="I1007" s="261">
        <v>187500</v>
      </c>
      <c r="J1007" s="261">
        <v>0</v>
      </c>
      <c r="K1007" s="261">
        <f t="shared" si="30"/>
        <v>187500</v>
      </c>
      <c r="L1007" s="261">
        <v>15000</v>
      </c>
      <c r="M1007" s="261">
        <f t="shared" si="31"/>
        <v>202500</v>
      </c>
      <c r="N1007" s="137">
        <v>1.1900000000000001E-2</v>
      </c>
    </row>
    <row r="1008" spans="1:14" ht="18" customHeight="1">
      <c r="A1008" s="134">
        <v>13</v>
      </c>
      <c r="B1008" s="135" t="s">
        <v>107</v>
      </c>
      <c r="C1008" s="134">
        <v>225</v>
      </c>
      <c r="D1008" s="138" t="s">
        <v>82</v>
      </c>
      <c r="E1008" s="138" t="s">
        <v>731</v>
      </c>
      <c r="F1008" s="135" t="s">
        <v>620</v>
      </c>
      <c r="G1008" s="274">
        <v>1</v>
      </c>
      <c r="H1008" s="261">
        <v>62500</v>
      </c>
      <c r="I1008" s="261">
        <v>62500</v>
      </c>
      <c r="J1008" s="261">
        <v>0</v>
      </c>
      <c r="K1008" s="261">
        <f t="shared" si="30"/>
        <v>62500</v>
      </c>
      <c r="L1008" s="261">
        <v>5000</v>
      </c>
      <c r="M1008" s="261">
        <f t="shared" si="31"/>
        <v>67500</v>
      </c>
      <c r="N1008" s="137">
        <v>4.0000000000000001E-3</v>
      </c>
    </row>
    <row r="1009" spans="1:14" ht="18" customHeight="1">
      <c r="A1009" s="134">
        <v>13</v>
      </c>
      <c r="B1009" s="135" t="s">
        <v>107</v>
      </c>
      <c r="C1009" s="134">
        <v>226</v>
      </c>
      <c r="D1009" s="138" t="s">
        <v>82</v>
      </c>
      <c r="E1009" s="138" t="s">
        <v>718</v>
      </c>
      <c r="F1009" s="135" t="s">
        <v>620</v>
      </c>
      <c r="G1009" s="274">
        <v>1</v>
      </c>
      <c r="H1009" s="261">
        <v>90741</v>
      </c>
      <c r="I1009" s="261">
        <v>90741</v>
      </c>
      <c r="J1009" s="261">
        <v>0</v>
      </c>
      <c r="K1009" s="261">
        <f t="shared" si="30"/>
        <v>90741</v>
      </c>
      <c r="L1009" s="261">
        <v>7259</v>
      </c>
      <c r="M1009" s="261">
        <f t="shared" si="31"/>
        <v>98000</v>
      </c>
      <c r="N1009" s="137">
        <v>5.7999999999999996E-3</v>
      </c>
    </row>
    <row r="1010" spans="1:14" ht="18" customHeight="1">
      <c r="A1010" s="134">
        <v>13</v>
      </c>
      <c r="B1010" s="135" t="s">
        <v>107</v>
      </c>
      <c r="C1010" s="134">
        <v>222</v>
      </c>
      <c r="D1010" s="138" t="s">
        <v>88</v>
      </c>
      <c r="E1010" s="138" t="s">
        <v>667</v>
      </c>
      <c r="F1010" s="135" t="s">
        <v>620</v>
      </c>
      <c r="G1010" s="274">
        <v>3</v>
      </c>
      <c r="H1010" s="261">
        <v>63426</v>
      </c>
      <c r="I1010" s="261">
        <v>190278</v>
      </c>
      <c r="J1010" s="261">
        <v>0</v>
      </c>
      <c r="K1010" s="261">
        <f t="shared" si="30"/>
        <v>190278</v>
      </c>
      <c r="L1010" s="261">
        <v>15222</v>
      </c>
      <c r="M1010" s="261">
        <f t="shared" si="31"/>
        <v>205500</v>
      </c>
      <c r="N1010" s="137">
        <v>1.21E-2</v>
      </c>
    </row>
    <row r="1011" spans="1:14" ht="18" customHeight="1">
      <c r="A1011" s="134">
        <v>13</v>
      </c>
      <c r="B1011" s="135" t="s">
        <v>107</v>
      </c>
      <c r="C1011" s="134">
        <v>223</v>
      </c>
      <c r="D1011" s="138" t="s">
        <v>82</v>
      </c>
      <c r="E1011" s="138" t="s">
        <v>136</v>
      </c>
      <c r="F1011" s="135" t="s">
        <v>620</v>
      </c>
      <c r="G1011" s="274">
        <v>7</v>
      </c>
      <c r="H1011" s="261">
        <v>69444</v>
      </c>
      <c r="I1011" s="261">
        <v>486111</v>
      </c>
      <c r="J1011" s="261">
        <v>0</v>
      </c>
      <c r="K1011" s="261">
        <f t="shared" si="30"/>
        <v>486111</v>
      </c>
      <c r="L1011" s="261">
        <v>38889</v>
      </c>
      <c r="M1011" s="261">
        <f t="shared" si="31"/>
        <v>525000</v>
      </c>
      <c r="N1011" s="137">
        <v>3.0800000000000001E-2</v>
      </c>
    </row>
    <row r="1012" spans="1:14" ht="18" customHeight="1">
      <c r="A1012" s="134">
        <v>13</v>
      </c>
      <c r="B1012" s="135" t="s">
        <v>107</v>
      </c>
      <c r="C1012" s="134">
        <v>229</v>
      </c>
      <c r="D1012" s="138" t="s">
        <v>82</v>
      </c>
      <c r="E1012" s="138" t="s">
        <v>732</v>
      </c>
      <c r="F1012" s="135" t="s">
        <v>620</v>
      </c>
      <c r="G1012" s="274">
        <v>2</v>
      </c>
      <c r="H1012" s="261">
        <v>66204</v>
      </c>
      <c r="I1012" s="261">
        <v>132407</v>
      </c>
      <c r="J1012" s="261">
        <v>0</v>
      </c>
      <c r="K1012" s="261">
        <f t="shared" si="30"/>
        <v>132407</v>
      </c>
      <c r="L1012" s="261">
        <v>10593</v>
      </c>
      <c r="M1012" s="261">
        <f t="shared" si="31"/>
        <v>143000</v>
      </c>
      <c r="N1012" s="137">
        <v>8.3999999999999995E-3</v>
      </c>
    </row>
    <row r="1013" spans="1:14" ht="18" customHeight="1">
      <c r="A1013" s="134">
        <v>13</v>
      </c>
      <c r="B1013" s="135" t="s">
        <v>107</v>
      </c>
      <c r="C1013" s="134">
        <v>50</v>
      </c>
      <c r="D1013" s="138" t="s">
        <v>82</v>
      </c>
      <c r="E1013" s="138" t="s">
        <v>154</v>
      </c>
      <c r="F1013" s="135" t="s">
        <v>620</v>
      </c>
      <c r="G1013" s="274">
        <v>6</v>
      </c>
      <c r="H1013" s="261">
        <v>49074</v>
      </c>
      <c r="I1013" s="261">
        <v>294444</v>
      </c>
      <c r="J1013" s="261">
        <v>0</v>
      </c>
      <c r="K1013" s="261">
        <f t="shared" si="30"/>
        <v>294444</v>
      </c>
      <c r="L1013" s="261">
        <v>23556</v>
      </c>
      <c r="M1013" s="261">
        <f t="shared" si="31"/>
        <v>318000</v>
      </c>
      <c r="N1013" s="137">
        <v>1.8700000000000001E-2</v>
      </c>
    </row>
    <row r="1014" spans="1:14" ht="18" customHeight="1">
      <c r="A1014" s="134">
        <v>13</v>
      </c>
      <c r="B1014" s="135" t="s">
        <v>107</v>
      </c>
      <c r="C1014" s="134">
        <v>10</v>
      </c>
      <c r="D1014" s="138" t="s">
        <v>82</v>
      </c>
      <c r="E1014" s="138" t="s">
        <v>719</v>
      </c>
      <c r="F1014" s="135" t="s">
        <v>620</v>
      </c>
      <c r="G1014" s="274">
        <v>3</v>
      </c>
      <c r="H1014" s="261">
        <v>13889</v>
      </c>
      <c r="I1014" s="261">
        <v>41667</v>
      </c>
      <c r="J1014" s="261">
        <v>0</v>
      </c>
      <c r="K1014" s="261">
        <f t="shared" si="30"/>
        <v>41667</v>
      </c>
      <c r="L1014" s="261">
        <v>3333</v>
      </c>
      <c r="M1014" s="261">
        <f t="shared" si="31"/>
        <v>45000</v>
      </c>
      <c r="N1014" s="137">
        <v>2.5999999999999999E-3</v>
      </c>
    </row>
    <row r="1015" spans="1:14" ht="18" customHeight="1">
      <c r="A1015" s="134">
        <v>13</v>
      </c>
      <c r="B1015" s="135" t="s">
        <v>107</v>
      </c>
      <c r="C1015" s="134">
        <v>120</v>
      </c>
      <c r="D1015" s="138" t="s">
        <v>88</v>
      </c>
      <c r="E1015" s="138" t="s">
        <v>668</v>
      </c>
      <c r="F1015" s="135" t="s">
        <v>620</v>
      </c>
      <c r="G1015" s="274">
        <v>5</v>
      </c>
      <c r="H1015" s="261">
        <v>41667</v>
      </c>
      <c r="I1015" s="261">
        <v>208333</v>
      </c>
      <c r="J1015" s="261">
        <v>0</v>
      </c>
      <c r="K1015" s="261">
        <f t="shared" si="30"/>
        <v>208333</v>
      </c>
      <c r="L1015" s="261">
        <v>16667</v>
      </c>
      <c r="M1015" s="261">
        <f t="shared" si="31"/>
        <v>225000</v>
      </c>
      <c r="N1015" s="137">
        <v>1.32E-2</v>
      </c>
    </row>
    <row r="1016" spans="1:14" ht="18" customHeight="1">
      <c r="A1016" s="134">
        <v>13</v>
      </c>
      <c r="B1016" s="135" t="s">
        <v>107</v>
      </c>
      <c r="C1016" s="134">
        <v>129</v>
      </c>
      <c r="D1016" s="138" t="s">
        <v>88</v>
      </c>
      <c r="E1016" s="138" t="s">
        <v>669</v>
      </c>
      <c r="F1016" s="135" t="s">
        <v>620</v>
      </c>
      <c r="G1016" s="274">
        <v>7</v>
      </c>
      <c r="H1016" s="261">
        <v>44444</v>
      </c>
      <c r="I1016" s="261">
        <v>311111</v>
      </c>
      <c r="J1016" s="261">
        <v>0</v>
      </c>
      <c r="K1016" s="261">
        <f t="shared" si="30"/>
        <v>311111</v>
      </c>
      <c r="L1016" s="261">
        <v>24889</v>
      </c>
      <c r="M1016" s="261">
        <f t="shared" si="31"/>
        <v>336000</v>
      </c>
      <c r="N1016" s="137">
        <v>1.9699999999999999E-2</v>
      </c>
    </row>
    <row r="1017" spans="1:14" ht="18" customHeight="1">
      <c r="A1017" s="134">
        <v>13</v>
      </c>
      <c r="B1017" s="135" t="s">
        <v>107</v>
      </c>
      <c r="C1017" s="134">
        <v>116</v>
      </c>
      <c r="D1017" s="138" t="s">
        <v>84</v>
      </c>
      <c r="E1017" s="138" t="s">
        <v>733</v>
      </c>
      <c r="F1017" s="135" t="s">
        <v>620</v>
      </c>
      <c r="G1017" s="274">
        <v>42</v>
      </c>
      <c r="H1017" s="261">
        <v>5556</v>
      </c>
      <c r="I1017" s="261">
        <v>233333</v>
      </c>
      <c r="J1017" s="261">
        <v>0</v>
      </c>
      <c r="K1017" s="261">
        <f t="shared" si="30"/>
        <v>233333</v>
      </c>
      <c r="L1017" s="261">
        <v>18667</v>
      </c>
      <c r="M1017" s="261">
        <f t="shared" si="31"/>
        <v>252000</v>
      </c>
      <c r="N1017" s="137">
        <v>1.4800000000000001E-2</v>
      </c>
    </row>
    <row r="1018" spans="1:14" ht="18" customHeight="1">
      <c r="A1018" s="134">
        <v>13</v>
      </c>
      <c r="B1018" s="135" t="s">
        <v>107</v>
      </c>
      <c r="C1018" s="134">
        <v>117</v>
      </c>
      <c r="D1018" s="138" t="s">
        <v>82</v>
      </c>
      <c r="E1018" s="138" t="s">
        <v>115</v>
      </c>
      <c r="F1018" s="135" t="s">
        <v>620</v>
      </c>
      <c r="G1018" s="274">
        <v>24</v>
      </c>
      <c r="H1018" s="261">
        <v>41667</v>
      </c>
      <c r="I1018" s="261">
        <v>1000000</v>
      </c>
      <c r="J1018" s="261">
        <v>0</v>
      </c>
      <c r="K1018" s="261">
        <f t="shared" si="30"/>
        <v>1000000</v>
      </c>
      <c r="L1018" s="261">
        <v>80000</v>
      </c>
      <c r="M1018" s="261">
        <f t="shared" si="31"/>
        <v>1080000</v>
      </c>
      <c r="N1018" s="137">
        <v>6.3399999999999998E-2</v>
      </c>
    </row>
    <row r="1019" spans="1:14" ht="18" customHeight="1">
      <c r="A1019" s="134">
        <v>13</v>
      </c>
      <c r="B1019" s="135" t="s">
        <v>107</v>
      </c>
      <c r="C1019" s="134">
        <v>36</v>
      </c>
      <c r="D1019" s="138" t="s">
        <v>86</v>
      </c>
      <c r="E1019" s="138" t="s">
        <v>670</v>
      </c>
      <c r="F1019" s="135" t="s">
        <v>620</v>
      </c>
      <c r="G1019" s="274">
        <v>9</v>
      </c>
      <c r="H1019" s="261">
        <v>3704</v>
      </c>
      <c r="I1019" s="261">
        <v>33333</v>
      </c>
      <c r="J1019" s="261">
        <v>0</v>
      </c>
      <c r="K1019" s="261">
        <f t="shared" si="30"/>
        <v>33333</v>
      </c>
      <c r="L1019" s="261">
        <v>2667</v>
      </c>
      <c r="M1019" s="261">
        <f t="shared" si="31"/>
        <v>36000</v>
      </c>
      <c r="N1019" s="137">
        <v>2.0999999999999999E-3</v>
      </c>
    </row>
    <row r="1020" spans="1:14" ht="18" customHeight="1">
      <c r="A1020" s="134">
        <v>13</v>
      </c>
      <c r="B1020" s="135" t="s">
        <v>107</v>
      </c>
      <c r="C1020" s="134">
        <v>61</v>
      </c>
      <c r="D1020" s="138" t="s">
        <v>92</v>
      </c>
      <c r="E1020" s="138" t="s">
        <v>671</v>
      </c>
      <c r="F1020" s="135" t="s">
        <v>620</v>
      </c>
      <c r="G1020" s="274">
        <v>4</v>
      </c>
      <c r="H1020" s="261">
        <v>4630</v>
      </c>
      <c r="I1020" s="261">
        <v>18519</v>
      </c>
      <c r="J1020" s="261">
        <v>0</v>
      </c>
      <c r="K1020" s="261">
        <f t="shared" si="30"/>
        <v>18519</v>
      </c>
      <c r="L1020" s="261">
        <v>1481</v>
      </c>
      <c r="M1020" s="261">
        <f t="shared" si="31"/>
        <v>20000</v>
      </c>
      <c r="N1020" s="137">
        <v>1.1999999999999999E-3</v>
      </c>
    </row>
    <row r="1021" spans="1:14" ht="18" customHeight="1">
      <c r="A1021" s="134">
        <v>13</v>
      </c>
      <c r="B1021" s="135" t="s">
        <v>107</v>
      </c>
      <c r="C1021" s="134">
        <v>215</v>
      </c>
      <c r="D1021" s="138" t="s">
        <v>82</v>
      </c>
      <c r="E1021" s="138" t="s">
        <v>127</v>
      </c>
      <c r="F1021" s="135" t="s">
        <v>620</v>
      </c>
      <c r="G1021" s="274">
        <v>25</v>
      </c>
      <c r="H1021" s="261">
        <v>37500</v>
      </c>
      <c r="I1021" s="261">
        <v>937500</v>
      </c>
      <c r="J1021" s="261">
        <v>0</v>
      </c>
      <c r="K1021" s="261">
        <f t="shared" si="30"/>
        <v>937500</v>
      </c>
      <c r="L1021" s="261">
        <v>75000</v>
      </c>
      <c r="M1021" s="261">
        <f t="shared" si="31"/>
        <v>1012500</v>
      </c>
      <c r="N1021" s="137">
        <v>5.9400000000000001E-2</v>
      </c>
    </row>
    <row r="1022" spans="1:14" ht="18" customHeight="1">
      <c r="A1022" s="134">
        <v>13</v>
      </c>
      <c r="B1022" s="135" t="s">
        <v>107</v>
      </c>
      <c r="C1022" s="134">
        <v>214</v>
      </c>
      <c r="D1022" s="138" t="s">
        <v>82</v>
      </c>
      <c r="E1022" s="138" t="s">
        <v>693</v>
      </c>
      <c r="F1022" s="135" t="s">
        <v>620</v>
      </c>
      <c r="G1022" s="274">
        <v>7</v>
      </c>
      <c r="H1022" s="261">
        <v>37500</v>
      </c>
      <c r="I1022" s="261">
        <v>262500</v>
      </c>
      <c r="J1022" s="261">
        <v>0</v>
      </c>
      <c r="K1022" s="261">
        <f t="shared" si="30"/>
        <v>262500</v>
      </c>
      <c r="L1022" s="261">
        <v>21000</v>
      </c>
      <c r="M1022" s="261">
        <f t="shared" si="31"/>
        <v>283500</v>
      </c>
      <c r="N1022" s="137">
        <v>1.66E-2</v>
      </c>
    </row>
    <row r="1023" spans="1:14" ht="18" customHeight="1">
      <c r="A1023" s="134">
        <v>13</v>
      </c>
      <c r="B1023" s="135" t="s">
        <v>107</v>
      </c>
      <c r="C1023" s="134">
        <v>113</v>
      </c>
      <c r="D1023" s="138" t="s">
        <v>84</v>
      </c>
      <c r="E1023" s="138" t="s">
        <v>130</v>
      </c>
      <c r="F1023" s="135" t="s">
        <v>620</v>
      </c>
      <c r="G1023" s="274">
        <v>32</v>
      </c>
      <c r="H1023" s="261">
        <v>22222</v>
      </c>
      <c r="I1023" s="261">
        <v>711111</v>
      </c>
      <c r="J1023" s="261">
        <v>0</v>
      </c>
      <c r="K1023" s="261">
        <f t="shared" si="30"/>
        <v>711111</v>
      </c>
      <c r="L1023" s="261">
        <v>56889</v>
      </c>
      <c r="M1023" s="261">
        <f t="shared" si="31"/>
        <v>768000</v>
      </c>
      <c r="N1023" s="137">
        <v>4.5100000000000001E-2</v>
      </c>
    </row>
    <row r="1024" spans="1:14" ht="18" customHeight="1">
      <c r="A1024" s="134">
        <v>13</v>
      </c>
      <c r="B1024" s="135" t="s">
        <v>107</v>
      </c>
      <c r="C1024" s="134">
        <v>256</v>
      </c>
      <c r="D1024" s="138" t="s">
        <v>84</v>
      </c>
      <c r="E1024" s="138" t="s">
        <v>751</v>
      </c>
      <c r="F1024" s="135" t="s">
        <v>620</v>
      </c>
      <c r="G1024" s="274">
        <v>1</v>
      </c>
      <c r="H1024" s="261">
        <v>18519</v>
      </c>
      <c r="I1024" s="261">
        <v>18519</v>
      </c>
      <c r="J1024" s="261">
        <v>0</v>
      </c>
      <c r="K1024" s="261">
        <f t="shared" si="30"/>
        <v>18519</v>
      </c>
      <c r="L1024" s="261">
        <v>1481</v>
      </c>
      <c r="M1024" s="261">
        <f t="shared" si="31"/>
        <v>20000</v>
      </c>
      <c r="N1024" s="137">
        <v>1.1999999999999999E-3</v>
      </c>
    </row>
    <row r="1025" spans="1:14" ht="18" customHeight="1">
      <c r="A1025" s="134">
        <v>13</v>
      </c>
      <c r="B1025" s="135" t="s">
        <v>107</v>
      </c>
      <c r="C1025" s="134">
        <v>315</v>
      </c>
      <c r="D1025" s="138" t="s">
        <v>82</v>
      </c>
      <c r="E1025" s="138" t="s">
        <v>694</v>
      </c>
      <c r="F1025" s="135" t="s">
        <v>620</v>
      </c>
      <c r="G1025" s="274">
        <v>1</v>
      </c>
      <c r="H1025" s="261">
        <v>1852</v>
      </c>
      <c r="I1025" s="261">
        <v>1852</v>
      </c>
      <c r="J1025" s="261">
        <v>0</v>
      </c>
      <c r="K1025" s="261">
        <f t="shared" si="30"/>
        <v>1852</v>
      </c>
      <c r="L1025" s="261">
        <v>148</v>
      </c>
      <c r="M1025" s="261">
        <f t="shared" si="31"/>
        <v>2000</v>
      </c>
      <c r="N1025" s="137">
        <v>1E-4</v>
      </c>
    </row>
    <row r="1026" spans="1:14" ht="18" customHeight="1">
      <c r="A1026" s="134">
        <v>13</v>
      </c>
      <c r="B1026" s="135" t="s">
        <v>107</v>
      </c>
      <c r="C1026" s="134">
        <v>96</v>
      </c>
      <c r="D1026" s="138" t="s">
        <v>88</v>
      </c>
      <c r="E1026" s="138" t="s">
        <v>695</v>
      </c>
      <c r="F1026" s="135" t="s">
        <v>620</v>
      </c>
      <c r="G1026" s="274">
        <v>6</v>
      </c>
      <c r="H1026" s="261">
        <v>35648</v>
      </c>
      <c r="I1026" s="261">
        <v>213889</v>
      </c>
      <c r="J1026" s="261">
        <v>0</v>
      </c>
      <c r="K1026" s="261">
        <f t="shared" ref="K1026:K1089" si="32">I1026-J1026</f>
        <v>213889</v>
      </c>
      <c r="L1026" s="261">
        <v>17111</v>
      </c>
      <c r="M1026" s="261">
        <f t="shared" ref="M1026:M1089" si="33">K1026+L1026</f>
        <v>231000</v>
      </c>
      <c r="N1026" s="137">
        <v>1.3599999999999999E-2</v>
      </c>
    </row>
    <row r="1027" spans="1:14" ht="18" customHeight="1">
      <c r="A1027" s="134">
        <v>13</v>
      </c>
      <c r="B1027" s="135" t="s">
        <v>107</v>
      </c>
      <c r="C1027" s="134">
        <v>68</v>
      </c>
      <c r="D1027" s="138" t="s">
        <v>88</v>
      </c>
      <c r="E1027" s="138" t="s">
        <v>672</v>
      </c>
      <c r="F1027" s="135" t="s">
        <v>620</v>
      </c>
      <c r="G1027" s="274">
        <v>1</v>
      </c>
      <c r="H1027" s="261">
        <v>41667</v>
      </c>
      <c r="I1027" s="261">
        <v>41667</v>
      </c>
      <c r="J1027" s="261">
        <v>0</v>
      </c>
      <c r="K1027" s="261">
        <f t="shared" si="32"/>
        <v>41667</v>
      </c>
      <c r="L1027" s="261">
        <v>3333</v>
      </c>
      <c r="M1027" s="261">
        <f t="shared" si="33"/>
        <v>45000</v>
      </c>
      <c r="N1027" s="137">
        <v>2.5999999999999999E-3</v>
      </c>
    </row>
    <row r="1028" spans="1:14" ht="18" customHeight="1">
      <c r="A1028" s="134">
        <v>13</v>
      </c>
      <c r="B1028" s="135" t="s">
        <v>107</v>
      </c>
      <c r="C1028" s="134">
        <v>33</v>
      </c>
      <c r="D1028" s="138" t="s">
        <v>86</v>
      </c>
      <c r="E1028" s="138" t="s">
        <v>673</v>
      </c>
      <c r="F1028" s="135" t="s">
        <v>620</v>
      </c>
      <c r="G1028" s="274">
        <v>6</v>
      </c>
      <c r="H1028" s="261">
        <v>1852</v>
      </c>
      <c r="I1028" s="261">
        <v>11111</v>
      </c>
      <c r="J1028" s="261">
        <v>0</v>
      </c>
      <c r="K1028" s="261">
        <f t="shared" si="32"/>
        <v>11111</v>
      </c>
      <c r="L1028" s="261">
        <v>889</v>
      </c>
      <c r="M1028" s="261">
        <f t="shared" si="33"/>
        <v>12000</v>
      </c>
      <c r="N1028" s="137">
        <v>7.000000000000001E-4</v>
      </c>
    </row>
    <row r="1029" spans="1:14" ht="18" customHeight="1">
      <c r="A1029" s="134">
        <v>13</v>
      </c>
      <c r="B1029" s="135" t="s">
        <v>107</v>
      </c>
      <c r="C1029" s="134">
        <v>255</v>
      </c>
      <c r="D1029" s="138" t="s">
        <v>88</v>
      </c>
      <c r="E1029" s="138" t="s">
        <v>696</v>
      </c>
      <c r="F1029" s="135" t="s">
        <v>620</v>
      </c>
      <c r="G1029" s="274">
        <v>6</v>
      </c>
      <c r="H1029" s="261">
        <v>35648</v>
      </c>
      <c r="I1029" s="261">
        <v>213889</v>
      </c>
      <c r="J1029" s="261">
        <v>0</v>
      </c>
      <c r="K1029" s="261">
        <f t="shared" si="32"/>
        <v>213889</v>
      </c>
      <c r="L1029" s="261">
        <v>17111</v>
      </c>
      <c r="M1029" s="261">
        <f t="shared" si="33"/>
        <v>231000</v>
      </c>
      <c r="N1029" s="137">
        <v>1.3599999999999999E-2</v>
      </c>
    </row>
    <row r="1030" spans="1:14" ht="18" customHeight="1">
      <c r="A1030" s="134">
        <v>13</v>
      </c>
      <c r="B1030" s="135" t="s">
        <v>107</v>
      </c>
      <c r="C1030" s="134">
        <v>67</v>
      </c>
      <c r="D1030" s="138" t="s">
        <v>88</v>
      </c>
      <c r="E1030" s="138" t="s">
        <v>674</v>
      </c>
      <c r="F1030" s="135" t="s">
        <v>620</v>
      </c>
      <c r="G1030" s="274">
        <v>3</v>
      </c>
      <c r="H1030" s="261">
        <v>41667</v>
      </c>
      <c r="I1030" s="261">
        <v>125000</v>
      </c>
      <c r="J1030" s="261">
        <v>0</v>
      </c>
      <c r="K1030" s="261">
        <f t="shared" si="32"/>
        <v>125000</v>
      </c>
      <c r="L1030" s="261">
        <v>10000</v>
      </c>
      <c r="M1030" s="261">
        <f t="shared" si="33"/>
        <v>135000</v>
      </c>
      <c r="N1030" s="137">
        <v>7.9000000000000008E-3</v>
      </c>
    </row>
    <row r="1031" spans="1:14" ht="18" customHeight="1">
      <c r="A1031" s="134">
        <v>14</v>
      </c>
      <c r="B1031" s="135" t="s">
        <v>110</v>
      </c>
      <c r="C1031" s="134">
        <v>319</v>
      </c>
      <c r="D1031" s="138" t="s">
        <v>86</v>
      </c>
      <c r="E1031" s="138" t="s">
        <v>752</v>
      </c>
      <c r="F1031" s="135" t="s">
        <v>620</v>
      </c>
      <c r="G1031" s="274">
        <v>1</v>
      </c>
      <c r="H1031" s="261">
        <v>3519</v>
      </c>
      <c r="I1031" s="261">
        <v>3519</v>
      </c>
      <c r="J1031" s="261">
        <v>0</v>
      </c>
      <c r="K1031" s="261">
        <f t="shared" si="32"/>
        <v>3519</v>
      </c>
      <c r="L1031" s="261">
        <v>281</v>
      </c>
      <c r="M1031" s="261">
        <f t="shared" si="33"/>
        <v>3800</v>
      </c>
      <c r="N1031" s="137">
        <v>8.0000000000000004E-4</v>
      </c>
    </row>
    <row r="1032" spans="1:14" ht="18" customHeight="1">
      <c r="A1032" s="134">
        <v>14</v>
      </c>
      <c r="B1032" s="135" t="s">
        <v>110</v>
      </c>
      <c r="C1032" s="134">
        <v>73</v>
      </c>
      <c r="D1032" s="138" t="s">
        <v>86</v>
      </c>
      <c r="E1032" s="138" t="s">
        <v>619</v>
      </c>
      <c r="F1032" s="135" t="s">
        <v>620</v>
      </c>
      <c r="G1032" s="274">
        <v>13</v>
      </c>
      <c r="H1032" s="261">
        <v>2593</v>
      </c>
      <c r="I1032" s="261">
        <v>33704</v>
      </c>
      <c r="J1032" s="261">
        <v>0</v>
      </c>
      <c r="K1032" s="261">
        <f t="shared" si="32"/>
        <v>33704</v>
      </c>
      <c r="L1032" s="261">
        <v>2696</v>
      </c>
      <c r="M1032" s="261">
        <f t="shared" si="33"/>
        <v>36400</v>
      </c>
      <c r="N1032" s="137">
        <v>7.8000000000000014E-3</v>
      </c>
    </row>
    <row r="1033" spans="1:14" ht="18" customHeight="1">
      <c r="A1033" s="134">
        <v>14</v>
      </c>
      <c r="B1033" s="135" t="s">
        <v>110</v>
      </c>
      <c r="C1033" s="134">
        <v>65</v>
      </c>
      <c r="D1033" s="138" t="s">
        <v>86</v>
      </c>
      <c r="E1033" s="138" t="s">
        <v>621</v>
      </c>
      <c r="F1033" s="135" t="s">
        <v>620</v>
      </c>
      <c r="G1033" s="274">
        <v>3</v>
      </c>
      <c r="H1033" s="261">
        <v>2778</v>
      </c>
      <c r="I1033" s="261">
        <v>8333</v>
      </c>
      <c r="J1033" s="261">
        <v>0</v>
      </c>
      <c r="K1033" s="261">
        <f t="shared" si="32"/>
        <v>8333</v>
      </c>
      <c r="L1033" s="261">
        <v>667</v>
      </c>
      <c r="M1033" s="261">
        <f t="shared" si="33"/>
        <v>9000</v>
      </c>
      <c r="N1033" s="137">
        <v>1.9E-3</v>
      </c>
    </row>
    <row r="1034" spans="1:14" ht="18" customHeight="1">
      <c r="A1034" s="134">
        <v>14</v>
      </c>
      <c r="B1034" s="135" t="s">
        <v>110</v>
      </c>
      <c r="C1034" s="134">
        <v>12</v>
      </c>
      <c r="D1034" s="138" t="s">
        <v>88</v>
      </c>
      <c r="E1034" s="138" t="s">
        <v>623</v>
      </c>
      <c r="F1034" s="135" t="s">
        <v>620</v>
      </c>
      <c r="G1034" s="274">
        <v>1</v>
      </c>
      <c r="H1034" s="261">
        <v>41667</v>
      </c>
      <c r="I1034" s="261">
        <v>41667</v>
      </c>
      <c r="J1034" s="261">
        <v>0</v>
      </c>
      <c r="K1034" s="261">
        <f t="shared" si="32"/>
        <v>41667</v>
      </c>
      <c r="L1034" s="261">
        <v>3333</v>
      </c>
      <c r="M1034" s="261">
        <f t="shared" si="33"/>
        <v>45000</v>
      </c>
      <c r="N1034" s="137">
        <v>9.5999999999999992E-3</v>
      </c>
    </row>
    <row r="1035" spans="1:14" ht="18" customHeight="1">
      <c r="A1035" s="134">
        <v>14</v>
      </c>
      <c r="B1035" s="135" t="s">
        <v>110</v>
      </c>
      <c r="C1035" s="134">
        <v>40</v>
      </c>
      <c r="D1035" s="138" t="s">
        <v>82</v>
      </c>
      <c r="E1035" s="138" t="s">
        <v>165</v>
      </c>
      <c r="F1035" s="135" t="s">
        <v>620</v>
      </c>
      <c r="G1035" s="274">
        <v>2</v>
      </c>
      <c r="H1035" s="261">
        <v>55093</v>
      </c>
      <c r="I1035" s="261">
        <v>110185</v>
      </c>
      <c r="J1035" s="261">
        <v>0</v>
      </c>
      <c r="K1035" s="261">
        <f t="shared" si="32"/>
        <v>110185</v>
      </c>
      <c r="L1035" s="261">
        <v>8815</v>
      </c>
      <c r="M1035" s="261">
        <f t="shared" si="33"/>
        <v>119000</v>
      </c>
      <c r="N1035" s="137">
        <v>2.5499999999999998E-2</v>
      </c>
    </row>
    <row r="1036" spans="1:14" ht="18" customHeight="1">
      <c r="A1036" s="134">
        <v>14</v>
      </c>
      <c r="B1036" s="135" t="s">
        <v>110</v>
      </c>
      <c r="C1036" s="134">
        <v>131</v>
      </c>
      <c r="D1036" s="138" t="s">
        <v>82</v>
      </c>
      <c r="E1036" s="138" t="s">
        <v>677</v>
      </c>
      <c r="F1036" s="135" t="s">
        <v>620</v>
      </c>
      <c r="G1036" s="274">
        <v>1</v>
      </c>
      <c r="H1036" s="261">
        <v>278</v>
      </c>
      <c r="I1036" s="261">
        <v>278</v>
      </c>
      <c r="J1036" s="261">
        <v>0</v>
      </c>
      <c r="K1036" s="261">
        <f t="shared" si="32"/>
        <v>278</v>
      </c>
      <c r="L1036" s="261">
        <v>22</v>
      </c>
      <c r="M1036" s="261">
        <f t="shared" si="33"/>
        <v>300</v>
      </c>
      <c r="N1036" s="137">
        <v>1E-4</v>
      </c>
    </row>
    <row r="1037" spans="1:14" ht="18" customHeight="1">
      <c r="A1037" s="134">
        <v>14</v>
      </c>
      <c r="B1037" s="135" t="s">
        <v>110</v>
      </c>
      <c r="C1037" s="134">
        <v>104</v>
      </c>
      <c r="D1037" s="138" t="s">
        <v>84</v>
      </c>
      <c r="E1037" s="138" t="s">
        <v>157</v>
      </c>
      <c r="F1037" s="135" t="s">
        <v>620</v>
      </c>
      <c r="G1037" s="274">
        <v>21</v>
      </c>
      <c r="H1037" s="261">
        <v>15939</v>
      </c>
      <c r="I1037" s="261">
        <v>334722</v>
      </c>
      <c r="J1037" s="261">
        <v>0</v>
      </c>
      <c r="K1037" s="261">
        <f t="shared" si="32"/>
        <v>334722</v>
      </c>
      <c r="L1037" s="261">
        <v>26778</v>
      </c>
      <c r="M1037" s="261">
        <f t="shared" si="33"/>
        <v>361500</v>
      </c>
      <c r="N1037" s="137">
        <v>7.7399999999999997E-2</v>
      </c>
    </row>
    <row r="1038" spans="1:14" ht="18" customHeight="1">
      <c r="A1038" s="134">
        <v>14</v>
      </c>
      <c r="B1038" s="135" t="s">
        <v>110</v>
      </c>
      <c r="C1038" s="134">
        <v>54</v>
      </c>
      <c r="D1038" s="138" t="s">
        <v>86</v>
      </c>
      <c r="E1038" s="138" t="s">
        <v>678</v>
      </c>
      <c r="F1038" s="135" t="s">
        <v>620</v>
      </c>
      <c r="G1038" s="274">
        <v>1</v>
      </c>
      <c r="H1038" s="261">
        <v>2315</v>
      </c>
      <c r="I1038" s="261">
        <v>2315</v>
      </c>
      <c r="J1038" s="261">
        <v>0</v>
      </c>
      <c r="K1038" s="261">
        <f t="shared" si="32"/>
        <v>2315</v>
      </c>
      <c r="L1038" s="261">
        <v>185</v>
      </c>
      <c r="M1038" s="261">
        <f t="shared" si="33"/>
        <v>2500</v>
      </c>
      <c r="N1038" s="137">
        <v>5.0000000000000001E-4</v>
      </c>
    </row>
    <row r="1039" spans="1:14" ht="18" customHeight="1">
      <c r="A1039" s="134">
        <v>14</v>
      </c>
      <c r="B1039" s="135" t="s">
        <v>110</v>
      </c>
      <c r="C1039" s="134">
        <v>5</v>
      </c>
      <c r="D1039" s="138" t="s">
        <v>84</v>
      </c>
      <c r="E1039" s="138" t="s">
        <v>679</v>
      </c>
      <c r="F1039" s="135" t="s">
        <v>620</v>
      </c>
      <c r="G1039" s="274">
        <v>2</v>
      </c>
      <c r="H1039" s="261">
        <v>11111</v>
      </c>
      <c r="I1039" s="261">
        <v>22222</v>
      </c>
      <c r="J1039" s="261">
        <v>0</v>
      </c>
      <c r="K1039" s="261">
        <f t="shared" si="32"/>
        <v>22222</v>
      </c>
      <c r="L1039" s="261">
        <v>1778</v>
      </c>
      <c r="M1039" s="261">
        <f t="shared" si="33"/>
        <v>24000</v>
      </c>
      <c r="N1039" s="137">
        <v>5.1000000000000004E-3</v>
      </c>
    </row>
    <row r="1040" spans="1:14" ht="18" customHeight="1">
      <c r="A1040" s="134">
        <v>14</v>
      </c>
      <c r="B1040" s="135" t="s">
        <v>110</v>
      </c>
      <c r="C1040" s="134">
        <v>6</v>
      </c>
      <c r="D1040" s="138" t="s">
        <v>84</v>
      </c>
      <c r="E1040" s="138" t="s">
        <v>680</v>
      </c>
      <c r="F1040" s="135" t="s">
        <v>620</v>
      </c>
      <c r="G1040" s="274">
        <v>1</v>
      </c>
      <c r="H1040" s="261">
        <v>14815</v>
      </c>
      <c r="I1040" s="261">
        <v>14815</v>
      </c>
      <c r="J1040" s="261">
        <v>0</v>
      </c>
      <c r="K1040" s="261">
        <f t="shared" si="32"/>
        <v>14815</v>
      </c>
      <c r="L1040" s="261">
        <v>1185</v>
      </c>
      <c r="M1040" s="261">
        <f t="shared" si="33"/>
        <v>16000</v>
      </c>
      <c r="N1040" s="137">
        <v>3.3999999999999998E-3</v>
      </c>
    </row>
    <row r="1041" spans="1:14" ht="18" customHeight="1">
      <c r="A1041" s="134">
        <v>14</v>
      </c>
      <c r="B1041" s="135" t="s">
        <v>110</v>
      </c>
      <c r="C1041" s="134">
        <v>8</v>
      </c>
      <c r="D1041" s="138" t="s">
        <v>82</v>
      </c>
      <c r="E1041" s="138" t="s">
        <v>151</v>
      </c>
      <c r="F1041" s="135" t="s">
        <v>620</v>
      </c>
      <c r="G1041" s="274">
        <v>15</v>
      </c>
      <c r="H1041" s="261">
        <v>18580</v>
      </c>
      <c r="I1041" s="261">
        <v>278704</v>
      </c>
      <c r="J1041" s="261">
        <v>0</v>
      </c>
      <c r="K1041" s="261">
        <f t="shared" si="32"/>
        <v>278704</v>
      </c>
      <c r="L1041" s="261">
        <v>22296</v>
      </c>
      <c r="M1041" s="261">
        <f t="shared" si="33"/>
        <v>301000</v>
      </c>
      <c r="N1041" s="137">
        <v>6.4500000000000002E-2</v>
      </c>
    </row>
    <row r="1042" spans="1:14" ht="18" customHeight="1">
      <c r="A1042" s="134">
        <v>14</v>
      </c>
      <c r="B1042" s="135" t="s">
        <v>110</v>
      </c>
      <c r="C1042" s="134">
        <v>87</v>
      </c>
      <c r="D1042" s="138" t="s">
        <v>84</v>
      </c>
      <c r="E1042" s="138" t="s">
        <v>139</v>
      </c>
      <c r="F1042" s="135" t="s">
        <v>620</v>
      </c>
      <c r="G1042" s="274">
        <v>4</v>
      </c>
      <c r="H1042" s="261">
        <v>37500</v>
      </c>
      <c r="I1042" s="261">
        <v>150000</v>
      </c>
      <c r="J1042" s="261">
        <v>0</v>
      </c>
      <c r="K1042" s="261">
        <f t="shared" si="32"/>
        <v>150000</v>
      </c>
      <c r="L1042" s="261">
        <v>12000</v>
      </c>
      <c r="M1042" s="261">
        <f t="shared" si="33"/>
        <v>162000</v>
      </c>
      <c r="N1042" s="137">
        <v>3.4700000000000002E-2</v>
      </c>
    </row>
    <row r="1043" spans="1:14" ht="18" customHeight="1">
      <c r="A1043" s="134">
        <v>14</v>
      </c>
      <c r="B1043" s="135" t="s">
        <v>110</v>
      </c>
      <c r="C1043" s="134">
        <v>264</v>
      </c>
      <c r="D1043" s="138" t="s">
        <v>86</v>
      </c>
      <c r="E1043" s="138" t="s">
        <v>681</v>
      </c>
      <c r="F1043" s="135" t="s">
        <v>620</v>
      </c>
      <c r="G1043" s="274">
        <v>2</v>
      </c>
      <c r="H1043" s="261">
        <v>4630</v>
      </c>
      <c r="I1043" s="261">
        <v>9259</v>
      </c>
      <c r="J1043" s="261">
        <v>0</v>
      </c>
      <c r="K1043" s="261">
        <f t="shared" si="32"/>
        <v>9259</v>
      </c>
      <c r="L1043" s="261">
        <v>741</v>
      </c>
      <c r="M1043" s="261">
        <f t="shared" si="33"/>
        <v>10000</v>
      </c>
      <c r="N1043" s="137">
        <v>2.0999999999999999E-3</v>
      </c>
    </row>
    <row r="1044" spans="1:14" ht="18" customHeight="1">
      <c r="A1044" s="134">
        <v>14</v>
      </c>
      <c r="B1044" s="135" t="s">
        <v>110</v>
      </c>
      <c r="C1044" s="134">
        <v>83</v>
      </c>
      <c r="D1044" s="138" t="s">
        <v>82</v>
      </c>
      <c r="E1044" s="138" t="s">
        <v>632</v>
      </c>
      <c r="F1044" s="135" t="s">
        <v>620</v>
      </c>
      <c r="G1044" s="274">
        <v>5</v>
      </c>
      <c r="H1044" s="261">
        <v>20833</v>
      </c>
      <c r="I1044" s="261">
        <v>104167</v>
      </c>
      <c r="J1044" s="261">
        <v>0</v>
      </c>
      <c r="K1044" s="261">
        <f t="shared" si="32"/>
        <v>104167</v>
      </c>
      <c r="L1044" s="261">
        <v>8333</v>
      </c>
      <c r="M1044" s="261">
        <f t="shared" si="33"/>
        <v>112500</v>
      </c>
      <c r="N1044" s="137">
        <v>2.41E-2</v>
      </c>
    </row>
    <row r="1045" spans="1:14" ht="18" customHeight="1">
      <c r="A1045" s="134">
        <v>14</v>
      </c>
      <c r="B1045" s="135" t="s">
        <v>110</v>
      </c>
      <c r="C1045" s="134">
        <v>27</v>
      </c>
      <c r="D1045" s="138" t="s">
        <v>82</v>
      </c>
      <c r="E1045" s="138" t="s">
        <v>750</v>
      </c>
      <c r="F1045" s="135" t="s">
        <v>620</v>
      </c>
      <c r="G1045" s="274">
        <v>6</v>
      </c>
      <c r="H1045" s="261">
        <v>18827</v>
      </c>
      <c r="I1045" s="261">
        <v>112963</v>
      </c>
      <c r="J1045" s="261">
        <v>0</v>
      </c>
      <c r="K1045" s="261">
        <f t="shared" si="32"/>
        <v>112963</v>
      </c>
      <c r="L1045" s="261">
        <v>9037</v>
      </c>
      <c r="M1045" s="261">
        <f t="shared" si="33"/>
        <v>122000</v>
      </c>
      <c r="N1045" s="137">
        <v>2.6100000000000002E-2</v>
      </c>
    </row>
    <row r="1046" spans="1:14" ht="18" customHeight="1">
      <c r="A1046" s="134">
        <v>14</v>
      </c>
      <c r="B1046" s="135" t="s">
        <v>110</v>
      </c>
      <c r="C1046" s="134">
        <v>122</v>
      </c>
      <c r="D1046" s="138" t="s">
        <v>86</v>
      </c>
      <c r="E1046" s="138" t="s">
        <v>634</v>
      </c>
      <c r="F1046" s="135" t="s">
        <v>620</v>
      </c>
      <c r="G1046" s="274">
        <v>2</v>
      </c>
      <c r="H1046" s="261">
        <v>2778</v>
      </c>
      <c r="I1046" s="261">
        <v>5556</v>
      </c>
      <c r="J1046" s="261">
        <v>0</v>
      </c>
      <c r="K1046" s="261">
        <f t="shared" si="32"/>
        <v>5556</v>
      </c>
      <c r="L1046" s="261">
        <v>444</v>
      </c>
      <c r="M1046" s="261">
        <f t="shared" si="33"/>
        <v>6000</v>
      </c>
      <c r="N1046" s="137">
        <v>1.2999999999999999E-3</v>
      </c>
    </row>
    <row r="1047" spans="1:14" ht="18" customHeight="1">
      <c r="A1047" s="134">
        <v>14</v>
      </c>
      <c r="B1047" s="135" t="s">
        <v>110</v>
      </c>
      <c r="C1047" s="134">
        <v>42</v>
      </c>
      <c r="D1047" s="138" t="s">
        <v>82</v>
      </c>
      <c r="E1047" s="138" t="s">
        <v>354</v>
      </c>
      <c r="F1047" s="135" t="s">
        <v>620</v>
      </c>
      <c r="G1047" s="274">
        <v>2</v>
      </c>
      <c r="H1047" s="261">
        <v>32407</v>
      </c>
      <c r="I1047" s="261">
        <v>64815</v>
      </c>
      <c r="J1047" s="261">
        <v>0</v>
      </c>
      <c r="K1047" s="261">
        <f t="shared" si="32"/>
        <v>64815</v>
      </c>
      <c r="L1047" s="261">
        <v>5185</v>
      </c>
      <c r="M1047" s="261">
        <f t="shared" si="33"/>
        <v>70000</v>
      </c>
      <c r="N1047" s="137">
        <v>1.4999999999999999E-2</v>
      </c>
    </row>
    <row r="1048" spans="1:14" ht="18" customHeight="1">
      <c r="A1048" s="134">
        <v>14</v>
      </c>
      <c r="B1048" s="135" t="s">
        <v>110</v>
      </c>
      <c r="C1048" s="134">
        <v>110</v>
      </c>
      <c r="D1048" s="138" t="s">
        <v>94</v>
      </c>
      <c r="E1048" s="138" t="s">
        <v>635</v>
      </c>
      <c r="F1048" s="135" t="s">
        <v>620</v>
      </c>
      <c r="G1048" s="274">
        <v>9</v>
      </c>
      <c r="H1048" s="261">
        <v>926</v>
      </c>
      <c r="I1048" s="261">
        <v>8333</v>
      </c>
      <c r="J1048" s="261">
        <v>0</v>
      </c>
      <c r="K1048" s="261">
        <f t="shared" si="32"/>
        <v>8333</v>
      </c>
      <c r="L1048" s="261">
        <v>667</v>
      </c>
      <c r="M1048" s="261">
        <f t="shared" si="33"/>
        <v>9000</v>
      </c>
      <c r="N1048" s="137">
        <v>1.9E-3</v>
      </c>
    </row>
    <row r="1049" spans="1:14" ht="18" customHeight="1">
      <c r="A1049" s="134">
        <v>14</v>
      </c>
      <c r="B1049" s="135" t="s">
        <v>110</v>
      </c>
      <c r="C1049" s="134">
        <v>102</v>
      </c>
      <c r="D1049" s="138" t="s">
        <v>82</v>
      </c>
      <c r="E1049" s="138" t="s">
        <v>684</v>
      </c>
      <c r="F1049" s="135" t="s">
        <v>620</v>
      </c>
      <c r="G1049" s="274">
        <v>1</v>
      </c>
      <c r="H1049" s="261">
        <v>6944</v>
      </c>
      <c r="I1049" s="261">
        <v>6944</v>
      </c>
      <c r="J1049" s="261">
        <v>0</v>
      </c>
      <c r="K1049" s="261">
        <f t="shared" si="32"/>
        <v>6944</v>
      </c>
      <c r="L1049" s="261">
        <v>556</v>
      </c>
      <c r="M1049" s="261">
        <f t="shared" si="33"/>
        <v>7500</v>
      </c>
      <c r="N1049" s="137">
        <v>1.6000000000000001E-3</v>
      </c>
    </row>
    <row r="1050" spans="1:14" ht="18" customHeight="1">
      <c r="A1050" s="134">
        <v>14</v>
      </c>
      <c r="B1050" s="135" t="s">
        <v>110</v>
      </c>
      <c r="C1050" s="134">
        <v>26</v>
      </c>
      <c r="D1050" s="138" t="s">
        <v>82</v>
      </c>
      <c r="E1050" s="138" t="s">
        <v>702</v>
      </c>
      <c r="F1050" s="135" t="s">
        <v>620</v>
      </c>
      <c r="G1050" s="274">
        <v>4</v>
      </c>
      <c r="H1050" s="261">
        <v>18750</v>
      </c>
      <c r="I1050" s="261">
        <v>75000</v>
      </c>
      <c r="J1050" s="261">
        <v>0</v>
      </c>
      <c r="K1050" s="261">
        <f t="shared" si="32"/>
        <v>75000</v>
      </c>
      <c r="L1050" s="261">
        <v>6000</v>
      </c>
      <c r="M1050" s="261">
        <f t="shared" si="33"/>
        <v>81000</v>
      </c>
      <c r="N1050" s="137">
        <v>1.7299999999999999E-2</v>
      </c>
    </row>
    <row r="1051" spans="1:14" ht="18" customHeight="1">
      <c r="A1051" s="134">
        <v>14</v>
      </c>
      <c r="B1051" s="135" t="s">
        <v>110</v>
      </c>
      <c r="C1051" s="134">
        <v>45</v>
      </c>
      <c r="D1051" s="138" t="s">
        <v>82</v>
      </c>
      <c r="E1051" s="138" t="s">
        <v>636</v>
      </c>
      <c r="F1051" s="135" t="s">
        <v>620</v>
      </c>
      <c r="G1051" s="274">
        <v>2</v>
      </c>
      <c r="H1051" s="261">
        <v>35648</v>
      </c>
      <c r="I1051" s="261">
        <v>71296</v>
      </c>
      <c r="J1051" s="261">
        <v>0</v>
      </c>
      <c r="K1051" s="261">
        <f t="shared" si="32"/>
        <v>71296</v>
      </c>
      <c r="L1051" s="261">
        <v>5704</v>
      </c>
      <c r="M1051" s="261">
        <f t="shared" si="33"/>
        <v>77000</v>
      </c>
      <c r="N1051" s="137">
        <v>1.6500000000000001E-2</v>
      </c>
    </row>
    <row r="1052" spans="1:14" ht="18" customHeight="1">
      <c r="A1052" s="134">
        <v>14</v>
      </c>
      <c r="B1052" s="135" t="s">
        <v>110</v>
      </c>
      <c r="C1052" s="134">
        <v>30</v>
      </c>
      <c r="D1052" s="138" t="s">
        <v>90</v>
      </c>
      <c r="E1052" s="138" t="s">
        <v>637</v>
      </c>
      <c r="F1052" s="135" t="s">
        <v>620</v>
      </c>
      <c r="G1052" s="274">
        <v>1</v>
      </c>
      <c r="H1052" s="261">
        <v>6481</v>
      </c>
      <c r="I1052" s="261">
        <v>6481</v>
      </c>
      <c r="J1052" s="261">
        <v>0</v>
      </c>
      <c r="K1052" s="261">
        <f t="shared" si="32"/>
        <v>6481</v>
      </c>
      <c r="L1052" s="261">
        <v>519</v>
      </c>
      <c r="M1052" s="261">
        <f t="shared" si="33"/>
        <v>7000</v>
      </c>
      <c r="N1052" s="137">
        <v>1.5E-3</v>
      </c>
    </row>
    <row r="1053" spans="1:14" ht="18" customHeight="1">
      <c r="A1053" s="134">
        <v>14</v>
      </c>
      <c r="B1053" s="135" t="s">
        <v>110</v>
      </c>
      <c r="C1053" s="134">
        <v>94</v>
      </c>
      <c r="D1053" s="138" t="s">
        <v>84</v>
      </c>
      <c r="E1053" s="138" t="s">
        <v>145</v>
      </c>
      <c r="F1053" s="135" t="s">
        <v>620</v>
      </c>
      <c r="G1053" s="274">
        <v>5</v>
      </c>
      <c r="H1053" s="261">
        <v>18519</v>
      </c>
      <c r="I1053" s="261">
        <v>92593</v>
      </c>
      <c r="J1053" s="261">
        <v>0</v>
      </c>
      <c r="K1053" s="261">
        <f t="shared" si="32"/>
        <v>92593</v>
      </c>
      <c r="L1053" s="261">
        <v>7407</v>
      </c>
      <c r="M1053" s="261">
        <f t="shared" si="33"/>
        <v>100000</v>
      </c>
      <c r="N1053" s="137">
        <v>2.1399999999999999E-2</v>
      </c>
    </row>
    <row r="1054" spans="1:14" ht="18" customHeight="1">
      <c r="A1054" s="134">
        <v>14</v>
      </c>
      <c r="B1054" s="135" t="s">
        <v>110</v>
      </c>
      <c r="C1054" s="134">
        <v>233</v>
      </c>
      <c r="D1054" s="138" t="s">
        <v>84</v>
      </c>
      <c r="E1054" s="138" t="s">
        <v>112</v>
      </c>
      <c r="F1054" s="135" t="s">
        <v>620</v>
      </c>
      <c r="G1054" s="274">
        <v>30</v>
      </c>
      <c r="H1054" s="261">
        <v>18611</v>
      </c>
      <c r="I1054" s="261">
        <v>558333</v>
      </c>
      <c r="J1054" s="261">
        <v>0</v>
      </c>
      <c r="K1054" s="261">
        <f t="shared" si="32"/>
        <v>558333</v>
      </c>
      <c r="L1054" s="261">
        <v>44667</v>
      </c>
      <c r="M1054" s="261">
        <f t="shared" si="33"/>
        <v>603000</v>
      </c>
      <c r="N1054" s="137">
        <v>0.12909999999999999</v>
      </c>
    </row>
    <row r="1055" spans="1:14" ht="18" customHeight="1">
      <c r="A1055" s="134">
        <v>14</v>
      </c>
      <c r="B1055" s="135" t="s">
        <v>110</v>
      </c>
      <c r="C1055" s="134">
        <v>218</v>
      </c>
      <c r="D1055" s="138" t="s">
        <v>84</v>
      </c>
      <c r="E1055" s="138" t="s">
        <v>640</v>
      </c>
      <c r="F1055" s="135" t="s">
        <v>620</v>
      </c>
      <c r="G1055" s="274">
        <v>5</v>
      </c>
      <c r="H1055" s="261">
        <v>18704</v>
      </c>
      <c r="I1055" s="261">
        <v>93519</v>
      </c>
      <c r="J1055" s="261">
        <v>0</v>
      </c>
      <c r="K1055" s="261">
        <f t="shared" si="32"/>
        <v>93519</v>
      </c>
      <c r="L1055" s="261">
        <v>7481</v>
      </c>
      <c r="M1055" s="261">
        <f t="shared" si="33"/>
        <v>101000</v>
      </c>
      <c r="N1055" s="137">
        <v>2.1600000000000001E-2</v>
      </c>
    </row>
    <row r="1056" spans="1:14" ht="18" customHeight="1">
      <c r="A1056" s="134">
        <v>14</v>
      </c>
      <c r="B1056" s="135" t="s">
        <v>110</v>
      </c>
      <c r="C1056" s="134">
        <v>34</v>
      </c>
      <c r="D1056" s="138" t="s">
        <v>86</v>
      </c>
      <c r="E1056" s="138" t="s">
        <v>641</v>
      </c>
      <c r="F1056" s="135" t="s">
        <v>620</v>
      </c>
      <c r="G1056" s="274">
        <v>1</v>
      </c>
      <c r="H1056" s="261">
        <v>6481</v>
      </c>
      <c r="I1056" s="261">
        <v>6481</v>
      </c>
      <c r="J1056" s="261">
        <v>0</v>
      </c>
      <c r="K1056" s="261">
        <f t="shared" si="32"/>
        <v>6481</v>
      </c>
      <c r="L1056" s="261">
        <v>519</v>
      </c>
      <c r="M1056" s="261">
        <f t="shared" si="33"/>
        <v>7000</v>
      </c>
      <c r="N1056" s="137">
        <v>1.5E-3</v>
      </c>
    </row>
    <row r="1057" spans="1:14" ht="18" customHeight="1">
      <c r="A1057" s="134">
        <v>14</v>
      </c>
      <c r="B1057" s="135" t="s">
        <v>110</v>
      </c>
      <c r="C1057" s="134">
        <v>121</v>
      </c>
      <c r="D1057" s="138" t="s">
        <v>86</v>
      </c>
      <c r="E1057" s="138" t="s">
        <v>642</v>
      </c>
      <c r="F1057" s="135" t="s">
        <v>620</v>
      </c>
      <c r="G1057" s="274">
        <v>1</v>
      </c>
      <c r="H1057" s="261">
        <v>2778</v>
      </c>
      <c r="I1057" s="261">
        <v>2778</v>
      </c>
      <c r="J1057" s="261">
        <v>0</v>
      </c>
      <c r="K1057" s="261">
        <f t="shared" si="32"/>
        <v>2778</v>
      </c>
      <c r="L1057" s="261">
        <v>222</v>
      </c>
      <c r="M1057" s="261">
        <f t="shared" si="33"/>
        <v>3000</v>
      </c>
      <c r="N1057" s="137">
        <v>5.9999999999999995E-4</v>
      </c>
    </row>
    <row r="1058" spans="1:14" ht="18" customHeight="1">
      <c r="A1058" s="134">
        <v>14</v>
      </c>
      <c r="B1058" s="135" t="s">
        <v>110</v>
      </c>
      <c r="C1058" s="134">
        <v>208</v>
      </c>
      <c r="D1058" s="138" t="s">
        <v>86</v>
      </c>
      <c r="E1058" s="138" t="s">
        <v>643</v>
      </c>
      <c r="F1058" s="135" t="s">
        <v>620</v>
      </c>
      <c r="G1058" s="274">
        <v>6</v>
      </c>
      <c r="H1058" s="261">
        <v>3704</v>
      </c>
      <c r="I1058" s="261">
        <v>22222</v>
      </c>
      <c r="J1058" s="261">
        <v>0</v>
      </c>
      <c r="K1058" s="261">
        <f t="shared" si="32"/>
        <v>22222</v>
      </c>
      <c r="L1058" s="261">
        <v>1778</v>
      </c>
      <c r="M1058" s="261">
        <f t="shared" si="33"/>
        <v>24000</v>
      </c>
      <c r="N1058" s="137">
        <v>5.1000000000000004E-3</v>
      </c>
    </row>
    <row r="1059" spans="1:14" ht="18" customHeight="1">
      <c r="A1059" s="134">
        <v>14</v>
      </c>
      <c r="B1059" s="135" t="s">
        <v>110</v>
      </c>
      <c r="C1059" s="134">
        <v>318</v>
      </c>
      <c r="D1059" s="138" t="s">
        <v>86</v>
      </c>
      <c r="E1059" s="138" t="s">
        <v>753</v>
      </c>
      <c r="F1059" s="135" t="s">
        <v>620</v>
      </c>
      <c r="G1059" s="274">
        <v>1</v>
      </c>
      <c r="H1059" s="261">
        <v>4630</v>
      </c>
      <c r="I1059" s="261">
        <v>4630</v>
      </c>
      <c r="J1059" s="261">
        <v>0</v>
      </c>
      <c r="K1059" s="261">
        <f t="shared" si="32"/>
        <v>4630</v>
      </c>
      <c r="L1059" s="261">
        <v>370</v>
      </c>
      <c r="M1059" s="261">
        <f t="shared" si="33"/>
        <v>5000</v>
      </c>
      <c r="N1059" s="137">
        <v>1.1000000000000001E-3</v>
      </c>
    </row>
    <row r="1060" spans="1:14" ht="18" customHeight="1">
      <c r="A1060" s="134">
        <v>14</v>
      </c>
      <c r="B1060" s="135" t="s">
        <v>110</v>
      </c>
      <c r="C1060" s="134">
        <v>90</v>
      </c>
      <c r="D1060" s="138" t="s">
        <v>86</v>
      </c>
      <c r="E1060" s="138" t="s">
        <v>439</v>
      </c>
      <c r="F1060" s="135" t="s">
        <v>620</v>
      </c>
      <c r="G1060" s="274">
        <v>1</v>
      </c>
      <c r="H1060" s="261">
        <v>4259</v>
      </c>
      <c r="I1060" s="261">
        <v>4259</v>
      </c>
      <c r="J1060" s="261">
        <v>0</v>
      </c>
      <c r="K1060" s="261">
        <f t="shared" si="32"/>
        <v>4259</v>
      </c>
      <c r="L1060" s="261">
        <v>341</v>
      </c>
      <c r="M1060" s="261">
        <f t="shared" si="33"/>
        <v>4600</v>
      </c>
      <c r="N1060" s="137">
        <v>1E-3</v>
      </c>
    </row>
    <row r="1061" spans="1:14" ht="18" customHeight="1">
      <c r="A1061" s="134">
        <v>14</v>
      </c>
      <c r="B1061" s="135" t="s">
        <v>110</v>
      </c>
      <c r="C1061" s="134">
        <v>123</v>
      </c>
      <c r="D1061" s="138" t="s">
        <v>86</v>
      </c>
      <c r="E1061" s="138" t="s">
        <v>644</v>
      </c>
      <c r="F1061" s="135" t="s">
        <v>620</v>
      </c>
      <c r="G1061" s="274">
        <v>2</v>
      </c>
      <c r="H1061" s="261">
        <v>2778</v>
      </c>
      <c r="I1061" s="261">
        <v>5556</v>
      </c>
      <c r="J1061" s="261">
        <v>0</v>
      </c>
      <c r="K1061" s="261">
        <f t="shared" si="32"/>
        <v>5556</v>
      </c>
      <c r="L1061" s="261">
        <v>444</v>
      </c>
      <c r="M1061" s="261">
        <f t="shared" si="33"/>
        <v>6000</v>
      </c>
      <c r="N1061" s="137">
        <v>1.2999999999999999E-3</v>
      </c>
    </row>
    <row r="1062" spans="1:14" ht="18" customHeight="1">
      <c r="A1062" s="134">
        <v>14</v>
      </c>
      <c r="B1062" s="135" t="s">
        <v>110</v>
      </c>
      <c r="C1062" s="134">
        <v>31</v>
      </c>
      <c r="D1062" s="138" t="s">
        <v>90</v>
      </c>
      <c r="E1062" s="138" t="s">
        <v>645</v>
      </c>
      <c r="F1062" s="135" t="s">
        <v>620</v>
      </c>
      <c r="G1062" s="274">
        <v>7</v>
      </c>
      <c r="H1062" s="261">
        <v>1204</v>
      </c>
      <c r="I1062" s="261">
        <v>8426</v>
      </c>
      <c r="J1062" s="261">
        <v>0</v>
      </c>
      <c r="K1062" s="261">
        <f t="shared" si="32"/>
        <v>8426</v>
      </c>
      <c r="L1062" s="261">
        <v>674</v>
      </c>
      <c r="M1062" s="261">
        <f t="shared" si="33"/>
        <v>9100</v>
      </c>
      <c r="N1062" s="137">
        <v>1.9E-3</v>
      </c>
    </row>
    <row r="1063" spans="1:14" ht="18" customHeight="1">
      <c r="A1063" s="134">
        <v>14</v>
      </c>
      <c r="B1063" s="135" t="s">
        <v>110</v>
      </c>
      <c r="C1063" s="134">
        <v>74</v>
      </c>
      <c r="D1063" s="138" t="s">
        <v>86</v>
      </c>
      <c r="E1063" s="138" t="s">
        <v>686</v>
      </c>
      <c r="F1063" s="135" t="s">
        <v>620</v>
      </c>
      <c r="G1063" s="274">
        <v>1</v>
      </c>
      <c r="H1063" s="261">
        <v>6481</v>
      </c>
      <c r="I1063" s="261">
        <v>6481</v>
      </c>
      <c r="J1063" s="261">
        <v>0</v>
      </c>
      <c r="K1063" s="261">
        <f t="shared" si="32"/>
        <v>6481</v>
      </c>
      <c r="L1063" s="261">
        <v>519</v>
      </c>
      <c r="M1063" s="261">
        <f t="shared" si="33"/>
        <v>7000</v>
      </c>
      <c r="N1063" s="137">
        <v>1.5E-3</v>
      </c>
    </row>
    <row r="1064" spans="1:14" ht="18" customHeight="1">
      <c r="A1064" s="134">
        <v>14</v>
      </c>
      <c r="B1064" s="135" t="s">
        <v>110</v>
      </c>
      <c r="C1064" s="134">
        <v>235</v>
      </c>
      <c r="D1064" s="138" t="s">
        <v>86</v>
      </c>
      <c r="E1064" s="138" t="s">
        <v>687</v>
      </c>
      <c r="F1064" s="135" t="s">
        <v>620</v>
      </c>
      <c r="G1064" s="274">
        <v>2</v>
      </c>
      <c r="H1064" s="261">
        <v>3426</v>
      </c>
      <c r="I1064" s="261">
        <v>6852</v>
      </c>
      <c r="J1064" s="261">
        <v>0</v>
      </c>
      <c r="K1064" s="261">
        <f t="shared" si="32"/>
        <v>6852</v>
      </c>
      <c r="L1064" s="261">
        <v>548</v>
      </c>
      <c r="M1064" s="261">
        <f t="shared" si="33"/>
        <v>7400</v>
      </c>
      <c r="N1064" s="137">
        <v>1.6000000000000001E-3</v>
      </c>
    </row>
    <row r="1065" spans="1:14" ht="18" customHeight="1">
      <c r="A1065" s="134">
        <v>14</v>
      </c>
      <c r="B1065" s="135" t="s">
        <v>110</v>
      </c>
      <c r="C1065" s="134">
        <v>134</v>
      </c>
      <c r="D1065" s="138" t="s">
        <v>86</v>
      </c>
      <c r="E1065" s="138" t="s">
        <v>703</v>
      </c>
      <c r="F1065" s="135" t="s">
        <v>620</v>
      </c>
      <c r="G1065" s="274">
        <v>1</v>
      </c>
      <c r="H1065" s="261">
        <v>12963</v>
      </c>
      <c r="I1065" s="261">
        <v>12963</v>
      </c>
      <c r="J1065" s="261">
        <v>0</v>
      </c>
      <c r="K1065" s="261">
        <f t="shared" si="32"/>
        <v>12963</v>
      </c>
      <c r="L1065" s="261">
        <v>1037</v>
      </c>
      <c r="M1065" s="261">
        <f t="shared" si="33"/>
        <v>14000</v>
      </c>
      <c r="N1065" s="137">
        <v>3.0000000000000001E-3</v>
      </c>
    </row>
    <row r="1066" spans="1:14" ht="18" customHeight="1">
      <c r="A1066" s="134">
        <v>14</v>
      </c>
      <c r="B1066" s="135" t="s">
        <v>110</v>
      </c>
      <c r="C1066" s="134">
        <v>75</v>
      </c>
      <c r="D1066" s="138" t="s">
        <v>86</v>
      </c>
      <c r="E1066" s="138" t="s">
        <v>647</v>
      </c>
      <c r="F1066" s="135" t="s">
        <v>620</v>
      </c>
      <c r="G1066" s="274">
        <v>1</v>
      </c>
      <c r="H1066" s="261">
        <v>9259</v>
      </c>
      <c r="I1066" s="261">
        <v>9259</v>
      </c>
      <c r="J1066" s="261">
        <v>0</v>
      </c>
      <c r="K1066" s="261">
        <f t="shared" si="32"/>
        <v>9259</v>
      </c>
      <c r="L1066" s="261">
        <v>741</v>
      </c>
      <c r="M1066" s="261">
        <f t="shared" si="33"/>
        <v>10000</v>
      </c>
      <c r="N1066" s="137">
        <v>2.0999999999999999E-3</v>
      </c>
    </row>
    <row r="1067" spans="1:14" ht="18" customHeight="1">
      <c r="A1067" s="134">
        <v>14</v>
      </c>
      <c r="B1067" s="135" t="s">
        <v>110</v>
      </c>
      <c r="C1067" s="134">
        <v>118</v>
      </c>
      <c r="D1067" s="138" t="s">
        <v>82</v>
      </c>
      <c r="E1067" s="138" t="s">
        <v>121</v>
      </c>
      <c r="F1067" s="135" t="s">
        <v>620</v>
      </c>
      <c r="G1067" s="274">
        <v>3</v>
      </c>
      <c r="H1067" s="261">
        <v>41667</v>
      </c>
      <c r="I1067" s="261">
        <v>125000</v>
      </c>
      <c r="J1067" s="261">
        <v>0</v>
      </c>
      <c r="K1067" s="261">
        <f t="shared" si="32"/>
        <v>125000</v>
      </c>
      <c r="L1067" s="261">
        <v>10000</v>
      </c>
      <c r="M1067" s="261">
        <f t="shared" si="33"/>
        <v>135000</v>
      </c>
      <c r="N1067" s="137">
        <v>2.8899999999999999E-2</v>
      </c>
    </row>
    <row r="1068" spans="1:14" ht="18" customHeight="1">
      <c r="A1068" s="134">
        <v>14</v>
      </c>
      <c r="B1068" s="135" t="s">
        <v>110</v>
      </c>
      <c r="C1068" s="134">
        <v>205</v>
      </c>
      <c r="D1068" s="138" t="s">
        <v>86</v>
      </c>
      <c r="E1068" s="138" t="s">
        <v>688</v>
      </c>
      <c r="F1068" s="135" t="s">
        <v>620</v>
      </c>
      <c r="G1068" s="274">
        <v>2</v>
      </c>
      <c r="H1068" s="261">
        <v>12037</v>
      </c>
      <c r="I1068" s="261">
        <v>24074</v>
      </c>
      <c r="J1068" s="261">
        <v>0</v>
      </c>
      <c r="K1068" s="261">
        <f t="shared" si="32"/>
        <v>24074</v>
      </c>
      <c r="L1068" s="261">
        <v>1926</v>
      </c>
      <c r="M1068" s="261">
        <f t="shared" si="33"/>
        <v>26000</v>
      </c>
      <c r="N1068" s="137">
        <v>5.6000000000000008E-3</v>
      </c>
    </row>
    <row r="1069" spans="1:14" ht="18" customHeight="1">
      <c r="A1069" s="134">
        <v>14</v>
      </c>
      <c r="B1069" s="135" t="s">
        <v>110</v>
      </c>
      <c r="C1069" s="134">
        <v>109</v>
      </c>
      <c r="D1069" s="138" t="s">
        <v>86</v>
      </c>
      <c r="E1069" s="138" t="s">
        <v>142</v>
      </c>
      <c r="F1069" s="135" t="s">
        <v>620</v>
      </c>
      <c r="G1069" s="274">
        <v>2</v>
      </c>
      <c r="H1069" s="261">
        <v>12963</v>
      </c>
      <c r="I1069" s="261">
        <v>25926</v>
      </c>
      <c r="J1069" s="261">
        <v>0</v>
      </c>
      <c r="K1069" s="261">
        <f t="shared" si="32"/>
        <v>25926</v>
      </c>
      <c r="L1069" s="261">
        <v>2074</v>
      </c>
      <c r="M1069" s="261">
        <f t="shared" si="33"/>
        <v>28000</v>
      </c>
      <c r="N1069" s="137">
        <v>6.0000000000000001E-3</v>
      </c>
    </row>
    <row r="1070" spans="1:14" ht="18" customHeight="1">
      <c r="A1070" s="134">
        <v>14</v>
      </c>
      <c r="B1070" s="135" t="s">
        <v>110</v>
      </c>
      <c r="C1070" s="134">
        <v>147</v>
      </c>
      <c r="D1070" s="138" t="s">
        <v>86</v>
      </c>
      <c r="E1070" s="138" t="s">
        <v>649</v>
      </c>
      <c r="F1070" s="135" t="s">
        <v>620</v>
      </c>
      <c r="G1070" s="274">
        <v>3</v>
      </c>
      <c r="H1070" s="261">
        <v>6481</v>
      </c>
      <c r="I1070" s="261">
        <v>19444</v>
      </c>
      <c r="J1070" s="261">
        <v>0</v>
      </c>
      <c r="K1070" s="261">
        <f t="shared" si="32"/>
        <v>19444</v>
      </c>
      <c r="L1070" s="261">
        <v>1556</v>
      </c>
      <c r="M1070" s="261">
        <f t="shared" si="33"/>
        <v>21000</v>
      </c>
      <c r="N1070" s="137">
        <v>4.5000000000000014E-3</v>
      </c>
    </row>
    <row r="1071" spans="1:14" ht="18" customHeight="1">
      <c r="A1071" s="134">
        <v>14</v>
      </c>
      <c r="B1071" s="135" t="s">
        <v>110</v>
      </c>
      <c r="C1071" s="134">
        <v>46</v>
      </c>
      <c r="D1071" s="138" t="s">
        <v>82</v>
      </c>
      <c r="E1071" s="138" t="s">
        <v>650</v>
      </c>
      <c r="F1071" s="135" t="s">
        <v>620</v>
      </c>
      <c r="G1071" s="274">
        <v>1</v>
      </c>
      <c r="H1071" s="261">
        <v>35648</v>
      </c>
      <c r="I1071" s="261">
        <v>35648</v>
      </c>
      <c r="J1071" s="261">
        <v>0</v>
      </c>
      <c r="K1071" s="261">
        <f t="shared" si="32"/>
        <v>35648</v>
      </c>
      <c r="L1071" s="261">
        <v>2852</v>
      </c>
      <c r="M1071" s="261">
        <f t="shared" si="33"/>
        <v>38500</v>
      </c>
      <c r="N1071" s="137">
        <v>8.199999999999999E-3</v>
      </c>
    </row>
    <row r="1072" spans="1:14" ht="18" customHeight="1">
      <c r="A1072" s="134">
        <v>14</v>
      </c>
      <c r="B1072" s="135" t="s">
        <v>110</v>
      </c>
      <c r="C1072" s="134">
        <v>72</v>
      </c>
      <c r="D1072" s="138" t="s">
        <v>92</v>
      </c>
      <c r="E1072" s="138" t="s">
        <v>651</v>
      </c>
      <c r="F1072" s="135" t="s">
        <v>620</v>
      </c>
      <c r="G1072" s="274">
        <v>5</v>
      </c>
      <c r="H1072" s="261">
        <v>3704</v>
      </c>
      <c r="I1072" s="261">
        <v>18519</v>
      </c>
      <c r="J1072" s="261">
        <v>0</v>
      </c>
      <c r="K1072" s="261">
        <f t="shared" si="32"/>
        <v>18519</v>
      </c>
      <c r="L1072" s="261">
        <v>1481</v>
      </c>
      <c r="M1072" s="261">
        <f t="shared" si="33"/>
        <v>20000</v>
      </c>
      <c r="N1072" s="137">
        <v>4.3E-3</v>
      </c>
    </row>
    <row r="1073" spans="1:14" ht="18" customHeight="1">
      <c r="A1073" s="134">
        <v>14</v>
      </c>
      <c r="B1073" s="135" t="s">
        <v>110</v>
      </c>
      <c r="C1073" s="134">
        <v>112</v>
      </c>
      <c r="D1073" s="138" t="s">
        <v>82</v>
      </c>
      <c r="E1073" s="138" t="s">
        <v>652</v>
      </c>
      <c r="F1073" s="135" t="s">
        <v>620</v>
      </c>
      <c r="G1073" s="274">
        <v>1</v>
      </c>
      <c r="H1073" s="261">
        <v>41667</v>
      </c>
      <c r="I1073" s="261">
        <v>41667</v>
      </c>
      <c r="J1073" s="261">
        <v>0</v>
      </c>
      <c r="K1073" s="261">
        <f t="shared" si="32"/>
        <v>41667</v>
      </c>
      <c r="L1073" s="261">
        <v>3333</v>
      </c>
      <c r="M1073" s="261">
        <f t="shared" si="33"/>
        <v>45000</v>
      </c>
      <c r="N1073" s="137">
        <v>9.5999999999999992E-3</v>
      </c>
    </row>
    <row r="1074" spans="1:14" ht="18" customHeight="1">
      <c r="A1074" s="134">
        <v>14</v>
      </c>
      <c r="B1074" s="135" t="s">
        <v>110</v>
      </c>
      <c r="C1074" s="134">
        <v>227</v>
      </c>
      <c r="D1074" s="138" t="s">
        <v>82</v>
      </c>
      <c r="E1074" s="138" t="s">
        <v>704</v>
      </c>
      <c r="F1074" s="135" t="s">
        <v>620</v>
      </c>
      <c r="G1074" s="274">
        <v>2</v>
      </c>
      <c r="H1074" s="261">
        <v>1389</v>
      </c>
      <c r="I1074" s="261">
        <v>2778</v>
      </c>
      <c r="J1074" s="261">
        <v>0</v>
      </c>
      <c r="K1074" s="261">
        <f t="shared" si="32"/>
        <v>2778</v>
      </c>
      <c r="L1074" s="261">
        <v>222</v>
      </c>
      <c r="M1074" s="261">
        <f t="shared" si="33"/>
        <v>3000</v>
      </c>
      <c r="N1074" s="137">
        <v>5.9999999999999995E-4</v>
      </c>
    </row>
    <row r="1075" spans="1:14" ht="18" customHeight="1">
      <c r="A1075" s="134">
        <v>14</v>
      </c>
      <c r="B1075" s="135" t="s">
        <v>110</v>
      </c>
      <c r="C1075" s="134">
        <v>317</v>
      </c>
      <c r="D1075" s="138" t="s">
        <v>82</v>
      </c>
      <c r="E1075" s="138" t="s">
        <v>754</v>
      </c>
      <c r="F1075" s="135" t="s">
        <v>755</v>
      </c>
      <c r="G1075" s="274">
        <v>1</v>
      </c>
      <c r="H1075" s="261">
        <v>3519</v>
      </c>
      <c r="I1075" s="261">
        <v>3519</v>
      </c>
      <c r="J1075" s="261">
        <v>0</v>
      </c>
      <c r="K1075" s="261">
        <f t="shared" si="32"/>
        <v>3519</v>
      </c>
      <c r="L1075" s="261">
        <v>281</v>
      </c>
      <c r="M1075" s="261">
        <f t="shared" si="33"/>
        <v>3800</v>
      </c>
      <c r="N1075" s="137">
        <v>8.0000000000000004E-4</v>
      </c>
    </row>
    <row r="1076" spans="1:14" ht="18" customHeight="1">
      <c r="A1076" s="134">
        <v>14</v>
      </c>
      <c r="B1076" s="135" t="s">
        <v>110</v>
      </c>
      <c r="C1076" s="134">
        <v>93</v>
      </c>
      <c r="D1076" s="138" t="s">
        <v>84</v>
      </c>
      <c r="E1076" s="138" t="s">
        <v>118</v>
      </c>
      <c r="F1076" s="135" t="s">
        <v>620</v>
      </c>
      <c r="G1076" s="274">
        <v>1</v>
      </c>
      <c r="H1076" s="261">
        <v>20370</v>
      </c>
      <c r="I1076" s="261">
        <v>20370</v>
      </c>
      <c r="J1076" s="261">
        <v>0</v>
      </c>
      <c r="K1076" s="261">
        <f t="shared" si="32"/>
        <v>20370</v>
      </c>
      <c r="L1076" s="261">
        <v>1630</v>
      </c>
      <c r="M1076" s="261">
        <f t="shared" si="33"/>
        <v>22000</v>
      </c>
      <c r="N1076" s="137">
        <v>4.6999999999999993E-3</v>
      </c>
    </row>
    <row r="1077" spans="1:14" ht="18" customHeight="1">
      <c r="A1077" s="134">
        <v>14</v>
      </c>
      <c r="B1077" s="135" t="s">
        <v>110</v>
      </c>
      <c r="C1077" s="134">
        <v>119</v>
      </c>
      <c r="D1077" s="138" t="s">
        <v>84</v>
      </c>
      <c r="E1077" s="138" t="s">
        <v>109</v>
      </c>
      <c r="F1077" s="135" t="s">
        <v>620</v>
      </c>
      <c r="G1077" s="274">
        <v>3</v>
      </c>
      <c r="H1077" s="261">
        <v>44444</v>
      </c>
      <c r="I1077" s="261">
        <v>133333</v>
      </c>
      <c r="J1077" s="261">
        <v>0</v>
      </c>
      <c r="K1077" s="261">
        <f t="shared" si="32"/>
        <v>133333</v>
      </c>
      <c r="L1077" s="261">
        <v>10667</v>
      </c>
      <c r="M1077" s="261">
        <f t="shared" si="33"/>
        <v>144000</v>
      </c>
      <c r="N1077" s="137">
        <v>3.0800000000000001E-2</v>
      </c>
    </row>
    <row r="1078" spans="1:14" ht="18" customHeight="1">
      <c r="A1078" s="134">
        <v>14</v>
      </c>
      <c r="B1078" s="135" t="s">
        <v>110</v>
      </c>
      <c r="C1078" s="134">
        <v>21</v>
      </c>
      <c r="D1078" s="138" t="s">
        <v>90</v>
      </c>
      <c r="E1078" s="138" t="s">
        <v>737</v>
      </c>
      <c r="F1078" s="135" t="s">
        <v>620</v>
      </c>
      <c r="G1078" s="274">
        <v>2</v>
      </c>
      <c r="H1078" s="261">
        <v>7407</v>
      </c>
      <c r="I1078" s="261">
        <v>14815</v>
      </c>
      <c r="J1078" s="261">
        <v>0</v>
      </c>
      <c r="K1078" s="261">
        <f t="shared" si="32"/>
        <v>14815</v>
      </c>
      <c r="L1078" s="261">
        <v>1185</v>
      </c>
      <c r="M1078" s="261">
        <f t="shared" si="33"/>
        <v>16000</v>
      </c>
      <c r="N1078" s="137">
        <v>3.3999999999999998E-3</v>
      </c>
    </row>
    <row r="1079" spans="1:14" ht="18" customHeight="1">
      <c r="A1079" s="134">
        <v>14</v>
      </c>
      <c r="B1079" s="135" t="s">
        <v>110</v>
      </c>
      <c r="C1079" s="134">
        <v>145</v>
      </c>
      <c r="D1079" s="138" t="s">
        <v>82</v>
      </c>
      <c r="E1079" s="138" t="s">
        <v>714</v>
      </c>
      <c r="F1079" s="135" t="s">
        <v>620</v>
      </c>
      <c r="G1079" s="274">
        <v>9</v>
      </c>
      <c r="H1079" s="261">
        <v>18519</v>
      </c>
      <c r="I1079" s="261">
        <v>166667</v>
      </c>
      <c r="J1079" s="261">
        <v>0</v>
      </c>
      <c r="K1079" s="261">
        <f t="shared" si="32"/>
        <v>166667</v>
      </c>
      <c r="L1079" s="261">
        <v>13333</v>
      </c>
      <c r="M1079" s="261">
        <f t="shared" si="33"/>
        <v>180000</v>
      </c>
      <c r="N1079" s="137">
        <v>3.8600000000000002E-2</v>
      </c>
    </row>
    <row r="1080" spans="1:14" ht="18" customHeight="1">
      <c r="A1080" s="134">
        <v>14</v>
      </c>
      <c r="B1080" s="135" t="s">
        <v>110</v>
      </c>
      <c r="C1080" s="134">
        <v>111</v>
      </c>
      <c r="D1080" s="138" t="s">
        <v>82</v>
      </c>
      <c r="E1080" s="138" t="s">
        <v>727</v>
      </c>
      <c r="F1080" s="135" t="s">
        <v>620</v>
      </c>
      <c r="G1080" s="274">
        <v>1</v>
      </c>
      <c r="H1080" s="261">
        <v>6481</v>
      </c>
      <c r="I1080" s="261">
        <v>6481</v>
      </c>
      <c r="J1080" s="261">
        <v>0</v>
      </c>
      <c r="K1080" s="261">
        <f t="shared" si="32"/>
        <v>6481</v>
      </c>
      <c r="L1080" s="261">
        <v>519</v>
      </c>
      <c r="M1080" s="261">
        <f t="shared" si="33"/>
        <v>7000</v>
      </c>
      <c r="N1080" s="137">
        <v>1.5E-3</v>
      </c>
    </row>
    <row r="1081" spans="1:14" ht="18" customHeight="1">
      <c r="A1081" s="134">
        <v>14</v>
      </c>
      <c r="B1081" s="135" t="s">
        <v>110</v>
      </c>
      <c r="C1081" s="134">
        <v>86</v>
      </c>
      <c r="D1081" s="138" t="s">
        <v>90</v>
      </c>
      <c r="E1081" s="138" t="s">
        <v>658</v>
      </c>
      <c r="F1081" s="135" t="s">
        <v>620</v>
      </c>
      <c r="G1081" s="274">
        <v>11</v>
      </c>
      <c r="H1081" s="261">
        <v>3241</v>
      </c>
      <c r="I1081" s="261">
        <v>35648</v>
      </c>
      <c r="J1081" s="261">
        <v>0</v>
      </c>
      <c r="K1081" s="261">
        <f t="shared" si="32"/>
        <v>35648</v>
      </c>
      <c r="L1081" s="261">
        <v>2852</v>
      </c>
      <c r="M1081" s="261">
        <f t="shared" si="33"/>
        <v>38500</v>
      </c>
      <c r="N1081" s="137">
        <v>8.199999999999999E-3</v>
      </c>
    </row>
    <row r="1082" spans="1:14" ht="18" customHeight="1">
      <c r="A1082" s="134">
        <v>14</v>
      </c>
      <c r="B1082" s="135" t="s">
        <v>110</v>
      </c>
      <c r="C1082" s="134">
        <v>80</v>
      </c>
      <c r="D1082" s="138" t="s">
        <v>90</v>
      </c>
      <c r="E1082" s="138" t="s">
        <v>659</v>
      </c>
      <c r="F1082" s="135" t="s">
        <v>620</v>
      </c>
      <c r="G1082" s="274">
        <v>0</v>
      </c>
      <c r="H1082" s="261">
        <v>0</v>
      </c>
      <c r="I1082" s="261">
        <v>0</v>
      </c>
      <c r="J1082" s="261">
        <v>0</v>
      </c>
      <c r="K1082" s="261">
        <f t="shared" si="32"/>
        <v>0</v>
      </c>
      <c r="L1082" s="261">
        <v>0</v>
      </c>
      <c r="M1082" s="261">
        <f t="shared" si="33"/>
        <v>0</v>
      </c>
      <c r="N1082" s="137">
        <v>0</v>
      </c>
    </row>
    <row r="1083" spans="1:14" ht="18" customHeight="1">
      <c r="A1083" s="134">
        <v>14</v>
      </c>
      <c r="B1083" s="135" t="s">
        <v>110</v>
      </c>
      <c r="C1083" s="134">
        <v>163</v>
      </c>
      <c r="D1083" s="138" t="s">
        <v>90</v>
      </c>
      <c r="E1083" s="138" t="s">
        <v>756</v>
      </c>
      <c r="F1083" s="135" t="s">
        <v>620</v>
      </c>
      <c r="G1083" s="274">
        <v>4</v>
      </c>
      <c r="H1083" s="261">
        <v>6481</v>
      </c>
      <c r="I1083" s="261">
        <v>25926</v>
      </c>
      <c r="J1083" s="261">
        <v>0</v>
      </c>
      <c r="K1083" s="261">
        <f t="shared" si="32"/>
        <v>25926</v>
      </c>
      <c r="L1083" s="261">
        <v>2074</v>
      </c>
      <c r="M1083" s="261">
        <f t="shared" si="33"/>
        <v>28000</v>
      </c>
      <c r="N1083" s="137">
        <v>6.0000000000000001E-3</v>
      </c>
    </row>
    <row r="1084" spans="1:14" ht="18" customHeight="1">
      <c r="A1084" s="134">
        <v>14</v>
      </c>
      <c r="B1084" s="135" t="s">
        <v>110</v>
      </c>
      <c r="C1084" s="134">
        <v>79</v>
      </c>
      <c r="D1084" s="138" t="s">
        <v>90</v>
      </c>
      <c r="E1084" s="138" t="s">
        <v>661</v>
      </c>
      <c r="F1084" s="135" t="s">
        <v>620</v>
      </c>
      <c r="G1084" s="274">
        <v>3</v>
      </c>
      <c r="H1084" s="261">
        <v>6481</v>
      </c>
      <c r="I1084" s="261">
        <v>19444</v>
      </c>
      <c r="J1084" s="261">
        <v>0</v>
      </c>
      <c r="K1084" s="261">
        <f t="shared" si="32"/>
        <v>19444</v>
      </c>
      <c r="L1084" s="261">
        <v>1556</v>
      </c>
      <c r="M1084" s="261">
        <f t="shared" si="33"/>
        <v>21000</v>
      </c>
      <c r="N1084" s="137">
        <v>4.5000000000000014E-3</v>
      </c>
    </row>
    <row r="1085" spans="1:14" ht="18" customHeight="1">
      <c r="A1085" s="134">
        <v>14</v>
      </c>
      <c r="B1085" s="135" t="s">
        <v>110</v>
      </c>
      <c r="C1085" s="134">
        <v>62</v>
      </c>
      <c r="D1085" s="138" t="s">
        <v>90</v>
      </c>
      <c r="E1085" s="138" t="s">
        <v>662</v>
      </c>
      <c r="F1085" s="135" t="s">
        <v>620</v>
      </c>
      <c r="G1085" s="274">
        <v>8</v>
      </c>
      <c r="H1085" s="261">
        <v>6944</v>
      </c>
      <c r="I1085" s="261">
        <v>55556</v>
      </c>
      <c r="J1085" s="261">
        <v>0</v>
      </c>
      <c r="K1085" s="261">
        <f t="shared" si="32"/>
        <v>55556</v>
      </c>
      <c r="L1085" s="261">
        <v>4444</v>
      </c>
      <c r="M1085" s="261">
        <f t="shared" si="33"/>
        <v>60000</v>
      </c>
      <c r="N1085" s="137">
        <v>1.29E-2</v>
      </c>
    </row>
    <row r="1086" spans="1:14" ht="18" customHeight="1">
      <c r="A1086" s="134">
        <v>14</v>
      </c>
      <c r="B1086" s="135" t="s">
        <v>110</v>
      </c>
      <c r="C1086" s="134">
        <v>84</v>
      </c>
      <c r="D1086" s="138" t="s">
        <v>90</v>
      </c>
      <c r="E1086" s="138" t="s">
        <v>664</v>
      </c>
      <c r="F1086" s="135" t="s">
        <v>620</v>
      </c>
      <c r="G1086" s="274">
        <v>14</v>
      </c>
      <c r="H1086" s="261">
        <v>7407</v>
      </c>
      <c r="I1086" s="261">
        <v>103704</v>
      </c>
      <c r="J1086" s="261">
        <v>0</v>
      </c>
      <c r="K1086" s="261">
        <f t="shared" si="32"/>
        <v>103704</v>
      </c>
      <c r="L1086" s="261">
        <v>8296</v>
      </c>
      <c r="M1086" s="261">
        <f t="shared" si="33"/>
        <v>112000</v>
      </c>
      <c r="N1086" s="137">
        <v>2.4E-2</v>
      </c>
    </row>
    <row r="1087" spans="1:14" ht="18" customHeight="1">
      <c r="A1087" s="134">
        <v>14</v>
      </c>
      <c r="B1087" s="135" t="s">
        <v>110</v>
      </c>
      <c r="C1087" s="134">
        <v>137</v>
      </c>
      <c r="D1087" s="138" t="s">
        <v>90</v>
      </c>
      <c r="E1087" s="138" t="s">
        <v>692</v>
      </c>
      <c r="F1087" s="135" t="s">
        <v>620</v>
      </c>
      <c r="G1087" s="274">
        <v>15</v>
      </c>
      <c r="H1087" s="261">
        <v>6481</v>
      </c>
      <c r="I1087" s="261">
        <v>97222</v>
      </c>
      <c r="J1087" s="261">
        <v>0</v>
      </c>
      <c r="K1087" s="261">
        <f t="shared" si="32"/>
        <v>97222</v>
      </c>
      <c r="L1087" s="261">
        <v>7778</v>
      </c>
      <c r="M1087" s="261">
        <f t="shared" si="33"/>
        <v>105000</v>
      </c>
      <c r="N1087" s="137">
        <v>2.2499999999999999E-2</v>
      </c>
    </row>
    <row r="1088" spans="1:14" ht="18" customHeight="1">
      <c r="A1088" s="134">
        <v>14</v>
      </c>
      <c r="B1088" s="135" t="s">
        <v>110</v>
      </c>
      <c r="C1088" s="134">
        <v>229</v>
      </c>
      <c r="D1088" s="138" t="s">
        <v>82</v>
      </c>
      <c r="E1088" s="138" t="s">
        <v>732</v>
      </c>
      <c r="F1088" s="135" t="s">
        <v>620</v>
      </c>
      <c r="G1088" s="274">
        <v>1</v>
      </c>
      <c r="H1088" s="261">
        <v>66204</v>
      </c>
      <c r="I1088" s="261">
        <v>66204</v>
      </c>
      <c r="J1088" s="261">
        <v>0</v>
      </c>
      <c r="K1088" s="261">
        <f t="shared" si="32"/>
        <v>66204</v>
      </c>
      <c r="L1088" s="261">
        <v>5296</v>
      </c>
      <c r="M1088" s="261">
        <f t="shared" si="33"/>
        <v>71500</v>
      </c>
      <c r="N1088" s="137">
        <v>1.5299999999999999E-2</v>
      </c>
    </row>
    <row r="1089" spans="1:14" ht="18" customHeight="1">
      <c r="A1089" s="134">
        <v>14</v>
      </c>
      <c r="B1089" s="135" t="s">
        <v>110</v>
      </c>
      <c r="C1089" s="134">
        <v>120</v>
      </c>
      <c r="D1089" s="138" t="s">
        <v>88</v>
      </c>
      <c r="E1089" s="138" t="s">
        <v>668</v>
      </c>
      <c r="F1089" s="135" t="s">
        <v>620</v>
      </c>
      <c r="G1089" s="274">
        <v>1</v>
      </c>
      <c r="H1089" s="261">
        <v>41667</v>
      </c>
      <c r="I1089" s="261">
        <v>41667</v>
      </c>
      <c r="J1089" s="261">
        <v>0</v>
      </c>
      <c r="K1089" s="261">
        <f t="shared" si="32"/>
        <v>41667</v>
      </c>
      <c r="L1089" s="261">
        <v>3333</v>
      </c>
      <c r="M1089" s="261">
        <f t="shared" si="33"/>
        <v>45000</v>
      </c>
      <c r="N1089" s="137">
        <v>9.5999999999999992E-3</v>
      </c>
    </row>
    <row r="1090" spans="1:14" ht="18" customHeight="1">
      <c r="A1090" s="134">
        <v>14</v>
      </c>
      <c r="B1090" s="135" t="s">
        <v>110</v>
      </c>
      <c r="C1090" s="134">
        <v>129</v>
      </c>
      <c r="D1090" s="138" t="s">
        <v>88</v>
      </c>
      <c r="E1090" s="138" t="s">
        <v>669</v>
      </c>
      <c r="F1090" s="135" t="s">
        <v>620</v>
      </c>
      <c r="G1090" s="274">
        <v>1</v>
      </c>
      <c r="H1090" s="261">
        <v>44444</v>
      </c>
      <c r="I1090" s="261">
        <v>44444</v>
      </c>
      <c r="J1090" s="261">
        <v>0</v>
      </c>
      <c r="K1090" s="261">
        <f t="shared" ref="K1090:K1153" si="34">I1090-J1090</f>
        <v>44444</v>
      </c>
      <c r="L1090" s="261">
        <v>3556</v>
      </c>
      <c r="M1090" s="261">
        <f t="shared" ref="M1090:M1153" si="35">K1090+L1090</f>
        <v>48000</v>
      </c>
      <c r="N1090" s="137">
        <v>1.03E-2</v>
      </c>
    </row>
    <row r="1091" spans="1:14" ht="18" customHeight="1">
      <c r="A1091" s="134">
        <v>14</v>
      </c>
      <c r="B1091" s="135" t="s">
        <v>110</v>
      </c>
      <c r="C1091" s="134">
        <v>117</v>
      </c>
      <c r="D1091" s="138" t="s">
        <v>82</v>
      </c>
      <c r="E1091" s="138" t="s">
        <v>115</v>
      </c>
      <c r="F1091" s="135" t="s">
        <v>620</v>
      </c>
      <c r="G1091" s="274">
        <v>1</v>
      </c>
      <c r="H1091" s="261">
        <v>41667</v>
      </c>
      <c r="I1091" s="261">
        <v>41667</v>
      </c>
      <c r="J1091" s="261">
        <v>0</v>
      </c>
      <c r="K1091" s="261">
        <f t="shared" si="34"/>
        <v>41667</v>
      </c>
      <c r="L1091" s="261">
        <v>3333</v>
      </c>
      <c r="M1091" s="261">
        <f t="shared" si="35"/>
        <v>45000</v>
      </c>
      <c r="N1091" s="137">
        <v>9.5999999999999992E-3</v>
      </c>
    </row>
    <row r="1092" spans="1:14" ht="18" customHeight="1">
      <c r="A1092" s="134">
        <v>14</v>
      </c>
      <c r="B1092" s="135" t="s">
        <v>110</v>
      </c>
      <c r="C1092" s="134">
        <v>28</v>
      </c>
      <c r="D1092" s="138" t="s">
        <v>82</v>
      </c>
      <c r="E1092" s="138" t="s">
        <v>370</v>
      </c>
      <c r="F1092" s="135" t="s">
        <v>620</v>
      </c>
      <c r="G1092" s="274">
        <v>20</v>
      </c>
      <c r="H1092" s="261">
        <v>19074</v>
      </c>
      <c r="I1092" s="261">
        <v>381481</v>
      </c>
      <c r="J1092" s="261">
        <v>0</v>
      </c>
      <c r="K1092" s="261">
        <f t="shared" si="34"/>
        <v>381481</v>
      </c>
      <c r="L1092" s="261">
        <v>30519</v>
      </c>
      <c r="M1092" s="261">
        <f t="shared" si="35"/>
        <v>412000</v>
      </c>
      <c r="N1092" s="137">
        <v>8.8200000000000001E-2</v>
      </c>
    </row>
    <row r="1093" spans="1:14" ht="18" customHeight="1">
      <c r="A1093" s="134">
        <v>14</v>
      </c>
      <c r="B1093" s="135" t="s">
        <v>110</v>
      </c>
      <c r="C1093" s="134">
        <v>36</v>
      </c>
      <c r="D1093" s="138" t="s">
        <v>86</v>
      </c>
      <c r="E1093" s="138" t="s">
        <v>670</v>
      </c>
      <c r="F1093" s="135" t="s">
        <v>620</v>
      </c>
      <c r="G1093" s="274">
        <v>1</v>
      </c>
      <c r="H1093" s="261">
        <v>3704</v>
      </c>
      <c r="I1093" s="261">
        <v>3704</v>
      </c>
      <c r="J1093" s="261">
        <v>0</v>
      </c>
      <c r="K1093" s="261">
        <f t="shared" si="34"/>
        <v>3704</v>
      </c>
      <c r="L1093" s="261">
        <v>296</v>
      </c>
      <c r="M1093" s="261">
        <f t="shared" si="35"/>
        <v>4000</v>
      </c>
      <c r="N1093" s="137">
        <v>8.9999999999999998E-4</v>
      </c>
    </row>
    <row r="1094" spans="1:14" ht="18" customHeight="1">
      <c r="A1094" s="134">
        <v>14</v>
      </c>
      <c r="B1094" s="135" t="s">
        <v>110</v>
      </c>
      <c r="C1094" s="134">
        <v>61</v>
      </c>
      <c r="D1094" s="138" t="s">
        <v>92</v>
      </c>
      <c r="E1094" s="138" t="s">
        <v>671</v>
      </c>
      <c r="F1094" s="135" t="s">
        <v>620</v>
      </c>
      <c r="G1094" s="274">
        <v>13</v>
      </c>
      <c r="H1094" s="261">
        <v>4630</v>
      </c>
      <c r="I1094" s="261">
        <v>60185</v>
      </c>
      <c r="J1094" s="261">
        <v>0</v>
      </c>
      <c r="K1094" s="261">
        <f t="shared" si="34"/>
        <v>60185</v>
      </c>
      <c r="L1094" s="261">
        <v>4815</v>
      </c>
      <c r="M1094" s="261">
        <f t="shared" si="35"/>
        <v>65000</v>
      </c>
      <c r="N1094" s="137">
        <v>1.3899999999999999E-2</v>
      </c>
    </row>
    <row r="1095" spans="1:14" ht="18" customHeight="1">
      <c r="A1095" s="134">
        <v>14</v>
      </c>
      <c r="B1095" s="135" t="s">
        <v>110</v>
      </c>
      <c r="C1095" s="134">
        <v>215</v>
      </c>
      <c r="D1095" s="138" t="s">
        <v>82</v>
      </c>
      <c r="E1095" s="138" t="s">
        <v>127</v>
      </c>
      <c r="F1095" s="135" t="s">
        <v>620</v>
      </c>
      <c r="G1095" s="274">
        <v>4</v>
      </c>
      <c r="H1095" s="261">
        <v>37500</v>
      </c>
      <c r="I1095" s="261">
        <v>150000</v>
      </c>
      <c r="J1095" s="261">
        <v>0</v>
      </c>
      <c r="K1095" s="261">
        <f t="shared" si="34"/>
        <v>150000</v>
      </c>
      <c r="L1095" s="261">
        <v>12000</v>
      </c>
      <c r="M1095" s="261">
        <f t="shared" si="35"/>
        <v>162000</v>
      </c>
      <c r="N1095" s="137">
        <v>3.4700000000000002E-2</v>
      </c>
    </row>
    <row r="1096" spans="1:14" ht="18" customHeight="1">
      <c r="A1096" s="134">
        <v>14</v>
      </c>
      <c r="B1096" s="135" t="s">
        <v>110</v>
      </c>
      <c r="C1096" s="134">
        <v>113</v>
      </c>
      <c r="D1096" s="138" t="s">
        <v>84</v>
      </c>
      <c r="E1096" s="138" t="s">
        <v>130</v>
      </c>
      <c r="F1096" s="135" t="s">
        <v>620</v>
      </c>
      <c r="G1096" s="274">
        <v>6</v>
      </c>
      <c r="H1096" s="261">
        <v>22222</v>
      </c>
      <c r="I1096" s="261">
        <v>133333</v>
      </c>
      <c r="J1096" s="261">
        <v>0</v>
      </c>
      <c r="K1096" s="261">
        <f t="shared" si="34"/>
        <v>133333</v>
      </c>
      <c r="L1096" s="261">
        <v>10667</v>
      </c>
      <c r="M1096" s="261">
        <f t="shared" si="35"/>
        <v>144000</v>
      </c>
      <c r="N1096" s="137">
        <v>3.0800000000000001E-2</v>
      </c>
    </row>
    <row r="1097" spans="1:14" ht="18" customHeight="1">
      <c r="A1097" s="134">
        <v>14</v>
      </c>
      <c r="B1097" s="135" t="s">
        <v>110</v>
      </c>
      <c r="C1097" s="134">
        <v>96</v>
      </c>
      <c r="D1097" s="138" t="s">
        <v>88</v>
      </c>
      <c r="E1097" s="138" t="s">
        <v>695</v>
      </c>
      <c r="F1097" s="135" t="s">
        <v>620</v>
      </c>
      <c r="G1097" s="274">
        <v>2</v>
      </c>
      <c r="H1097" s="261">
        <v>35648</v>
      </c>
      <c r="I1097" s="261">
        <v>71296</v>
      </c>
      <c r="J1097" s="261">
        <v>0</v>
      </c>
      <c r="K1097" s="261">
        <f t="shared" si="34"/>
        <v>71296</v>
      </c>
      <c r="L1097" s="261">
        <v>5704</v>
      </c>
      <c r="M1097" s="261">
        <f t="shared" si="35"/>
        <v>77000</v>
      </c>
      <c r="N1097" s="137">
        <v>1.6500000000000001E-2</v>
      </c>
    </row>
    <row r="1098" spans="1:14" ht="18" customHeight="1">
      <c r="A1098" s="134">
        <v>14</v>
      </c>
      <c r="B1098" s="135" t="s">
        <v>110</v>
      </c>
      <c r="C1098" s="134">
        <v>33</v>
      </c>
      <c r="D1098" s="138" t="s">
        <v>86</v>
      </c>
      <c r="E1098" s="138" t="s">
        <v>673</v>
      </c>
      <c r="F1098" s="135" t="s">
        <v>620</v>
      </c>
      <c r="G1098" s="274">
        <v>3</v>
      </c>
      <c r="H1098" s="261">
        <v>1852</v>
      </c>
      <c r="I1098" s="261">
        <v>5556</v>
      </c>
      <c r="J1098" s="261">
        <v>0</v>
      </c>
      <c r="K1098" s="261">
        <f t="shared" si="34"/>
        <v>5556</v>
      </c>
      <c r="L1098" s="261">
        <v>444</v>
      </c>
      <c r="M1098" s="261">
        <f t="shared" si="35"/>
        <v>6000</v>
      </c>
      <c r="N1098" s="137">
        <v>1.2999999999999999E-3</v>
      </c>
    </row>
    <row r="1099" spans="1:14" ht="18" customHeight="1">
      <c r="A1099" s="134">
        <v>14</v>
      </c>
      <c r="B1099" s="135" t="s">
        <v>110</v>
      </c>
      <c r="C1099" s="134">
        <v>67</v>
      </c>
      <c r="D1099" s="138" t="s">
        <v>88</v>
      </c>
      <c r="E1099" s="138" t="s">
        <v>674</v>
      </c>
      <c r="F1099" s="135" t="s">
        <v>620</v>
      </c>
      <c r="G1099" s="274">
        <v>1</v>
      </c>
      <c r="H1099" s="261">
        <v>41667</v>
      </c>
      <c r="I1099" s="261">
        <v>41667</v>
      </c>
      <c r="J1099" s="261">
        <v>0</v>
      </c>
      <c r="K1099" s="261">
        <f t="shared" si="34"/>
        <v>41667</v>
      </c>
      <c r="L1099" s="261">
        <v>3333</v>
      </c>
      <c r="M1099" s="261">
        <f t="shared" si="35"/>
        <v>45000</v>
      </c>
      <c r="N1099" s="137">
        <v>9.5999999999999992E-3</v>
      </c>
    </row>
    <row r="1100" spans="1:14" ht="18" customHeight="1">
      <c r="A1100" s="134">
        <v>14</v>
      </c>
      <c r="B1100" s="135" t="s">
        <v>110</v>
      </c>
      <c r="C1100" s="134">
        <v>39</v>
      </c>
      <c r="D1100" s="138" t="s">
        <v>86</v>
      </c>
      <c r="E1100" s="138" t="s">
        <v>697</v>
      </c>
      <c r="F1100" s="135" t="s">
        <v>620</v>
      </c>
      <c r="G1100" s="274">
        <v>2</v>
      </c>
      <c r="H1100" s="261">
        <v>3333</v>
      </c>
      <c r="I1100" s="261">
        <v>6667</v>
      </c>
      <c r="J1100" s="261">
        <v>0</v>
      </c>
      <c r="K1100" s="261">
        <f t="shared" si="34"/>
        <v>6667</v>
      </c>
      <c r="L1100" s="261">
        <v>533</v>
      </c>
      <c r="M1100" s="261">
        <f t="shared" si="35"/>
        <v>7200</v>
      </c>
      <c r="N1100" s="137">
        <v>1.5E-3</v>
      </c>
    </row>
  </sheetData>
  <autoFilter ref="A1:N110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01"/>
  <sheetViews>
    <sheetView zoomScaleNormal="100" workbookViewId="0">
      <selection activeCell="H1" sqref="H1"/>
    </sheetView>
  </sheetViews>
  <sheetFormatPr baseColWidth="10" defaultRowHeight="15"/>
  <cols>
    <col min="1" max="1" width="8" style="3" customWidth="1"/>
    <col min="2" max="2" width="15" style="3" bestFit="1" customWidth="1"/>
    <col min="3" max="3" width="43" style="3" bestFit="1" customWidth="1"/>
    <col min="4" max="4" width="71.5703125" style="3" bestFit="1" customWidth="1"/>
    <col min="5" max="5" width="12" style="4" bestFit="1" customWidth="1"/>
    <col min="6" max="6" width="16" style="217" bestFit="1" customWidth="1"/>
    <col min="7" max="7" width="18" style="217" bestFit="1" customWidth="1"/>
    <col min="8" max="8" width="40.140625" style="97" bestFit="1" customWidth="1"/>
    <col min="9" max="9" width="34" style="236" customWidth="1"/>
    <col min="10" max="10" width="15" style="236" customWidth="1"/>
  </cols>
  <sheetData>
    <row r="1" spans="1:10">
      <c r="A1" s="32" t="s">
        <v>42</v>
      </c>
      <c r="B1" s="32" t="s">
        <v>105</v>
      </c>
      <c r="C1" s="32" t="s">
        <v>757</v>
      </c>
      <c r="D1" s="32" t="s">
        <v>421</v>
      </c>
      <c r="E1" s="32" t="s">
        <v>758</v>
      </c>
      <c r="F1" s="32" t="s">
        <v>184</v>
      </c>
      <c r="G1" s="32" t="s">
        <v>759</v>
      </c>
      <c r="H1" s="93" t="s">
        <v>180</v>
      </c>
      <c r="I1" s="108" t="s">
        <v>760</v>
      </c>
      <c r="J1" s="108" t="s">
        <v>761</v>
      </c>
    </row>
    <row r="2" spans="1:10" s="130" customFormat="1">
      <c r="A2" s="46">
        <v>1</v>
      </c>
      <c r="B2" s="44" t="s">
        <v>762</v>
      </c>
      <c r="C2" s="44" t="s">
        <v>187</v>
      </c>
      <c r="D2" s="44" t="s">
        <v>188</v>
      </c>
      <c r="E2" s="45">
        <v>4.7549999999999999</v>
      </c>
      <c r="F2" s="275">
        <v>7900</v>
      </c>
      <c r="G2" s="275">
        <v>37565</v>
      </c>
      <c r="H2" s="44" t="s">
        <v>186</v>
      </c>
      <c r="I2" s="105" t="s">
        <v>763</v>
      </c>
    </row>
    <row r="3" spans="1:10">
      <c r="A3" s="46">
        <v>1</v>
      </c>
      <c r="B3" s="44" t="s">
        <v>762</v>
      </c>
      <c r="C3" s="44" t="s">
        <v>187</v>
      </c>
      <c r="D3" s="44" t="s">
        <v>188</v>
      </c>
      <c r="E3" s="45">
        <v>3.3650000000000002</v>
      </c>
      <c r="F3" s="276">
        <v>8915.2999999999993</v>
      </c>
      <c r="G3" s="276">
        <v>30000</v>
      </c>
      <c r="H3" s="44" t="s">
        <v>186</v>
      </c>
      <c r="I3" s="105" t="s">
        <v>763</v>
      </c>
    </row>
    <row r="4" spans="1:10">
      <c r="A4" s="46">
        <v>1</v>
      </c>
      <c r="B4" s="44" t="s">
        <v>635</v>
      </c>
      <c r="C4" s="44" t="s">
        <v>764</v>
      </c>
      <c r="D4" s="44" t="s">
        <v>765</v>
      </c>
      <c r="E4" s="45">
        <v>1</v>
      </c>
      <c r="F4" s="276">
        <v>14900</v>
      </c>
      <c r="G4" s="276">
        <v>14900</v>
      </c>
      <c r="H4" s="44" t="s">
        <v>186</v>
      </c>
      <c r="I4" s="105" t="s">
        <v>763</v>
      </c>
    </row>
    <row r="5" spans="1:10">
      <c r="A5" s="46">
        <v>1</v>
      </c>
      <c r="B5" s="44" t="s">
        <v>766</v>
      </c>
      <c r="C5" s="44" t="s">
        <v>767</v>
      </c>
      <c r="D5" s="44" t="s">
        <v>768</v>
      </c>
      <c r="E5" s="45">
        <v>8</v>
      </c>
      <c r="F5" s="276">
        <v>6800</v>
      </c>
      <c r="G5" s="276">
        <v>54400</v>
      </c>
      <c r="H5" s="44" t="s">
        <v>769</v>
      </c>
      <c r="I5" s="105" t="s">
        <v>763</v>
      </c>
    </row>
    <row r="6" spans="1:10">
      <c r="A6" s="46">
        <v>1</v>
      </c>
      <c r="B6" s="44" t="s">
        <v>770</v>
      </c>
      <c r="C6" s="44" t="s">
        <v>771</v>
      </c>
      <c r="D6" s="44" t="s">
        <v>772</v>
      </c>
      <c r="E6" s="45">
        <v>100</v>
      </c>
      <c r="F6" s="276">
        <v>150</v>
      </c>
      <c r="G6" s="276">
        <v>15000</v>
      </c>
      <c r="H6" s="44" t="s">
        <v>773</v>
      </c>
      <c r="I6" s="105" t="s">
        <v>763</v>
      </c>
    </row>
    <row r="7" spans="1:10">
      <c r="A7" s="46">
        <v>1</v>
      </c>
      <c r="B7" s="44" t="s">
        <v>762</v>
      </c>
      <c r="C7" s="44" t="s">
        <v>190</v>
      </c>
      <c r="D7" s="44" t="s">
        <v>191</v>
      </c>
      <c r="E7" s="45">
        <v>20</v>
      </c>
      <c r="F7" s="276">
        <v>16500</v>
      </c>
      <c r="G7" s="276">
        <v>330000</v>
      </c>
      <c r="H7" s="44" t="s">
        <v>189</v>
      </c>
      <c r="I7" s="105" t="s">
        <v>763</v>
      </c>
    </row>
    <row r="8" spans="1:10">
      <c r="A8" s="46">
        <v>1</v>
      </c>
      <c r="B8" s="44" t="s">
        <v>762</v>
      </c>
      <c r="C8" s="44" t="s">
        <v>193</v>
      </c>
      <c r="D8" s="44" t="s">
        <v>194</v>
      </c>
      <c r="E8" s="45">
        <v>4.58</v>
      </c>
      <c r="F8" s="276">
        <v>18500</v>
      </c>
      <c r="G8" s="276">
        <v>84730</v>
      </c>
      <c r="H8" s="44" t="s">
        <v>192</v>
      </c>
      <c r="I8" s="105" t="s">
        <v>763</v>
      </c>
    </row>
    <row r="9" spans="1:10">
      <c r="A9" s="46">
        <v>1</v>
      </c>
      <c r="B9" s="44" t="s">
        <v>762</v>
      </c>
      <c r="C9" s="44" t="s">
        <v>195</v>
      </c>
      <c r="D9" s="44" t="s">
        <v>196</v>
      </c>
      <c r="E9" s="45">
        <v>15.1</v>
      </c>
      <c r="F9" s="276">
        <v>18500</v>
      </c>
      <c r="G9" s="276">
        <v>279350</v>
      </c>
      <c r="H9" s="44" t="s">
        <v>192</v>
      </c>
      <c r="I9" s="106" t="s">
        <v>774</v>
      </c>
    </row>
    <row r="10" spans="1:10">
      <c r="A10" s="46">
        <v>1</v>
      </c>
      <c r="B10" s="44" t="s">
        <v>762</v>
      </c>
      <c r="C10" s="44" t="s">
        <v>198</v>
      </c>
      <c r="D10" s="44" t="s">
        <v>199</v>
      </c>
      <c r="E10" s="45">
        <v>9.8699999999999992</v>
      </c>
      <c r="F10" s="276">
        <v>55000</v>
      </c>
      <c r="G10" s="276">
        <v>542850</v>
      </c>
      <c r="H10" s="44" t="s">
        <v>197</v>
      </c>
      <c r="I10" s="105" t="s">
        <v>763</v>
      </c>
    </row>
    <row r="11" spans="1:10">
      <c r="A11" s="46">
        <v>1</v>
      </c>
      <c r="B11" s="44" t="s">
        <v>762</v>
      </c>
      <c r="C11" s="44" t="s">
        <v>200</v>
      </c>
      <c r="D11" s="44" t="s">
        <v>201</v>
      </c>
      <c r="E11" s="45">
        <v>19.809999999999999</v>
      </c>
      <c r="F11" s="276">
        <v>18000</v>
      </c>
      <c r="G11" s="276">
        <v>356580</v>
      </c>
      <c r="H11" s="44" t="s">
        <v>197</v>
      </c>
      <c r="I11" s="105" t="s">
        <v>763</v>
      </c>
    </row>
    <row r="12" spans="1:10">
      <c r="A12" s="46">
        <v>1</v>
      </c>
      <c r="B12" s="104" t="s">
        <v>775</v>
      </c>
      <c r="C12" s="104" t="s">
        <v>775</v>
      </c>
      <c r="D12" s="104" t="s">
        <v>775</v>
      </c>
      <c r="E12" s="45">
        <v>1</v>
      </c>
      <c r="F12" s="276">
        <v>12243950</v>
      </c>
      <c r="G12" s="276">
        <v>12243950</v>
      </c>
      <c r="H12" s="104" t="s">
        <v>775</v>
      </c>
      <c r="I12" s="105" t="s">
        <v>763</v>
      </c>
    </row>
    <row r="13" spans="1:10">
      <c r="A13" s="46">
        <v>1</v>
      </c>
      <c r="B13" s="44" t="s">
        <v>635</v>
      </c>
      <c r="C13" s="44" t="s">
        <v>589</v>
      </c>
      <c r="D13" s="44" t="s">
        <v>776</v>
      </c>
      <c r="E13" s="45">
        <v>2</v>
      </c>
      <c r="F13" s="276">
        <v>9500</v>
      </c>
      <c r="G13" s="276">
        <v>19000</v>
      </c>
      <c r="H13" s="44" t="s">
        <v>777</v>
      </c>
      <c r="I13" s="105" t="s">
        <v>763</v>
      </c>
    </row>
    <row r="14" spans="1:10">
      <c r="A14" s="46">
        <v>1</v>
      </c>
      <c r="B14" s="44" t="s">
        <v>635</v>
      </c>
      <c r="C14" s="44" t="s">
        <v>778</v>
      </c>
      <c r="D14" s="44" t="s">
        <v>779</v>
      </c>
      <c r="E14" s="45">
        <v>3</v>
      </c>
      <c r="F14" s="276">
        <v>5000</v>
      </c>
      <c r="G14" s="276">
        <v>15000</v>
      </c>
      <c r="H14" s="44" t="s">
        <v>777</v>
      </c>
      <c r="I14" s="105" t="s">
        <v>763</v>
      </c>
    </row>
    <row r="15" spans="1:10">
      <c r="A15" s="46">
        <v>1</v>
      </c>
      <c r="B15" s="44" t="s">
        <v>780</v>
      </c>
      <c r="C15" s="44" t="s">
        <v>781</v>
      </c>
      <c r="D15" s="44" t="s">
        <v>782</v>
      </c>
      <c r="E15" s="45">
        <v>1</v>
      </c>
      <c r="F15" s="276">
        <v>30000</v>
      </c>
      <c r="G15" s="276">
        <v>30000</v>
      </c>
      <c r="H15" s="44" t="s">
        <v>202</v>
      </c>
      <c r="I15" s="105" t="s">
        <v>763</v>
      </c>
    </row>
    <row r="16" spans="1:10">
      <c r="A16" s="46">
        <v>1</v>
      </c>
      <c r="B16" s="44" t="s">
        <v>780</v>
      </c>
      <c r="C16" s="44" t="s">
        <v>783</v>
      </c>
      <c r="D16" s="44" t="s">
        <v>784</v>
      </c>
      <c r="E16" s="45">
        <v>1</v>
      </c>
      <c r="F16" s="276">
        <v>100000</v>
      </c>
      <c r="G16" s="276">
        <v>100000</v>
      </c>
      <c r="H16" s="44" t="s">
        <v>202</v>
      </c>
      <c r="I16" s="105" t="s">
        <v>763</v>
      </c>
    </row>
    <row r="17" spans="1:10">
      <c r="A17" s="46">
        <v>1</v>
      </c>
      <c r="B17" s="44" t="s">
        <v>762</v>
      </c>
      <c r="C17" s="44" t="s">
        <v>200</v>
      </c>
      <c r="D17" s="44" t="s">
        <v>203</v>
      </c>
      <c r="E17" s="45">
        <v>6</v>
      </c>
      <c r="F17" s="276">
        <v>3666.67</v>
      </c>
      <c r="G17" s="276">
        <v>22000</v>
      </c>
      <c r="H17" s="44" t="s">
        <v>202</v>
      </c>
      <c r="I17" s="105" t="s">
        <v>763</v>
      </c>
    </row>
    <row r="18" spans="1:10">
      <c r="A18" s="46">
        <v>1</v>
      </c>
      <c r="B18" s="44" t="s">
        <v>86</v>
      </c>
      <c r="C18" s="44" t="s">
        <v>429</v>
      </c>
      <c r="D18" s="44" t="s">
        <v>430</v>
      </c>
      <c r="E18" s="45">
        <v>1</v>
      </c>
      <c r="F18" s="276">
        <v>92200</v>
      </c>
      <c r="G18" s="276">
        <v>92200</v>
      </c>
      <c r="H18" s="44" t="s">
        <v>428</v>
      </c>
      <c r="I18" s="105" t="s">
        <v>763</v>
      </c>
    </row>
    <row r="19" spans="1:10">
      <c r="A19" s="46">
        <v>1</v>
      </c>
      <c r="B19" s="44" t="s">
        <v>86</v>
      </c>
      <c r="C19" s="44" t="s">
        <v>431</v>
      </c>
      <c r="D19" s="44" t="s">
        <v>432</v>
      </c>
      <c r="E19" s="45">
        <v>1</v>
      </c>
      <c r="F19" s="276">
        <v>77500</v>
      </c>
      <c r="G19" s="276">
        <v>77500</v>
      </c>
      <c r="H19" s="44" t="s">
        <v>428</v>
      </c>
      <c r="I19" s="105" t="s">
        <v>763</v>
      </c>
    </row>
    <row r="20" spans="1:10">
      <c r="A20" s="46">
        <v>1</v>
      </c>
      <c r="B20" s="44" t="s">
        <v>86</v>
      </c>
      <c r="C20" s="44" t="s">
        <v>433</v>
      </c>
      <c r="D20" s="44" t="s">
        <v>434</v>
      </c>
      <c r="E20" s="45">
        <v>1</v>
      </c>
      <c r="F20" s="276">
        <v>93000</v>
      </c>
      <c r="G20" s="276">
        <v>93000</v>
      </c>
      <c r="H20" s="44" t="s">
        <v>428</v>
      </c>
      <c r="I20" s="105" t="s">
        <v>763</v>
      </c>
    </row>
    <row r="21" spans="1:10">
      <c r="A21" s="46">
        <v>1</v>
      </c>
      <c r="B21" s="44" t="s">
        <v>86</v>
      </c>
      <c r="C21" s="44" t="s">
        <v>435</v>
      </c>
      <c r="D21" s="44" t="s">
        <v>436</v>
      </c>
      <c r="E21" s="45">
        <v>2</v>
      </c>
      <c r="F21" s="276">
        <v>74500</v>
      </c>
      <c r="G21" s="276">
        <v>149000</v>
      </c>
      <c r="H21" s="44" t="s">
        <v>428</v>
      </c>
      <c r="I21" s="105" t="s">
        <v>763</v>
      </c>
    </row>
    <row r="22" spans="1:10">
      <c r="A22" s="46">
        <v>1</v>
      </c>
      <c r="B22" s="44" t="s">
        <v>766</v>
      </c>
      <c r="C22" s="44" t="s">
        <v>785</v>
      </c>
      <c r="D22" s="44" t="s">
        <v>786</v>
      </c>
      <c r="E22" s="45">
        <v>4</v>
      </c>
      <c r="F22" s="276">
        <v>19500</v>
      </c>
      <c r="G22" s="276">
        <v>78000</v>
      </c>
      <c r="H22" s="44" t="s">
        <v>204</v>
      </c>
      <c r="I22" s="105" t="s">
        <v>763</v>
      </c>
    </row>
    <row r="23" spans="1:10">
      <c r="A23" s="46">
        <v>1</v>
      </c>
      <c r="B23" s="44" t="s">
        <v>762</v>
      </c>
      <c r="C23" s="44" t="s">
        <v>205</v>
      </c>
      <c r="D23" s="44" t="s">
        <v>206</v>
      </c>
      <c r="E23" s="45">
        <v>28.6</v>
      </c>
      <c r="F23" s="276">
        <v>14900</v>
      </c>
      <c r="G23" s="276">
        <v>426140</v>
      </c>
      <c r="H23" s="44" t="s">
        <v>204</v>
      </c>
      <c r="I23" s="105" t="s">
        <v>763</v>
      </c>
    </row>
    <row r="24" spans="1:10">
      <c r="A24" s="46">
        <v>1</v>
      </c>
      <c r="B24" s="44" t="s">
        <v>762</v>
      </c>
      <c r="C24" s="44" t="s">
        <v>207</v>
      </c>
      <c r="D24" s="44" t="s">
        <v>208</v>
      </c>
      <c r="E24" s="45">
        <v>27.65</v>
      </c>
      <c r="F24" s="276">
        <v>23900</v>
      </c>
      <c r="G24" s="276">
        <v>660835</v>
      </c>
      <c r="H24" s="44" t="s">
        <v>204</v>
      </c>
      <c r="I24" s="105" t="s">
        <v>763</v>
      </c>
    </row>
    <row r="25" spans="1:10">
      <c r="A25" s="46">
        <v>1</v>
      </c>
      <c r="B25" s="44" t="s">
        <v>762</v>
      </c>
      <c r="C25" s="44" t="s">
        <v>209</v>
      </c>
      <c r="D25" s="44" t="s">
        <v>210</v>
      </c>
      <c r="E25" s="45">
        <v>28.7</v>
      </c>
      <c r="F25" s="276">
        <v>25900</v>
      </c>
      <c r="G25" s="276">
        <v>743330</v>
      </c>
      <c r="H25" s="44" t="s">
        <v>204</v>
      </c>
      <c r="I25" s="105" t="s">
        <v>763</v>
      </c>
    </row>
    <row r="26" spans="1:10">
      <c r="A26" s="46">
        <v>1</v>
      </c>
      <c r="B26" s="44" t="s">
        <v>762</v>
      </c>
      <c r="C26" s="44" t="s">
        <v>211</v>
      </c>
      <c r="D26" s="44" t="s">
        <v>212</v>
      </c>
      <c r="E26" s="45">
        <v>18.5</v>
      </c>
      <c r="F26" s="276">
        <v>34500</v>
      </c>
      <c r="G26" s="276">
        <v>638250</v>
      </c>
      <c r="H26" s="44" t="s">
        <v>204</v>
      </c>
      <c r="I26" s="105" t="s">
        <v>763</v>
      </c>
    </row>
    <row r="27" spans="1:10">
      <c r="A27" s="46">
        <v>1</v>
      </c>
      <c r="B27" s="44" t="s">
        <v>762</v>
      </c>
      <c r="C27" s="44" t="s">
        <v>214</v>
      </c>
      <c r="D27" s="44" t="s">
        <v>215</v>
      </c>
      <c r="E27" s="45">
        <v>90.35</v>
      </c>
      <c r="F27" s="276">
        <v>21900</v>
      </c>
      <c r="G27" s="276">
        <v>1978665</v>
      </c>
      <c r="H27" s="44" t="s">
        <v>213</v>
      </c>
      <c r="I27" s="105" t="s">
        <v>763</v>
      </c>
    </row>
    <row r="28" spans="1:10">
      <c r="A28" s="46">
        <v>1</v>
      </c>
      <c r="B28" s="44" t="s">
        <v>787</v>
      </c>
      <c r="C28" s="118" t="s">
        <v>788</v>
      </c>
      <c r="D28" s="118" t="s">
        <v>789</v>
      </c>
      <c r="E28" s="45">
        <v>1</v>
      </c>
      <c r="F28" s="218">
        <v>921345</v>
      </c>
      <c r="G28" s="276">
        <f>IF(AND(ISNUMBER(E28), ISNUMBER(F28), E28&gt;0, F28&gt;0), ROUND(E28*F28, 2), IF(ISNUMBER(F28), F28, ""))</f>
        <v>921345</v>
      </c>
      <c r="H28" s="121" t="s">
        <v>790</v>
      </c>
      <c r="I28" s="113" t="s">
        <v>763</v>
      </c>
      <c r="J28" s="114" t="s">
        <v>116</v>
      </c>
    </row>
    <row r="29" spans="1:10">
      <c r="A29" s="46">
        <v>2</v>
      </c>
      <c r="B29" s="44" t="s">
        <v>86</v>
      </c>
      <c r="C29" s="44" t="s">
        <v>439</v>
      </c>
      <c r="D29" s="44" t="s">
        <v>440</v>
      </c>
      <c r="E29" s="45">
        <v>2</v>
      </c>
      <c r="F29" s="276">
        <v>39000</v>
      </c>
      <c r="G29" s="276">
        <v>78000</v>
      </c>
      <c r="H29" s="44" t="s">
        <v>438</v>
      </c>
      <c r="I29" s="105" t="s">
        <v>763</v>
      </c>
    </row>
    <row r="30" spans="1:10">
      <c r="A30" s="46">
        <v>2</v>
      </c>
      <c r="B30" s="44" t="s">
        <v>86</v>
      </c>
      <c r="C30" s="44" t="s">
        <v>441</v>
      </c>
      <c r="D30" s="44" t="s">
        <v>442</v>
      </c>
      <c r="E30" s="45">
        <v>1</v>
      </c>
      <c r="F30" s="276">
        <v>32500</v>
      </c>
      <c r="G30" s="276">
        <v>32500</v>
      </c>
      <c r="H30" s="44" t="s">
        <v>438</v>
      </c>
      <c r="I30" s="105" t="s">
        <v>763</v>
      </c>
    </row>
    <row r="31" spans="1:10">
      <c r="A31" s="46">
        <v>2</v>
      </c>
      <c r="B31" s="44" t="s">
        <v>86</v>
      </c>
      <c r="C31" s="44" t="s">
        <v>443</v>
      </c>
      <c r="D31" s="44" t="s">
        <v>444</v>
      </c>
      <c r="E31" s="45">
        <v>1</v>
      </c>
      <c r="F31" s="276">
        <v>51600</v>
      </c>
      <c r="G31" s="276">
        <v>51600</v>
      </c>
      <c r="H31" s="44" t="s">
        <v>438</v>
      </c>
      <c r="I31" s="105" t="s">
        <v>763</v>
      </c>
    </row>
    <row r="32" spans="1:10">
      <c r="A32" s="46">
        <v>2</v>
      </c>
      <c r="B32" s="44" t="s">
        <v>635</v>
      </c>
      <c r="C32" s="44" t="s">
        <v>589</v>
      </c>
      <c r="D32" s="44" t="s">
        <v>791</v>
      </c>
      <c r="E32" s="45">
        <v>2</v>
      </c>
      <c r="F32" s="276">
        <v>9500</v>
      </c>
      <c r="G32" s="276">
        <v>19000</v>
      </c>
      <c r="H32" s="44" t="s">
        <v>792</v>
      </c>
      <c r="I32" s="105" t="s">
        <v>763</v>
      </c>
    </row>
    <row r="33" spans="1:9">
      <c r="A33" s="46">
        <v>2</v>
      </c>
      <c r="B33" s="44" t="s">
        <v>766</v>
      </c>
      <c r="C33" s="44" t="s">
        <v>767</v>
      </c>
      <c r="D33" s="44" t="s">
        <v>793</v>
      </c>
      <c r="E33" s="45">
        <v>19</v>
      </c>
      <c r="F33" s="276">
        <v>5263.16</v>
      </c>
      <c r="G33" s="276">
        <v>100000</v>
      </c>
      <c r="H33" s="44" t="s">
        <v>794</v>
      </c>
      <c r="I33" s="105" t="s">
        <v>763</v>
      </c>
    </row>
    <row r="34" spans="1:9">
      <c r="A34" s="46">
        <v>2</v>
      </c>
      <c r="B34" s="44" t="s">
        <v>780</v>
      </c>
      <c r="C34" s="44" t="s">
        <v>781</v>
      </c>
      <c r="D34" s="44" t="s">
        <v>795</v>
      </c>
      <c r="E34" s="45">
        <v>1</v>
      </c>
      <c r="F34" s="276">
        <v>30000</v>
      </c>
      <c r="G34" s="276">
        <v>30000</v>
      </c>
      <c r="H34" s="44" t="s">
        <v>794</v>
      </c>
      <c r="I34" s="105" t="s">
        <v>763</v>
      </c>
    </row>
    <row r="35" spans="1:9">
      <c r="A35" s="46">
        <v>2</v>
      </c>
      <c r="B35" s="44" t="s">
        <v>635</v>
      </c>
      <c r="C35" s="44" t="s">
        <v>651</v>
      </c>
      <c r="D35" s="44" t="s">
        <v>796</v>
      </c>
      <c r="E35" s="45">
        <v>1</v>
      </c>
      <c r="F35" s="276">
        <v>25000</v>
      </c>
      <c r="G35" s="276">
        <v>25000</v>
      </c>
      <c r="H35" s="44" t="s">
        <v>794</v>
      </c>
      <c r="I35" s="105" t="s">
        <v>763</v>
      </c>
    </row>
    <row r="36" spans="1:9">
      <c r="A36" s="46">
        <v>2</v>
      </c>
      <c r="B36" s="44" t="s">
        <v>635</v>
      </c>
      <c r="C36" s="44" t="s">
        <v>589</v>
      </c>
      <c r="D36" s="44" t="s">
        <v>797</v>
      </c>
      <c r="E36" s="45">
        <v>2</v>
      </c>
      <c r="F36" s="276">
        <v>9500</v>
      </c>
      <c r="G36" s="276">
        <v>19000</v>
      </c>
      <c r="H36" s="44" t="s">
        <v>798</v>
      </c>
      <c r="I36" s="105" t="s">
        <v>763</v>
      </c>
    </row>
    <row r="37" spans="1:9">
      <c r="A37" s="46">
        <v>2</v>
      </c>
      <c r="B37" s="44" t="s">
        <v>635</v>
      </c>
      <c r="C37" s="44" t="s">
        <v>778</v>
      </c>
      <c r="D37" s="44" t="s">
        <v>799</v>
      </c>
      <c r="E37" s="45">
        <v>2</v>
      </c>
      <c r="F37" s="276">
        <v>5000</v>
      </c>
      <c r="G37" s="276">
        <v>10000</v>
      </c>
      <c r="H37" s="44" t="s">
        <v>798</v>
      </c>
      <c r="I37" s="105" t="s">
        <v>763</v>
      </c>
    </row>
    <row r="38" spans="1:9">
      <c r="A38" s="46">
        <v>2</v>
      </c>
      <c r="B38" s="44" t="s">
        <v>770</v>
      </c>
      <c r="C38" s="44" t="s">
        <v>800</v>
      </c>
      <c r="D38" s="44" t="s">
        <v>801</v>
      </c>
      <c r="E38" s="45">
        <v>5</v>
      </c>
      <c r="F38" s="276">
        <v>3105.6</v>
      </c>
      <c r="G38" s="276">
        <v>15528</v>
      </c>
      <c r="H38" s="44" t="s">
        <v>802</v>
      </c>
      <c r="I38" s="106" t="s">
        <v>774</v>
      </c>
    </row>
    <row r="39" spans="1:9">
      <c r="A39" s="46">
        <v>2</v>
      </c>
      <c r="B39" s="44" t="s">
        <v>770</v>
      </c>
      <c r="C39" s="44" t="s">
        <v>800</v>
      </c>
      <c r="D39" s="44" t="s">
        <v>803</v>
      </c>
      <c r="E39" s="45">
        <v>5</v>
      </c>
      <c r="F39" s="276">
        <v>3105.6</v>
      </c>
      <c r="G39" s="276">
        <v>15528</v>
      </c>
      <c r="H39" s="44" t="s">
        <v>802</v>
      </c>
      <c r="I39" s="106" t="s">
        <v>774</v>
      </c>
    </row>
    <row r="40" spans="1:9">
      <c r="A40" s="46">
        <v>2</v>
      </c>
      <c r="B40" s="44" t="s">
        <v>770</v>
      </c>
      <c r="C40" s="44" t="s">
        <v>800</v>
      </c>
      <c r="D40" s="44" t="s">
        <v>804</v>
      </c>
      <c r="E40" s="45">
        <v>5</v>
      </c>
      <c r="F40" s="276">
        <v>1309</v>
      </c>
      <c r="G40" s="276">
        <v>6545</v>
      </c>
      <c r="H40" s="44" t="s">
        <v>802</v>
      </c>
      <c r="I40" s="106" t="s">
        <v>774</v>
      </c>
    </row>
    <row r="41" spans="1:9">
      <c r="A41" s="46">
        <v>2</v>
      </c>
      <c r="B41" s="44" t="s">
        <v>770</v>
      </c>
      <c r="C41" s="44" t="s">
        <v>800</v>
      </c>
      <c r="D41" s="44" t="s">
        <v>805</v>
      </c>
      <c r="E41" s="45">
        <v>5</v>
      </c>
      <c r="F41" s="276">
        <v>2570.4</v>
      </c>
      <c r="G41" s="276">
        <v>12852</v>
      </c>
      <c r="H41" s="44" t="s">
        <v>802</v>
      </c>
      <c r="I41" s="106" t="s">
        <v>774</v>
      </c>
    </row>
    <row r="42" spans="1:9">
      <c r="A42" s="46">
        <v>2</v>
      </c>
      <c r="B42" s="44" t="s">
        <v>770</v>
      </c>
      <c r="C42" s="44" t="s">
        <v>800</v>
      </c>
      <c r="D42" s="44" t="s">
        <v>806</v>
      </c>
      <c r="E42" s="45">
        <v>3</v>
      </c>
      <c r="F42" s="276">
        <v>3760.333333333333</v>
      </c>
      <c r="G42" s="276">
        <v>11281</v>
      </c>
      <c r="H42" s="44" t="s">
        <v>802</v>
      </c>
      <c r="I42" s="106" t="s">
        <v>774</v>
      </c>
    </row>
    <row r="43" spans="1:9">
      <c r="A43" s="46">
        <v>2</v>
      </c>
      <c r="B43" s="44" t="s">
        <v>770</v>
      </c>
      <c r="C43" s="44" t="s">
        <v>800</v>
      </c>
      <c r="D43" s="44" t="s">
        <v>807</v>
      </c>
      <c r="E43" s="45">
        <v>3</v>
      </c>
      <c r="F43" s="276">
        <v>3760.333333333333</v>
      </c>
      <c r="G43" s="276">
        <v>11281</v>
      </c>
      <c r="H43" s="44" t="s">
        <v>802</v>
      </c>
      <c r="I43" s="106" t="s">
        <v>774</v>
      </c>
    </row>
    <row r="44" spans="1:9">
      <c r="A44" s="46">
        <v>2</v>
      </c>
      <c r="B44" s="44" t="s">
        <v>770</v>
      </c>
      <c r="C44" s="44" t="s">
        <v>808</v>
      </c>
      <c r="D44" s="44" t="s">
        <v>809</v>
      </c>
      <c r="E44" s="45">
        <v>70</v>
      </c>
      <c r="F44" s="276">
        <v>4180</v>
      </c>
      <c r="G44" s="276">
        <v>292600</v>
      </c>
      <c r="H44" s="44" t="s">
        <v>802</v>
      </c>
      <c r="I44" s="106" t="s">
        <v>774</v>
      </c>
    </row>
    <row r="45" spans="1:9">
      <c r="A45" s="46">
        <v>2</v>
      </c>
      <c r="B45" s="44" t="s">
        <v>635</v>
      </c>
      <c r="C45" s="44" t="s">
        <v>810</v>
      </c>
      <c r="D45" s="44" t="s">
        <v>811</v>
      </c>
      <c r="E45" s="45">
        <v>4</v>
      </c>
      <c r="F45" s="276">
        <v>18200</v>
      </c>
      <c r="G45" s="276">
        <v>72800</v>
      </c>
      <c r="H45" s="44" t="s">
        <v>802</v>
      </c>
      <c r="I45" s="106" t="s">
        <v>774</v>
      </c>
    </row>
    <row r="46" spans="1:9">
      <c r="A46" s="46">
        <v>2</v>
      </c>
      <c r="B46" s="44" t="s">
        <v>762</v>
      </c>
      <c r="C46" s="44" t="s">
        <v>218</v>
      </c>
      <c r="D46" s="44" t="s">
        <v>219</v>
      </c>
      <c r="E46" s="45">
        <v>34.700000000000003</v>
      </c>
      <c r="F46" s="276">
        <v>7500</v>
      </c>
      <c r="G46" s="276">
        <v>260250</v>
      </c>
      <c r="H46" s="44" t="s">
        <v>217</v>
      </c>
      <c r="I46" s="106" t="s">
        <v>774</v>
      </c>
    </row>
    <row r="47" spans="1:9">
      <c r="A47" s="46">
        <v>2</v>
      </c>
      <c r="B47" s="44" t="s">
        <v>762</v>
      </c>
      <c r="C47" s="44" t="s">
        <v>221</v>
      </c>
      <c r="D47" s="44" t="s">
        <v>222</v>
      </c>
      <c r="E47" s="45">
        <v>5</v>
      </c>
      <c r="F47" s="276">
        <v>21500</v>
      </c>
      <c r="G47" s="276">
        <v>107500</v>
      </c>
      <c r="H47" s="44" t="s">
        <v>220</v>
      </c>
      <c r="I47" s="105" t="s">
        <v>763</v>
      </c>
    </row>
    <row r="48" spans="1:9">
      <c r="A48" s="46">
        <v>2</v>
      </c>
      <c r="B48" s="44" t="s">
        <v>770</v>
      </c>
      <c r="C48" s="44" t="s">
        <v>771</v>
      </c>
      <c r="D48" s="44" t="s">
        <v>812</v>
      </c>
      <c r="E48" s="45">
        <v>150</v>
      </c>
      <c r="F48" s="276">
        <v>150</v>
      </c>
      <c r="G48" s="276">
        <v>22500</v>
      </c>
      <c r="H48" s="44" t="s">
        <v>813</v>
      </c>
      <c r="I48" s="105" t="s">
        <v>763</v>
      </c>
    </row>
    <row r="49" spans="1:9">
      <c r="A49" s="46">
        <v>2</v>
      </c>
      <c r="B49" s="44" t="s">
        <v>766</v>
      </c>
      <c r="C49" s="44" t="s">
        <v>814</v>
      </c>
      <c r="D49" s="44" t="s">
        <v>815</v>
      </c>
      <c r="E49" s="45">
        <v>4</v>
      </c>
      <c r="F49" s="276">
        <v>2480</v>
      </c>
      <c r="G49" s="276">
        <v>9920</v>
      </c>
      <c r="H49" s="44" t="s">
        <v>816</v>
      </c>
      <c r="I49" s="105" t="s">
        <v>763</v>
      </c>
    </row>
    <row r="50" spans="1:9">
      <c r="A50" s="46">
        <v>2</v>
      </c>
      <c r="B50" s="44" t="s">
        <v>766</v>
      </c>
      <c r="C50" s="44" t="s">
        <v>767</v>
      </c>
      <c r="D50" s="44" t="s">
        <v>817</v>
      </c>
      <c r="E50" s="45">
        <v>3</v>
      </c>
      <c r="F50" s="276">
        <v>5440</v>
      </c>
      <c r="G50" s="276">
        <v>16320</v>
      </c>
      <c r="H50" s="44" t="s">
        <v>818</v>
      </c>
      <c r="I50" s="105" t="s">
        <v>763</v>
      </c>
    </row>
    <row r="51" spans="1:9">
      <c r="A51" s="46">
        <v>2</v>
      </c>
      <c r="B51" s="44" t="s">
        <v>762</v>
      </c>
      <c r="C51" s="44" t="s">
        <v>224</v>
      </c>
      <c r="D51" s="44" t="s">
        <v>225</v>
      </c>
      <c r="E51" s="45">
        <v>2.77</v>
      </c>
      <c r="F51" s="276">
        <v>19900</v>
      </c>
      <c r="G51" s="276">
        <v>55123</v>
      </c>
      <c r="H51" s="44" t="s">
        <v>223</v>
      </c>
      <c r="I51" s="105" t="s">
        <v>763</v>
      </c>
    </row>
    <row r="52" spans="1:9">
      <c r="A52" s="46">
        <v>2</v>
      </c>
      <c r="B52" s="44" t="s">
        <v>762</v>
      </c>
      <c r="C52" s="44" t="s">
        <v>224</v>
      </c>
      <c r="D52" s="44" t="s">
        <v>225</v>
      </c>
      <c r="E52" s="45">
        <v>4.7640000000000002</v>
      </c>
      <c r="F52" s="276">
        <v>22190</v>
      </c>
      <c r="G52" s="276">
        <v>105713</v>
      </c>
      <c r="H52" s="44" t="s">
        <v>223</v>
      </c>
      <c r="I52" s="105" t="s">
        <v>763</v>
      </c>
    </row>
    <row r="53" spans="1:9">
      <c r="A53" s="46">
        <v>2</v>
      </c>
      <c r="B53" s="44" t="s">
        <v>770</v>
      </c>
      <c r="C53" s="44" t="s">
        <v>819</v>
      </c>
      <c r="D53" s="44" t="s">
        <v>820</v>
      </c>
      <c r="E53" s="45">
        <v>1</v>
      </c>
      <c r="F53" s="276">
        <v>4390</v>
      </c>
      <c r="G53" s="276">
        <v>4390</v>
      </c>
      <c r="H53" s="44" t="s">
        <v>223</v>
      </c>
      <c r="I53" s="105" t="s">
        <v>763</v>
      </c>
    </row>
    <row r="54" spans="1:9">
      <c r="A54" s="46">
        <v>2</v>
      </c>
      <c r="B54" s="44" t="s">
        <v>635</v>
      </c>
      <c r="C54" s="44" t="s">
        <v>821</v>
      </c>
      <c r="D54" s="44" t="s">
        <v>822</v>
      </c>
      <c r="E54" s="45">
        <v>1</v>
      </c>
      <c r="F54" s="276">
        <v>120</v>
      </c>
      <c r="G54" s="276">
        <v>120</v>
      </c>
      <c r="H54" s="44" t="s">
        <v>223</v>
      </c>
      <c r="I54" s="105" t="s">
        <v>763</v>
      </c>
    </row>
    <row r="55" spans="1:9">
      <c r="A55" s="46">
        <v>3</v>
      </c>
      <c r="B55" s="44" t="s">
        <v>770</v>
      </c>
      <c r="C55" s="44" t="s">
        <v>823</v>
      </c>
      <c r="D55" s="44" t="s">
        <v>824</v>
      </c>
      <c r="E55" s="45">
        <v>1</v>
      </c>
      <c r="F55" s="276">
        <v>4500</v>
      </c>
      <c r="G55" s="276">
        <v>4500</v>
      </c>
      <c r="H55" s="44" t="s">
        <v>825</v>
      </c>
      <c r="I55" s="105" t="s">
        <v>763</v>
      </c>
    </row>
    <row r="56" spans="1:9">
      <c r="A56" s="46">
        <v>3</v>
      </c>
      <c r="B56" s="44" t="s">
        <v>635</v>
      </c>
      <c r="C56" s="44" t="s">
        <v>589</v>
      </c>
      <c r="D56" s="44" t="s">
        <v>826</v>
      </c>
      <c r="E56" s="45">
        <v>2</v>
      </c>
      <c r="F56" s="276">
        <v>9500</v>
      </c>
      <c r="G56" s="276">
        <v>19000</v>
      </c>
      <c r="H56" s="44" t="s">
        <v>827</v>
      </c>
      <c r="I56" s="105" t="s">
        <v>763</v>
      </c>
    </row>
    <row r="57" spans="1:9">
      <c r="A57" s="46">
        <v>3</v>
      </c>
      <c r="B57" s="44" t="s">
        <v>780</v>
      </c>
      <c r="C57" s="44" t="s">
        <v>781</v>
      </c>
      <c r="D57" s="44" t="s">
        <v>828</v>
      </c>
      <c r="E57" s="45">
        <v>1</v>
      </c>
      <c r="F57" s="276">
        <v>30000</v>
      </c>
      <c r="G57" s="276">
        <v>30000</v>
      </c>
      <c r="H57" s="44" t="s">
        <v>829</v>
      </c>
      <c r="I57" s="105" t="s">
        <v>763</v>
      </c>
    </row>
    <row r="58" spans="1:9">
      <c r="A58" s="46">
        <v>3</v>
      </c>
      <c r="B58" s="44" t="s">
        <v>780</v>
      </c>
      <c r="C58" s="44" t="s">
        <v>830</v>
      </c>
      <c r="D58" s="44" t="s">
        <v>831</v>
      </c>
      <c r="E58" s="45">
        <v>1</v>
      </c>
      <c r="F58" s="276">
        <v>10000</v>
      </c>
      <c r="G58" s="276">
        <v>10000</v>
      </c>
      <c r="H58" s="44" t="s">
        <v>829</v>
      </c>
      <c r="I58" s="105" t="s">
        <v>763</v>
      </c>
    </row>
    <row r="59" spans="1:9">
      <c r="A59" s="46">
        <v>3</v>
      </c>
      <c r="B59" s="44" t="s">
        <v>780</v>
      </c>
      <c r="C59" s="44" t="s">
        <v>832</v>
      </c>
      <c r="D59" s="44" t="s">
        <v>833</v>
      </c>
      <c r="E59" s="45">
        <v>1</v>
      </c>
      <c r="F59" s="276">
        <v>10000</v>
      </c>
      <c r="G59" s="276">
        <v>10000</v>
      </c>
      <c r="H59" s="44" t="s">
        <v>829</v>
      </c>
      <c r="I59" s="105" t="s">
        <v>763</v>
      </c>
    </row>
    <row r="60" spans="1:9">
      <c r="A60" s="46">
        <v>3</v>
      </c>
      <c r="B60" s="44" t="s">
        <v>780</v>
      </c>
      <c r="C60" s="44" t="s">
        <v>834</v>
      </c>
      <c r="D60" s="44" t="s">
        <v>835</v>
      </c>
      <c r="E60" s="45">
        <v>1</v>
      </c>
      <c r="F60" s="276">
        <v>7000</v>
      </c>
      <c r="G60" s="276">
        <v>7000</v>
      </c>
      <c r="H60" s="44" t="s">
        <v>829</v>
      </c>
      <c r="I60" s="105" t="s">
        <v>763</v>
      </c>
    </row>
    <row r="61" spans="1:9">
      <c r="A61" s="46">
        <v>3</v>
      </c>
      <c r="B61" s="44" t="s">
        <v>766</v>
      </c>
      <c r="C61" s="44" t="s">
        <v>836</v>
      </c>
      <c r="D61" s="44" t="s">
        <v>837</v>
      </c>
      <c r="E61" s="45">
        <v>35</v>
      </c>
      <c r="F61" s="276">
        <v>2500</v>
      </c>
      <c r="G61" s="276">
        <v>87500</v>
      </c>
      <c r="H61" s="44" t="s">
        <v>829</v>
      </c>
      <c r="I61" s="105" t="s">
        <v>763</v>
      </c>
    </row>
    <row r="62" spans="1:9">
      <c r="A62" s="46">
        <v>3</v>
      </c>
      <c r="B62" s="44" t="s">
        <v>766</v>
      </c>
      <c r="C62" s="44" t="s">
        <v>838</v>
      </c>
      <c r="D62" s="44" t="s">
        <v>839</v>
      </c>
      <c r="E62" s="45">
        <v>8</v>
      </c>
      <c r="F62" s="276">
        <v>3000</v>
      </c>
      <c r="G62" s="276">
        <v>24000</v>
      </c>
      <c r="H62" s="44" t="s">
        <v>829</v>
      </c>
      <c r="I62" s="105" t="s">
        <v>763</v>
      </c>
    </row>
    <row r="63" spans="1:9">
      <c r="A63" s="46">
        <v>3</v>
      </c>
      <c r="B63" s="44" t="s">
        <v>766</v>
      </c>
      <c r="C63" s="44" t="s">
        <v>840</v>
      </c>
      <c r="D63" s="44" t="s">
        <v>841</v>
      </c>
      <c r="E63" s="45">
        <v>5</v>
      </c>
      <c r="F63" s="276">
        <v>8000</v>
      </c>
      <c r="G63" s="276">
        <v>40000</v>
      </c>
      <c r="H63" s="44" t="s">
        <v>829</v>
      </c>
      <c r="I63" s="105" t="s">
        <v>763</v>
      </c>
    </row>
    <row r="64" spans="1:9">
      <c r="A64" s="46">
        <v>3</v>
      </c>
      <c r="B64" s="44" t="s">
        <v>766</v>
      </c>
      <c r="C64" s="44" t="s">
        <v>842</v>
      </c>
      <c r="D64" s="44" t="s">
        <v>843</v>
      </c>
      <c r="E64" s="45">
        <v>16</v>
      </c>
      <c r="F64" s="276">
        <v>2000</v>
      </c>
      <c r="G64" s="276">
        <v>32000</v>
      </c>
      <c r="H64" s="44" t="s">
        <v>829</v>
      </c>
      <c r="I64" s="105" t="s">
        <v>763</v>
      </c>
    </row>
    <row r="65" spans="1:9">
      <c r="A65" s="46">
        <v>3</v>
      </c>
      <c r="B65" s="44" t="s">
        <v>766</v>
      </c>
      <c r="C65" s="44" t="s">
        <v>844</v>
      </c>
      <c r="D65" s="44" t="s">
        <v>845</v>
      </c>
      <c r="E65" s="45">
        <v>15</v>
      </c>
      <c r="F65" s="276">
        <v>3333.33</v>
      </c>
      <c r="G65" s="276">
        <v>50000</v>
      </c>
      <c r="H65" s="44" t="s">
        <v>829</v>
      </c>
      <c r="I65" s="105" t="s">
        <v>763</v>
      </c>
    </row>
    <row r="66" spans="1:9">
      <c r="A66" s="46">
        <v>3</v>
      </c>
      <c r="B66" s="44" t="s">
        <v>766</v>
      </c>
      <c r="C66" s="44" t="s">
        <v>846</v>
      </c>
      <c r="D66" s="44" t="s">
        <v>847</v>
      </c>
      <c r="E66" s="45">
        <v>1</v>
      </c>
      <c r="F66" s="276">
        <v>8000</v>
      </c>
      <c r="G66" s="276">
        <v>8000</v>
      </c>
      <c r="H66" s="44" t="s">
        <v>829</v>
      </c>
      <c r="I66" s="105" t="s">
        <v>763</v>
      </c>
    </row>
    <row r="67" spans="1:9">
      <c r="A67" s="46">
        <v>3</v>
      </c>
      <c r="B67" s="44" t="s">
        <v>766</v>
      </c>
      <c r="C67" s="44" t="s">
        <v>848</v>
      </c>
      <c r="D67" s="44" t="s">
        <v>849</v>
      </c>
      <c r="E67" s="45">
        <v>10</v>
      </c>
      <c r="F67" s="276">
        <v>1000</v>
      </c>
      <c r="G67" s="276">
        <v>10000</v>
      </c>
      <c r="H67" s="44" t="s">
        <v>829</v>
      </c>
      <c r="I67" s="105" t="s">
        <v>763</v>
      </c>
    </row>
    <row r="68" spans="1:9">
      <c r="A68" s="46">
        <v>3</v>
      </c>
      <c r="B68" s="44" t="s">
        <v>780</v>
      </c>
      <c r="C68" s="44" t="s">
        <v>850</v>
      </c>
      <c r="D68" s="44" t="s">
        <v>851</v>
      </c>
      <c r="E68" s="45">
        <v>1</v>
      </c>
      <c r="F68" s="276">
        <v>3500</v>
      </c>
      <c r="G68" s="276">
        <v>3500</v>
      </c>
      <c r="H68" s="44" t="s">
        <v>829</v>
      </c>
      <c r="I68" s="105" t="s">
        <v>763</v>
      </c>
    </row>
    <row r="69" spans="1:9">
      <c r="A69" s="46">
        <v>3</v>
      </c>
      <c r="B69" s="44" t="s">
        <v>635</v>
      </c>
      <c r="C69" s="44" t="s">
        <v>589</v>
      </c>
      <c r="D69" s="44" t="s">
        <v>852</v>
      </c>
      <c r="E69" s="45">
        <v>2</v>
      </c>
      <c r="F69" s="276">
        <v>9500</v>
      </c>
      <c r="G69" s="276">
        <v>19000</v>
      </c>
      <c r="H69" s="44" t="s">
        <v>853</v>
      </c>
      <c r="I69" s="105" t="s">
        <v>763</v>
      </c>
    </row>
    <row r="70" spans="1:9">
      <c r="A70" s="46">
        <v>3</v>
      </c>
      <c r="B70" s="44" t="s">
        <v>770</v>
      </c>
      <c r="C70" s="44" t="s">
        <v>854</v>
      </c>
      <c r="D70" s="44" t="s">
        <v>855</v>
      </c>
      <c r="E70" s="45">
        <v>4</v>
      </c>
      <c r="F70" s="276">
        <v>22987.5</v>
      </c>
      <c r="G70" s="276">
        <v>91950</v>
      </c>
      <c r="H70" s="44" t="s">
        <v>856</v>
      </c>
      <c r="I70" s="106" t="s">
        <v>774</v>
      </c>
    </row>
    <row r="71" spans="1:9">
      <c r="A71" s="46">
        <v>3</v>
      </c>
      <c r="B71" s="44" t="s">
        <v>86</v>
      </c>
      <c r="C71" s="44" t="s">
        <v>447</v>
      </c>
      <c r="D71" s="44" t="s">
        <v>448</v>
      </c>
      <c r="E71" s="45">
        <v>1</v>
      </c>
      <c r="F71" s="276">
        <v>32000</v>
      </c>
      <c r="G71" s="276">
        <v>32000</v>
      </c>
      <c r="H71" s="44" t="s">
        <v>446</v>
      </c>
      <c r="I71" s="105" t="s">
        <v>763</v>
      </c>
    </row>
    <row r="72" spans="1:9">
      <c r="A72" s="46">
        <v>3</v>
      </c>
      <c r="B72" s="44" t="s">
        <v>86</v>
      </c>
      <c r="C72" s="44" t="s">
        <v>449</v>
      </c>
      <c r="D72" s="44" t="s">
        <v>450</v>
      </c>
      <c r="E72" s="45">
        <v>2</v>
      </c>
      <c r="F72" s="276">
        <v>65000</v>
      </c>
      <c r="G72" s="276">
        <v>130000</v>
      </c>
      <c r="H72" s="44" t="s">
        <v>446</v>
      </c>
      <c r="I72" s="105" t="s">
        <v>763</v>
      </c>
    </row>
    <row r="73" spans="1:9">
      <c r="A73" s="46">
        <v>3</v>
      </c>
      <c r="B73" s="44" t="s">
        <v>86</v>
      </c>
      <c r="C73" s="44" t="s">
        <v>451</v>
      </c>
      <c r="D73" s="44" t="s">
        <v>452</v>
      </c>
      <c r="E73" s="45">
        <v>2</v>
      </c>
      <c r="F73" s="276">
        <v>65000</v>
      </c>
      <c r="G73" s="276">
        <v>130000</v>
      </c>
      <c r="H73" s="44" t="s">
        <v>446</v>
      </c>
      <c r="I73" s="105" t="s">
        <v>763</v>
      </c>
    </row>
    <row r="74" spans="1:9">
      <c r="A74" s="46">
        <v>3</v>
      </c>
      <c r="B74" s="44" t="s">
        <v>86</v>
      </c>
      <c r="C74" s="44" t="s">
        <v>453</v>
      </c>
      <c r="D74" s="44" t="s">
        <v>454</v>
      </c>
      <c r="E74" s="45">
        <v>10</v>
      </c>
      <c r="F74" s="276">
        <v>28800</v>
      </c>
      <c r="G74" s="276">
        <v>288000</v>
      </c>
      <c r="H74" s="44" t="s">
        <v>446</v>
      </c>
      <c r="I74" s="105" t="s">
        <v>763</v>
      </c>
    </row>
    <row r="75" spans="1:9">
      <c r="A75" s="46">
        <v>3</v>
      </c>
      <c r="B75" s="44" t="s">
        <v>86</v>
      </c>
      <c r="C75" s="44" t="s">
        <v>455</v>
      </c>
      <c r="D75" s="44" t="s">
        <v>456</v>
      </c>
      <c r="E75" s="45">
        <v>8</v>
      </c>
      <c r="F75" s="276">
        <v>30000</v>
      </c>
      <c r="G75" s="276">
        <v>240000</v>
      </c>
      <c r="H75" s="44" t="s">
        <v>446</v>
      </c>
      <c r="I75" s="105" t="s">
        <v>763</v>
      </c>
    </row>
    <row r="76" spans="1:9">
      <c r="A76" s="46">
        <v>3</v>
      </c>
      <c r="B76" s="44" t="s">
        <v>86</v>
      </c>
      <c r="C76" s="44" t="s">
        <v>458</v>
      </c>
      <c r="D76" s="44" t="s">
        <v>459</v>
      </c>
      <c r="E76" s="45">
        <v>2</v>
      </c>
      <c r="F76" s="276">
        <v>25100</v>
      </c>
      <c r="G76" s="276">
        <v>50200</v>
      </c>
      <c r="H76" s="44" t="s">
        <v>457</v>
      </c>
      <c r="I76" s="105" t="s">
        <v>763</v>
      </c>
    </row>
    <row r="77" spans="1:9">
      <c r="A77" s="46">
        <v>3</v>
      </c>
      <c r="B77" s="44" t="s">
        <v>86</v>
      </c>
      <c r="C77" s="44" t="s">
        <v>458</v>
      </c>
      <c r="D77" s="44" t="s">
        <v>460</v>
      </c>
      <c r="E77" s="45">
        <v>2</v>
      </c>
      <c r="F77" s="276">
        <v>25100</v>
      </c>
      <c r="G77" s="276">
        <v>50200</v>
      </c>
      <c r="H77" s="44" t="s">
        <v>457</v>
      </c>
      <c r="I77" s="105" t="s">
        <v>763</v>
      </c>
    </row>
    <row r="78" spans="1:9">
      <c r="A78" s="46">
        <v>3</v>
      </c>
      <c r="B78" s="44" t="s">
        <v>86</v>
      </c>
      <c r="C78" s="44" t="s">
        <v>458</v>
      </c>
      <c r="D78" s="44" t="s">
        <v>461</v>
      </c>
      <c r="E78" s="45">
        <v>2</v>
      </c>
      <c r="F78" s="276">
        <v>25100</v>
      </c>
      <c r="G78" s="276">
        <v>50200</v>
      </c>
      <c r="H78" s="44" t="s">
        <v>457</v>
      </c>
      <c r="I78" s="105" t="s">
        <v>763</v>
      </c>
    </row>
    <row r="79" spans="1:9">
      <c r="A79" s="46">
        <v>3</v>
      </c>
      <c r="B79" s="44" t="s">
        <v>766</v>
      </c>
      <c r="C79" s="44" t="s">
        <v>648</v>
      </c>
      <c r="D79" s="44" t="s">
        <v>857</v>
      </c>
      <c r="E79" s="45">
        <v>4</v>
      </c>
      <c r="F79" s="276">
        <v>26000</v>
      </c>
      <c r="G79" s="276">
        <v>104000</v>
      </c>
      <c r="H79" s="44" t="s">
        <v>858</v>
      </c>
      <c r="I79" s="105" t="s">
        <v>763</v>
      </c>
    </row>
    <row r="80" spans="1:9">
      <c r="A80" s="46">
        <v>3</v>
      </c>
      <c r="B80" s="44" t="s">
        <v>762</v>
      </c>
      <c r="C80" s="44" t="s">
        <v>228</v>
      </c>
      <c r="D80" s="44" t="s">
        <v>229</v>
      </c>
      <c r="E80" s="45">
        <v>5.96</v>
      </c>
      <c r="F80" s="276">
        <v>34000</v>
      </c>
      <c r="G80" s="276">
        <v>202640</v>
      </c>
      <c r="H80" s="44" t="s">
        <v>227</v>
      </c>
      <c r="I80" s="105" t="s">
        <v>763</v>
      </c>
    </row>
    <row r="81" spans="1:9">
      <c r="A81" s="46">
        <v>3</v>
      </c>
      <c r="B81" s="44" t="s">
        <v>762</v>
      </c>
      <c r="C81" s="44" t="s">
        <v>230</v>
      </c>
      <c r="D81" s="44" t="s">
        <v>231</v>
      </c>
      <c r="E81" s="45">
        <v>7</v>
      </c>
      <c r="F81" s="276">
        <v>20000</v>
      </c>
      <c r="G81" s="276">
        <v>140000</v>
      </c>
      <c r="H81" s="44" t="s">
        <v>227</v>
      </c>
      <c r="I81" s="105" t="s">
        <v>763</v>
      </c>
    </row>
    <row r="82" spans="1:9">
      <c r="A82" s="46">
        <v>3</v>
      </c>
      <c r="B82" s="44" t="s">
        <v>762</v>
      </c>
      <c r="C82" s="44" t="s">
        <v>221</v>
      </c>
      <c r="D82" s="44" t="s">
        <v>233</v>
      </c>
      <c r="E82" s="45">
        <v>5.8</v>
      </c>
      <c r="F82" s="276">
        <v>22000</v>
      </c>
      <c r="G82" s="276">
        <v>127600</v>
      </c>
      <c r="H82" s="44" t="s">
        <v>232</v>
      </c>
      <c r="I82" s="105" t="s">
        <v>763</v>
      </c>
    </row>
    <row r="83" spans="1:9">
      <c r="A83" s="46">
        <v>3</v>
      </c>
      <c r="B83" s="44" t="s">
        <v>762</v>
      </c>
      <c r="C83" s="44" t="s">
        <v>234</v>
      </c>
      <c r="D83" s="44" t="s">
        <v>235</v>
      </c>
      <c r="E83" s="45">
        <v>7.35</v>
      </c>
      <c r="F83" s="276">
        <v>54000</v>
      </c>
      <c r="G83" s="276">
        <v>396900</v>
      </c>
      <c r="H83" s="44" t="s">
        <v>232</v>
      </c>
      <c r="I83" s="105" t="s">
        <v>763</v>
      </c>
    </row>
    <row r="84" spans="1:9">
      <c r="A84" s="46">
        <v>3</v>
      </c>
      <c r="B84" s="44" t="s">
        <v>762</v>
      </c>
      <c r="C84" s="44" t="s">
        <v>228</v>
      </c>
      <c r="D84" s="44" t="s">
        <v>237</v>
      </c>
      <c r="E84" s="45">
        <v>4.05</v>
      </c>
      <c r="F84" s="276">
        <v>33000</v>
      </c>
      <c r="G84" s="276">
        <v>133650</v>
      </c>
      <c r="H84" s="44" t="s">
        <v>236</v>
      </c>
      <c r="I84" s="105" t="s">
        <v>763</v>
      </c>
    </row>
    <row r="85" spans="1:9">
      <c r="A85" s="46">
        <v>3</v>
      </c>
      <c r="B85" s="44" t="s">
        <v>762</v>
      </c>
      <c r="C85" s="44" t="s">
        <v>238</v>
      </c>
      <c r="D85" s="44" t="s">
        <v>239</v>
      </c>
      <c r="E85" s="45">
        <v>10.3</v>
      </c>
      <c r="F85" s="276">
        <v>20000</v>
      </c>
      <c r="G85" s="276">
        <v>206000</v>
      </c>
      <c r="H85" s="44" t="s">
        <v>236</v>
      </c>
      <c r="I85" s="105" t="s">
        <v>763</v>
      </c>
    </row>
    <row r="86" spans="1:9">
      <c r="A86" s="46">
        <v>3</v>
      </c>
      <c r="B86" s="44" t="s">
        <v>770</v>
      </c>
      <c r="C86" s="44" t="s">
        <v>859</v>
      </c>
      <c r="D86" s="44" t="s">
        <v>860</v>
      </c>
      <c r="E86" s="45">
        <v>2</v>
      </c>
      <c r="F86" s="276">
        <v>254000</v>
      </c>
      <c r="G86" s="276">
        <v>508000</v>
      </c>
      <c r="H86" s="44" t="s">
        <v>861</v>
      </c>
      <c r="I86" s="106" t="s">
        <v>774</v>
      </c>
    </row>
    <row r="87" spans="1:9">
      <c r="A87" s="46">
        <v>3</v>
      </c>
      <c r="B87" s="44" t="s">
        <v>770</v>
      </c>
      <c r="C87" s="44" t="s">
        <v>862</v>
      </c>
      <c r="D87" s="44" t="s">
        <v>863</v>
      </c>
      <c r="E87" s="45">
        <v>1</v>
      </c>
      <c r="F87" s="276">
        <v>160000</v>
      </c>
      <c r="G87" s="276">
        <v>160000</v>
      </c>
      <c r="H87" s="44" t="s">
        <v>861</v>
      </c>
      <c r="I87" s="106" t="s">
        <v>774</v>
      </c>
    </row>
    <row r="88" spans="1:9">
      <c r="A88" s="46">
        <v>3</v>
      </c>
      <c r="B88" s="44" t="s">
        <v>770</v>
      </c>
      <c r="C88" s="44" t="s">
        <v>823</v>
      </c>
      <c r="D88" s="44" t="s">
        <v>864</v>
      </c>
      <c r="E88" s="45">
        <v>1</v>
      </c>
      <c r="F88" s="276">
        <v>70000</v>
      </c>
      <c r="G88" s="276">
        <v>70000</v>
      </c>
      <c r="H88" s="44" t="s">
        <v>861</v>
      </c>
      <c r="I88" s="106" t="s">
        <v>774</v>
      </c>
    </row>
    <row r="89" spans="1:9">
      <c r="A89" s="46">
        <v>3</v>
      </c>
      <c r="B89" s="44" t="s">
        <v>770</v>
      </c>
      <c r="C89" s="44" t="s">
        <v>771</v>
      </c>
      <c r="D89" s="44" t="s">
        <v>865</v>
      </c>
      <c r="E89" s="45">
        <v>100</v>
      </c>
      <c r="F89" s="276">
        <v>150</v>
      </c>
      <c r="G89" s="276">
        <v>15000</v>
      </c>
      <c r="H89" s="44" t="s">
        <v>866</v>
      </c>
      <c r="I89" s="105" t="s">
        <v>763</v>
      </c>
    </row>
    <row r="90" spans="1:9">
      <c r="A90" s="46">
        <v>3</v>
      </c>
      <c r="B90" s="44" t="s">
        <v>770</v>
      </c>
      <c r="C90" s="44" t="s">
        <v>867</v>
      </c>
      <c r="D90" s="44" t="s">
        <v>868</v>
      </c>
      <c r="E90" s="45">
        <v>15</v>
      </c>
      <c r="F90" s="276">
        <v>13233.33</v>
      </c>
      <c r="G90" s="276">
        <v>198500</v>
      </c>
      <c r="H90" s="44" t="s">
        <v>866</v>
      </c>
      <c r="I90" s="106" t="s">
        <v>774</v>
      </c>
    </row>
    <row r="91" spans="1:9">
      <c r="A91" s="46">
        <v>3</v>
      </c>
      <c r="B91" s="44" t="s">
        <v>635</v>
      </c>
      <c r="C91" s="44" t="s">
        <v>869</v>
      </c>
      <c r="D91" s="44" t="s">
        <v>870</v>
      </c>
      <c r="E91" s="45">
        <v>6</v>
      </c>
      <c r="F91" s="276">
        <v>3100</v>
      </c>
      <c r="G91" s="276">
        <v>18600</v>
      </c>
      <c r="H91" s="44" t="s">
        <v>871</v>
      </c>
      <c r="I91" s="105" t="s">
        <v>763</v>
      </c>
    </row>
    <row r="92" spans="1:9">
      <c r="A92" s="46">
        <v>3</v>
      </c>
      <c r="B92" s="44" t="s">
        <v>762</v>
      </c>
      <c r="C92" s="44" t="s">
        <v>241</v>
      </c>
      <c r="D92" s="44" t="s">
        <v>242</v>
      </c>
      <c r="E92" s="45">
        <v>4</v>
      </c>
      <c r="F92" s="276">
        <v>48000</v>
      </c>
      <c r="G92" s="276">
        <v>192000</v>
      </c>
      <c r="H92" s="44" t="s">
        <v>240</v>
      </c>
      <c r="I92" s="106" t="s">
        <v>774</v>
      </c>
    </row>
    <row r="93" spans="1:9">
      <c r="A93" s="46">
        <v>3</v>
      </c>
      <c r="B93" s="44" t="s">
        <v>762</v>
      </c>
      <c r="C93" s="44" t="s">
        <v>241</v>
      </c>
      <c r="D93" s="44" t="s">
        <v>243</v>
      </c>
      <c r="E93" s="45">
        <v>1</v>
      </c>
      <c r="F93" s="276">
        <v>46000</v>
      </c>
      <c r="G93" s="276">
        <v>46000</v>
      </c>
      <c r="H93" s="44" t="s">
        <v>240</v>
      </c>
      <c r="I93" s="106" t="s">
        <v>774</v>
      </c>
    </row>
    <row r="94" spans="1:9">
      <c r="A94" s="46">
        <v>4</v>
      </c>
      <c r="B94" s="44" t="s">
        <v>635</v>
      </c>
      <c r="C94" s="44" t="s">
        <v>589</v>
      </c>
      <c r="D94" s="44" t="s">
        <v>872</v>
      </c>
      <c r="E94" s="45">
        <v>2</v>
      </c>
      <c r="F94" s="276">
        <v>9500</v>
      </c>
      <c r="G94" s="276">
        <v>19000</v>
      </c>
      <c r="H94" s="44" t="s">
        <v>873</v>
      </c>
      <c r="I94" s="105" t="s">
        <v>763</v>
      </c>
    </row>
    <row r="95" spans="1:9">
      <c r="A95" s="46">
        <v>4</v>
      </c>
      <c r="B95" s="44" t="s">
        <v>635</v>
      </c>
      <c r="C95" s="44" t="s">
        <v>778</v>
      </c>
      <c r="D95" s="44" t="s">
        <v>874</v>
      </c>
      <c r="E95" s="45">
        <v>2</v>
      </c>
      <c r="F95" s="276">
        <v>5000</v>
      </c>
      <c r="G95" s="276">
        <v>10000</v>
      </c>
      <c r="H95" s="44" t="s">
        <v>873</v>
      </c>
      <c r="I95" s="105" t="s">
        <v>763</v>
      </c>
    </row>
    <row r="96" spans="1:9">
      <c r="A96" s="46">
        <v>4</v>
      </c>
      <c r="B96" s="44" t="s">
        <v>635</v>
      </c>
      <c r="C96" s="44" t="s">
        <v>875</v>
      </c>
      <c r="D96" s="44" t="s">
        <v>876</v>
      </c>
      <c r="E96" s="45">
        <v>3</v>
      </c>
      <c r="F96" s="276">
        <v>6200</v>
      </c>
      <c r="G96" s="276">
        <v>18600</v>
      </c>
      <c r="H96" s="44" t="s">
        <v>877</v>
      </c>
      <c r="I96" s="105" t="s">
        <v>763</v>
      </c>
    </row>
    <row r="97" spans="1:9">
      <c r="A97" s="46">
        <v>4</v>
      </c>
      <c r="B97" s="44" t="s">
        <v>635</v>
      </c>
      <c r="C97" s="44" t="s">
        <v>878</v>
      </c>
      <c r="D97" s="44" t="s">
        <v>879</v>
      </c>
      <c r="E97" s="45">
        <v>3</v>
      </c>
      <c r="F97" s="276">
        <v>3000</v>
      </c>
      <c r="G97" s="276">
        <v>9000</v>
      </c>
      <c r="H97" s="44" t="s">
        <v>877</v>
      </c>
      <c r="I97" s="105" t="s">
        <v>763</v>
      </c>
    </row>
    <row r="98" spans="1:9">
      <c r="A98" s="46">
        <v>4</v>
      </c>
      <c r="B98" s="44" t="s">
        <v>635</v>
      </c>
      <c r="C98" s="44" t="s">
        <v>880</v>
      </c>
      <c r="D98" s="44" t="s">
        <v>881</v>
      </c>
      <c r="E98" s="45">
        <v>1</v>
      </c>
      <c r="F98" s="276">
        <v>8400</v>
      </c>
      <c r="G98" s="276">
        <v>8400</v>
      </c>
      <c r="H98" s="44" t="s">
        <v>877</v>
      </c>
      <c r="I98" s="105" t="s">
        <v>763</v>
      </c>
    </row>
    <row r="99" spans="1:9">
      <c r="A99" s="46">
        <v>4</v>
      </c>
      <c r="B99" s="44" t="s">
        <v>635</v>
      </c>
      <c r="C99" s="44" t="s">
        <v>882</v>
      </c>
      <c r="D99" s="44" t="s">
        <v>883</v>
      </c>
      <c r="E99" s="45">
        <v>5</v>
      </c>
      <c r="F99" s="276">
        <v>6650</v>
      </c>
      <c r="G99" s="276">
        <v>33250</v>
      </c>
      <c r="H99" s="44" t="s">
        <v>877</v>
      </c>
      <c r="I99" s="105" t="s">
        <v>763</v>
      </c>
    </row>
    <row r="100" spans="1:9">
      <c r="A100" s="46">
        <v>4</v>
      </c>
      <c r="B100" s="44" t="s">
        <v>635</v>
      </c>
      <c r="C100" s="44" t="s">
        <v>884</v>
      </c>
      <c r="D100" s="44" t="s">
        <v>885</v>
      </c>
      <c r="E100" s="45">
        <v>80</v>
      </c>
      <c r="F100" s="276">
        <v>1400</v>
      </c>
      <c r="G100" s="276">
        <v>112000</v>
      </c>
      <c r="H100" s="44" t="s">
        <v>877</v>
      </c>
      <c r="I100" s="105" t="s">
        <v>763</v>
      </c>
    </row>
    <row r="101" spans="1:9">
      <c r="A101" s="46">
        <v>4</v>
      </c>
      <c r="B101" s="44" t="s">
        <v>635</v>
      </c>
      <c r="C101" s="44" t="s">
        <v>886</v>
      </c>
      <c r="D101" s="44" t="s">
        <v>887</v>
      </c>
      <c r="E101" s="45">
        <v>10</v>
      </c>
      <c r="F101" s="276">
        <v>450</v>
      </c>
      <c r="G101" s="276">
        <v>4500</v>
      </c>
      <c r="H101" s="44" t="s">
        <v>877</v>
      </c>
      <c r="I101" s="105" t="s">
        <v>763</v>
      </c>
    </row>
    <row r="102" spans="1:9">
      <c r="A102" s="46">
        <v>4</v>
      </c>
      <c r="B102" s="44" t="s">
        <v>635</v>
      </c>
      <c r="C102" s="44" t="s">
        <v>888</v>
      </c>
      <c r="D102" s="44" t="s">
        <v>889</v>
      </c>
      <c r="E102" s="45">
        <v>20</v>
      </c>
      <c r="F102" s="276">
        <v>900</v>
      </c>
      <c r="G102" s="276">
        <v>18000</v>
      </c>
      <c r="H102" s="44" t="s">
        <v>877</v>
      </c>
      <c r="I102" s="105" t="s">
        <v>763</v>
      </c>
    </row>
    <row r="103" spans="1:9">
      <c r="A103" s="46">
        <v>4</v>
      </c>
      <c r="B103" s="44" t="s">
        <v>635</v>
      </c>
      <c r="C103" s="44" t="s">
        <v>890</v>
      </c>
      <c r="D103" s="44" t="s">
        <v>891</v>
      </c>
      <c r="E103" s="45">
        <v>5</v>
      </c>
      <c r="F103" s="276">
        <v>4600</v>
      </c>
      <c r="G103" s="276">
        <v>23000</v>
      </c>
      <c r="H103" s="44" t="s">
        <v>877</v>
      </c>
      <c r="I103" s="105" t="s">
        <v>763</v>
      </c>
    </row>
    <row r="104" spans="1:9">
      <c r="A104" s="46">
        <v>4</v>
      </c>
      <c r="B104" s="44" t="s">
        <v>635</v>
      </c>
      <c r="C104" s="44" t="s">
        <v>892</v>
      </c>
      <c r="D104" s="44" t="s">
        <v>893</v>
      </c>
      <c r="E104" s="45">
        <v>3</v>
      </c>
      <c r="F104" s="276">
        <v>9600</v>
      </c>
      <c r="G104" s="276">
        <v>28800</v>
      </c>
      <c r="H104" s="44" t="s">
        <v>877</v>
      </c>
      <c r="I104" s="105" t="s">
        <v>763</v>
      </c>
    </row>
    <row r="105" spans="1:9">
      <c r="A105" s="46">
        <v>4</v>
      </c>
      <c r="B105" s="44" t="s">
        <v>635</v>
      </c>
      <c r="C105" s="44" t="s">
        <v>894</v>
      </c>
      <c r="D105" s="44" t="s">
        <v>895</v>
      </c>
      <c r="E105" s="45">
        <v>2</v>
      </c>
      <c r="F105" s="276">
        <v>27500</v>
      </c>
      <c r="G105" s="276">
        <v>55000</v>
      </c>
      <c r="H105" s="44" t="s">
        <v>877</v>
      </c>
      <c r="I105" s="105" t="s">
        <v>763</v>
      </c>
    </row>
    <row r="106" spans="1:9">
      <c r="A106" s="46">
        <v>4</v>
      </c>
      <c r="B106" s="44" t="s">
        <v>635</v>
      </c>
      <c r="C106" s="44" t="s">
        <v>896</v>
      </c>
      <c r="D106" s="44" t="s">
        <v>897</v>
      </c>
      <c r="E106" s="45">
        <v>2</v>
      </c>
      <c r="F106" s="276">
        <v>23800</v>
      </c>
      <c r="G106" s="276">
        <v>47600</v>
      </c>
      <c r="H106" s="44" t="s">
        <v>877</v>
      </c>
      <c r="I106" s="105" t="s">
        <v>763</v>
      </c>
    </row>
    <row r="107" spans="1:9">
      <c r="A107" s="46">
        <v>4</v>
      </c>
      <c r="B107" s="44" t="s">
        <v>635</v>
      </c>
      <c r="C107" s="44" t="s">
        <v>898</v>
      </c>
      <c r="D107" s="44" t="s">
        <v>899</v>
      </c>
      <c r="E107" s="45">
        <v>6</v>
      </c>
      <c r="F107" s="276">
        <v>2500</v>
      </c>
      <c r="G107" s="276">
        <v>15000</v>
      </c>
      <c r="H107" s="44" t="s">
        <v>877</v>
      </c>
      <c r="I107" s="105" t="s">
        <v>763</v>
      </c>
    </row>
    <row r="108" spans="1:9">
      <c r="A108" s="46">
        <v>4</v>
      </c>
      <c r="B108" s="44" t="s">
        <v>635</v>
      </c>
      <c r="C108" s="44" t="s">
        <v>900</v>
      </c>
      <c r="D108" s="44" t="s">
        <v>901</v>
      </c>
      <c r="E108" s="45">
        <v>150</v>
      </c>
      <c r="F108" s="276">
        <v>390</v>
      </c>
      <c r="G108" s="276">
        <v>58500</v>
      </c>
      <c r="H108" s="44" t="s">
        <v>877</v>
      </c>
      <c r="I108" s="105" t="s">
        <v>763</v>
      </c>
    </row>
    <row r="109" spans="1:9">
      <c r="A109" s="46">
        <v>4</v>
      </c>
      <c r="B109" s="44" t="s">
        <v>635</v>
      </c>
      <c r="C109" s="44" t="s">
        <v>902</v>
      </c>
      <c r="D109" s="44" t="s">
        <v>903</v>
      </c>
      <c r="E109" s="45">
        <v>1</v>
      </c>
      <c r="F109" s="276">
        <v>17500</v>
      </c>
      <c r="G109" s="276">
        <v>17500</v>
      </c>
      <c r="H109" s="44" t="s">
        <v>877</v>
      </c>
      <c r="I109" s="105" t="s">
        <v>763</v>
      </c>
    </row>
    <row r="110" spans="1:9">
      <c r="A110" s="46">
        <v>4</v>
      </c>
      <c r="B110" s="44" t="s">
        <v>635</v>
      </c>
      <c r="C110" s="44" t="s">
        <v>904</v>
      </c>
      <c r="D110" s="44" t="s">
        <v>905</v>
      </c>
      <c r="E110" s="45">
        <v>5</v>
      </c>
      <c r="F110" s="276">
        <v>10600</v>
      </c>
      <c r="G110" s="276">
        <v>53000</v>
      </c>
      <c r="H110" s="44" t="s">
        <v>877</v>
      </c>
      <c r="I110" s="105" t="s">
        <v>763</v>
      </c>
    </row>
    <row r="111" spans="1:9">
      <c r="A111" s="46">
        <v>4</v>
      </c>
      <c r="B111" s="44" t="s">
        <v>635</v>
      </c>
      <c r="C111" s="44" t="s">
        <v>906</v>
      </c>
      <c r="D111" s="44" t="s">
        <v>907</v>
      </c>
      <c r="E111" s="45">
        <v>1</v>
      </c>
      <c r="F111" s="276">
        <v>23700</v>
      </c>
      <c r="G111" s="276">
        <v>23700</v>
      </c>
      <c r="H111" s="44" t="s">
        <v>877</v>
      </c>
      <c r="I111" s="105" t="s">
        <v>763</v>
      </c>
    </row>
    <row r="112" spans="1:9">
      <c r="A112" s="46">
        <v>4</v>
      </c>
      <c r="B112" s="44" t="s">
        <v>635</v>
      </c>
      <c r="C112" s="44" t="s">
        <v>908</v>
      </c>
      <c r="D112" s="44" t="s">
        <v>909</v>
      </c>
      <c r="E112" s="45">
        <v>5</v>
      </c>
      <c r="F112" s="276">
        <v>2100</v>
      </c>
      <c r="G112" s="276">
        <v>10500</v>
      </c>
      <c r="H112" s="44" t="s">
        <v>877</v>
      </c>
      <c r="I112" s="105" t="s">
        <v>763</v>
      </c>
    </row>
    <row r="113" spans="1:9">
      <c r="A113" s="46">
        <v>4</v>
      </c>
      <c r="B113" s="44" t="s">
        <v>635</v>
      </c>
      <c r="C113" s="44" t="s">
        <v>910</v>
      </c>
      <c r="D113" s="44" t="s">
        <v>911</v>
      </c>
      <c r="E113" s="45">
        <v>25</v>
      </c>
      <c r="F113" s="276">
        <v>2100</v>
      </c>
      <c r="G113" s="276">
        <v>52500</v>
      </c>
      <c r="H113" s="44" t="s">
        <v>877</v>
      </c>
      <c r="I113" s="105" t="s">
        <v>763</v>
      </c>
    </row>
    <row r="114" spans="1:9">
      <c r="A114" s="46">
        <v>4</v>
      </c>
      <c r="B114" s="44" t="s">
        <v>635</v>
      </c>
      <c r="C114" s="44" t="s">
        <v>912</v>
      </c>
      <c r="D114" s="44" t="s">
        <v>913</v>
      </c>
      <c r="E114" s="45">
        <v>1</v>
      </c>
      <c r="F114" s="276">
        <v>19850</v>
      </c>
      <c r="G114" s="276">
        <v>19850</v>
      </c>
      <c r="H114" s="44" t="s">
        <v>877</v>
      </c>
      <c r="I114" s="105" t="s">
        <v>763</v>
      </c>
    </row>
    <row r="115" spans="1:9">
      <c r="A115" s="46">
        <v>4</v>
      </c>
      <c r="B115" s="44" t="s">
        <v>635</v>
      </c>
      <c r="C115" s="44" t="s">
        <v>914</v>
      </c>
      <c r="D115" s="44" t="s">
        <v>915</v>
      </c>
      <c r="E115" s="45">
        <v>1</v>
      </c>
      <c r="F115" s="276">
        <v>34300</v>
      </c>
      <c r="G115" s="276">
        <v>34300</v>
      </c>
      <c r="H115" s="44" t="s">
        <v>877</v>
      </c>
      <c r="I115" s="105" t="s">
        <v>763</v>
      </c>
    </row>
    <row r="116" spans="1:9">
      <c r="A116" s="46">
        <v>4</v>
      </c>
      <c r="B116" s="44" t="s">
        <v>635</v>
      </c>
      <c r="C116" s="44" t="s">
        <v>916</v>
      </c>
      <c r="D116" s="44" t="s">
        <v>917</v>
      </c>
      <c r="E116" s="45">
        <v>1</v>
      </c>
      <c r="F116" s="276">
        <v>15100</v>
      </c>
      <c r="G116" s="276">
        <v>15100</v>
      </c>
      <c r="H116" s="44" t="s">
        <v>877</v>
      </c>
      <c r="I116" s="105" t="s">
        <v>763</v>
      </c>
    </row>
    <row r="117" spans="1:9">
      <c r="A117" s="46">
        <v>4</v>
      </c>
      <c r="B117" s="44" t="s">
        <v>635</v>
      </c>
      <c r="C117" s="44" t="s">
        <v>918</v>
      </c>
      <c r="D117" s="44" t="s">
        <v>919</v>
      </c>
      <c r="E117" s="45">
        <v>200</v>
      </c>
      <c r="F117" s="276">
        <v>270</v>
      </c>
      <c r="G117" s="276">
        <v>54000</v>
      </c>
      <c r="H117" s="44" t="s">
        <v>877</v>
      </c>
      <c r="I117" s="105" t="s">
        <v>763</v>
      </c>
    </row>
    <row r="118" spans="1:9">
      <c r="A118" s="46">
        <v>4</v>
      </c>
      <c r="B118" s="44" t="s">
        <v>635</v>
      </c>
      <c r="C118" s="44" t="s">
        <v>920</v>
      </c>
      <c r="D118" s="44" t="s">
        <v>921</v>
      </c>
      <c r="E118" s="45">
        <v>100</v>
      </c>
      <c r="F118" s="276">
        <v>950</v>
      </c>
      <c r="G118" s="276">
        <v>95000</v>
      </c>
      <c r="H118" s="44" t="s">
        <v>877</v>
      </c>
      <c r="I118" s="105" t="s">
        <v>763</v>
      </c>
    </row>
    <row r="119" spans="1:9">
      <c r="A119" s="46">
        <v>4</v>
      </c>
      <c r="B119" s="44" t="s">
        <v>635</v>
      </c>
      <c r="C119" s="44" t="s">
        <v>922</v>
      </c>
      <c r="D119" s="44" t="s">
        <v>923</v>
      </c>
      <c r="E119" s="45">
        <v>200</v>
      </c>
      <c r="F119" s="276">
        <v>440</v>
      </c>
      <c r="G119" s="276">
        <v>88000</v>
      </c>
      <c r="H119" s="44" t="s">
        <v>877</v>
      </c>
      <c r="I119" s="105" t="s">
        <v>763</v>
      </c>
    </row>
    <row r="120" spans="1:9">
      <c r="A120" s="46">
        <v>4</v>
      </c>
      <c r="B120" s="44" t="s">
        <v>635</v>
      </c>
      <c r="C120" s="44" t="s">
        <v>924</v>
      </c>
      <c r="D120" s="44" t="s">
        <v>925</v>
      </c>
      <c r="E120" s="45">
        <v>400</v>
      </c>
      <c r="F120" s="276">
        <v>440</v>
      </c>
      <c r="G120" s="276">
        <v>176000</v>
      </c>
      <c r="H120" s="44" t="s">
        <v>877</v>
      </c>
      <c r="I120" s="105" t="s">
        <v>763</v>
      </c>
    </row>
    <row r="121" spans="1:9">
      <c r="A121" s="46">
        <v>4</v>
      </c>
      <c r="B121" s="44" t="s">
        <v>635</v>
      </c>
      <c r="C121" s="44" t="s">
        <v>926</v>
      </c>
      <c r="D121" s="44" t="s">
        <v>927</v>
      </c>
      <c r="E121" s="45">
        <v>2</v>
      </c>
      <c r="F121" s="276">
        <v>30350</v>
      </c>
      <c r="G121" s="276">
        <v>60700</v>
      </c>
      <c r="H121" s="44" t="s">
        <v>877</v>
      </c>
      <c r="I121" s="105" t="s">
        <v>763</v>
      </c>
    </row>
    <row r="122" spans="1:9">
      <c r="A122" s="46">
        <v>4</v>
      </c>
      <c r="B122" s="44" t="s">
        <v>635</v>
      </c>
      <c r="C122" s="44" t="s">
        <v>928</v>
      </c>
      <c r="D122" s="44" t="s">
        <v>929</v>
      </c>
      <c r="E122" s="45">
        <v>2</v>
      </c>
      <c r="F122" s="276">
        <v>18650</v>
      </c>
      <c r="G122" s="276">
        <v>37300</v>
      </c>
      <c r="H122" s="44" t="s">
        <v>877</v>
      </c>
      <c r="I122" s="105" t="s">
        <v>763</v>
      </c>
    </row>
    <row r="123" spans="1:9">
      <c r="A123" s="46">
        <v>4</v>
      </c>
      <c r="B123" s="44" t="s">
        <v>635</v>
      </c>
      <c r="C123" s="44" t="s">
        <v>930</v>
      </c>
      <c r="D123" s="44" t="s">
        <v>931</v>
      </c>
      <c r="E123" s="45">
        <v>1</v>
      </c>
      <c r="F123" s="276">
        <v>14600</v>
      </c>
      <c r="G123" s="276">
        <v>14600</v>
      </c>
      <c r="H123" s="44" t="s">
        <v>877</v>
      </c>
      <c r="I123" s="105" t="s">
        <v>763</v>
      </c>
    </row>
    <row r="124" spans="1:9">
      <c r="A124" s="46">
        <v>4</v>
      </c>
      <c r="B124" s="44" t="s">
        <v>635</v>
      </c>
      <c r="C124" s="44" t="s">
        <v>932</v>
      </c>
      <c r="D124" s="44" t="s">
        <v>933</v>
      </c>
      <c r="E124" s="45">
        <v>5</v>
      </c>
      <c r="F124" s="276">
        <v>20950</v>
      </c>
      <c r="G124" s="276">
        <v>104750</v>
      </c>
      <c r="H124" s="44" t="s">
        <v>877</v>
      </c>
      <c r="I124" s="105" t="s">
        <v>763</v>
      </c>
    </row>
    <row r="125" spans="1:9">
      <c r="A125" s="46">
        <v>4</v>
      </c>
      <c r="B125" s="44" t="s">
        <v>635</v>
      </c>
      <c r="C125" s="44" t="s">
        <v>934</v>
      </c>
      <c r="D125" s="44" t="s">
        <v>935</v>
      </c>
      <c r="E125" s="45">
        <v>1</v>
      </c>
      <c r="F125" s="276">
        <v>18200</v>
      </c>
      <c r="G125" s="276">
        <v>18200</v>
      </c>
      <c r="H125" s="44" t="s">
        <v>877</v>
      </c>
      <c r="I125" s="105" t="s">
        <v>763</v>
      </c>
    </row>
    <row r="126" spans="1:9">
      <c r="A126" s="46">
        <v>4</v>
      </c>
      <c r="B126" s="44" t="s">
        <v>635</v>
      </c>
      <c r="C126" s="44" t="s">
        <v>936</v>
      </c>
      <c r="D126" s="44" t="s">
        <v>937</v>
      </c>
      <c r="E126" s="45">
        <v>60</v>
      </c>
      <c r="F126" s="276">
        <v>2000</v>
      </c>
      <c r="G126" s="276">
        <v>120000</v>
      </c>
      <c r="H126" s="44" t="s">
        <v>877</v>
      </c>
      <c r="I126" s="105" t="s">
        <v>763</v>
      </c>
    </row>
    <row r="127" spans="1:9">
      <c r="A127" s="46">
        <v>4</v>
      </c>
      <c r="B127" s="44" t="s">
        <v>635</v>
      </c>
      <c r="C127" s="44" t="s">
        <v>938</v>
      </c>
      <c r="D127" s="44" t="s">
        <v>939</v>
      </c>
      <c r="E127" s="45">
        <v>6</v>
      </c>
      <c r="F127" s="276">
        <v>2400</v>
      </c>
      <c r="G127" s="276">
        <v>14400</v>
      </c>
      <c r="H127" s="44" t="s">
        <v>877</v>
      </c>
      <c r="I127" s="105" t="s">
        <v>763</v>
      </c>
    </row>
    <row r="128" spans="1:9">
      <c r="A128" s="46">
        <v>4</v>
      </c>
      <c r="B128" s="44" t="s">
        <v>635</v>
      </c>
      <c r="C128" s="44" t="s">
        <v>940</v>
      </c>
      <c r="D128" s="44" t="s">
        <v>941</v>
      </c>
      <c r="E128" s="45">
        <v>3</v>
      </c>
      <c r="F128" s="276">
        <v>5450</v>
      </c>
      <c r="G128" s="276">
        <v>16350</v>
      </c>
      <c r="H128" s="44" t="s">
        <v>877</v>
      </c>
      <c r="I128" s="105" t="s">
        <v>763</v>
      </c>
    </row>
    <row r="129" spans="1:9">
      <c r="A129" s="46">
        <v>4</v>
      </c>
      <c r="B129" s="44" t="s">
        <v>635</v>
      </c>
      <c r="C129" s="44" t="s">
        <v>942</v>
      </c>
      <c r="D129" s="44" t="s">
        <v>943</v>
      </c>
      <c r="E129" s="45">
        <v>3</v>
      </c>
      <c r="F129" s="276">
        <v>5450</v>
      </c>
      <c r="G129" s="276">
        <v>16350</v>
      </c>
      <c r="H129" s="44" t="s">
        <v>877</v>
      </c>
      <c r="I129" s="105" t="s">
        <v>763</v>
      </c>
    </row>
    <row r="130" spans="1:9">
      <c r="A130" s="46">
        <v>4</v>
      </c>
      <c r="B130" s="44" t="s">
        <v>635</v>
      </c>
      <c r="C130" s="44" t="s">
        <v>944</v>
      </c>
      <c r="D130" s="44" t="s">
        <v>945</v>
      </c>
      <c r="E130" s="45">
        <v>2</v>
      </c>
      <c r="F130" s="276">
        <v>17250</v>
      </c>
      <c r="G130" s="276">
        <v>34500</v>
      </c>
      <c r="H130" s="44" t="s">
        <v>877</v>
      </c>
      <c r="I130" s="105" t="s">
        <v>763</v>
      </c>
    </row>
    <row r="131" spans="1:9">
      <c r="A131" s="46">
        <v>4</v>
      </c>
      <c r="B131" s="44" t="s">
        <v>635</v>
      </c>
      <c r="C131" s="44" t="s">
        <v>946</v>
      </c>
      <c r="D131" s="44" t="s">
        <v>947</v>
      </c>
      <c r="E131" s="45">
        <v>1</v>
      </c>
      <c r="F131" s="276">
        <v>17250</v>
      </c>
      <c r="G131" s="276">
        <v>17250</v>
      </c>
      <c r="H131" s="44" t="s">
        <v>877</v>
      </c>
      <c r="I131" s="105" t="s">
        <v>763</v>
      </c>
    </row>
    <row r="132" spans="1:9">
      <c r="A132" s="46">
        <v>4</v>
      </c>
      <c r="B132" s="44" t="s">
        <v>635</v>
      </c>
      <c r="C132" s="44" t="s">
        <v>948</v>
      </c>
      <c r="D132" s="44" t="s">
        <v>949</v>
      </c>
      <c r="E132" s="45">
        <v>10</v>
      </c>
      <c r="F132" s="276">
        <v>5200</v>
      </c>
      <c r="G132" s="276">
        <v>52000</v>
      </c>
      <c r="H132" s="44" t="s">
        <v>877</v>
      </c>
      <c r="I132" s="105" t="s">
        <v>763</v>
      </c>
    </row>
    <row r="133" spans="1:9">
      <c r="A133" s="46">
        <v>4</v>
      </c>
      <c r="B133" s="44" t="s">
        <v>635</v>
      </c>
      <c r="C133" s="44" t="s">
        <v>950</v>
      </c>
      <c r="D133" s="44" t="s">
        <v>951</v>
      </c>
      <c r="E133" s="45">
        <v>2</v>
      </c>
      <c r="F133" s="276">
        <v>10450</v>
      </c>
      <c r="G133" s="276">
        <v>20900</v>
      </c>
      <c r="H133" s="44" t="s">
        <v>877</v>
      </c>
      <c r="I133" s="105" t="s">
        <v>763</v>
      </c>
    </row>
    <row r="134" spans="1:9">
      <c r="A134" s="46">
        <v>4</v>
      </c>
      <c r="B134" s="44" t="s">
        <v>635</v>
      </c>
      <c r="C134" s="44" t="s">
        <v>952</v>
      </c>
      <c r="D134" s="44" t="s">
        <v>953</v>
      </c>
      <c r="E134" s="45">
        <v>40</v>
      </c>
      <c r="F134" s="276">
        <v>3100</v>
      </c>
      <c r="G134" s="276">
        <v>124000</v>
      </c>
      <c r="H134" s="44" t="s">
        <v>877</v>
      </c>
      <c r="I134" s="105" t="s">
        <v>763</v>
      </c>
    </row>
    <row r="135" spans="1:9">
      <c r="A135" s="46">
        <v>4</v>
      </c>
      <c r="B135" s="44" t="s">
        <v>635</v>
      </c>
      <c r="C135" s="44" t="s">
        <v>954</v>
      </c>
      <c r="D135" s="44" t="s">
        <v>955</v>
      </c>
      <c r="E135" s="45">
        <v>6</v>
      </c>
      <c r="F135" s="276">
        <v>5000</v>
      </c>
      <c r="G135" s="276">
        <v>30000</v>
      </c>
      <c r="H135" s="44" t="s">
        <v>877</v>
      </c>
      <c r="I135" s="105" t="s">
        <v>763</v>
      </c>
    </row>
    <row r="136" spans="1:9">
      <c r="A136" s="46">
        <v>4</v>
      </c>
      <c r="B136" s="44" t="s">
        <v>635</v>
      </c>
      <c r="C136" s="44" t="s">
        <v>956</v>
      </c>
      <c r="D136" s="44" t="s">
        <v>957</v>
      </c>
      <c r="E136" s="45">
        <v>3</v>
      </c>
      <c r="F136" s="276">
        <v>4850</v>
      </c>
      <c r="G136" s="276">
        <v>14550</v>
      </c>
      <c r="H136" s="44" t="s">
        <v>877</v>
      </c>
      <c r="I136" s="105" t="s">
        <v>763</v>
      </c>
    </row>
    <row r="137" spans="1:9">
      <c r="A137" s="46">
        <v>4</v>
      </c>
      <c r="B137" s="44" t="s">
        <v>635</v>
      </c>
      <c r="C137" s="44" t="s">
        <v>958</v>
      </c>
      <c r="D137" s="44" t="s">
        <v>959</v>
      </c>
      <c r="E137" s="45">
        <v>2</v>
      </c>
      <c r="F137" s="276">
        <v>7200</v>
      </c>
      <c r="G137" s="276">
        <v>14400</v>
      </c>
      <c r="H137" s="44" t="s">
        <v>877</v>
      </c>
      <c r="I137" s="105" t="s">
        <v>763</v>
      </c>
    </row>
    <row r="138" spans="1:9">
      <c r="A138" s="46">
        <v>4</v>
      </c>
      <c r="B138" s="44" t="s">
        <v>770</v>
      </c>
      <c r="C138" s="44" t="s">
        <v>960</v>
      </c>
      <c r="D138" s="44" t="s">
        <v>961</v>
      </c>
      <c r="E138" s="45">
        <v>1</v>
      </c>
      <c r="F138" s="276">
        <v>233000</v>
      </c>
      <c r="G138" s="276">
        <v>233000</v>
      </c>
      <c r="H138" s="44" t="s">
        <v>962</v>
      </c>
      <c r="I138" s="105" t="s">
        <v>763</v>
      </c>
    </row>
    <row r="139" spans="1:9">
      <c r="A139" s="46">
        <v>4</v>
      </c>
      <c r="B139" s="44" t="s">
        <v>635</v>
      </c>
      <c r="C139" s="44" t="s">
        <v>963</v>
      </c>
      <c r="D139" s="44" t="s">
        <v>964</v>
      </c>
      <c r="E139" s="45">
        <v>5</v>
      </c>
      <c r="F139" s="276">
        <v>5000</v>
      </c>
      <c r="G139" s="276">
        <v>25000</v>
      </c>
      <c r="H139" s="44" t="s">
        <v>962</v>
      </c>
      <c r="I139" s="105" t="s">
        <v>763</v>
      </c>
    </row>
    <row r="140" spans="1:9">
      <c r="A140" s="46">
        <v>4</v>
      </c>
      <c r="B140" s="44" t="s">
        <v>635</v>
      </c>
      <c r="C140" s="44" t="s">
        <v>965</v>
      </c>
      <c r="D140" s="44" t="s">
        <v>966</v>
      </c>
      <c r="E140" s="45">
        <v>1</v>
      </c>
      <c r="F140" s="276">
        <v>5500</v>
      </c>
      <c r="G140" s="276">
        <v>5500</v>
      </c>
      <c r="H140" s="44" t="s">
        <v>962</v>
      </c>
      <c r="I140" s="105" t="s">
        <v>763</v>
      </c>
    </row>
    <row r="141" spans="1:9">
      <c r="A141" s="46">
        <v>4</v>
      </c>
      <c r="B141" s="44" t="s">
        <v>780</v>
      </c>
      <c r="C141" s="44" t="s">
        <v>781</v>
      </c>
      <c r="D141" s="44" t="s">
        <v>967</v>
      </c>
      <c r="E141" s="45">
        <v>1</v>
      </c>
      <c r="F141" s="276">
        <v>30000</v>
      </c>
      <c r="G141" s="276">
        <v>30000</v>
      </c>
      <c r="H141" s="44" t="s">
        <v>962</v>
      </c>
      <c r="I141" s="105" t="s">
        <v>763</v>
      </c>
    </row>
    <row r="142" spans="1:9">
      <c r="A142" s="46">
        <v>4</v>
      </c>
      <c r="B142" s="44" t="s">
        <v>762</v>
      </c>
      <c r="C142" s="44" t="s">
        <v>249</v>
      </c>
      <c r="D142" s="44" t="s">
        <v>250</v>
      </c>
      <c r="E142" s="45">
        <v>26.5</v>
      </c>
      <c r="F142" s="276">
        <v>19500</v>
      </c>
      <c r="G142" s="276">
        <v>516750</v>
      </c>
      <c r="H142" s="44" t="s">
        <v>248</v>
      </c>
      <c r="I142" s="105" t="s">
        <v>763</v>
      </c>
    </row>
    <row r="143" spans="1:9">
      <c r="A143" s="46">
        <v>4</v>
      </c>
      <c r="B143" s="44" t="s">
        <v>762</v>
      </c>
      <c r="C143" s="44" t="s">
        <v>195</v>
      </c>
      <c r="D143" s="44" t="s">
        <v>252</v>
      </c>
      <c r="E143" s="45">
        <v>23.5</v>
      </c>
      <c r="F143" s="276">
        <v>18500</v>
      </c>
      <c r="G143" s="276">
        <v>434750</v>
      </c>
      <c r="H143" s="44" t="s">
        <v>251</v>
      </c>
      <c r="I143" s="106" t="s">
        <v>774</v>
      </c>
    </row>
    <row r="144" spans="1:9">
      <c r="A144" s="46">
        <v>4</v>
      </c>
      <c r="B144" s="44" t="s">
        <v>762</v>
      </c>
      <c r="C144" s="44" t="s">
        <v>254</v>
      </c>
      <c r="D144" s="44" t="s">
        <v>255</v>
      </c>
      <c r="E144" s="45">
        <v>10</v>
      </c>
      <c r="F144" s="276">
        <v>10000</v>
      </c>
      <c r="G144" s="276">
        <v>100000</v>
      </c>
      <c r="H144" s="44" t="s">
        <v>253</v>
      </c>
      <c r="I144" s="105" t="s">
        <v>763</v>
      </c>
    </row>
    <row r="145" spans="1:9">
      <c r="A145" s="46">
        <v>4</v>
      </c>
      <c r="B145" s="44" t="s">
        <v>770</v>
      </c>
      <c r="C145" s="44" t="s">
        <v>771</v>
      </c>
      <c r="D145" s="44" t="s">
        <v>968</v>
      </c>
      <c r="E145" s="45">
        <v>100</v>
      </c>
      <c r="F145" s="276">
        <v>150</v>
      </c>
      <c r="G145" s="276">
        <v>15000</v>
      </c>
      <c r="H145" s="44" t="s">
        <v>969</v>
      </c>
      <c r="I145" s="105" t="s">
        <v>763</v>
      </c>
    </row>
    <row r="146" spans="1:9">
      <c r="A146" s="46">
        <v>4</v>
      </c>
      <c r="B146" s="44" t="s">
        <v>770</v>
      </c>
      <c r="C146" s="44" t="s">
        <v>970</v>
      </c>
      <c r="D146" s="44" t="s">
        <v>971</v>
      </c>
      <c r="E146" s="45">
        <v>3</v>
      </c>
      <c r="F146" s="276">
        <v>2950</v>
      </c>
      <c r="G146" s="276">
        <v>8850</v>
      </c>
      <c r="H146" s="44" t="s">
        <v>972</v>
      </c>
      <c r="I146" s="106" t="s">
        <v>774</v>
      </c>
    </row>
    <row r="147" spans="1:9">
      <c r="A147" s="46">
        <v>4</v>
      </c>
      <c r="B147" s="44" t="s">
        <v>762</v>
      </c>
      <c r="C147" s="44" t="s">
        <v>257</v>
      </c>
      <c r="D147" s="44" t="s">
        <v>258</v>
      </c>
      <c r="E147" s="45">
        <v>3.0950000000000002</v>
      </c>
      <c r="F147" s="276">
        <v>13980</v>
      </c>
      <c r="G147" s="276">
        <v>43269</v>
      </c>
      <c r="H147" s="44" t="s">
        <v>256</v>
      </c>
      <c r="I147" s="106" t="s">
        <v>774</v>
      </c>
    </row>
    <row r="148" spans="1:9">
      <c r="A148" s="46">
        <v>5</v>
      </c>
      <c r="B148" s="44" t="s">
        <v>766</v>
      </c>
      <c r="C148" s="44" t="s">
        <v>785</v>
      </c>
      <c r="D148" s="44" t="s">
        <v>973</v>
      </c>
      <c r="E148" s="45">
        <v>12</v>
      </c>
      <c r="F148" s="276">
        <v>19500</v>
      </c>
      <c r="G148" s="276">
        <v>234000</v>
      </c>
      <c r="H148" s="44" t="s">
        <v>269</v>
      </c>
      <c r="I148" s="105" t="s">
        <v>763</v>
      </c>
    </row>
    <row r="149" spans="1:9">
      <c r="A149" s="46">
        <v>5</v>
      </c>
      <c r="B149" s="44" t="s">
        <v>762</v>
      </c>
      <c r="C149" s="44" t="s">
        <v>270</v>
      </c>
      <c r="D149" s="44" t="s">
        <v>271</v>
      </c>
      <c r="E149" s="45">
        <v>19.7</v>
      </c>
      <c r="F149" s="276">
        <v>22900</v>
      </c>
      <c r="G149" s="276">
        <v>451130</v>
      </c>
      <c r="H149" s="44" t="s">
        <v>269</v>
      </c>
      <c r="I149" s="105" t="s">
        <v>763</v>
      </c>
    </row>
    <row r="150" spans="1:9">
      <c r="A150" s="46">
        <v>5</v>
      </c>
      <c r="B150" s="44" t="s">
        <v>762</v>
      </c>
      <c r="C150" s="44" t="s">
        <v>272</v>
      </c>
      <c r="D150" s="44" t="s">
        <v>273</v>
      </c>
      <c r="E150" s="45">
        <v>26.1</v>
      </c>
      <c r="F150" s="276">
        <v>18500</v>
      </c>
      <c r="G150" s="276">
        <v>482850</v>
      </c>
      <c r="H150" s="44" t="s">
        <v>269</v>
      </c>
      <c r="I150" s="105" t="s">
        <v>763</v>
      </c>
    </row>
    <row r="151" spans="1:9">
      <c r="A151" s="46">
        <v>5</v>
      </c>
      <c r="B151" s="44" t="s">
        <v>762</v>
      </c>
      <c r="C151" s="44" t="s">
        <v>274</v>
      </c>
      <c r="D151" s="44" t="s">
        <v>275</v>
      </c>
      <c r="E151" s="45">
        <v>30.66</v>
      </c>
      <c r="F151" s="276">
        <v>18900</v>
      </c>
      <c r="G151" s="276">
        <v>579474</v>
      </c>
      <c r="H151" s="44" t="s">
        <v>269</v>
      </c>
      <c r="I151" s="105" t="s">
        <v>763</v>
      </c>
    </row>
    <row r="152" spans="1:9">
      <c r="A152" s="46">
        <v>5</v>
      </c>
      <c r="B152" s="44" t="s">
        <v>762</v>
      </c>
      <c r="C152" s="44" t="s">
        <v>276</v>
      </c>
      <c r="D152" s="44" t="s">
        <v>277</v>
      </c>
      <c r="E152" s="45">
        <v>21.55</v>
      </c>
      <c r="F152" s="276">
        <v>42000</v>
      </c>
      <c r="G152" s="276">
        <v>905100</v>
      </c>
      <c r="H152" s="44" t="s">
        <v>269</v>
      </c>
      <c r="I152" s="105" t="s">
        <v>763</v>
      </c>
    </row>
    <row r="153" spans="1:9">
      <c r="A153" s="46">
        <v>5</v>
      </c>
      <c r="B153" s="44" t="s">
        <v>762</v>
      </c>
      <c r="C153" s="44" t="s">
        <v>278</v>
      </c>
      <c r="D153" s="44" t="s">
        <v>279</v>
      </c>
      <c r="E153" s="45">
        <v>18</v>
      </c>
      <c r="F153" s="276">
        <v>44000</v>
      </c>
      <c r="G153" s="276">
        <v>792000</v>
      </c>
      <c r="H153" s="44" t="s">
        <v>269</v>
      </c>
      <c r="I153" s="105" t="s">
        <v>763</v>
      </c>
    </row>
    <row r="154" spans="1:9">
      <c r="A154" s="46">
        <v>5</v>
      </c>
      <c r="B154" s="44" t="s">
        <v>762</v>
      </c>
      <c r="C154" s="44" t="s">
        <v>209</v>
      </c>
      <c r="D154" s="44" t="s">
        <v>280</v>
      </c>
      <c r="E154" s="45">
        <v>20.239999999999998</v>
      </c>
      <c r="F154" s="276">
        <v>25900</v>
      </c>
      <c r="G154" s="276">
        <v>524216</v>
      </c>
      <c r="H154" s="44" t="s">
        <v>269</v>
      </c>
      <c r="I154" s="105" t="s">
        <v>763</v>
      </c>
    </row>
    <row r="155" spans="1:9">
      <c r="A155" s="46">
        <v>5</v>
      </c>
      <c r="B155" s="44" t="s">
        <v>762</v>
      </c>
      <c r="C155" s="44" t="s">
        <v>211</v>
      </c>
      <c r="D155" s="44" t="s">
        <v>281</v>
      </c>
      <c r="E155" s="45">
        <v>9</v>
      </c>
      <c r="F155" s="276">
        <v>34500</v>
      </c>
      <c r="G155" s="276">
        <v>310500</v>
      </c>
      <c r="H155" s="44" t="s">
        <v>269</v>
      </c>
      <c r="I155" s="105" t="s">
        <v>763</v>
      </c>
    </row>
    <row r="156" spans="1:9">
      <c r="A156" s="46">
        <v>5</v>
      </c>
      <c r="B156" s="44" t="s">
        <v>762</v>
      </c>
      <c r="C156" s="44" t="s">
        <v>282</v>
      </c>
      <c r="D156" s="44" t="s">
        <v>283</v>
      </c>
      <c r="E156" s="45">
        <v>150.9</v>
      </c>
      <c r="F156" s="276">
        <v>21900</v>
      </c>
      <c r="G156" s="276">
        <v>3304710</v>
      </c>
      <c r="H156" s="44" t="s">
        <v>269</v>
      </c>
      <c r="I156" s="105" t="s">
        <v>763</v>
      </c>
    </row>
    <row r="157" spans="1:9">
      <c r="A157" s="46">
        <v>5</v>
      </c>
      <c r="B157" s="44" t="s">
        <v>770</v>
      </c>
      <c r="C157" s="44" t="s">
        <v>771</v>
      </c>
      <c r="D157" s="44" t="s">
        <v>974</v>
      </c>
      <c r="E157" s="45">
        <v>1150</v>
      </c>
      <c r="F157" s="276">
        <v>150</v>
      </c>
      <c r="G157" s="276">
        <v>172500</v>
      </c>
      <c r="H157" s="44" t="s">
        <v>975</v>
      </c>
      <c r="I157" s="105" t="s">
        <v>763</v>
      </c>
    </row>
    <row r="158" spans="1:9">
      <c r="A158" s="46">
        <v>5</v>
      </c>
      <c r="B158" s="44" t="s">
        <v>635</v>
      </c>
      <c r="C158" s="44" t="s">
        <v>589</v>
      </c>
      <c r="D158" s="44" t="s">
        <v>976</v>
      </c>
      <c r="E158" s="45">
        <v>2</v>
      </c>
      <c r="F158" s="276">
        <v>9500</v>
      </c>
      <c r="G158" s="276">
        <v>19000</v>
      </c>
      <c r="H158" s="44" t="s">
        <v>977</v>
      </c>
      <c r="I158" s="105" t="s">
        <v>763</v>
      </c>
    </row>
    <row r="159" spans="1:9">
      <c r="A159" s="46">
        <v>5</v>
      </c>
      <c r="B159" s="44" t="s">
        <v>635</v>
      </c>
      <c r="C159" s="44" t="s">
        <v>778</v>
      </c>
      <c r="D159" s="44" t="s">
        <v>978</v>
      </c>
      <c r="E159" s="45">
        <v>3</v>
      </c>
      <c r="F159" s="276">
        <v>5000</v>
      </c>
      <c r="G159" s="276">
        <v>15000</v>
      </c>
      <c r="H159" s="44" t="s">
        <v>977</v>
      </c>
      <c r="I159" s="105" t="s">
        <v>763</v>
      </c>
    </row>
    <row r="160" spans="1:9">
      <c r="A160" s="46">
        <v>5</v>
      </c>
      <c r="B160" s="44" t="s">
        <v>635</v>
      </c>
      <c r="C160" s="44" t="s">
        <v>589</v>
      </c>
      <c r="D160" s="44" t="s">
        <v>979</v>
      </c>
      <c r="E160" s="45">
        <v>2</v>
      </c>
      <c r="F160" s="276">
        <v>9500</v>
      </c>
      <c r="G160" s="276">
        <v>19000</v>
      </c>
      <c r="H160" s="44" t="s">
        <v>980</v>
      </c>
      <c r="I160" s="105" t="s">
        <v>763</v>
      </c>
    </row>
    <row r="161" spans="1:9">
      <c r="A161" s="46">
        <v>5</v>
      </c>
      <c r="B161" s="44" t="s">
        <v>635</v>
      </c>
      <c r="C161" s="44" t="s">
        <v>778</v>
      </c>
      <c r="D161" s="44" t="s">
        <v>981</v>
      </c>
      <c r="E161" s="45">
        <v>2</v>
      </c>
      <c r="F161" s="276">
        <v>5000</v>
      </c>
      <c r="G161" s="276">
        <v>10000</v>
      </c>
      <c r="H161" s="44" t="s">
        <v>980</v>
      </c>
      <c r="I161" s="105" t="s">
        <v>763</v>
      </c>
    </row>
    <row r="162" spans="1:9">
      <c r="A162" s="46">
        <v>5</v>
      </c>
      <c r="B162" s="44" t="s">
        <v>766</v>
      </c>
      <c r="C162" s="44" t="s">
        <v>982</v>
      </c>
      <c r="D162" s="44" t="s">
        <v>983</v>
      </c>
      <c r="E162" s="45">
        <v>8</v>
      </c>
      <c r="F162" s="276">
        <v>4500</v>
      </c>
      <c r="G162" s="276">
        <v>36000</v>
      </c>
      <c r="H162" s="44" t="s">
        <v>984</v>
      </c>
      <c r="I162" s="105" t="s">
        <v>763</v>
      </c>
    </row>
    <row r="163" spans="1:9">
      <c r="A163" s="46">
        <v>5</v>
      </c>
      <c r="B163" s="44" t="s">
        <v>770</v>
      </c>
      <c r="C163" s="44" t="s">
        <v>771</v>
      </c>
      <c r="D163" s="44" t="s">
        <v>985</v>
      </c>
      <c r="E163" s="45">
        <v>500</v>
      </c>
      <c r="F163" s="276">
        <v>150</v>
      </c>
      <c r="G163" s="276">
        <v>75000</v>
      </c>
      <c r="H163" s="44" t="s">
        <v>986</v>
      </c>
      <c r="I163" s="105" t="s">
        <v>763</v>
      </c>
    </row>
    <row r="164" spans="1:9">
      <c r="A164" s="46">
        <v>5</v>
      </c>
      <c r="B164" s="44" t="s">
        <v>766</v>
      </c>
      <c r="C164" s="44" t="s">
        <v>987</v>
      </c>
      <c r="D164" s="44" t="s">
        <v>988</v>
      </c>
      <c r="E164" s="45">
        <v>4</v>
      </c>
      <c r="F164" s="276">
        <v>17950</v>
      </c>
      <c r="G164" s="276">
        <v>71800</v>
      </c>
      <c r="H164" s="44" t="s">
        <v>989</v>
      </c>
      <c r="I164" s="106" t="s">
        <v>774</v>
      </c>
    </row>
    <row r="165" spans="1:9">
      <c r="A165" s="46">
        <v>5</v>
      </c>
      <c r="B165" s="44" t="s">
        <v>766</v>
      </c>
      <c r="C165" s="44" t="s">
        <v>990</v>
      </c>
      <c r="D165" s="44" t="s">
        <v>991</v>
      </c>
      <c r="E165" s="45">
        <v>5</v>
      </c>
      <c r="F165" s="276">
        <v>12900</v>
      </c>
      <c r="G165" s="276">
        <v>64500</v>
      </c>
      <c r="H165" s="44" t="s">
        <v>989</v>
      </c>
      <c r="I165" s="106" t="s">
        <v>774</v>
      </c>
    </row>
    <row r="166" spans="1:9">
      <c r="A166" s="46">
        <v>5</v>
      </c>
      <c r="B166" s="44" t="s">
        <v>766</v>
      </c>
      <c r="C166" s="44" t="s">
        <v>992</v>
      </c>
      <c r="D166" s="44" t="s">
        <v>993</v>
      </c>
      <c r="E166" s="45">
        <v>3</v>
      </c>
      <c r="F166" s="276">
        <v>12600</v>
      </c>
      <c r="G166" s="276">
        <v>37800</v>
      </c>
      <c r="H166" s="44" t="s">
        <v>989</v>
      </c>
      <c r="I166" s="106" t="s">
        <v>774</v>
      </c>
    </row>
    <row r="167" spans="1:9">
      <c r="A167" s="46">
        <v>5</v>
      </c>
      <c r="B167" s="44" t="s">
        <v>766</v>
      </c>
      <c r="C167" s="44" t="s">
        <v>994</v>
      </c>
      <c r="D167" s="44" t="s">
        <v>995</v>
      </c>
      <c r="E167" s="45">
        <v>3</v>
      </c>
      <c r="F167" s="276">
        <v>15500</v>
      </c>
      <c r="G167" s="276">
        <v>46500</v>
      </c>
      <c r="H167" s="44" t="s">
        <v>989</v>
      </c>
      <c r="I167" s="106" t="s">
        <v>774</v>
      </c>
    </row>
    <row r="168" spans="1:9">
      <c r="A168" s="46">
        <v>5</v>
      </c>
      <c r="B168" s="44" t="s">
        <v>766</v>
      </c>
      <c r="C168" s="44" t="s">
        <v>996</v>
      </c>
      <c r="D168" s="44" t="s">
        <v>997</v>
      </c>
      <c r="E168" s="45">
        <v>2</v>
      </c>
      <c r="F168" s="276">
        <v>16800</v>
      </c>
      <c r="G168" s="276">
        <v>33600</v>
      </c>
      <c r="H168" s="44" t="s">
        <v>989</v>
      </c>
      <c r="I168" s="106" t="s">
        <v>774</v>
      </c>
    </row>
    <row r="169" spans="1:9">
      <c r="A169" s="46">
        <v>6</v>
      </c>
      <c r="B169" s="44" t="s">
        <v>635</v>
      </c>
      <c r="C169" s="44" t="s">
        <v>589</v>
      </c>
      <c r="D169" s="44" t="s">
        <v>998</v>
      </c>
      <c r="E169" s="45">
        <v>2</v>
      </c>
      <c r="F169" s="276">
        <v>9500</v>
      </c>
      <c r="G169" s="276">
        <v>19000</v>
      </c>
      <c r="H169" s="44" t="s">
        <v>999</v>
      </c>
      <c r="I169" s="105" t="s">
        <v>763</v>
      </c>
    </row>
    <row r="170" spans="1:9">
      <c r="A170" s="46">
        <v>6</v>
      </c>
      <c r="B170" s="44" t="s">
        <v>635</v>
      </c>
      <c r="C170" s="44" t="s">
        <v>778</v>
      </c>
      <c r="D170" s="44" t="s">
        <v>1000</v>
      </c>
      <c r="E170" s="45">
        <v>4</v>
      </c>
      <c r="F170" s="276">
        <v>5000</v>
      </c>
      <c r="G170" s="276">
        <v>20000</v>
      </c>
      <c r="H170" s="44" t="s">
        <v>999</v>
      </c>
      <c r="I170" s="105" t="s">
        <v>763</v>
      </c>
    </row>
    <row r="171" spans="1:9">
      <c r="A171" s="46">
        <v>6</v>
      </c>
      <c r="B171" s="44" t="s">
        <v>766</v>
      </c>
      <c r="C171" s="44" t="s">
        <v>1001</v>
      </c>
      <c r="D171" s="44" t="s">
        <v>1002</v>
      </c>
      <c r="E171" s="45">
        <v>9</v>
      </c>
      <c r="F171" s="276">
        <v>9000</v>
      </c>
      <c r="G171" s="276">
        <v>81000</v>
      </c>
      <c r="H171" s="44" t="s">
        <v>1003</v>
      </c>
      <c r="I171" s="105" t="s">
        <v>763</v>
      </c>
    </row>
    <row r="172" spans="1:9">
      <c r="A172" s="46">
        <v>6</v>
      </c>
      <c r="B172" s="44" t="s">
        <v>635</v>
      </c>
      <c r="C172" s="44" t="s">
        <v>651</v>
      </c>
      <c r="D172" s="44" t="s">
        <v>1004</v>
      </c>
      <c r="E172" s="45">
        <v>1</v>
      </c>
      <c r="F172" s="276">
        <v>20000</v>
      </c>
      <c r="G172" s="276">
        <v>20000</v>
      </c>
      <c r="H172" s="44" t="s">
        <v>1003</v>
      </c>
      <c r="I172" s="105" t="s">
        <v>763</v>
      </c>
    </row>
    <row r="173" spans="1:9">
      <c r="A173" s="46">
        <v>6</v>
      </c>
      <c r="B173" s="44" t="s">
        <v>635</v>
      </c>
      <c r="C173" s="44" t="s">
        <v>965</v>
      </c>
      <c r="D173" s="44" t="s">
        <v>1005</v>
      </c>
      <c r="E173" s="45">
        <v>10</v>
      </c>
      <c r="F173" s="276">
        <v>9000</v>
      </c>
      <c r="G173" s="276">
        <v>90000</v>
      </c>
      <c r="H173" s="44" t="s">
        <v>1003</v>
      </c>
      <c r="I173" s="105" t="s">
        <v>763</v>
      </c>
    </row>
    <row r="174" spans="1:9">
      <c r="A174" s="46">
        <v>6</v>
      </c>
      <c r="B174" s="44" t="s">
        <v>780</v>
      </c>
      <c r="C174" s="44" t="s">
        <v>783</v>
      </c>
      <c r="D174" s="44" t="s">
        <v>1006</v>
      </c>
      <c r="E174" s="45">
        <v>1</v>
      </c>
      <c r="F174" s="276">
        <v>90000</v>
      </c>
      <c r="G174" s="276">
        <v>90000</v>
      </c>
      <c r="H174" s="44" t="s">
        <v>1003</v>
      </c>
      <c r="I174" s="105" t="s">
        <v>763</v>
      </c>
    </row>
    <row r="175" spans="1:9">
      <c r="A175" s="46">
        <v>6</v>
      </c>
      <c r="B175" s="44" t="s">
        <v>766</v>
      </c>
      <c r="C175" s="44" t="s">
        <v>767</v>
      </c>
      <c r="D175" s="44" t="s">
        <v>1007</v>
      </c>
      <c r="E175" s="45">
        <v>34</v>
      </c>
      <c r="F175" s="276">
        <v>6000</v>
      </c>
      <c r="G175" s="276">
        <v>204000</v>
      </c>
      <c r="H175" s="44" t="s">
        <v>1003</v>
      </c>
      <c r="I175" s="106" t="s">
        <v>774</v>
      </c>
    </row>
    <row r="176" spans="1:9">
      <c r="A176" s="46">
        <v>7</v>
      </c>
      <c r="B176" s="44" t="s">
        <v>780</v>
      </c>
      <c r="C176" s="44" t="s">
        <v>1008</v>
      </c>
      <c r="D176" s="44" t="s">
        <v>1009</v>
      </c>
      <c r="E176" s="45">
        <v>1</v>
      </c>
      <c r="F176" s="276">
        <v>649800</v>
      </c>
      <c r="G176" s="276">
        <v>649800</v>
      </c>
      <c r="H176" s="44" t="s">
        <v>1010</v>
      </c>
      <c r="I176" s="106" t="s">
        <v>774</v>
      </c>
    </row>
    <row r="177" spans="1:9">
      <c r="A177" s="46">
        <v>7</v>
      </c>
      <c r="B177" s="44" t="s">
        <v>635</v>
      </c>
      <c r="C177" s="44" t="s">
        <v>589</v>
      </c>
      <c r="D177" s="44" t="s">
        <v>1011</v>
      </c>
      <c r="E177" s="45">
        <v>2</v>
      </c>
      <c r="F177" s="276">
        <v>9500</v>
      </c>
      <c r="G177" s="276">
        <v>19000</v>
      </c>
      <c r="H177" s="44" t="s">
        <v>1012</v>
      </c>
      <c r="I177" s="105" t="s">
        <v>763</v>
      </c>
    </row>
    <row r="178" spans="1:9">
      <c r="A178" s="46">
        <v>7</v>
      </c>
      <c r="B178" s="44" t="s">
        <v>635</v>
      </c>
      <c r="C178" s="44" t="s">
        <v>778</v>
      </c>
      <c r="D178" s="44" t="s">
        <v>1013</v>
      </c>
      <c r="E178" s="45">
        <v>2</v>
      </c>
      <c r="F178" s="276">
        <v>5000</v>
      </c>
      <c r="G178" s="276">
        <v>10000</v>
      </c>
      <c r="H178" s="44" t="s">
        <v>1014</v>
      </c>
      <c r="I178" s="105" t="s">
        <v>763</v>
      </c>
    </row>
    <row r="179" spans="1:9">
      <c r="A179" s="46">
        <v>7</v>
      </c>
      <c r="B179" s="44" t="s">
        <v>635</v>
      </c>
      <c r="C179" s="44" t="s">
        <v>890</v>
      </c>
      <c r="D179" s="44" t="s">
        <v>1015</v>
      </c>
      <c r="E179" s="45">
        <v>1</v>
      </c>
      <c r="F179" s="276">
        <v>433</v>
      </c>
      <c r="G179" s="276">
        <v>433</v>
      </c>
      <c r="H179" s="44" t="s">
        <v>286</v>
      </c>
      <c r="I179" s="105" t="s">
        <v>763</v>
      </c>
    </row>
    <row r="180" spans="1:9">
      <c r="A180" s="46">
        <v>7</v>
      </c>
      <c r="B180" s="44" t="s">
        <v>762</v>
      </c>
      <c r="C180" s="44" t="s">
        <v>287</v>
      </c>
      <c r="D180" s="44" t="s">
        <v>288</v>
      </c>
      <c r="E180" s="45">
        <v>3.32</v>
      </c>
      <c r="F180" s="276">
        <v>8974.59</v>
      </c>
      <c r="G180" s="276">
        <v>29795.64</v>
      </c>
      <c r="H180" s="44" t="s">
        <v>286</v>
      </c>
      <c r="I180" s="105" t="s">
        <v>763</v>
      </c>
    </row>
    <row r="181" spans="1:9">
      <c r="A181" s="46">
        <v>7</v>
      </c>
      <c r="B181" s="44" t="s">
        <v>762</v>
      </c>
      <c r="C181" s="44" t="s">
        <v>187</v>
      </c>
      <c r="D181" s="44" t="s">
        <v>289</v>
      </c>
      <c r="E181" s="45">
        <v>3.93</v>
      </c>
      <c r="F181" s="276">
        <v>7984.07</v>
      </c>
      <c r="G181" s="276">
        <v>31377.4</v>
      </c>
      <c r="H181" s="44" t="s">
        <v>286</v>
      </c>
      <c r="I181" s="105" t="s">
        <v>763</v>
      </c>
    </row>
    <row r="182" spans="1:9">
      <c r="A182" s="46">
        <v>7</v>
      </c>
      <c r="B182" s="44" t="s">
        <v>762</v>
      </c>
      <c r="C182" s="44" t="s">
        <v>291</v>
      </c>
      <c r="D182" s="44" t="s">
        <v>292</v>
      </c>
      <c r="E182" s="45">
        <v>38.6</v>
      </c>
      <c r="F182" s="276">
        <v>11500</v>
      </c>
      <c r="G182" s="276">
        <v>443900</v>
      </c>
      <c r="H182" s="44" t="s">
        <v>290</v>
      </c>
      <c r="I182" s="106" t="s">
        <v>774</v>
      </c>
    </row>
    <row r="183" spans="1:9">
      <c r="A183" s="46">
        <v>7</v>
      </c>
      <c r="B183" s="44" t="s">
        <v>762</v>
      </c>
      <c r="C183" s="44" t="s">
        <v>254</v>
      </c>
      <c r="D183" s="44" t="s">
        <v>294</v>
      </c>
      <c r="E183" s="45">
        <v>1</v>
      </c>
      <c r="F183" s="276">
        <v>130000</v>
      </c>
      <c r="G183" s="276">
        <v>130000</v>
      </c>
      <c r="H183" s="44" t="s">
        <v>293</v>
      </c>
      <c r="I183" s="105" t="s">
        <v>763</v>
      </c>
    </row>
    <row r="184" spans="1:9">
      <c r="A184" s="46">
        <v>7</v>
      </c>
      <c r="B184" s="44" t="s">
        <v>780</v>
      </c>
      <c r="C184" s="44" t="s">
        <v>781</v>
      </c>
      <c r="D184" s="44" t="s">
        <v>1016</v>
      </c>
      <c r="E184" s="45">
        <v>1</v>
      </c>
      <c r="F184" s="276">
        <v>30000</v>
      </c>
      <c r="G184" s="276">
        <v>30000</v>
      </c>
      <c r="H184" s="44" t="s">
        <v>1017</v>
      </c>
      <c r="I184" s="105" t="s">
        <v>763</v>
      </c>
    </row>
    <row r="185" spans="1:9">
      <c r="A185" s="46">
        <v>7</v>
      </c>
      <c r="B185" s="44" t="s">
        <v>780</v>
      </c>
      <c r="C185" s="44" t="s">
        <v>783</v>
      </c>
      <c r="D185" s="44" t="s">
        <v>1018</v>
      </c>
      <c r="E185" s="45">
        <v>1</v>
      </c>
      <c r="F185" s="276">
        <v>74000</v>
      </c>
      <c r="G185" s="276">
        <v>74000</v>
      </c>
      <c r="H185" s="44" t="s">
        <v>1017</v>
      </c>
      <c r="I185" s="105" t="s">
        <v>763</v>
      </c>
    </row>
    <row r="186" spans="1:9">
      <c r="A186" s="46">
        <v>7</v>
      </c>
      <c r="B186" s="44" t="s">
        <v>762</v>
      </c>
      <c r="C186" s="44" t="s">
        <v>296</v>
      </c>
      <c r="D186" s="44" t="s">
        <v>297</v>
      </c>
      <c r="E186" s="45">
        <v>5.5919999999999996</v>
      </c>
      <c r="F186" s="276">
        <v>26900</v>
      </c>
      <c r="G186" s="276">
        <v>150425</v>
      </c>
      <c r="H186" s="44" t="s">
        <v>295</v>
      </c>
      <c r="I186" s="105" t="s">
        <v>763</v>
      </c>
    </row>
    <row r="187" spans="1:9">
      <c r="A187" s="46">
        <v>7</v>
      </c>
      <c r="B187" s="44" t="s">
        <v>762</v>
      </c>
      <c r="C187" s="44" t="s">
        <v>209</v>
      </c>
      <c r="D187" s="44" t="s">
        <v>298</v>
      </c>
      <c r="E187" s="45">
        <v>21.61</v>
      </c>
      <c r="F187" s="276">
        <v>25900</v>
      </c>
      <c r="G187" s="276">
        <v>559699</v>
      </c>
      <c r="H187" s="44" t="s">
        <v>295</v>
      </c>
      <c r="I187" s="105" t="s">
        <v>763</v>
      </c>
    </row>
    <row r="188" spans="1:9">
      <c r="A188" s="46">
        <v>7</v>
      </c>
      <c r="B188" s="44" t="s">
        <v>762</v>
      </c>
      <c r="C188" s="44" t="s">
        <v>211</v>
      </c>
      <c r="D188" s="44" t="s">
        <v>299</v>
      </c>
      <c r="E188" s="45">
        <v>20.565000000000001</v>
      </c>
      <c r="F188" s="276">
        <v>34500</v>
      </c>
      <c r="G188" s="276">
        <v>709493</v>
      </c>
      <c r="H188" s="44" t="s">
        <v>295</v>
      </c>
      <c r="I188" s="105" t="s">
        <v>763</v>
      </c>
    </row>
    <row r="189" spans="1:9">
      <c r="A189" s="46">
        <v>7</v>
      </c>
      <c r="B189" s="44" t="s">
        <v>766</v>
      </c>
      <c r="C189" s="44" t="s">
        <v>1019</v>
      </c>
      <c r="D189" s="44" t="s">
        <v>1020</v>
      </c>
      <c r="E189" s="45">
        <v>10</v>
      </c>
      <c r="F189" s="276">
        <v>10900</v>
      </c>
      <c r="G189" s="276">
        <v>109000</v>
      </c>
      <c r="H189" s="44" t="s">
        <v>295</v>
      </c>
      <c r="I189" s="105" t="s">
        <v>763</v>
      </c>
    </row>
    <row r="190" spans="1:9">
      <c r="A190" s="46">
        <v>7</v>
      </c>
      <c r="B190" s="44" t="s">
        <v>780</v>
      </c>
      <c r="C190" s="219" t="s">
        <v>1021</v>
      </c>
      <c r="D190" s="219" t="s">
        <v>1021</v>
      </c>
      <c r="E190" s="45">
        <v>1</v>
      </c>
      <c r="F190" s="218">
        <v>66000</v>
      </c>
      <c r="G190" s="276">
        <f t="shared" ref="G190:G195" si="0">IF(AND(ISNUMBER(E190), ISNUMBER(F190), E190&gt;0, F190&gt;0), ROUND(E190*F190, 2), IF(ISNUMBER(F190), F190, ""))</f>
        <v>66000</v>
      </c>
      <c r="H190" s="98" t="s">
        <v>1022</v>
      </c>
      <c r="I190" s="105" t="s">
        <v>763</v>
      </c>
    </row>
    <row r="191" spans="1:9">
      <c r="A191" s="46">
        <v>7</v>
      </c>
      <c r="B191" s="44" t="s">
        <v>780</v>
      </c>
      <c r="C191" s="219" t="s">
        <v>1023</v>
      </c>
      <c r="D191" s="219" t="s">
        <v>1023</v>
      </c>
      <c r="E191" s="45">
        <v>1</v>
      </c>
      <c r="F191" s="218">
        <v>10000</v>
      </c>
      <c r="G191" s="276">
        <f t="shared" si="0"/>
        <v>10000</v>
      </c>
      <c r="H191" s="94" t="s">
        <v>313</v>
      </c>
      <c r="I191" s="105" t="s">
        <v>763</v>
      </c>
    </row>
    <row r="192" spans="1:9">
      <c r="A192" s="46">
        <v>7</v>
      </c>
      <c r="B192" s="44" t="s">
        <v>780</v>
      </c>
      <c r="C192" s="219" t="s">
        <v>1024</v>
      </c>
      <c r="D192" s="219" t="s">
        <v>1024</v>
      </c>
      <c r="E192" s="45">
        <v>1</v>
      </c>
      <c r="F192" s="220">
        <v>37100</v>
      </c>
      <c r="G192" s="276">
        <f t="shared" si="0"/>
        <v>37100</v>
      </c>
      <c r="H192" s="94" t="s">
        <v>313</v>
      </c>
      <c r="I192" s="105" t="s">
        <v>763</v>
      </c>
    </row>
    <row r="193" spans="1:10">
      <c r="A193" s="46">
        <v>7</v>
      </c>
      <c r="B193" s="44" t="s">
        <v>780</v>
      </c>
      <c r="C193" s="219" t="s">
        <v>1025</v>
      </c>
      <c r="D193" s="219" t="s">
        <v>1025</v>
      </c>
      <c r="E193" s="45">
        <v>1</v>
      </c>
      <c r="F193" s="220">
        <v>4000</v>
      </c>
      <c r="G193" s="276">
        <f t="shared" si="0"/>
        <v>4000</v>
      </c>
      <c r="H193" s="94" t="s">
        <v>313</v>
      </c>
      <c r="I193" s="105" t="s">
        <v>763</v>
      </c>
    </row>
    <row r="194" spans="1:10">
      <c r="A194" s="46">
        <v>7</v>
      </c>
      <c r="B194" s="44" t="s">
        <v>780</v>
      </c>
      <c r="C194" s="219" t="s">
        <v>1026</v>
      </c>
      <c r="D194" s="219" t="s">
        <v>1026</v>
      </c>
      <c r="E194" s="45">
        <v>1</v>
      </c>
      <c r="F194" s="220">
        <v>85000</v>
      </c>
      <c r="G194" s="276">
        <f t="shared" si="0"/>
        <v>85000</v>
      </c>
      <c r="H194" s="94" t="s">
        <v>313</v>
      </c>
      <c r="I194" s="105" t="s">
        <v>763</v>
      </c>
    </row>
    <row r="195" spans="1:10">
      <c r="A195" s="46">
        <v>7</v>
      </c>
      <c r="B195" s="44" t="s">
        <v>780</v>
      </c>
      <c r="C195" s="219" t="s">
        <v>1027</v>
      </c>
      <c r="D195" s="219" t="s">
        <v>1027</v>
      </c>
      <c r="E195" s="45">
        <v>1</v>
      </c>
      <c r="F195" s="218">
        <v>15000</v>
      </c>
      <c r="G195" s="276">
        <f t="shared" si="0"/>
        <v>15000</v>
      </c>
      <c r="H195" s="94" t="s">
        <v>313</v>
      </c>
      <c r="I195" s="105" t="s">
        <v>763</v>
      </c>
    </row>
    <row r="196" spans="1:10">
      <c r="A196" s="46">
        <v>7</v>
      </c>
      <c r="B196" s="44" t="s">
        <v>766</v>
      </c>
      <c r="C196" s="44" t="s">
        <v>1028</v>
      </c>
      <c r="D196" s="44" t="s">
        <v>1029</v>
      </c>
      <c r="E196" s="45">
        <v>0.505</v>
      </c>
      <c r="F196" s="276">
        <v>11000</v>
      </c>
      <c r="G196" s="276">
        <v>5555</v>
      </c>
      <c r="H196" s="44" t="s">
        <v>1030</v>
      </c>
      <c r="I196" s="105" t="s">
        <v>763</v>
      </c>
    </row>
    <row r="197" spans="1:10">
      <c r="A197" s="46">
        <v>7</v>
      </c>
      <c r="B197" s="44" t="s">
        <v>762</v>
      </c>
      <c r="C197" s="44" t="s">
        <v>224</v>
      </c>
      <c r="D197" s="44" t="s">
        <v>301</v>
      </c>
      <c r="E197" s="45">
        <v>3.39</v>
      </c>
      <c r="F197" s="276">
        <v>17500</v>
      </c>
      <c r="G197" s="276">
        <v>59325</v>
      </c>
      <c r="H197" s="44" t="s">
        <v>300</v>
      </c>
      <c r="I197" s="105" t="s">
        <v>763</v>
      </c>
    </row>
    <row r="198" spans="1:10">
      <c r="A198" s="46">
        <v>7</v>
      </c>
      <c r="B198" s="44" t="s">
        <v>762</v>
      </c>
      <c r="C198" s="44" t="s">
        <v>302</v>
      </c>
      <c r="D198" s="44" t="s">
        <v>303</v>
      </c>
      <c r="E198" s="45">
        <v>2</v>
      </c>
      <c r="F198" s="276">
        <v>10600</v>
      </c>
      <c r="G198" s="276">
        <v>21200</v>
      </c>
      <c r="H198" s="44" t="s">
        <v>300</v>
      </c>
      <c r="I198" s="105" t="s">
        <v>763</v>
      </c>
    </row>
    <row r="199" spans="1:10">
      <c r="A199" s="46">
        <v>7</v>
      </c>
      <c r="B199" s="44" t="s">
        <v>766</v>
      </c>
      <c r="C199" s="44" t="s">
        <v>1031</v>
      </c>
      <c r="D199" s="44" t="s">
        <v>1032</v>
      </c>
      <c r="E199" s="45">
        <v>4</v>
      </c>
      <c r="F199" s="276">
        <v>2400</v>
      </c>
      <c r="G199" s="276">
        <v>9600</v>
      </c>
      <c r="H199" s="44" t="s">
        <v>300</v>
      </c>
      <c r="I199" s="105" t="s">
        <v>763</v>
      </c>
    </row>
    <row r="200" spans="1:10">
      <c r="A200" s="46">
        <v>7</v>
      </c>
      <c r="B200" s="44" t="s">
        <v>1033</v>
      </c>
      <c r="C200" s="118" t="s">
        <v>771</v>
      </c>
      <c r="D200" s="118" t="s">
        <v>1034</v>
      </c>
      <c r="E200" s="45">
        <v>100</v>
      </c>
      <c r="F200" s="218">
        <v>150</v>
      </c>
      <c r="G200" s="276">
        <f>IF(AND(ISNUMBER(E200), ISNUMBER(F200), E200&gt;0, F200&gt;0), ROUND(E200*F200, 2), IF(ISNUMBER(F200), F200, ""))</f>
        <v>15000</v>
      </c>
      <c r="H200" s="121" t="s">
        <v>386</v>
      </c>
      <c r="I200" s="113" t="s">
        <v>763</v>
      </c>
      <c r="J200" s="114" t="s">
        <v>116</v>
      </c>
    </row>
    <row r="201" spans="1:10">
      <c r="A201" s="46">
        <v>8</v>
      </c>
      <c r="B201" s="44" t="s">
        <v>635</v>
      </c>
      <c r="C201" s="44" t="s">
        <v>778</v>
      </c>
      <c r="D201" s="44" t="s">
        <v>1035</v>
      </c>
      <c r="E201" s="45">
        <v>2</v>
      </c>
      <c r="F201" s="276">
        <v>5000</v>
      </c>
      <c r="G201" s="276">
        <v>10000</v>
      </c>
      <c r="H201" s="44" t="s">
        <v>1036</v>
      </c>
      <c r="I201" s="105" t="s">
        <v>763</v>
      </c>
    </row>
    <row r="202" spans="1:10">
      <c r="A202" s="46">
        <v>8</v>
      </c>
      <c r="B202" s="44" t="s">
        <v>766</v>
      </c>
      <c r="C202" s="44" t="s">
        <v>1037</v>
      </c>
      <c r="D202" s="44" t="s">
        <v>1038</v>
      </c>
      <c r="E202" s="45">
        <v>4.2</v>
      </c>
      <c r="F202" s="276">
        <v>6000</v>
      </c>
      <c r="G202" s="276">
        <v>25200</v>
      </c>
      <c r="H202" s="44" t="s">
        <v>1039</v>
      </c>
      <c r="I202" s="105" t="s">
        <v>763</v>
      </c>
    </row>
    <row r="203" spans="1:10">
      <c r="A203" s="46">
        <v>8</v>
      </c>
      <c r="B203" s="44" t="s">
        <v>766</v>
      </c>
      <c r="C203" s="44" t="s">
        <v>814</v>
      </c>
      <c r="D203" s="44" t="s">
        <v>1040</v>
      </c>
      <c r="E203" s="45">
        <v>3.3</v>
      </c>
      <c r="F203" s="276">
        <v>15000</v>
      </c>
      <c r="G203" s="276">
        <v>49500</v>
      </c>
      <c r="H203" s="44" t="s">
        <v>1039</v>
      </c>
      <c r="I203" s="105" t="s">
        <v>763</v>
      </c>
    </row>
    <row r="204" spans="1:10">
      <c r="A204" s="46">
        <v>8</v>
      </c>
      <c r="B204" s="44" t="s">
        <v>766</v>
      </c>
      <c r="C204" s="44" t="s">
        <v>1041</v>
      </c>
      <c r="D204" s="44" t="s">
        <v>1042</v>
      </c>
      <c r="E204" s="45">
        <v>10</v>
      </c>
      <c r="F204" s="276">
        <v>6000</v>
      </c>
      <c r="G204" s="276">
        <v>60000</v>
      </c>
      <c r="H204" s="44" t="s">
        <v>1039</v>
      </c>
      <c r="I204" s="105" t="s">
        <v>763</v>
      </c>
    </row>
    <row r="205" spans="1:10">
      <c r="A205" s="46">
        <v>8</v>
      </c>
      <c r="B205" s="44" t="s">
        <v>766</v>
      </c>
      <c r="C205" s="44" t="s">
        <v>1043</v>
      </c>
      <c r="D205" s="44" t="s">
        <v>1044</v>
      </c>
      <c r="E205" s="45">
        <v>9.5</v>
      </c>
      <c r="F205" s="276">
        <v>3800</v>
      </c>
      <c r="G205" s="276">
        <v>36100</v>
      </c>
      <c r="H205" s="44" t="s">
        <v>1039</v>
      </c>
      <c r="I205" s="105" t="s">
        <v>763</v>
      </c>
    </row>
    <row r="206" spans="1:10">
      <c r="A206" s="46">
        <v>8</v>
      </c>
      <c r="B206" s="44" t="s">
        <v>766</v>
      </c>
      <c r="C206" s="44" t="s">
        <v>1045</v>
      </c>
      <c r="D206" s="44" t="s">
        <v>1046</v>
      </c>
      <c r="E206" s="45">
        <v>42</v>
      </c>
      <c r="F206" s="276">
        <v>2800</v>
      </c>
      <c r="G206" s="276">
        <v>117600</v>
      </c>
      <c r="H206" s="44" t="s">
        <v>1039</v>
      </c>
      <c r="I206" s="105" t="s">
        <v>763</v>
      </c>
    </row>
    <row r="207" spans="1:10">
      <c r="A207" s="46">
        <v>8</v>
      </c>
      <c r="B207" s="44" t="s">
        <v>766</v>
      </c>
      <c r="C207" s="44" t="s">
        <v>1047</v>
      </c>
      <c r="D207" s="44" t="s">
        <v>1048</v>
      </c>
      <c r="E207" s="45">
        <v>63.2</v>
      </c>
      <c r="F207" s="276">
        <v>3400</v>
      </c>
      <c r="G207" s="276">
        <v>214880</v>
      </c>
      <c r="H207" s="44" t="s">
        <v>1039</v>
      </c>
      <c r="I207" s="105" t="s">
        <v>763</v>
      </c>
    </row>
    <row r="208" spans="1:10">
      <c r="A208" s="46">
        <v>8</v>
      </c>
      <c r="B208" s="44" t="s">
        <v>766</v>
      </c>
      <c r="C208" s="44" t="s">
        <v>1049</v>
      </c>
      <c r="D208" s="44" t="s">
        <v>1050</v>
      </c>
      <c r="E208" s="45">
        <v>1</v>
      </c>
      <c r="F208" s="276">
        <v>130000</v>
      </c>
      <c r="G208" s="276">
        <v>130000</v>
      </c>
      <c r="H208" s="44" t="s">
        <v>1039</v>
      </c>
      <c r="I208" s="105" t="s">
        <v>763</v>
      </c>
    </row>
    <row r="209" spans="1:9">
      <c r="A209" s="46">
        <v>8</v>
      </c>
      <c r="B209" s="44" t="s">
        <v>766</v>
      </c>
      <c r="C209" s="44" t="s">
        <v>844</v>
      </c>
      <c r="D209" s="44" t="s">
        <v>1051</v>
      </c>
      <c r="E209" s="45">
        <v>8.6999999999999993</v>
      </c>
      <c r="F209" s="276">
        <v>6000</v>
      </c>
      <c r="G209" s="276">
        <v>52200</v>
      </c>
      <c r="H209" s="44" t="s">
        <v>1039</v>
      </c>
      <c r="I209" s="105" t="s">
        <v>763</v>
      </c>
    </row>
    <row r="210" spans="1:9">
      <c r="A210" s="46">
        <v>8</v>
      </c>
      <c r="B210" s="44" t="s">
        <v>766</v>
      </c>
      <c r="C210" s="44" t="s">
        <v>842</v>
      </c>
      <c r="D210" s="44" t="s">
        <v>1052</v>
      </c>
      <c r="E210" s="45">
        <v>6.8</v>
      </c>
      <c r="F210" s="276">
        <v>3500</v>
      </c>
      <c r="G210" s="276">
        <v>23800</v>
      </c>
      <c r="H210" s="44" t="s">
        <v>1039</v>
      </c>
      <c r="I210" s="105" t="s">
        <v>763</v>
      </c>
    </row>
    <row r="211" spans="1:9">
      <c r="A211" s="46">
        <v>8</v>
      </c>
      <c r="B211" s="44" t="s">
        <v>766</v>
      </c>
      <c r="C211" s="44" t="s">
        <v>1053</v>
      </c>
      <c r="D211" s="44" t="s">
        <v>1054</v>
      </c>
      <c r="E211" s="45">
        <v>3.3</v>
      </c>
      <c r="F211" s="276">
        <v>2500</v>
      </c>
      <c r="G211" s="276">
        <v>8250</v>
      </c>
      <c r="H211" s="44" t="s">
        <v>1039</v>
      </c>
      <c r="I211" s="105" t="s">
        <v>763</v>
      </c>
    </row>
    <row r="212" spans="1:9">
      <c r="A212" s="46">
        <v>8</v>
      </c>
      <c r="B212" s="44" t="s">
        <v>766</v>
      </c>
      <c r="C212" s="44" t="s">
        <v>1055</v>
      </c>
      <c r="D212" s="44" t="s">
        <v>1056</v>
      </c>
      <c r="E212" s="45">
        <v>4</v>
      </c>
      <c r="F212" s="276">
        <v>9000</v>
      </c>
      <c r="G212" s="276">
        <v>36000</v>
      </c>
      <c r="H212" s="44" t="s">
        <v>1039</v>
      </c>
      <c r="I212" s="105" t="s">
        <v>763</v>
      </c>
    </row>
    <row r="213" spans="1:9">
      <c r="A213" s="46">
        <v>8</v>
      </c>
      <c r="B213" s="44" t="s">
        <v>766</v>
      </c>
      <c r="C213" s="44" t="s">
        <v>1057</v>
      </c>
      <c r="D213" s="44" t="s">
        <v>1058</v>
      </c>
      <c r="E213" s="45">
        <v>8.1999999999999993</v>
      </c>
      <c r="F213" s="276">
        <v>4000</v>
      </c>
      <c r="G213" s="276">
        <v>32800</v>
      </c>
      <c r="H213" s="44" t="s">
        <v>1039</v>
      </c>
      <c r="I213" s="105" t="s">
        <v>763</v>
      </c>
    </row>
    <row r="214" spans="1:9">
      <c r="A214" s="46">
        <v>8</v>
      </c>
      <c r="B214" s="44" t="s">
        <v>766</v>
      </c>
      <c r="C214" s="44" t="s">
        <v>1059</v>
      </c>
      <c r="D214" s="44" t="s">
        <v>1060</v>
      </c>
      <c r="E214" s="45">
        <v>53</v>
      </c>
      <c r="F214" s="276">
        <v>1400</v>
      </c>
      <c r="G214" s="276">
        <v>74200</v>
      </c>
      <c r="H214" s="44" t="s">
        <v>1039</v>
      </c>
      <c r="I214" s="105" t="s">
        <v>763</v>
      </c>
    </row>
    <row r="215" spans="1:9">
      <c r="A215" s="46">
        <v>8</v>
      </c>
      <c r="B215" s="44" t="s">
        <v>766</v>
      </c>
      <c r="C215" s="44" t="s">
        <v>1061</v>
      </c>
      <c r="D215" s="44" t="s">
        <v>1062</v>
      </c>
      <c r="E215" s="45">
        <v>61</v>
      </c>
      <c r="F215" s="276">
        <v>1400</v>
      </c>
      <c r="G215" s="276">
        <v>85400</v>
      </c>
      <c r="H215" s="44" t="s">
        <v>1039</v>
      </c>
      <c r="I215" s="105" t="s">
        <v>763</v>
      </c>
    </row>
    <row r="216" spans="1:9">
      <c r="A216" s="46">
        <v>8</v>
      </c>
      <c r="B216" s="44" t="s">
        <v>766</v>
      </c>
      <c r="C216" s="44" t="s">
        <v>1063</v>
      </c>
      <c r="D216" s="44" t="s">
        <v>1064</v>
      </c>
      <c r="E216" s="45">
        <v>5.7</v>
      </c>
      <c r="F216" s="276">
        <v>2800</v>
      </c>
      <c r="G216" s="276">
        <v>15960</v>
      </c>
      <c r="H216" s="44" t="s">
        <v>1039</v>
      </c>
      <c r="I216" s="105" t="s">
        <v>763</v>
      </c>
    </row>
    <row r="217" spans="1:9">
      <c r="A217" s="46">
        <v>8</v>
      </c>
      <c r="B217" s="44" t="s">
        <v>766</v>
      </c>
      <c r="C217" s="44" t="s">
        <v>1065</v>
      </c>
      <c r="D217" s="44" t="s">
        <v>1066</v>
      </c>
      <c r="E217" s="45">
        <v>7</v>
      </c>
      <c r="F217" s="276">
        <v>5000</v>
      </c>
      <c r="G217" s="276">
        <v>35000</v>
      </c>
      <c r="H217" s="44" t="s">
        <v>1039</v>
      </c>
      <c r="I217" s="105" t="s">
        <v>763</v>
      </c>
    </row>
    <row r="218" spans="1:9">
      <c r="A218" s="46">
        <v>8</v>
      </c>
      <c r="B218" s="44" t="s">
        <v>766</v>
      </c>
      <c r="C218" s="44" t="s">
        <v>1067</v>
      </c>
      <c r="D218" s="44" t="s">
        <v>1068</v>
      </c>
      <c r="E218" s="45">
        <v>4.0999999999999996</v>
      </c>
      <c r="F218" s="276">
        <v>5000</v>
      </c>
      <c r="G218" s="276">
        <v>20500</v>
      </c>
      <c r="H218" s="44" t="s">
        <v>1039</v>
      </c>
      <c r="I218" s="105" t="s">
        <v>763</v>
      </c>
    </row>
    <row r="219" spans="1:9">
      <c r="A219" s="46">
        <v>8</v>
      </c>
      <c r="B219" s="44" t="s">
        <v>766</v>
      </c>
      <c r="C219" s="44" t="s">
        <v>1069</v>
      </c>
      <c r="D219" s="44" t="s">
        <v>1070</v>
      </c>
      <c r="E219" s="45">
        <v>9.3000000000000007</v>
      </c>
      <c r="F219" s="276">
        <v>2000</v>
      </c>
      <c r="G219" s="276">
        <v>18600</v>
      </c>
      <c r="H219" s="44" t="s">
        <v>1039</v>
      </c>
      <c r="I219" s="105" t="s">
        <v>763</v>
      </c>
    </row>
    <row r="220" spans="1:9">
      <c r="A220" s="46">
        <v>8</v>
      </c>
      <c r="B220" s="44" t="s">
        <v>635</v>
      </c>
      <c r="C220" s="44" t="s">
        <v>875</v>
      </c>
      <c r="D220" s="44" t="s">
        <v>1071</v>
      </c>
      <c r="E220" s="45">
        <v>3</v>
      </c>
      <c r="F220" s="276">
        <v>6200</v>
      </c>
      <c r="G220" s="276">
        <v>18600</v>
      </c>
      <c r="H220" s="44" t="s">
        <v>1072</v>
      </c>
      <c r="I220" s="105" t="s">
        <v>763</v>
      </c>
    </row>
    <row r="221" spans="1:9">
      <c r="A221" s="46">
        <v>8</v>
      </c>
      <c r="B221" s="44" t="s">
        <v>635</v>
      </c>
      <c r="C221" s="44" t="s">
        <v>878</v>
      </c>
      <c r="D221" s="44" t="s">
        <v>1073</v>
      </c>
      <c r="E221" s="45">
        <v>3</v>
      </c>
      <c r="F221" s="276">
        <v>3000</v>
      </c>
      <c r="G221" s="276">
        <v>9000</v>
      </c>
      <c r="H221" s="44" t="s">
        <v>1072</v>
      </c>
      <c r="I221" s="105" t="s">
        <v>763</v>
      </c>
    </row>
    <row r="222" spans="1:9">
      <c r="A222" s="46">
        <v>8</v>
      </c>
      <c r="B222" s="44" t="s">
        <v>635</v>
      </c>
      <c r="C222" s="44" t="s">
        <v>1074</v>
      </c>
      <c r="D222" s="44" t="s">
        <v>1075</v>
      </c>
      <c r="E222" s="45">
        <v>1</v>
      </c>
      <c r="F222" s="276">
        <v>2500</v>
      </c>
      <c r="G222" s="276">
        <v>2500</v>
      </c>
      <c r="H222" s="44" t="s">
        <v>1072</v>
      </c>
      <c r="I222" s="105" t="s">
        <v>763</v>
      </c>
    </row>
    <row r="223" spans="1:9">
      <c r="A223" s="46">
        <v>8</v>
      </c>
      <c r="B223" s="44" t="s">
        <v>635</v>
      </c>
      <c r="C223" s="44" t="s">
        <v>890</v>
      </c>
      <c r="D223" s="44" t="s">
        <v>1076</v>
      </c>
      <c r="E223" s="45">
        <v>5</v>
      </c>
      <c r="F223" s="276">
        <v>4600</v>
      </c>
      <c r="G223" s="276">
        <v>23000</v>
      </c>
      <c r="H223" s="44" t="s">
        <v>1072</v>
      </c>
      <c r="I223" s="105" t="s">
        <v>763</v>
      </c>
    </row>
    <row r="224" spans="1:9">
      <c r="A224" s="46">
        <v>8</v>
      </c>
      <c r="B224" s="44" t="s">
        <v>635</v>
      </c>
      <c r="C224" s="44" t="s">
        <v>892</v>
      </c>
      <c r="D224" s="44" t="s">
        <v>1077</v>
      </c>
      <c r="E224" s="45">
        <v>3</v>
      </c>
      <c r="F224" s="276">
        <v>9600</v>
      </c>
      <c r="G224" s="276">
        <v>28800</v>
      </c>
      <c r="H224" s="44" t="s">
        <v>1072</v>
      </c>
      <c r="I224" s="105" t="s">
        <v>763</v>
      </c>
    </row>
    <row r="225" spans="1:9">
      <c r="A225" s="46">
        <v>8</v>
      </c>
      <c r="B225" s="44" t="s">
        <v>635</v>
      </c>
      <c r="C225" s="44" t="s">
        <v>1078</v>
      </c>
      <c r="D225" s="44" t="s">
        <v>1079</v>
      </c>
      <c r="E225" s="45">
        <v>1</v>
      </c>
      <c r="F225" s="276">
        <v>21700</v>
      </c>
      <c r="G225" s="276">
        <v>21700</v>
      </c>
      <c r="H225" s="44" t="s">
        <v>1072</v>
      </c>
      <c r="I225" s="105" t="s">
        <v>763</v>
      </c>
    </row>
    <row r="226" spans="1:9">
      <c r="A226" s="46">
        <v>8</v>
      </c>
      <c r="B226" s="44" t="s">
        <v>635</v>
      </c>
      <c r="C226" s="44" t="s">
        <v>894</v>
      </c>
      <c r="D226" s="44" t="s">
        <v>1080</v>
      </c>
      <c r="E226" s="45">
        <v>1</v>
      </c>
      <c r="F226" s="276">
        <v>27500</v>
      </c>
      <c r="G226" s="276">
        <v>27500</v>
      </c>
      <c r="H226" s="44" t="s">
        <v>1072</v>
      </c>
      <c r="I226" s="105" t="s">
        <v>763</v>
      </c>
    </row>
    <row r="227" spans="1:9">
      <c r="A227" s="46">
        <v>8</v>
      </c>
      <c r="B227" s="44" t="s">
        <v>635</v>
      </c>
      <c r="C227" s="44" t="s">
        <v>1081</v>
      </c>
      <c r="D227" s="44" t="s">
        <v>1082</v>
      </c>
      <c r="E227" s="45">
        <v>20</v>
      </c>
      <c r="F227" s="276">
        <v>11200</v>
      </c>
      <c r="G227" s="276">
        <v>224000</v>
      </c>
      <c r="H227" s="44" t="s">
        <v>1072</v>
      </c>
      <c r="I227" s="105" t="s">
        <v>763</v>
      </c>
    </row>
    <row r="228" spans="1:9">
      <c r="A228" s="46">
        <v>8</v>
      </c>
      <c r="B228" s="44" t="s">
        <v>635</v>
      </c>
      <c r="C228" s="44" t="s">
        <v>1083</v>
      </c>
      <c r="D228" s="44" t="s">
        <v>1084</v>
      </c>
      <c r="E228" s="45">
        <v>13</v>
      </c>
      <c r="F228" s="276">
        <v>8600</v>
      </c>
      <c r="G228" s="276">
        <v>111800</v>
      </c>
      <c r="H228" s="44" t="s">
        <v>1072</v>
      </c>
      <c r="I228" s="105" t="s">
        <v>763</v>
      </c>
    </row>
    <row r="229" spans="1:9">
      <c r="A229" s="46">
        <v>8</v>
      </c>
      <c r="B229" s="44" t="s">
        <v>635</v>
      </c>
      <c r="C229" s="44" t="s">
        <v>1085</v>
      </c>
      <c r="D229" s="44" t="s">
        <v>1086</v>
      </c>
      <c r="E229" s="45">
        <v>1</v>
      </c>
      <c r="F229" s="276">
        <v>6800</v>
      </c>
      <c r="G229" s="276">
        <v>6800</v>
      </c>
      <c r="H229" s="44" t="s">
        <v>1072</v>
      </c>
      <c r="I229" s="105" t="s">
        <v>763</v>
      </c>
    </row>
    <row r="230" spans="1:9">
      <c r="A230" s="46">
        <v>8</v>
      </c>
      <c r="B230" s="44" t="s">
        <v>635</v>
      </c>
      <c r="C230" s="44" t="s">
        <v>904</v>
      </c>
      <c r="D230" s="44" t="s">
        <v>1087</v>
      </c>
      <c r="E230" s="45">
        <v>5</v>
      </c>
      <c r="F230" s="276">
        <v>10600</v>
      </c>
      <c r="G230" s="276">
        <v>53000</v>
      </c>
      <c r="H230" s="44" t="s">
        <v>1072</v>
      </c>
      <c r="I230" s="105" t="s">
        <v>763</v>
      </c>
    </row>
    <row r="231" spans="1:9">
      <c r="A231" s="46">
        <v>8</v>
      </c>
      <c r="B231" s="44" t="s">
        <v>635</v>
      </c>
      <c r="C231" s="44" t="s">
        <v>908</v>
      </c>
      <c r="D231" s="44" t="s">
        <v>1088</v>
      </c>
      <c r="E231" s="45">
        <v>6</v>
      </c>
      <c r="F231" s="276">
        <v>2100</v>
      </c>
      <c r="G231" s="276">
        <v>12600</v>
      </c>
      <c r="H231" s="44" t="s">
        <v>1072</v>
      </c>
      <c r="I231" s="105" t="s">
        <v>763</v>
      </c>
    </row>
    <row r="232" spans="1:9">
      <c r="A232" s="46">
        <v>8</v>
      </c>
      <c r="B232" s="44" t="s">
        <v>635</v>
      </c>
      <c r="C232" s="44" t="s">
        <v>912</v>
      </c>
      <c r="D232" s="44" t="s">
        <v>1089</v>
      </c>
      <c r="E232" s="45">
        <v>1</v>
      </c>
      <c r="F232" s="276">
        <v>19850</v>
      </c>
      <c r="G232" s="276">
        <v>19850</v>
      </c>
      <c r="H232" s="44" t="s">
        <v>1072</v>
      </c>
      <c r="I232" s="105" t="s">
        <v>763</v>
      </c>
    </row>
    <row r="233" spans="1:9">
      <c r="A233" s="46">
        <v>8</v>
      </c>
      <c r="B233" s="44" t="s">
        <v>635</v>
      </c>
      <c r="C233" s="44" t="s">
        <v>1090</v>
      </c>
      <c r="D233" s="44" t="s">
        <v>1091</v>
      </c>
      <c r="E233" s="45">
        <v>1</v>
      </c>
      <c r="F233" s="276">
        <v>2000</v>
      </c>
      <c r="G233" s="276">
        <v>2000</v>
      </c>
      <c r="H233" s="44" t="s">
        <v>1072</v>
      </c>
      <c r="I233" s="105" t="s">
        <v>763</v>
      </c>
    </row>
    <row r="234" spans="1:9">
      <c r="A234" s="46">
        <v>8</v>
      </c>
      <c r="B234" s="44" t="s">
        <v>635</v>
      </c>
      <c r="C234" s="44" t="s">
        <v>1092</v>
      </c>
      <c r="D234" s="44" t="s">
        <v>1093</v>
      </c>
      <c r="E234" s="45">
        <v>5</v>
      </c>
      <c r="F234" s="276">
        <v>7600</v>
      </c>
      <c r="G234" s="276">
        <v>38000</v>
      </c>
      <c r="H234" s="44" t="s">
        <v>1072</v>
      </c>
      <c r="I234" s="105" t="s">
        <v>763</v>
      </c>
    </row>
    <row r="235" spans="1:9">
      <c r="A235" s="46">
        <v>8</v>
      </c>
      <c r="B235" s="44" t="s">
        <v>635</v>
      </c>
      <c r="C235" s="44" t="s">
        <v>924</v>
      </c>
      <c r="D235" s="44" t="s">
        <v>1094</v>
      </c>
      <c r="E235" s="45">
        <v>200</v>
      </c>
      <c r="F235" s="276">
        <v>440</v>
      </c>
      <c r="G235" s="276">
        <v>88000</v>
      </c>
      <c r="H235" s="44" t="s">
        <v>1072</v>
      </c>
      <c r="I235" s="105" t="s">
        <v>763</v>
      </c>
    </row>
    <row r="236" spans="1:9">
      <c r="A236" s="46">
        <v>8</v>
      </c>
      <c r="B236" s="44" t="s">
        <v>635</v>
      </c>
      <c r="C236" s="44" t="s">
        <v>1095</v>
      </c>
      <c r="D236" s="44" t="s">
        <v>1096</v>
      </c>
      <c r="E236" s="45">
        <v>1</v>
      </c>
      <c r="F236" s="276">
        <v>13100</v>
      </c>
      <c r="G236" s="276">
        <v>13100</v>
      </c>
      <c r="H236" s="44" t="s">
        <v>1072</v>
      </c>
      <c r="I236" s="105" t="s">
        <v>763</v>
      </c>
    </row>
    <row r="237" spans="1:9">
      <c r="A237" s="46">
        <v>8</v>
      </c>
      <c r="B237" s="44" t="s">
        <v>635</v>
      </c>
      <c r="C237" s="44" t="s">
        <v>930</v>
      </c>
      <c r="D237" s="44" t="s">
        <v>1097</v>
      </c>
      <c r="E237" s="45">
        <v>1</v>
      </c>
      <c r="F237" s="276">
        <v>14600</v>
      </c>
      <c r="G237" s="276">
        <v>14600</v>
      </c>
      <c r="H237" s="44" t="s">
        <v>1072</v>
      </c>
      <c r="I237" s="105" t="s">
        <v>763</v>
      </c>
    </row>
    <row r="238" spans="1:9">
      <c r="A238" s="46">
        <v>8</v>
      </c>
      <c r="B238" s="44" t="s">
        <v>635</v>
      </c>
      <c r="C238" s="44" t="s">
        <v>934</v>
      </c>
      <c r="D238" s="44" t="s">
        <v>1098</v>
      </c>
      <c r="E238" s="45">
        <v>1</v>
      </c>
      <c r="F238" s="276">
        <v>18200</v>
      </c>
      <c r="G238" s="276">
        <v>18200</v>
      </c>
      <c r="H238" s="44" t="s">
        <v>1072</v>
      </c>
      <c r="I238" s="105" t="s">
        <v>763</v>
      </c>
    </row>
    <row r="239" spans="1:9">
      <c r="A239" s="46">
        <v>8</v>
      </c>
      <c r="B239" s="44" t="s">
        <v>635</v>
      </c>
      <c r="C239" s="44" t="s">
        <v>942</v>
      </c>
      <c r="D239" s="44" t="s">
        <v>1099</v>
      </c>
      <c r="E239" s="45">
        <v>4</v>
      </c>
      <c r="F239" s="276">
        <v>4850</v>
      </c>
      <c r="G239" s="276">
        <v>19400</v>
      </c>
      <c r="H239" s="44" t="s">
        <v>1072</v>
      </c>
      <c r="I239" s="105" t="s">
        <v>763</v>
      </c>
    </row>
    <row r="240" spans="1:9">
      <c r="A240" s="46">
        <v>8</v>
      </c>
      <c r="B240" s="44" t="s">
        <v>635</v>
      </c>
      <c r="C240" s="44" t="s">
        <v>944</v>
      </c>
      <c r="D240" s="44" t="s">
        <v>1100</v>
      </c>
      <c r="E240" s="45">
        <v>2</v>
      </c>
      <c r="F240" s="276">
        <v>17250</v>
      </c>
      <c r="G240" s="276">
        <v>34500</v>
      </c>
      <c r="H240" s="44" t="s">
        <v>1072</v>
      </c>
      <c r="I240" s="105" t="s">
        <v>763</v>
      </c>
    </row>
    <row r="241" spans="1:9">
      <c r="A241" s="46">
        <v>8</v>
      </c>
      <c r="B241" s="44" t="s">
        <v>635</v>
      </c>
      <c r="C241" s="44" t="s">
        <v>948</v>
      </c>
      <c r="D241" s="44" t="s">
        <v>1101</v>
      </c>
      <c r="E241" s="45">
        <v>6</v>
      </c>
      <c r="F241" s="276">
        <v>5200</v>
      </c>
      <c r="G241" s="276">
        <v>31200</v>
      </c>
      <c r="H241" s="44" t="s">
        <v>1072</v>
      </c>
      <c r="I241" s="105" t="s">
        <v>763</v>
      </c>
    </row>
    <row r="242" spans="1:9">
      <c r="A242" s="46">
        <v>8</v>
      </c>
      <c r="B242" s="44" t="s">
        <v>635</v>
      </c>
      <c r="C242" s="44" t="s">
        <v>952</v>
      </c>
      <c r="D242" s="44" t="s">
        <v>1102</v>
      </c>
      <c r="E242" s="45">
        <v>40</v>
      </c>
      <c r="F242" s="276">
        <v>3100</v>
      </c>
      <c r="G242" s="276">
        <v>124000</v>
      </c>
      <c r="H242" s="44" t="s">
        <v>1072</v>
      </c>
      <c r="I242" s="105" t="s">
        <v>763</v>
      </c>
    </row>
    <row r="243" spans="1:9">
      <c r="A243" s="46">
        <v>8</v>
      </c>
      <c r="B243" s="44" t="s">
        <v>635</v>
      </c>
      <c r="C243" s="44" t="s">
        <v>956</v>
      </c>
      <c r="D243" s="44" t="s">
        <v>1103</v>
      </c>
      <c r="E243" s="45">
        <v>4</v>
      </c>
      <c r="F243" s="276">
        <v>2750</v>
      </c>
      <c r="G243" s="276">
        <v>11000</v>
      </c>
      <c r="H243" s="44" t="s">
        <v>1072</v>
      </c>
      <c r="I243" s="105" t="s">
        <v>763</v>
      </c>
    </row>
    <row r="244" spans="1:9">
      <c r="A244" s="46">
        <v>8</v>
      </c>
      <c r="B244" s="44" t="s">
        <v>762</v>
      </c>
      <c r="C244" s="44" t="s">
        <v>195</v>
      </c>
      <c r="D244" s="44" t="s">
        <v>306</v>
      </c>
      <c r="E244" s="45">
        <v>14.1</v>
      </c>
      <c r="F244" s="276">
        <v>18500</v>
      </c>
      <c r="G244" s="276">
        <v>260850</v>
      </c>
      <c r="H244" s="44" t="s">
        <v>305</v>
      </c>
      <c r="I244" s="105" t="s">
        <v>763</v>
      </c>
    </row>
    <row r="245" spans="1:9">
      <c r="A245" s="46">
        <v>8</v>
      </c>
      <c r="B245" s="44" t="s">
        <v>762</v>
      </c>
      <c r="C245" s="44" t="s">
        <v>249</v>
      </c>
      <c r="D245" s="44" t="s">
        <v>308</v>
      </c>
      <c r="E245" s="45">
        <v>13.6</v>
      </c>
      <c r="F245" s="276">
        <v>19500</v>
      </c>
      <c r="G245" s="276">
        <v>265200</v>
      </c>
      <c r="H245" s="44" t="s">
        <v>307</v>
      </c>
      <c r="I245" s="105" t="s">
        <v>763</v>
      </c>
    </row>
    <row r="246" spans="1:9">
      <c r="A246" s="46">
        <v>8</v>
      </c>
      <c r="B246" s="44" t="s">
        <v>762</v>
      </c>
      <c r="C246" s="44" t="s">
        <v>218</v>
      </c>
      <c r="D246" s="44" t="s">
        <v>309</v>
      </c>
      <c r="E246" s="45">
        <v>14.9</v>
      </c>
      <c r="F246" s="276">
        <v>7500</v>
      </c>
      <c r="G246" s="276">
        <v>111750</v>
      </c>
      <c r="H246" s="44" t="s">
        <v>305</v>
      </c>
      <c r="I246" s="105" t="s">
        <v>763</v>
      </c>
    </row>
    <row r="247" spans="1:9">
      <c r="A247" s="46">
        <v>8</v>
      </c>
      <c r="B247" s="44" t="s">
        <v>770</v>
      </c>
      <c r="C247" s="44" t="s">
        <v>1104</v>
      </c>
      <c r="D247" s="44" t="s">
        <v>1105</v>
      </c>
      <c r="E247" s="45">
        <v>7</v>
      </c>
      <c r="F247" s="276">
        <v>21000</v>
      </c>
      <c r="G247" s="276">
        <v>147000</v>
      </c>
      <c r="H247" s="44" t="s">
        <v>1106</v>
      </c>
      <c r="I247" s="105" t="s">
        <v>763</v>
      </c>
    </row>
    <row r="248" spans="1:9">
      <c r="A248" s="46">
        <v>8</v>
      </c>
      <c r="B248" s="44" t="s">
        <v>635</v>
      </c>
      <c r="C248" s="44" t="s">
        <v>1107</v>
      </c>
      <c r="D248" s="44" t="s">
        <v>1108</v>
      </c>
      <c r="E248" s="45">
        <v>1</v>
      </c>
      <c r="F248" s="276">
        <v>14000</v>
      </c>
      <c r="G248" s="276">
        <v>14000</v>
      </c>
      <c r="H248" s="44" t="s">
        <v>1106</v>
      </c>
      <c r="I248" s="105" t="s">
        <v>763</v>
      </c>
    </row>
    <row r="249" spans="1:9">
      <c r="A249" s="46">
        <v>8</v>
      </c>
      <c r="B249" s="44" t="s">
        <v>762</v>
      </c>
      <c r="C249" s="44" t="s">
        <v>228</v>
      </c>
      <c r="D249" s="44" t="s">
        <v>311</v>
      </c>
      <c r="E249" s="45">
        <v>5</v>
      </c>
      <c r="F249" s="276">
        <v>33000</v>
      </c>
      <c r="G249" s="276">
        <v>165000</v>
      </c>
      <c r="H249" s="44" t="s">
        <v>310</v>
      </c>
      <c r="I249" s="105" t="s">
        <v>763</v>
      </c>
    </row>
    <row r="250" spans="1:9">
      <c r="A250" s="46">
        <v>8</v>
      </c>
      <c r="B250" s="44" t="s">
        <v>762</v>
      </c>
      <c r="C250" s="44" t="s">
        <v>187</v>
      </c>
      <c r="D250" s="44" t="s">
        <v>312</v>
      </c>
      <c r="E250" s="45">
        <v>8.65</v>
      </c>
      <c r="F250" s="276">
        <v>7000</v>
      </c>
      <c r="G250" s="276">
        <v>60550</v>
      </c>
      <c r="H250" s="44" t="s">
        <v>310</v>
      </c>
      <c r="I250" s="105" t="s">
        <v>763</v>
      </c>
    </row>
    <row r="251" spans="1:9">
      <c r="A251" s="46">
        <v>8</v>
      </c>
      <c r="B251" s="44" t="s">
        <v>780</v>
      </c>
      <c r="C251" s="219" t="s">
        <v>1109</v>
      </c>
      <c r="D251" s="219" t="s">
        <v>1109</v>
      </c>
      <c r="E251" s="45">
        <v>1</v>
      </c>
      <c r="F251" s="220">
        <v>66000</v>
      </c>
      <c r="G251" s="276">
        <f t="shared" ref="G251:G266" si="1">IF(AND(ISNUMBER(E251), ISNUMBER(F251), E251&gt;0, F251&gt;0), ROUND(E251*F251, 2), IF(ISNUMBER(F251), F251, ""))</f>
        <v>66000</v>
      </c>
      <c r="H251" s="98" t="s">
        <v>1022</v>
      </c>
      <c r="I251" s="105" t="s">
        <v>763</v>
      </c>
    </row>
    <row r="252" spans="1:9">
      <c r="A252" s="46">
        <v>8</v>
      </c>
      <c r="B252" s="44" t="s">
        <v>780</v>
      </c>
      <c r="C252" s="219" t="s">
        <v>1110</v>
      </c>
      <c r="D252" s="219" t="s">
        <v>1110</v>
      </c>
      <c r="E252" s="45">
        <v>1</v>
      </c>
      <c r="F252" s="218">
        <v>66000</v>
      </c>
      <c r="G252" s="276">
        <f t="shared" si="1"/>
        <v>66000</v>
      </c>
      <c r="H252" s="98" t="s">
        <v>1022</v>
      </c>
      <c r="I252" s="105" t="s">
        <v>763</v>
      </c>
    </row>
    <row r="253" spans="1:9">
      <c r="A253" s="46">
        <v>8</v>
      </c>
      <c r="B253" s="44" t="s">
        <v>780</v>
      </c>
      <c r="C253" s="219" t="s">
        <v>1111</v>
      </c>
      <c r="D253" s="219" t="s">
        <v>1111</v>
      </c>
      <c r="E253" s="45">
        <v>1</v>
      </c>
      <c r="F253" s="218">
        <v>66000</v>
      </c>
      <c r="G253" s="276">
        <f t="shared" si="1"/>
        <v>66000</v>
      </c>
      <c r="H253" s="98" t="s">
        <v>1022</v>
      </c>
      <c r="I253" s="105" t="s">
        <v>763</v>
      </c>
    </row>
    <row r="254" spans="1:9">
      <c r="A254" s="46">
        <v>8</v>
      </c>
      <c r="B254" s="44" t="s">
        <v>780</v>
      </c>
      <c r="C254" s="219" t="s">
        <v>1112</v>
      </c>
      <c r="D254" s="219" t="s">
        <v>1112</v>
      </c>
      <c r="E254" s="45">
        <v>1</v>
      </c>
      <c r="F254" s="218">
        <v>132000</v>
      </c>
      <c r="G254" s="276">
        <f t="shared" si="1"/>
        <v>132000</v>
      </c>
      <c r="H254" s="98" t="s">
        <v>1022</v>
      </c>
      <c r="I254" s="105" t="s">
        <v>763</v>
      </c>
    </row>
    <row r="255" spans="1:9">
      <c r="A255" s="48">
        <v>8</v>
      </c>
      <c r="B255" s="49" t="s">
        <v>762</v>
      </c>
      <c r="C255" s="221" t="s">
        <v>314</v>
      </c>
      <c r="D255" s="221" t="s">
        <v>314</v>
      </c>
      <c r="E255" s="50">
        <v>1</v>
      </c>
      <c r="F255" s="222">
        <v>72200</v>
      </c>
      <c r="G255" s="277">
        <f t="shared" si="1"/>
        <v>72200</v>
      </c>
      <c r="H255" s="95" t="s">
        <v>313</v>
      </c>
      <c r="I255" s="105" t="s">
        <v>763</v>
      </c>
    </row>
    <row r="256" spans="1:9">
      <c r="A256" s="48">
        <v>8</v>
      </c>
      <c r="B256" s="49" t="s">
        <v>780</v>
      </c>
      <c r="C256" s="221" t="s">
        <v>1113</v>
      </c>
      <c r="D256" s="221" t="s">
        <v>1113</v>
      </c>
      <c r="E256" s="50">
        <v>1</v>
      </c>
      <c r="F256" s="222">
        <v>13500</v>
      </c>
      <c r="G256" s="277">
        <f t="shared" si="1"/>
        <v>13500</v>
      </c>
      <c r="H256" s="95" t="s">
        <v>313</v>
      </c>
      <c r="I256" s="105" t="s">
        <v>763</v>
      </c>
    </row>
    <row r="257" spans="1:10">
      <c r="A257" s="48">
        <v>8</v>
      </c>
      <c r="B257" s="49" t="s">
        <v>780</v>
      </c>
      <c r="C257" s="221" t="s">
        <v>1114</v>
      </c>
      <c r="D257" s="221" t="s">
        <v>1114</v>
      </c>
      <c r="E257" s="50">
        <v>1</v>
      </c>
      <c r="F257" s="223">
        <v>20000</v>
      </c>
      <c r="G257" s="277">
        <f t="shared" si="1"/>
        <v>20000</v>
      </c>
      <c r="H257" s="95" t="s">
        <v>313</v>
      </c>
      <c r="I257" s="105" t="s">
        <v>763</v>
      </c>
    </row>
    <row r="258" spans="1:10">
      <c r="A258" s="48">
        <v>8</v>
      </c>
      <c r="B258" s="49" t="s">
        <v>635</v>
      </c>
      <c r="C258" s="221" t="s">
        <v>1115</v>
      </c>
      <c r="D258" s="221" t="s">
        <v>1115</v>
      </c>
      <c r="E258" s="50">
        <v>1</v>
      </c>
      <c r="F258" s="223">
        <v>90000</v>
      </c>
      <c r="G258" s="277">
        <f t="shared" si="1"/>
        <v>90000</v>
      </c>
      <c r="H258" s="95" t="s">
        <v>313</v>
      </c>
      <c r="I258" s="105" t="s">
        <v>763</v>
      </c>
    </row>
    <row r="259" spans="1:10">
      <c r="A259" s="48">
        <v>8</v>
      </c>
      <c r="B259" s="49" t="s">
        <v>766</v>
      </c>
      <c r="C259" s="221" t="s">
        <v>1116</v>
      </c>
      <c r="D259" s="221" t="s">
        <v>1116</v>
      </c>
      <c r="E259" s="50">
        <v>1</v>
      </c>
      <c r="F259" s="222">
        <v>81000</v>
      </c>
      <c r="G259" s="277">
        <f t="shared" si="1"/>
        <v>81000</v>
      </c>
      <c r="H259" s="95" t="s">
        <v>313</v>
      </c>
      <c r="I259" s="105" t="s">
        <v>763</v>
      </c>
    </row>
    <row r="260" spans="1:10">
      <c r="A260" s="48">
        <v>8</v>
      </c>
      <c r="B260" s="49" t="s">
        <v>766</v>
      </c>
      <c r="C260" s="221" t="s">
        <v>1117</v>
      </c>
      <c r="D260" s="221" t="s">
        <v>1117</v>
      </c>
      <c r="E260" s="50">
        <v>1</v>
      </c>
      <c r="F260" s="222">
        <v>5000</v>
      </c>
      <c r="G260" s="277">
        <f t="shared" si="1"/>
        <v>5000</v>
      </c>
      <c r="H260" s="95" t="s">
        <v>313</v>
      </c>
      <c r="I260" s="105" t="s">
        <v>763</v>
      </c>
    </row>
    <row r="261" spans="1:10">
      <c r="A261" s="48">
        <v>8</v>
      </c>
      <c r="B261" s="49" t="s">
        <v>766</v>
      </c>
      <c r="C261" s="221" t="s">
        <v>1118</v>
      </c>
      <c r="D261" s="221" t="s">
        <v>1118</v>
      </c>
      <c r="E261" s="50">
        <v>1</v>
      </c>
      <c r="F261" s="222">
        <v>86600</v>
      </c>
      <c r="G261" s="277">
        <f t="shared" si="1"/>
        <v>86600</v>
      </c>
      <c r="H261" s="95" t="s">
        <v>313</v>
      </c>
      <c r="I261" s="105" t="s">
        <v>763</v>
      </c>
    </row>
    <row r="262" spans="1:10">
      <c r="A262" s="48">
        <v>8</v>
      </c>
      <c r="B262" s="49" t="s">
        <v>780</v>
      </c>
      <c r="C262" s="221" t="s">
        <v>1119</v>
      </c>
      <c r="D262" s="221" t="s">
        <v>1119</v>
      </c>
      <c r="E262" s="50">
        <v>1</v>
      </c>
      <c r="F262" s="223">
        <v>130000</v>
      </c>
      <c r="G262" s="277">
        <f t="shared" si="1"/>
        <v>130000</v>
      </c>
      <c r="H262" s="95" t="s">
        <v>313</v>
      </c>
      <c r="I262" s="105" t="s">
        <v>763</v>
      </c>
    </row>
    <row r="263" spans="1:10">
      <c r="A263" s="48">
        <v>8</v>
      </c>
      <c r="B263" s="49" t="s">
        <v>780</v>
      </c>
      <c r="C263" s="221" t="s">
        <v>1120</v>
      </c>
      <c r="D263" s="221" t="s">
        <v>1120</v>
      </c>
      <c r="E263" s="50">
        <v>1</v>
      </c>
      <c r="F263" s="222">
        <v>35100</v>
      </c>
      <c r="G263" s="277">
        <f t="shared" si="1"/>
        <v>35100</v>
      </c>
      <c r="H263" s="95" t="s">
        <v>313</v>
      </c>
      <c r="I263" s="105" t="s">
        <v>763</v>
      </c>
    </row>
    <row r="264" spans="1:10">
      <c r="A264" s="48">
        <v>8</v>
      </c>
      <c r="B264" s="49" t="s">
        <v>780</v>
      </c>
      <c r="C264" s="221" t="s">
        <v>1121</v>
      </c>
      <c r="D264" s="221" t="s">
        <v>1121</v>
      </c>
      <c r="E264" s="50">
        <v>1</v>
      </c>
      <c r="F264" s="223">
        <v>20000</v>
      </c>
      <c r="G264" s="277">
        <f t="shared" si="1"/>
        <v>20000</v>
      </c>
      <c r="H264" s="95" t="s">
        <v>313</v>
      </c>
      <c r="I264" s="105" t="s">
        <v>763</v>
      </c>
    </row>
    <row r="265" spans="1:10">
      <c r="A265" s="48">
        <v>8</v>
      </c>
      <c r="B265" s="49" t="s">
        <v>766</v>
      </c>
      <c r="C265" s="221" t="s">
        <v>1122</v>
      </c>
      <c r="D265" s="221" t="s">
        <v>1122</v>
      </c>
      <c r="E265" s="50">
        <v>1</v>
      </c>
      <c r="F265" s="223">
        <v>66000</v>
      </c>
      <c r="G265" s="277">
        <f t="shared" si="1"/>
        <v>66000</v>
      </c>
      <c r="H265" s="95" t="s">
        <v>313</v>
      </c>
      <c r="I265" s="105" t="s">
        <v>763</v>
      </c>
    </row>
    <row r="266" spans="1:10">
      <c r="A266" s="48">
        <v>8</v>
      </c>
      <c r="B266" s="49" t="s">
        <v>766</v>
      </c>
      <c r="C266" s="221" t="s">
        <v>1123</v>
      </c>
      <c r="D266" s="221" t="s">
        <v>1123</v>
      </c>
      <c r="E266" s="50">
        <v>1</v>
      </c>
      <c r="F266" s="222">
        <v>78500</v>
      </c>
      <c r="G266" s="277">
        <f t="shared" si="1"/>
        <v>78500</v>
      </c>
      <c r="H266" s="95" t="s">
        <v>313</v>
      </c>
      <c r="I266" s="105" t="s">
        <v>763</v>
      </c>
    </row>
    <row r="267" spans="1:10">
      <c r="A267" s="48">
        <v>8</v>
      </c>
      <c r="B267" s="49" t="s">
        <v>770</v>
      </c>
      <c r="C267" s="49" t="s">
        <v>867</v>
      </c>
      <c r="D267" s="49" t="s">
        <v>1124</v>
      </c>
      <c r="E267" s="50">
        <v>15</v>
      </c>
      <c r="F267" s="277">
        <v>15166.67</v>
      </c>
      <c r="G267" s="277">
        <v>227500</v>
      </c>
      <c r="H267" s="49" t="s">
        <v>1125</v>
      </c>
      <c r="I267" s="106" t="s">
        <v>774</v>
      </c>
    </row>
    <row r="268" spans="1:10">
      <c r="A268" s="48">
        <v>8</v>
      </c>
      <c r="B268" s="49" t="s">
        <v>1126</v>
      </c>
      <c r="C268" s="111" t="s">
        <v>1127</v>
      </c>
      <c r="D268" s="111" t="s">
        <v>1128</v>
      </c>
      <c r="E268" s="50">
        <v>1</v>
      </c>
      <c r="F268" s="223">
        <v>54899.46</v>
      </c>
      <c r="G268" s="277">
        <f>IF(AND(ISNUMBER(E268), ISNUMBER(F268), E268&gt;0, F268&gt;0), ROUND(E268*F268, 2), IF(ISNUMBER(F268), F268, ""))</f>
        <v>54899.46</v>
      </c>
      <c r="H268" s="112" t="s">
        <v>1129</v>
      </c>
      <c r="I268" s="113" t="s">
        <v>763</v>
      </c>
      <c r="J268" s="114" t="s">
        <v>116</v>
      </c>
    </row>
    <row r="269" spans="1:10">
      <c r="A269" s="48">
        <v>8</v>
      </c>
      <c r="B269" s="49" t="s">
        <v>1126</v>
      </c>
      <c r="C269" s="111" t="s">
        <v>1130</v>
      </c>
      <c r="D269" s="111" t="s">
        <v>1131</v>
      </c>
      <c r="E269" s="50">
        <v>1</v>
      </c>
      <c r="F269" s="223">
        <v>74899.789999999994</v>
      </c>
      <c r="G269" s="277">
        <f>IF(AND(ISNUMBER(E269), ISNUMBER(F269), E269&gt;0, F269&gt;0), ROUND(E269*F269, 2), IF(ISNUMBER(F269), F269, ""))</f>
        <v>74899.789999999994</v>
      </c>
      <c r="H269" s="112" t="s">
        <v>1129</v>
      </c>
      <c r="I269" s="113" t="s">
        <v>763</v>
      </c>
      <c r="J269" s="114" t="s">
        <v>116</v>
      </c>
    </row>
    <row r="270" spans="1:10">
      <c r="A270" s="48">
        <v>8</v>
      </c>
      <c r="B270" s="49" t="s">
        <v>1126</v>
      </c>
      <c r="C270" s="111" t="s">
        <v>1132</v>
      </c>
      <c r="D270" s="111" t="s">
        <v>1133</v>
      </c>
      <c r="E270" s="50">
        <v>1</v>
      </c>
      <c r="F270" s="223">
        <v>4999.1899999999996</v>
      </c>
      <c r="G270" s="277">
        <f>IF(AND(ISNUMBER(E270), ISNUMBER(F270), E270&gt;0, F270&gt;0), ROUND(E270*F270, 2), IF(ISNUMBER(F270), F270, ""))</f>
        <v>4999.1899999999996</v>
      </c>
      <c r="H270" s="112" t="s">
        <v>1129</v>
      </c>
      <c r="I270" s="113" t="s">
        <v>763</v>
      </c>
      <c r="J270" s="114" t="s">
        <v>116</v>
      </c>
    </row>
    <row r="271" spans="1:10">
      <c r="A271" s="48">
        <v>8</v>
      </c>
      <c r="B271" s="49" t="s">
        <v>1126</v>
      </c>
      <c r="C271" s="111" t="s">
        <v>1134</v>
      </c>
      <c r="D271" s="111" t="s">
        <v>1135</v>
      </c>
      <c r="E271" s="50">
        <v>1</v>
      </c>
      <c r="F271" s="223">
        <v>49900.27</v>
      </c>
      <c r="G271" s="277">
        <f>IF(AND(ISNUMBER(E271), ISNUMBER(F271), E271&gt;0, F271&gt;0), ROUND(E271*F271, 2), IF(ISNUMBER(F271), F271, ""))</f>
        <v>49900.27</v>
      </c>
      <c r="H271" s="112" t="s">
        <v>1129</v>
      </c>
      <c r="I271" s="113" t="s">
        <v>763</v>
      </c>
      <c r="J271" s="114" t="s">
        <v>116</v>
      </c>
    </row>
    <row r="272" spans="1:10">
      <c r="A272" s="48">
        <v>8</v>
      </c>
      <c r="B272" s="49" t="s">
        <v>1033</v>
      </c>
      <c r="C272" s="111" t="s">
        <v>771</v>
      </c>
      <c r="D272" s="111" t="s">
        <v>771</v>
      </c>
      <c r="E272" s="50">
        <v>200</v>
      </c>
      <c r="F272" s="223">
        <v>150</v>
      </c>
      <c r="G272" s="277">
        <f>IF(AND(ISNUMBER(E272), ISNUMBER(F272), E272&gt;0, F272&gt;0), ROUND(E272*F272, 2), IF(ISNUMBER(F272), F272, ""))</f>
        <v>30000</v>
      </c>
      <c r="H272" s="112" t="s">
        <v>386</v>
      </c>
      <c r="I272" s="113" t="s">
        <v>763</v>
      </c>
      <c r="J272" s="114" t="s">
        <v>116</v>
      </c>
    </row>
    <row r="273" spans="1:9">
      <c r="A273" s="48">
        <v>9</v>
      </c>
      <c r="B273" s="49" t="s">
        <v>766</v>
      </c>
      <c r="C273" s="49" t="s">
        <v>785</v>
      </c>
      <c r="D273" s="49" t="s">
        <v>1136</v>
      </c>
      <c r="E273" s="50">
        <v>16</v>
      </c>
      <c r="F273" s="277">
        <v>17500</v>
      </c>
      <c r="G273" s="277">
        <v>280000</v>
      </c>
      <c r="H273" s="49" t="s">
        <v>319</v>
      </c>
      <c r="I273" s="105" t="s">
        <v>763</v>
      </c>
    </row>
    <row r="274" spans="1:9">
      <c r="A274" s="48">
        <v>9</v>
      </c>
      <c r="B274" s="49" t="s">
        <v>762</v>
      </c>
      <c r="C274" s="49" t="s">
        <v>270</v>
      </c>
      <c r="D274" s="49" t="s">
        <v>320</v>
      </c>
      <c r="E274" s="50">
        <v>20.2</v>
      </c>
      <c r="F274" s="277">
        <v>22900</v>
      </c>
      <c r="G274" s="277">
        <v>462580</v>
      </c>
      <c r="H274" s="49" t="s">
        <v>319</v>
      </c>
      <c r="I274" s="105" t="s">
        <v>763</v>
      </c>
    </row>
    <row r="275" spans="1:9">
      <c r="A275" s="48">
        <v>9</v>
      </c>
      <c r="B275" s="49" t="s">
        <v>762</v>
      </c>
      <c r="C275" s="49" t="s">
        <v>205</v>
      </c>
      <c r="D275" s="49" t="s">
        <v>321</v>
      </c>
      <c r="E275" s="50">
        <v>28.6</v>
      </c>
      <c r="F275" s="277">
        <v>15900</v>
      </c>
      <c r="G275" s="277">
        <v>454740</v>
      </c>
      <c r="H275" s="49" t="s">
        <v>319</v>
      </c>
      <c r="I275" s="105" t="s">
        <v>763</v>
      </c>
    </row>
    <row r="276" spans="1:9">
      <c r="A276" s="48">
        <v>9</v>
      </c>
      <c r="B276" s="49" t="s">
        <v>762</v>
      </c>
      <c r="C276" s="49" t="s">
        <v>207</v>
      </c>
      <c r="D276" s="49" t="s">
        <v>322</v>
      </c>
      <c r="E276" s="50">
        <v>24.7</v>
      </c>
      <c r="F276" s="277">
        <v>23900</v>
      </c>
      <c r="G276" s="277">
        <v>590330</v>
      </c>
      <c r="H276" s="49" t="s">
        <v>319</v>
      </c>
      <c r="I276" s="105" t="s">
        <v>763</v>
      </c>
    </row>
    <row r="277" spans="1:9">
      <c r="A277" s="48">
        <v>9</v>
      </c>
      <c r="B277" s="49" t="s">
        <v>762</v>
      </c>
      <c r="C277" s="49" t="s">
        <v>209</v>
      </c>
      <c r="D277" s="49" t="s">
        <v>323</v>
      </c>
      <c r="E277" s="50">
        <v>22.18</v>
      </c>
      <c r="F277" s="277">
        <v>25900</v>
      </c>
      <c r="G277" s="277">
        <v>574462</v>
      </c>
      <c r="H277" s="49" t="s">
        <v>319</v>
      </c>
      <c r="I277" s="105" t="s">
        <v>763</v>
      </c>
    </row>
    <row r="278" spans="1:9">
      <c r="A278" s="48">
        <v>9</v>
      </c>
      <c r="B278" s="49" t="s">
        <v>762</v>
      </c>
      <c r="C278" s="49" t="s">
        <v>282</v>
      </c>
      <c r="D278" s="49" t="s">
        <v>324</v>
      </c>
      <c r="E278" s="50">
        <v>68.7</v>
      </c>
      <c r="F278" s="277">
        <v>21900</v>
      </c>
      <c r="G278" s="277">
        <v>1504530</v>
      </c>
      <c r="H278" s="49" t="s">
        <v>319</v>
      </c>
      <c r="I278" s="105" t="s">
        <v>763</v>
      </c>
    </row>
    <row r="279" spans="1:9">
      <c r="A279" s="48">
        <v>9</v>
      </c>
      <c r="B279" s="49" t="s">
        <v>762</v>
      </c>
      <c r="C279" s="49" t="s">
        <v>325</v>
      </c>
      <c r="D279" s="49" t="s">
        <v>326</v>
      </c>
      <c r="E279" s="50">
        <v>17.260000000000002</v>
      </c>
      <c r="F279" s="277">
        <v>11500</v>
      </c>
      <c r="G279" s="277">
        <v>198490</v>
      </c>
      <c r="H279" s="49" t="s">
        <v>319</v>
      </c>
      <c r="I279" s="105" t="s">
        <v>763</v>
      </c>
    </row>
    <row r="280" spans="1:9">
      <c r="A280" s="48">
        <v>9</v>
      </c>
      <c r="B280" s="49" t="s">
        <v>86</v>
      </c>
      <c r="C280" s="49" t="s">
        <v>513</v>
      </c>
      <c r="D280" s="49" t="s">
        <v>514</v>
      </c>
      <c r="E280" s="50">
        <v>720</v>
      </c>
      <c r="F280" s="277">
        <v>700</v>
      </c>
      <c r="G280" s="277">
        <v>504000</v>
      </c>
      <c r="H280" s="49" t="s">
        <v>512</v>
      </c>
      <c r="I280" s="105" t="s">
        <v>763</v>
      </c>
    </row>
    <row r="281" spans="1:9">
      <c r="A281" s="48">
        <v>9</v>
      </c>
      <c r="B281" s="49" t="s">
        <v>635</v>
      </c>
      <c r="C281" s="49" t="s">
        <v>890</v>
      </c>
      <c r="D281" s="49" t="s">
        <v>1137</v>
      </c>
      <c r="E281" s="50">
        <v>10</v>
      </c>
      <c r="F281" s="277">
        <v>4600</v>
      </c>
      <c r="G281" s="277">
        <v>46000</v>
      </c>
      <c r="H281" s="49" t="s">
        <v>512</v>
      </c>
      <c r="I281" s="105" t="s">
        <v>763</v>
      </c>
    </row>
    <row r="282" spans="1:9">
      <c r="A282" s="48">
        <v>9</v>
      </c>
      <c r="B282" s="49" t="s">
        <v>635</v>
      </c>
      <c r="C282" s="49" t="s">
        <v>892</v>
      </c>
      <c r="D282" s="49" t="s">
        <v>1138</v>
      </c>
      <c r="E282" s="50">
        <v>10</v>
      </c>
      <c r="F282" s="277">
        <v>5550</v>
      </c>
      <c r="G282" s="277">
        <v>55500</v>
      </c>
      <c r="H282" s="49" t="s">
        <v>512</v>
      </c>
      <c r="I282" s="105" t="s">
        <v>763</v>
      </c>
    </row>
    <row r="283" spans="1:9">
      <c r="A283" s="48">
        <v>9</v>
      </c>
      <c r="B283" s="49" t="s">
        <v>635</v>
      </c>
      <c r="C283" s="49" t="s">
        <v>1139</v>
      </c>
      <c r="D283" s="49" t="s">
        <v>1140</v>
      </c>
      <c r="E283" s="50">
        <v>12</v>
      </c>
      <c r="F283" s="277">
        <v>3000</v>
      </c>
      <c r="G283" s="277">
        <v>36000</v>
      </c>
      <c r="H283" s="49" t="s">
        <v>512</v>
      </c>
      <c r="I283" s="105" t="s">
        <v>763</v>
      </c>
    </row>
    <row r="284" spans="1:9">
      <c r="A284" s="48">
        <v>9</v>
      </c>
      <c r="B284" s="49" t="s">
        <v>635</v>
      </c>
      <c r="C284" s="49" t="s">
        <v>1081</v>
      </c>
      <c r="D284" s="49" t="s">
        <v>1141</v>
      </c>
      <c r="E284" s="50">
        <v>20</v>
      </c>
      <c r="F284" s="277">
        <v>11200</v>
      </c>
      <c r="G284" s="277">
        <v>224000</v>
      </c>
      <c r="H284" s="49" t="s">
        <v>512</v>
      </c>
      <c r="I284" s="105" t="s">
        <v>763</v>
      </c>
    </row>
    <row r="285" spans="1:9">
      <c r="A285" s="48">
        <v>9</v>
      </c>
      <c r="B285" s="49" t="s">
        <v>635</v>
      </c>
      <c r="C285" s="49" t="s">
        <v>1083</v>
      </c>
      <c r="D285" s="49" t="s">
        <v>1142</v>
      </c>
      <c r="E285" s="50">
        <v>50</v>
      </c>
      <c r="F285" s="277">
        <v>9100</v>
      </c>
      <c r="G285" s="277">
        <v>455000</v>
      </c>
      <c r="H285" s="49" t="s">
        <v>512</v>
      </c>
      <c r="I285" s="105" t="s">
        <v>763</v>
      </c>
    </row>
    <row r="286" spans="1:9">
      <c r="A286" s="48">
        <v>9</v>
      </c>
      <c r="B286" s="49" t="s">
        <v>635</v>
      </c>
      <c r="C286" s="49" t="s">
        <v>900</v>
      </c>
      <c r="D286" s="49" t="s">
        <v>1143</v>
      </c>
      <c r="E286" s="50">
        <v>850</v>
      </c>
      <c r="F286" s="277">
        <v>390</v>
      </c>
      <c r="G286" s="277">
        <v>331500</v>
      </c>
      <c r="H286" s="49" t="s">
        <v>512</v>
      </c>
      <c r="I286" s="105" t="s">
        <v>763</v>
      </c>
    </row>
    <row r="287" spans="1:9">
      <c r="A287" s="48">
        <v>9</v>
      </c>
      <c r="B287" s="49" t="s">
        <v>635</v>
      </c>
      <c r="C287" s="49" t="s">
        <v>924</v>
      </c>
      <c r="D287" s="49" t="s">
        <v>1144</v>
      </c>
      <c r="E287" s="50">
        <v>1200</v>
      </c>
      <c r="F287" s="277">
        <v>440</v>
      </c>
      <c r="G287" s="277">
        <v>528000</v>
      </c>
      <c r="H287" s="49" t="s">
        <v>512</v>
      </c>
      <c r="I287" s="105" t="s">
        <v>763</v>
      </c>
    </row>
    <row r="288" spans="1:9">
      <c r="A288" s="48">
        <v>9</v>
      </c>
      <c r="B288" s="49" t="s">
        <v>635</v>
      </c>
      <c r="C288" s="49" t="s">
        <v>942</v>
      </c>
      <c r="D288" s="49" t="s">
        <v>1145</v>
      </c>
      <c r="E288" s="50">
        <v>24</v>
      </c>
      <c r="F288" s="277">
        <v>4850</v>
      </c>
      <c r="G288" s="277">
        <v>116400</v>
      </c>
      <c r="H288" s="49" t="s">
        <v>512</v>
      </c>
      <c r="I288" s="105" t="s">
        <v>763</v>
      </c>
    </row>
    <row r="289" spans="1:9">
      <c r="A289" s="48">
        <v>9</v>
      </c>
      <c r="B289" s="49" t="s">
        <v>635</v>
      </c>
      <c r="C289" s="49" t="s">
        <v>956</v>
      </c>
      <c r="D289" s="49" t="s">
        <v>1146</v>
      </c>
      <c r="E289" s="50">
        <v>24</v>
      </c>
      <c r="F289" s="277">
        <v>2750</v>
      </c>
      <c r="G289" s="277">
        <v>66000</v>
      </c>
      <c r="H289" s="49" t="s">
        <v>512</v>
      </c>
      <c r="I289" s="105" t="s">
        <v>763</v>
      </c>
    </row>
    <row r="290" spans="1:9">
      <c r="A290" s="48">
        <v>9</v>
      </c>
      <c r="B290" s="49" t="s">
        <v>762</v>
      </c>
      <c r="C290" s="49" t="s">
        <v>291</v>
      </c>
      <c r="D290" s="49" t="s">
        <v>328</v>
      </c>
      <c r="E290" s="50">
        <v>38.4</v>
      </c>
      <c r="F290" s="277">
        <v>11000</v>
      </c>
      <c r="G290" s="277">
        <v>422400</v>
      </c>
      <c r="H290" s="49" t="s">
        <v>327</v>
      </c>
      <c r="I290" s="106" t="s">
        <v>774</v>
      </c>
    </row>
    <row r="291" spans="1:9">
      <c r="A291" s="48">
        <v>9</v>
      </c>
      <c r="B291" s="49" t="s">
        <v>635</v>
      </c>
      <c r="C291" s="49" t="s">
        <v>1147</v>
      </c>
      <c r="D291" s="49" t="s">
        <v>1148</v>
      </c>
      <c r="E291" s="50">
        <v>1</v>
      </c>
      <c r="F291" s="277">
        <v>4500</v>
      </c>
      <c r="G291" s="277">
        <v>4500</v>
      </c>
      <c r="H291" s="49" t="s">
        <v>327</v>
      </c>
      <c r="I291" s="105" t="s">
        <v>763</v>
      </c>
    </row>
    <row r="292" spans="1:9">
      <c r="A292" s="48">
        <v>9</v>
      </c>
      <c r="B292" s="49" t="s">
        <v>762</v>
      </c>
      <c r="C292" s="49" t="s">
        <v>195</v>
      </c>
      <c r="D292" s="49" t="s">
        <v>330</v>
      </c>
      <c r="E292" s="50">
        <v>13.6</v>
      </c>
      <c r="F292" s="277">
        <v>18500</v>
      </c>
      <c r="G292" s="277">
        <v>251600</v>
      </c>
      <c r="H292" s="49" t="s">
        <v>329</v>
      </c>
      <c r="I292" s="105" t="s">
        <v>763</v>
      </c>
    </row>
    <row r="293" spans="1:9">
      <c r="A293" s="48">
        <v>9</v>
      </c>
      <c r="B293" s="49" t="s">
        <v>762</v>
      </c>
      <c r="C293" s="49" t="s">
        <v>218</v>
      </c>
      <c r="D293" s="49" t="s">
        <v>331</v>
      </c>
      <c r="E293" s="50">
        <v>43.4</v>
      </c>
      <c r="F293" s="277">
        <v>7500</v>
      </c>
      <c r="G293" s="277">
        <v>325500</v>
      </c>
      <c r="H293" s="49" t="s">
        <v>329</v>
      </c>
      <c r="I293" s="105" t="s">
        <v>763</v>
      </c>
    </row>
    <row r="294" spans="1:9">
      <c r="A294" s="48">
        <v>9</v>
      </c>
      <c r="B294" s="49" t="s">
        <v>635</v>
      </c>
      <c r="C294" s="49" t="s">
        <v>651</v>
      </c>
      <c r="D294" s="49" t="s">
        <v>1149</v>
      </c>
      <c r="E294" s="50">
        <v>1</v>
      </c>
      <c r="F294" s="277">
        <v>25000</v>
      </c>
      <c r="G294" s="277">
        <v>25000</v>
      </c>
      <c r="H294" s="49" t="s">
        <v>1150</v>
      </c>
      <c r="I294" s="105" t="s">
        <v>763</v>
      </c>
    </row>
    <row r="295" spans="1:9">
      <c r="A295" s="48">
        <v>9</v>
      </c>
      <c r="B295" s="49" t="s">
        <v>780</v>
      </c>
      <c r="C295" s="49" t="s">
        <v>781</v>
      </c>
      <c r="D295" s="49" t="s">
        <v>1151</v>
      </c>
      <c r="E295" s="50">
        <v>1</v>
      </c>
      <c r="F295" s="277">
        <v>30000</v>
      </c>
      <c r="G295" s="277">
        <v>30000</v>
      </c>
      <c r="H295" s="49" t="s">
        <v>1150</v>
      </c>
      <c r="I295" s="105" t="s">
        <v>763</v>
      </c>
    </row>
    <row r="296" spans="1:9">
      <c r="A296" s="48">
        <v>9</v>
      </c>
      <c r="B296" s="49" t="s">
        <v>86</v>
      </c>
      <c r="C296" s="49" t="s">
        <v>516</v>
      </c>
      <c r="D296" s="49" t="s">
        <v>517</v>
      </c>
      <c r="E296" s="50">
        <v>7</v>
      </c>
      <c r="F296" s="277">
        <v>2166.67</v>
      </c>
      <c r="G296" s="277">
        <v>15166.68</v>
      </c>
      <c r="H296" s="49" t="s">
        <v>515</v>
      </c>
      <c r="I296" s="105" t="s">
        <v>763</v>
      </c>
    </row>
    <row r="297" spans="1:9">
      <c r="A297" s="48">
        <v>9</v>
      </c>
      <c r="B297" s="49" t="s">
        <v>86</v>
      </c>
      <c r="C297" s="49" t="s">
        <v>518</v>
      </c>
      <c r="D297" s="49" t="s">
        <v>519</v>
      </c>
      <c r="E297" s="50">
        <v>8</v>
      </c>
      <c r="F297" s="277">
        <v>2166.67</v>
      </c>
      <c r="G297" s="277">
        <v>17333.349999999999</v>
      </c>
      <c r="H297" s="49" t="s">
        <v>515</v>
      </c>
      <c r="I297" s="105" t="s">
        <v>763</v>
      </c>
    </row>
    <row r="298" spans="1:9">
      <c r="A298" s="48">
        <v>9</v>
      </c>
      <c r="B298" s="49" t="s">
        <v>86</v>
      </c>
      <c r="C298" s="49" t="s">
        <v>520</v>
      </c>
      <c r="D298" s="49" t="s">
        <v>521</v>
      </c>
      <c r="E298" s="50">
        <v>15</v>
      </c>
      <c r="F298" s="277">
        <v>2166.67</v>
      </c>
      <c r="G298" s="277">
        <v>32500.03</v>
      </c>
      <c r="H298" s="49" t="s">
        <v>515</v>
      </c>
      <c r="I298" s="105" t="s">
        <v>763</v>
      </c>
    </row>
    <row r="299" spans="1:9">
      <c r="A299" s="48">
        <v>9</v>
      </c>
      <c r="B299" s="49" t="s">
        <v>86</v>
      </c>
      <c r="C299" s="49" t="s">
        <v>522</v>
      </c>
      <c r="D299" s="49" t="s">
        <v>523</v>
      </c>
      <c r="E299" s="50">
        <v>24</v>
      </c>
      <c r="F299" s="277">
        <v>1500</v>
      </c>
      <c r="G299" s="277">
        <v>36000</v>
      </c>
      <c r="H299" s="49" t="s">
        <v>515</v>
      </c>
      <c r="I299" s="105" t="s">
        <v>763</v>
      </c>
    </row>
    <row r="300" spans="1:9">
      <c r="A300" s="48">
        <v>9</v>
      </c>
      <c r="B300" s="49" t="s">
        <v>86</v>
      </c>
      <c r="C300" s="49" t="s">
        <v>524</v>
      </c>
      <c r="D300" s="49" t="s">
        <v>525</v>
      </c>
      <c r="E300" s="50">
        <v>48</v>
      </c>
      <c r="F300" s="277">
        <v>1333.33</v>
      </c>
      <c r="G300" s="277">
        <v>63999.839999999997</v>
      </c>
      <c r="H300" s="49" t="s">
        <v>515</v>
      </c>
      <c r="I300" s="105" t="s">
        <v>763</v>
      </c>
    </row>
    <row r="301" spans="1:9">
      <c r="A301" s="48">
        <v>9</v>
      </c>
      <c r="B301" s="49" t="s">
        <v>86</v>
      </c>
      <c r="C301" s="49" t="s">
        <v>526</v>
      </c>
      <c r="D301" s="49" t="s">
        <v>527</v>
      </c>
      <c r="E301" s="50">
        <v>90</v>
      </c>
      <c r="F301" s="277">
        <v>1916.67</v>
      </c>
      <c r="G301" s="277">
        <v>172500.3</v>
      </c>
      <c r="H301" s="49" t="s">
        <v>515</v>
      </c>
      <c r="I301" s="105" t="s">
        <v>763</v>
      </c>
    </row>
    <row r="302" spans="1:9">
      <c r="A302" s="48">
        <v>9</v>
      </c>
      <c r="B302" s="49" t="s">
        <v>86</v>
      </c>
      <c r="C302" s="49" t="s">
        <v>528</v>
      </c>
      <c r="D302" s="49" t="s">
        <v>529</v>
      </c>
      <c r="E302" s="50">
        <v>15</v>
      </c>
      <c r="F302" s="277">
        <v>1726.67</v>
      </c>
      <c r="G302" s="277">
        <v>25899.99</v>
      </c>
      <c r="H302" s="49" t="s">
        <v>515</v>
      </c>
      <c r="I302" s="105" t="s">
        <v>763</v>
      </c>
    </row>
    <row r="303" spans="1:9">
      <c r="A303" s="48">
        <v>9</v>
      </c>
      <c r="B303" s="49" t="s">
        <v>86</v>
      </c>
      <c r="C303" s="49" t="s">
        <v>530</v>
      </c>
      <c r="D303" s="49" t="s">
        <v>531</v>
      </c>
      <c r="E303" s="50">
        <v>15</v>
      </c>
      <c r="F303" s="277">
        <v>1726.67</v>
      </c>
      <c r="G303" s="277">
        <v>25899.99</v>
      </c>
      <c r="H303" s="49" t="s">
        <v>515</v>
      </c>
      <c r="I303" s="105" t="s">
        <v>763</v>
      </c>
    </row>
    <row r="304" spans="1:9">
      <c r="A304" s="48">
        <v>9</v>
      </c>
      <c r="B304" s="49" t="s">
        <v>86</v>
      </c>
      <c r="C304" s="49" t="s">
        <v>532</v>
      </c>
      <c r="D304" s="49" t="s">
        <v>533</v>
      </c>
      <c r="E304" s="50">
        <v>15</v>
      </c>
      <c r="F304" s="277">
        <v>1726.67</v>
      </c>
      <c r="G304" s="277">
        <v>25899.99</v>
      </c>
      <c r="H304" s="49" t="s">
        <v>515</v>
      </c>
      <c r="I304" s="105" t="s">
        <v>763</v>
      </c>
    </row>
    <row r="305" spans="1:9">
      <c r="A305" s="48">
        <v>9</v>
      </c>
      <c r="B305" s="49" t="s">
        <v>86</v>
      </c>
      <c r="C305" s="49" t="s">
        <v>534</v>
      </c>
      <c r="D305" s="49" t="s">
        <v>535</v>
      </c>
      <c r="E305" s="50">
        <v>15</v>
      </c>
      <c r="F305" s="277">
        <v>1726.67</v>
      </c>
      <c r="G305" s="277">
        <v>25899.99</v>
      </c>
      <c r="H305" s="49" t="s">
        <v>515</v>
      </c>
      <c r="I305" s="105" t="s">
        <v>763</v>
      </c>
    </row>
    <row r="306" spans="1:9">
      <c r="A306" s="48">
        <v>9</v>
      </c>
      <c r="B306" s="49" t="s">
        <v>86</v>
      </c>
      <c r="C306" s="49" t="s">
        <v>536</v>
      </c>
      <c r="D306" s="49" t="s">
        <v>537</v>
      </c>
      <c r="E306" s="50">
        <v>30</v>
      </c>
      <c r="F306" s="277">
        <v>1500</v>
      </c>
      <c r="G306" s="277">
        <v>44999.85</v>
      </c>
      <c r="H306" s="49" t="s">
        <v>515</v>
      </c>
      <c r="I306" s="105" t="s">
        <v>763</v>
      </c>
    </row>
    <row r="307" spans="1:9">
      <c r="A307" s="48">
        <v>9</v>
      </c>
      <c r="B307" s="49" t="s">
        <v>86</v>
      </c>
      <c r="C307" s="49" t="s">
        <v>538</v>
      </c>
      <c r="D307" s="49" t="s">
        <v>539</v>
      </c>
      <c r="E307" s="50">
        <v>12</v>
      </c>
      <c r="F307" s="277">
        <v>3750</v>
      </c>
      <c r="G307" s="277">
        <v>44999.99</v>
      </c>
      <c r="H307" s="49" t="s">
        <v>515</v>
      </c>
      <c r="I307" s="105" t="s">
        <v>763</v>
      </c>
    </row>
    <row r="308" spans="1:9">
      <c r="A308" s="48">
        <v>9</v>
      </c>
      <c r="B308" s="49" t="s">
        <v>86</v>
      </c>
      <c r="C308" s="49" t="s">
        <v>540</v>
      </c>
      <c r="D308" s="49" t="s">
        <v>541</v>
      </c>
      <c r="E308" s="50">
        <v>12</v>
      </c>
      <c r="F308" s="277">
        <v>3750</v>
      </c>
      <c r="G308" s="277">
        <v>44999.99</v>
      </c>
      <c r="H308" s="49" t="s">
        <v>515</v>
      </c>
      <c r="I308" s="105" t="s">
        <v>763</v>
      </c>
    </row>
    <row r="309" spans="1:9">
      <c r="A309" s="48">
        <v>9</v>
      </c>
      <c r="B309" s="49" t="s">
        <v>86</v>
      </c>
      <c r="C309" s="49" t="s">
        <v>542</v>
      </c>
      <c r="D309" s="49" t="s">
        <v>543</v>
      </c>
      <c r="E309" s="50">
        <v>12</v>
      </c>
      <c r="F309" s="277">
        <v>3750</v>
      </c>
      <c r="G309" s="277">
        <v>45000.01</v>
      </c>
      <c r="H309" s="49" t="s">
        <v>515</v>
      </c>
      <c r="I309" s="105" t="s">
        <v>763</v>
      </c>
    </row>
    <row r="310" spans="1:9">
      <c r="A310" s="48">
        <v>9</v>
      </c>
      <c r="B310" s="49" t="s">
        <v>770</v>
      </c>
      <c r="C310" s="49" t="s">
        <v>970</v>
      </c>
      <c r="D310" s="49" t="s">
        <v>1152</v>
      </c>
      <c r="E310" s="50">
        <v>25</v>
      </c>
      <c r="F310" s="277">
        <v>1890</v>
      </c>
      <c r="G310" s="277">
        <v>47250</v>
      </c>
      <c r="H310" s="49" t="s">
        <v>1153</v>
      </c>
      <c r="I310" s="105" t="s">
        <v>763</v>
      </c>
    </row>
    <row r="311" spans="1:9">
      <c r="A311" s="48">
        <v>9</v>
      </c>
      <c r="B311" s="49" t="s">
        <v>770</v>
      </c>
      <c r="C311" s="49" t="s">
        <v>1154</v>
      </c>
      <c r="D311" s="49" t="s">
        <v>1155</v>
      </c>
      <c r="E311" s="50">
        <v>14</v>
      </c>
      <c r="F311" s="277">
        <v>5490</v>
      </c>
      <c r="G311" s="277">
        <v>76860</v>
      </c>
      <c r="H311" s="49" t="s">
        <v>1156</v>
      </c>
      <c r="I311" s="105" t="s">
        <v>763</v>
      </c>
    </row>
    <row r="312" spans="1:9">
      <c r="A312" s="48">
        <v>9</v>
      </c>
      <c r="B312" s="49" t="s">
        <v>762</v>
      </c>
      <c r="C312" s="49" t="s">
        <v>249</v>
      </c>
      <c r="D312" s="49" t="s">
        <v>333</v>
      </c>
      <c r="E312" s="50">
        <v>27.9</v>
      </c>
      <c r="F312" s="277">
        <v>18500</v>
      </c>
      <c r="G312" s="277">
        <v>516150</v>
      </c>
      <c r="H312" s="49" t="s">
        <v>332</v>
      </c>
      <c r="I312" s="105" t="s">
        <v>763</v>
      </c>
    </row>
    <row r="313" spans="1:9">
      <c r="A313" s="48">
        <v>9</v>
      </c>
      <c r="B313" s="49" t="s">
        <v>762</v>
      </c>
      <c r="C313" s="49" t="s">
        <v>190</v>
      </c>
      <c r="D313" s="49" t="s">
        <v>335</v>
      </c>
      <c r="E313" s="50">
        <v>20</v>
      </c>
      <c r="F313" s="277">
        <v>16500</v>
      </c>
      <c r="G313" s="277">
        <v>330000</v>
      </c>
      <c r="H313" s="49" t="s">
        <v>334</v>
      </c>
      <c r="I313" s="105" t="s">
        <v>763</v>
      </c>
    </row>
    <row r="314" spans="1:9">
      <c r="A314" s="48">
        <v>9</v>
      </c>
      <c r="B314" s="49" t="s">
        <v>780</v>
      </c>
      <c r="C314" s="221" t="s">
        <v>1109</v>
      </c>
      <c r="D314" s="221" t="s">
        <v>1109</v>
      </c>
      <c r="E314" s="50">
        <v>1</v>
      </c>
      <c r="F314" s="222">
        <v>66000</v>
      </c>
      <c r="G314" s="277">
        <f t="shared" ref="G314:G321" si="2">IF(AND(ISNUMBER(E314), ISNUMBER(F314), E314&gt;0, F314&gt;0), ROUND(E314*F314, 2), IF(ISNUMBER(F314), F314, ""))</f>
        <v>66000</v>
      </c>
      <c r="H314" s="100" t="s">
        <v>1022</v>
      </c>
      <c r="I314" s="105" t="s">
        <v>763</v>
      </c>
    </row>
    <row r="315" spans="1:9">
      <c r="A315" s="48">
        <v>9</v>
      </c>
      <c r="B315" s="49" t="s">
        <v>780</v>
      </c>
      <c r="C315" s="221" t="s">
        <v>1157</v>
      </c>
      <c r="D315" s="221" t="s">
        <v>1157</v>
      </c>
      <c r="E315" s="50">
        <v>1</v>
      </c>
      <c r="F315" s="223">
        <v>66000</v>
      </c>
      <c r="G315" s="277">
        <f t="shared" si="2"/>
        <v>66000</v>
      </c>
      <c r="H315" s="100" t="s">
        <v>1022</v>
      </c>
      <c r="I315" s="105" t="s">
        <v>763</v>
      </c>
    </row>
    <row r="316" spans="1:9">
      <c r="A316" s="48">
        <v>9</v>
      </c>
      <c r="B316" s="49" t="s">
        <v>780</v>
      </c>
      <c r="C316" s="221" t="s">
        <v>1158</v>
      </c>
      <c r="D316" s="221" t="s">
        <v>1158</v>
      </c>
      <c r="E316" s="50">
        <v>1</v>
      </c>
      <c r="F316" s="223">
        <v>66000</v>
      </c>
      <c r="G316" s="277">
        <f t="shared" si="2"/>
        <v>66000</v>
      </c>
      <c r="H316" s="100" t="s">
        <v>1022</v>
      </c>
      <c r="I316" s="105" t="s">
        <v>763</v>
      </c>
    </row>
    <row r="317" spans="1:9">
      <c r="A317" s="48">
        <v>9</v>
      </c>
      <c r="B317" s="49" t="s">
        <v>762</v>
      </c>
      <c r="C317" s="221" t="s">
        <v>336</v>
      </c>
      <c r="D317" s="221" t="s">
        <v>336</v>
      </c>
      <c r="E317" s="50">
        <v>1</v>
      </c>
      <c r="F317" s="222">
        <v>76500</v>
      </c>
      <c r="G317" s="277">
        <f t="shared" si="2"/>
        <v>76500</v>
      </c>
      <c r="H317" s="95" t="s">
        <v>313</v>
      </c>
      <c r="I317" s="105" t="s">
        <v>763</v>
      </c>
    </row>
    <row r="318" spans="1:9">
      <c r="A318" s="48">
        <v>9</v>
      </c>
      <c r="B318" s="49" t="s">
        <v>780</v>
      </c>
      <c r="C318" s="221" t="s">
        <v>1159</v>
      </c>
      <c r="D318" s="221" t="s">
        <v>1159</v>
      </c>
      <c r="E318" s="50">
        <v>1</v>
      </c>
      <c r="F318" s="222">
        <v>500000</v>
      </c>
      <c r="G318" s="277">
        <f t="shared" si="2"/>
        <v>500000</v>
      </c>
      <c r="H318" s="95" t="s">
        <v>313</v>
      </c>
      <c r="I318" s="105" t="s">
        <v>763</v>
      </c>
    </row>
    <row r="319" spans="1:9">
      <c r="A319" s="48">
        <v>9</v>
      </c>
      <c r="B319" s="49" t="s">
        <v>780</v>
      </c>
      <c r="C319" s="221" t="s">
        <v>1160</v>
      </c>
      <c r="D319" s="221" t="s">
        <v>1160</v>
      </c>
      <c r="E319" s="50">
        <v>1</v>
      </c>
      <c r="F319" s="223">
        <v>40000</v>
      </c>
      <c r="G319" s="277">
        <f t="shared" si="2"/>
        <v>40000</v>
      </c>
      <c r="H319" s="95" t="s">
        <v>313</v>
      </c>
      <c r="I319" s="105" t="s">
        <v>763</v>
      </c>
    </row>
    <row r="320" spans="1:9">
      <c r="A320" s="48">
        <v>9</v>
      </c>
      <c r="B320" s="49" t="s">
        <v>766</v>
      </c>
      <c r="C320" s="221" t="s">
        <v>1161</v>
      </c>
      <c r="D320" s="221" t="s">
        <v>1161</v>
      </c>
      <c r="E320" s="50">
        <v>1</v>
      </c>
      <c r="F320" s="223">
        <v>31000</v>
      </c>
      <c r="G320" s="277">
        <f t="shared" si="2"/>
        <v>31000</v>
      </c>
      <c r="H320" s="95" t="s">
        <v>313</v>
      </c>
      <c r="I320" s="105" t="s">
        <v>763</v>
      </c>
    </row>
    <row r="321" spans="1:11">
      <c r="A321" s="48">
        <v>9</v>
      </c>
      <c r="B321" s="49" t="s">
        <v>766</v>
      </c>
      <c r="C321" s="221" t="s">
        <v>1162</v>
      </c>
      <c r="D321" s="221" t="s">
        <v>1162</v>
      </c>
      <c r="E321" s="50">
        <v>1</v>
      </c>
      <c r="F321" s="223">
        <v>130000</v>
      </c>
      <c r="G321" s="277">
        <f t="shared" si="2"/>
        <v>130000</v>
      </c>
      <c r="H321" s="95" t="s">
        <v>313</v>
      </c>
      <c r="I321" s="105" t="s">
        <v>763</v>
      </c>
    </row>
    <row r="322" spans="1:11">
      <c r="A322" s="48">
        <v>9</v>
      </c>
      <c r="B322" s="49" t="s">
        <v>766</v>
      </c>
      <c r="C322" s="49" t="s">
        <v>987</v>
      </c>
      <c r="D322" s="49" t="s">
        <v>1163</v>
      </c>
      <c r="E322" s="50">
        <v>5</v>
      </c>
      <c r="F322" s="277">
        <v>17950</v>
      </c>
      <c r="G322" s="277">
        <v>89750</v>
      </c>
      <c r="H322" s="49" t="s">
        <v>1164</v>
      </c>
      <c r="I322" s="105" t="s">
        <v>763</v>
      </c>
    </row>
    <row r="323" spans="1:11">
      <c r="A323" s="48">
        <v>9</v>
      </c>
      <c r="B323" s="49" t="s">
        <v>766</v>
      </c>
      <c r="C323" s="55" t="s">
        <v>990</v>
      </c>
      <c r="D323" s="55" t="s">
        <v>1165</v>
      </c>
      <c r="E323" s="50">
        <v>6</v>
      </c>
      <c r="F323" s="278">
        <v>12900</v>
      </c>
      <c r="G323" s="277">
        <v>77400</v>
      </c>
      <c r="H323" s="55" t="s">
        <v>1164</v>
      </c>
      <c r="I323" s="105" t="s">
        <v>763</v>
      </c>
    </row>
    <row r="324" spans="1:11">
      <c r="A324" s="48">
        <v>9</v>
      </c>
      <c r="B324" s="49" t="s">
        <v>766</v>
      </c>
      <c r="C324" s="55" t="s">
        <v>992</v>
      </c>
      <c r="D324" s="55" t="s">
        <v>1166</v>
      </c>
      <c r="E324" s="50">
        <v>5</v>
      </c>
      <c r="F324" s="278">
        <v>12600</v>
      </c>
      <c r="G324" s="277">
        <v>63000</v>
      </c>
      <c r="H324" s="55" t="s">
        <v>1164</v>
      </c>
      <c r="I324" s="105" t="s">
        <v>763</v>
      </c>
    </row>
    <row r="325" spans="1:11">
      <c r="A325" s="48">
        <v>9</v>
      </c>
      <c r="B325" s="49" t="s">
        <v>766</v>
      </c>
      <c r="C325" s="55" t="s">
        <v>1167</v>
      </c>
      <c r="D325" s="55" t="s">
        <v>1168</v>
      </c>
      <c r="E325" s="50">
        <v>2</v>
      </c>
      <c r="F325" s="278">
        <v>12700</v>
      </c>
      <c r="G325" s="277">
        <v>25400</v>
      </c>
      <c r="H325" s="55" t="s">
        <v>1164</v>
      </c>
      <c r="I325" s="105" t="s">
        <v>763</v>
      </c>
    </row>
    <row r="326" spans="1:11">
      <c r="A326" s="48">
        <v>9</v>
      </c>
      <c r="B326" s="49" t="s">
        <v>766</v>
      </c>
      <c r="C326" s="55" t="s">
        <v>994</v>
      </c>
      <c r="D326" s="55" t="s">
        <v>1169</v>
      </c>
      <c r="E326" s="50">
        <v>3</v>
      </c>
      <c r="F326" s="278">
        <v>15500</v>
      </c>
      <c r="G326" s="277">
        <v>46500</v>
      </c>
      <c r="H326" s="55" t="s">
        <v>1164</v>
      </c>
      <c r="I326" s="105" t="s">
        <v>763</v>
      </c>
    </row>
    <row r="327" spans="1:11">
      <c r="A327" s="48">
        <v>9</v>
      </c>
      <c r="B327" s="49" t="s">
        <v>766</v>
      </c>
      <c r="C327" s="55" t="s">
        <v>996</v>
      </c>
      <c r="D327" s="55" t="s">
        <v>1170</v>
      </c>
      <c r="E327" s="50">
        <v>3</v>
      </c>
      <c r="F327" s="278">
        <v>16800</v>
      </c>
      <c r="G327" s="277">
        <v>50400</v>
      </c>
      <c r="H327" s="55" t="s">
        <v>1164</v>
      </c>
      <c r="I327" s="105" t="s">
        <v>763</v>
      </c>
    </row>
    <row r="328" spans="1:11">
      <c r="A328" s="48">
        <v>9</v>
      </c>
      <c r="B328" s="49" t="s">
        <v>1171</v>
      </c>
      <c r="C328" s="119" t="s">
        <v>1172</v>
      </c>
      <c r="D328" s="119" t="s">
        <v>1173</v>
      </c>
      <c r="E328" s="50">
        <v>5</v>
      </c>
      <c r="F328" s="224">
        <v>22990</v>
      </c>
      <c r="G328" s="277">
        <f>IF(AND(ISNUMBER(E328), ISNUMBER(F328), E328&gt;0, F328&gt;0), ROUND(E328*F328, 2), IF(ISNUMBER(F328), F328, ""))</f>
        <v>114950</v>
      </c>
      <c r="H328" s="122" t="s">
        <v>1174</v>
      </c>
      <c r="I328" s="113" t="s">
        <v>763</v>
      </c>
      <c r="J328" s="114" t="s">
        <v>116</v>
      </c>
    </row>
    <row r="329" spans="1:11">
      <c r="A329" s="48">
        <v>9</v>
      </c>
      <c r="B329" s="49" t="s">
        <v>1033</v>
      </c>
      <c r="C329" s="119" t="s">
        <v>771</v>
      </c>
      <c r="D329" s="119" t="s">
        <v>771</v>
      </c>
      <c r="E329" s="50">
        <v>100</v>
      </c>
      <c r="F329" s="224">
        <v>150</v>
      </c>
      <c r="G329" s="277">
        <f>IF(AND(ISNUMBER(E329), ISNUMBER(F329), E329&gt;0, F329&gt;0), ROUND(E329*F329, 2), IF(ISNUMBER(F329), F329, ""))</f>
        <v>15000</v>
      </c>
      <c r="H329" s="122" t="s">
        <v>386</v>
      </c>
      <c r="I329" s="113" t="s">
        <v>763</v>
      </c>
      <c r="J329" s="114" t="s">
        <v>116</v>
      </c>
    </row>
    <row r="330" spans="1:11">
      <c r="A330" s="48">
        <v>9</v>
      </c>
      <c r="B330" s="49" t="s">
        <v>1175</v>
      </c>
      <c r="C330" s="119" t="s">
        <v>1176</v>
      </c>
      <c r="D330" s="119" t="s">
        <v>1177</v>
      </c>
      <c r="E330" s="50">
        <v>1</v>
      </c>
      <c r="F330" s="224">
        <v>3000</v>
      </c>
      <c r="G330" s="277">
        <f>IF(AND(ISNUMBER(E330), ISNUMBER(F330), E330&gt;0, F330&gt;0), ROUND(E330*F330, 2), IF(ISNUMBER(F330), F330, ""))</f>
        <v>3000</v>
      </c>
      <c r="H330" s="122" t="s">
        <v>386</v>
      </c>
      <c r="I330" s="113" t="s">
        <v>763</v>
      </c>
      <c r="J330" s="114" t="s">
        <v>116</v>
      </c>
    </row>
    <row r="331" spans="1:11">
      <c r="A331" s="48">
        <v>10</v>
      </c>
      <c r="B331" s="49" t="s">
        <v>635</v>
      </c>
      <c r="C331" s="55" t="s">
        <v>1178</v>
      </c>
      <c r="D331" s="55" t="s">
        <v>1179</v>
      </c>
      <c r="E331" s="50">
        <v>2</v>
      </c>
      <c r="F331" s="278">
        <v>9500</v>
      </c>
      <c r="G331" s="277">
        <v>19000</v>
      </c>
      <c r="H331" s="55" t="s">
        <v>1180</v>
      </c>
      <c r="I331" s="105" t="s">
        <v>763</v>
      </c>
    </row>
    <row r="332" spans="1:11">
      <c r="A332" s="48">
        <v>10</v>
      </c>
      <c r="B332" s="49" t="s">
        <v>635</v>
      </c>
      <c r="C332" s="55" t="s">
        <v>1181</v>
      </c>
      <c r="D332" s="55" t="s">
        <v>1182</v>
      </c>
      <c r="E332" s="50">
        <v>3</v>
      </c>
      <c r="F332" s="278">
        <v>5000</v>
      </c>
      <c r="G332" s="277">
        <v>15000</v>
      </c>
      <c r="H332" s="55" t="s">
        <v>1180</v>
      </c>
      <c r="I332" s="105" t="s">
        <v>763</v>
      </c>
    </row>
    <row r="333" spans="1:11" ht="18.95" customHeight="1">
      <c r="A333" s="57">
        <v>10</v>
      </c>
      <c r="B333" s="56" t="s">
        <v>770</v>
      </c>
      <c r="C333" s="56" t="s">
        <v>1183</v>
      </c>
      <c r="D333" s="56" t="s">
        <v>1184</v>
      </c>
      <c r="E333" s="58">
        <v>0.5</v>
      </c>
      <c r="F333" s="279">
        <v>38000</v>
      </c>
      <c r="G333" s="279">
        <v>19000</v>
      </c>
      <c r="H333" s="55" t="s">
        <v>1185</v>
      </c>
      <c r="I333" s="106" t="s">
        <v>774</v>
      </c>
      <c r="J333" s="127"/>
      <c r="K333" s="59"/>
    </row>
    <row r="334" spans="1:11" ht="18.95" customHeight="1">
      <c r="A334" s="70">
        <v>10</v>
      </c>
      <c r="B334" s="64" t="s">
        <v>762</v>
      </c>
      <c r="C334" s="64" t="s">
        <v>218</v>
      </c>
      <c r="D334" s="64" t="s">
        <v>339</v>
      </c>
      <c r="E334" s="71">
        <v>87.3</v>
      </c>
      <c r="F334" s="280">
        <v>7500</v>
      </c>
      <c r="G334" s="280">
        <v>654750</v>
      </c>
      <c r="H334" s="55" t="s">
        <v>338</v>
      </c>
      <c r="I334" s="105" t="s">
        <v>763</v>
      </c>
      <c r="J334" s="126"/>
      <c r="K334" s="72"/>
    </row>
    <row r="335" spans="1:11">
      <c r="A335" s="48">
        <v>10</v>
      </c>
      <c r="B335" s="49" t="s">
        <v>780</v>
      </c>
      <c r="C335" s="64" t="s">
        <v>850</v>
      </c>
      <c r="D335" s="64" t="s">
        <v>1186</v>
      </c>
      <c r="E335" s="50">
        <v>1</v>
      </c>
      <c r="F335" s="277">
        <v>20000</v>
      </c>
      <c r="G335" s="277">
        <v>20000</v>
      </c>
      <c r="H335" s="55" t="s">
        <v>1187</v>
      </c>
      <c r="I335" s="106" t="s">
        <v>774</v>
      </c>
    </row>
    <row r="336" spans="1:11">
      <c r="A336" s="48">
        <v>10</v>
      </c>
      <c r="B336" s="49" t="s">
        <v>762</v>
      </c>
      <c r="C336" s="91" t="s">
        <v>241</v>
      </c>
      <c r="D336" s="91" t="s">
        <v>341</v>
      </c>
      <c r="E336" s="50">
        <v>1</v>
      </c>
      <c r="F336" s="281">
        <v>18000</v>
      </c>
      <c r="G336" s="277">
        <v>18000</v>
      </c>
      <c r="H336" s="92" t="s">
        <v>340</v>
      </c>
      <c r="I336" s="106" t="s">
        <v>774</v>
      </c>
    </row>
    <row r="337" spans="1:10">
      <c r="A337" s="48">
        <v>10</v>
      </c>
      <c r="B337" s="49" t="s">
        <v>762</v>
      </c>
      <c r="C337" s="91" t="s">
        <v>342</v>
      </c>
      <c r="D337" s="91" t="s">
        <v>343</v>
      </c>
      <c r="E337" s="50">
        <v>1</v>
      </c>
      <c r="F337" s="281">
        <v>5000</v>
      </c>
      <c r="G337" s="277">
        <v>5000</v>
      </c>
      <c r="H337" s="92" t="s">
        <v>340</v>
      </c>
      <c r="I337" s="106" t="s">
        <v>774</v>
      </c>
    </row>
    <row r="338" spans="1:10">
      <c r="A338" s="48">
        <v>10</v>
      </c>
      <c r="B338" s="49" t="s">
        <v>766</v>
      </c>
      <c r="C338" s="91" t="s">
        <v>767</v>
      </c>
      <c r="D338" s="91" t="s">
        <v>1188</v>
      </c>
      <c r="E338" s="50">
        <v>20</v>
      </c>
      <c r="F338" s="281">
        <v>5000</v>
      </c>
      <c r="G338" s="277">
        <v>100000</v>
      </c>
      <c r="H338" s="92" t="s">
        <v>340</v>
      </c>
      <c r="I338" s="106" t="s">
        <v>774</v>
      </c>
    </row>
    <row r="339" spans="1:10">
      <c r="A339" s="48">
        <v>10</v>
      </c>
      <c r="B339" s="49" t="s">
        <v>766</v>
      </c>
      <c r="C339" s="91" t="s">
        <v>1189</v>
      </c>
      <c r="D339" s="91" t="s">
        <v>1190</v>
      </c>
      <c r="E339" s="50">
        <v>11</v>
      </c>
      <c r="F339" s="281">
        <v>3000</v>
      </c>
      <c r="G339" s="277">
        <v>33000</v>
      </c>
      <c r="H339" s="92" t="s">
        <v>340</v>
      </c>
      <c r="I339" s="106" t="s">
        <v>774</v>
      </c>
    </row>
    <row r="340" spans="1:10">
      <c r="A340" s="48">
        <v>10</v>
      </c>
      <c r="B340" s="49" t="s">
        <v>635</v>
      </c>
      <c r="C340" s="91" t="s">
        <v>1191</v>
      </c>
      <c r="D340" s="91" t="s">
        <v>1192</v>
      </c>
      <c r="E340" s="50">
        <v>40</v>
      </c>
      <c r="F340" s="281">
        <v>2700</v>
      </c>
      <c r="G340" s="277">
        <v>108000</v>
      </c>
      <c r="H340" s="92" t="s">
        <v>340</v>
      </c>
      <c r="I340" s="106" t="s">
        <v>774</v>
      </c>
    </row>
    <row r="341" spans="1:10">
      <c r="A341" s="48">
        <v>10</v>
      </c>
      <c r="B341" s="49" t="s">
        <v>770</v>
      </c>
      <c r="C341" s="91" t="s">
        <v>1193</v>
      </c>
      <c r="D341" s="91" t="s">
        <v>1194</v>
      </c>
      <c r="E341" s="50">
        <v>9</v>
      </c>
      <c r="F341" s="281">
        <v>3000</v>
      </c>
      <c r="G341" s="277">
        <v>27000</v>
      </c>
      <c r="H341" s="92" t="s">
        <v>340</v>
      </c>
      <c r="I341" s="106" t="s">
        <v>774</v>
      </c>
    </row>
    <row r="342" spans="1:10">
      <c r="A342" s="48">
        <v>10</v>
      </c>
      <c r="B342" s="49" t="s">
        <v>770</v>
      </c>
      <c r="C342" s="91" t="s">
        <v>1195</v>
      </c>
      <c r="D342" s="91" t="s">
        <v>1196</v>
      </c>
      <c r="E342" s="50">
        <v>5</v>
      </c>
      <c r="F342" s="281">
        <v>9000</v>
      </c>
      <c r="G342" s="277">
        <v>45000</v>
      </c>
      <c r="H342" s="92" t="s">
        <v>340</v>
      </c>
      <c r="I342" s="106" t="s">
        <v>774</v>
      </c>
    </row>
    <row r="343" spans="1:10">
      <c r="A343" s="48">
        <v>10</v>
      </c>
      <c r="B343" s="49" t="s">
        <v>780</v>
      </c>
      <c r="C343" s="91" t="s">
        <v>1197</v>
      </c>
      <c r="D343" s="91" t="s">
        <v>1198</v>
      </c>
      <c r="E343" s="50">
        <v>1</v>
      </c>
      <c r="F343" s="281">
        <v>58000</v>
      </c>
      <c r="G343" s="277">
        <v>58000</v>
      </c>
      <c r="H343" s="92" t="s">
        <v>1199</v>
      </c>
      <c r="I343" s="106" t="s">
        <v>774</v>
      </c>
      <c r="J343" s="125"/>
    </row>
    <row r="344" spans="1:10">
      <c r="A344" s="48">
        <v>10</v>
      </c>
      <c r="B344" s="49" t="s">
        <v>780</v>
      </c>
      <c r="C344" s="91" t="s">
        <v>1200</v>
      </c>
      <c r="D344" s="91" t="s">
        <v>1201</v>
      </c>
      <c r="E344" s="50">
        <v>1</v>
      </c>
      <c r="F344" s="281">
        <v>10000</v>
      </c>
      <c r="G344" s="277">
        <v>10000</v>
      </c>
      <c r="H344" s="92" t="s">
        <v>1202</v>
      </c>
      <c r="I344" s="106" t="s">
        <v>774</v>
      </c>
      <c r="J344" s="125"/>
    </row>
    <row r="345" spans="1:10">
      <c r="A345" s="48">
        <v>10</v>
      </c>
      <c r="B345" s="49" t="s">
        <v>780</v>
      </c>
      <c r="C345" s="91" t="s">
        <v>781</v>
      </c>
      <c r="D345" s="91" t="s">
        <v>1203</v>
      </c>
      <c r="E345" s="50">
        <v>1</v>
      </c>
      <c r="F345" s="281">
        <v>30000</v>
      </c>
      <c r="G345" s="277">
        <v>30000</v>
      </c>
      <c r="H345" s="92" t="s">
        <v>1204</v>
      </c>
      <c r="I345" s="105" t="s">
        <v>763</v>
      </c>
    </row>
    <row r="346" spans="1:10">
      <c r="A346" s="48">
        <v>10</v>
      </c>
      <c r="B346" s="49" t="s">
        <v>635</v>
      </c>
      <c r="C346" s="91" t="s">
        <v>651</v>
      </c>
      <c r="D346" s="91" t="s">
        <v>1205</v>
      </c>
      <c r="E346" s="50">
        <v>1</v>
      </c>
      <c r="F346" s="281">
        <v>20000</v>
      </c>
      <c r="G346" s="277">
        <v>20000</v>
      </c>
      <c r="H346" s="92" t="s">
        <v>1206</v>
      </c>
      <c r="I346" s="105" t="s">
        <v>763</v>
      </c>
    </row>
    <row r="347" spans="1:10">
      <c r="A347" s="48">
        <v>10</v>
      </c>
      <c r="B347" s="49" t="s">
        <v>780</v>
      </c>
      <c r="C347" s="91" t="s">
        <v>850</v>
      </c>
      <c r="D347" s="91" t="s">
        <v>1207</v>
      </c>
      <c r="E347" s="50">
        <v>1</v>
      </c>
      <c r="F347" s="281">
        <v>50000</v>
      </c>
      <c r="G347" s="277">
        <v>50000</v>
      </c>
      <c r="H347" s="92" t="s">
        <v>1208</v>
      </c>
      <c r="I347" s="105" t="s">
        <v>763</v>
      </c>
    </row>
    <row r="348" spans="1:10">
      <c r="A348" s="48">
        <v>10</v>
      </c>
      <c r="B348" s="49" t="s">
        <v>770</v>
      </c>
      <c r="C348" s="91" t="s">
        <v>1209</v>
      </c>
      <c r="D348" s="91" t="s">
        <v>1210</v>
      </c>
      <c r="E348" s="50">
        <v>10</v>
      </c>
      <c r="F348" s="281">
        <v>1700</v>
      </c>
      <c r="G348" s="277">
        <v>17000</v>
      </c>
      <c r="H348" s="92" t="s">
        <v>1211</v>
      </c>
      <c r="I348" s="106" t="s">
        <v>774</v>
      </c>
    </row>
    <row r="349" spans="1:10">
      <c r="A349" s="48">
        <v>10</v>
      </c>
      <c r="B349" s="49" t="s">
        <v>770</v>
      </c>
      <c r="C349" s="91" t="s">
        <v>854</v>
      </c>
      <c r="D349" s="91" t="s">
        <v>1212</v>
      </c>
      <c r="E349" s="50">
        <v>4</v>
      </c>
      <c r="F349" s="281">
        <v>22987.5</v>
      </c>
      <c r="G349" s="277">
        <v>91950</v>
      </c>
      <c r="H349" s="92" t="s">
        <v>1211</v>
      </c>
      <c r="I349" s="105" t="s">
        <v>763</v>
      </c>
    </row>
    <row r="350" spans="1:10">
      <c r="A350" s="48">
        <v>10</v>
      </c>
      <c r="B350" s="49" t="s">
        <v>780</v>
      </c>
      <c r="C350" s="225" t="s">
        <v>1109</v>
      </c>
      <c r="D350" s="225" t="s">
        <v>1109</v>
      </c>
      <c r="E350" s="50">
        <v>1</v>
      </c>
      <c r="F350" s="226">
        <v>66000</v>
      </c>
      <c r="G350" s="277">
        <f t="shared" ref="G350:G356" si="3">IF(AND(ISNUMBER(E350), ISNUMBER(F350), E350&gt;0, F350&gt;0), ROUND(E350*F350, 2), IF(ISNUMBER(F350), F350, ""))</f>
        <v>66000</v>
      </c>
      <c r="H350" s="100" t="s">
        <v>1022</v>
      </c>
      <c r="I350" s="105" t="s">
        <v>763</v>
      </c>
    </row>
    <row r="351" spans="1:10">
      <c r="A351" s="48">
        <v>10</v>
      </c>
      <c r="B351" s="49" t="s">
        <v>780</v>
      </c>
      <c r="C351" s="225" t="s">
        <v>1157</v>
      </c>
      <c r="D351" s="225" t="s">
        <v>1157</v>
      </c>
      <c r="E351" s="50">
        <v>1</v>
      </c>
      <c r="F351" s="227">
        <v>66000</v>
      </c>
      <c r="G351" s="277">
        <f t="shared" si="3"/>
        <v>66000</v>
      </c>
      <c r="H351" s="96" t="s">
        <v>1022</v>
      </c>
      <c r="I351" s="105" t="s">
        <v>763</v>
      </c>
    </row>
    <row r="352" spans="1:10">
      <c r="A352" s="48">
        <v>10</v>
      </c>
      <c r="B352" s="49" t="s">
        <v>780</v>
      </c>
      <c r="C352" s="225" t="s">
        <v>1213</v>
      </c>
      <c r="D352" s="225" t="s">
        <v>1213</v>
      </c>
      <c r="E352" s="50">
        <v>1</v>
      </c>
      <c r="F352" s="226">
        <v>70000</v>
      </c>
      <c r="G352" s="277">
        <f t="shared" si="3"/>
        <v>70000</v>
      </c>
      <c r="H352" s="100" t="s">
        <v>1022</v>
      </c>
      <c r="I352" s="105" t="s">
        <v>763</v>
      </c>
    </row>
    <row r="353" spans="1:10">
      <c r="A353" s="48">
        <v>10</v>
      </c>
      <c r="B353" s="49" t="s">
        <v>780</v>
      </c>
      <c r="C353" s="225" t="s">
        <v>1214</v>
      </c>
      <c r="D353" s="225" t="s">
        <v>1214</v>
      </c>
      <c r="E353" s="50">
        <v>1</v>
      </c>
      <c r="F353" s="227">
        <v>28000</v>
      </c>
      <c r="G353" s="277">
        <f t="shared" si="3"/>
        <v>28000</v>
      </c>
      <c r="H353" s="95" t="s">
        <v>313</v>
      </c>
      <c r="I353" s="105" t="s">
        <v>763</v>
      </c>
    </row>
    <row r="354" spans="1:10">
      <c r="A354" s="48">
        <v>10</v>
      </c>
      <c r="B354" s="49" t="s">
        <v>780</v>
      </c>
      <c r="C354" s="225" t="s">
        <v>1111</v>
      </c>
      <c r="D354" s="225" t="s">
        <v>1111</v>
      </c>
      <c r="E354" s="50">
        <v>1</v>
      </c>
      <c r="F354" s="227">
        <v>66000</v>
      </c>
      <c r="G354" s="277">
        <f t="shared" si="3"/>
        <v>66000</v>
      </c>
      <c r="H354" s="101" t="s">
        <v>313</v>
      </c>
      <c r="I354" s="105" t="s">
        <v>763</v>
      </c>
    </row>
    <row r="355" spans="1:10">
      <c r="A355" s="48">
        <v>10</v>
      </c>
      <c r="B355" s="49" t="s">
        <v>86</v>
      </c>
      <c r="C355" s="225" t="s">
        <v>569</v>
      </c>
      <c r="D355" s="225" t="s">
        <v>569</v>
      </c>
      <c r="E355" s="50">
        <v>1</v>
      </c>
      <c r="F355" s="226">
        <v>329500</v>
      </c>
      <c r="G355" s="277">
        <f t="shared" si="3"/>
        <v>329500</v>
      </c>
      <c r="H355" s="101" t="s">
        <v>313</v>
      </c>
      <c r="I355" s="105" t="s">
        <v>763</v>
      </c>
    </row>
    <row r="356" spans="1:10">
      <c r="A356" s="48">
        <v>10</v>
      </c>
      <c r="B356" s="49" t="s">
        <v>770</v>
      </c>
      <c r="C356" s="225" t="s">
        <v>1215</v>
      </c>
      <c r="D356" s="225" t="s">
        <v>1215</v>
      </c>
      <c r="E356" s="50">
        <v>1</v>
      </c>
      <c r="F356" s="227">
        <v>75350</v>
      </c>
      <c r="G356" s="277">
        <f t="shared" si="3"/>
        <v>75350</v>
      </c>
      <c r="H356" s="101" t="s">
        <v>313</v>
      </c>
      <c r="I356" s="105" t="s">
        <v>763</v>
      </c>
    </row>
    <row r="357" spans="1:10">
      <c r="A357" s="48">
        <v>10</v>
      </c>
      <c r="B357" s="49" t="s">
        <v>770</v>
      </c>
      <c r="C357" s="91" t="s">
        <v>1216</v>
      </c>
      <c r="D357" s="91" t="s">
        <v>1217</v>
      </c>
      <c r="E357" s="50">
        <v>1</v>
      </c>
      <c r="F357" s="281">
        <v>82500</v>
      </c>
      <c r="G357" s="277">
        <v>82500</v>
      </c>
      <c r="H357" s="92" t="s">
        <v>1218</v>
      </c>
      <c r="I357" s="105" t="s">
        <v>763</v>
      </c>
    </row>
    <row r="358" spans="1:10">
      <c r="A358" s="48">
        <v>10</v>
      </c>
      <c r="B358" s="49" t="s">
        <v>635</v>
      </c>
      <c r="C358" s="91" t="s">
        <v>1219</v>
      </c>
      <c r="D358" s="91" t="s">
        <v>1220</v>
      </c>
      <c r="E358" s="50">
        <v>1</v>
      </c>
      <c r="F358" s="281">
        <v>52500</v>
      </c>
      <c r="G358" s="277">
        <v>52500</v>
      </c>
      <c r="H358" s="92" t="s">
        <v>1218</v>
      </c>
      <c r="I358" s="105" t="s">
        <v>763</v>
      </c>
    </row>
    <row r="359" spans="1:10">
      <c r="A359" s="48">
        <v>10</v>
      </c>
      <c r="B359" s="49" t="s">
        <v>635</v>
      </c>
      <c r="C359" s="91" t="s">
        <v>1221</v>
      </c>
      <c r="D359" s="91" t="s">
        <v>1222</v>
      </c>
      <c r="E359" s="50">
        <v>1</v>
      </c>
      <c r="F359" s="281">
        <v>30350</v>
      </c>
      <c r="G359" s="277">
        <v>30350</v>
      </c>
      <c r="H359" s="92" t="s">
        <v>1218</v>
      </c>
      <c r="I359" s="105" t="s">
        <v>763</v>
      </c>
    </row>
    <row r="360" spans="1:10">
      <c r="A360" s="48">
        <v>10</v>
      </c>
      <c r="B360" s="49" t="s">
        <v>635</v>
      </c>
      <c r="C360" s="91" t="s">
        <v>1223</v>
      </c>
      <c r="D360" s="91" t="s">
        <v>1224</v>
      </c>
      <c r="E360" s="50">
        <v>1</v>
      </c>
      <c r="F360" s="281">
        <v>18650</v>
      </c>
      <c r="G360" s="277">
        <v>18650</v>
      </c>
      <c r="H360" s="92" t="s">
        <v>1218</v>
      </c>
      <c r="I360" s="105" t="s">
        <v>763</v>
      </c>
    </row>
    <row r="361" spans="1:10">
      <c r="A361" s="48">
        <v>10</v>
      </c>
      <c r="B361" s="49" t="s">
        <v>770</v>
      </c>
      <c r="C361" s="91" t="s">
        <v>1209</v>
      </c>
      <c r="D361" s="91" t="s">
        <v>1225</v>
      </c>
      <c r="E361" s="50">
        <v>10</v>
      </c>
      <c r="F361" s="281">
        <v>1700</v>
      </c>
      <c r="G361" s="277">
        <v>17000</v>
      </c>
      <c r="H361" s="92" t="s">
        <v>1226</v>
      </c>
      <c r="I361" s="105" t="s">
        <v>763</v>
      </c>
    </row>
    <row r="362" spans="1:10">
      <c r="A362" s="48">
        <v>10</v>
      </c>
      <c r="B362" s="49" t="s">
        <v>762</v>
      </c>
      <c r="C362" s="91" t="s">
        <v>302</v>
      </c>
      <c r="D362" s="91" t="s">
        <v>345</v>
      </c>
      <c r="E362" s="50">
        <v>1</v>
      </c>
      <c r="F362" s="281">
        <v>8950</v>
      </c>
      <c r="G362" s="277">
        <v>8950</v>
      </c>
      <c r="H362" s="92" t="s">
        <v>344</v>
      </c>
      <c r="I362" s="105" t="s">
        <v>763</v>
      </c>
    </row>
    <row r="363" spans="1:10">
      <c r="A363" s="48">
        <v>10</v>
      </c>
      <c r="B363" s="49" t="s">
        <v>770</v>
      </c>
      <c r="C363" s="91" t="s">
        <v>1227</v>
      </c>
      <c r="D363" s="91" t="s">
        <v>1228</v>
      </c>
      <c r="E363" s="50">
        <v>16</v>
      </c>
      <c r="F363" s="281">
        <v>4150</v>
      </c>
      <c r="G363" s="277">
        <v>66400</v>
      </c>
      <c r="H363" s="92" t="s">
        <v>344</v>
      </c>
      <c r="I363" s="105" t="s">
        <v>763</v>
      </c>
    </row>
    <row r="364" spans="1:10">
      <c r="A364" s="48">
        <v>10</v>
      </c>
      <c r="B364" s="49" t="s">
        <v>762</v>
      </c>
      <c r="C364" s="91" t="s">
        <v>249</v>
      </c>
      <c r="D364" s="91" t="s">
        <v>347</v>
      </c>
      <c r="E364" s="50">
        <v>16.149999999999999</v>
      </c>
      <c r="F364" s="281">
        <v>18500</v>
      </c>
      <c r="G364" s="277">
        <v>298775</v>
      </c>
      <c r="H364" s="92" t="s">
        <v>346</v>
      </c>
      <c r="I364" s="105" t="s">
        <v>763</v>
      </c>
    </row>
    <row r="365" spans="1:10">
      <c r="A365" s="48">
        <v>10</v>
      </c>
      <c r="B365" s="49" t="s">
        <v>762</v>
      </c>
      <c r="C365" s="91" t="s">
        <v>234</v>
      </c>
      <c r="D365" s="91" t="s">
        <v>348</v>
      </c>
      <c r="E365" s="50">
        <v>4.9050000000000002</v>
      </c>
      <c r="F365" s="281">
        <v>54000</v>
      </c>
      <c r="G365" s="277">
        <v>264870</v>
      </c>
      <c r="H365" s="92" t="s">
        <v>346</v>
      </c>
      <c r="I365" s="105" t="s">
        <v>763</v>
      </c>
    </row>
    <row r="366" spans="1:10">
      <c r="A366" s="48">
        <v>10</v>
      </c>
      <c r="B366" s="49" t="s">
        <v>766</v>
      </c>
      <c r="C366" s="91" t="s">
        <v>1229</v>
      </c>
      <c r="D366" s="91" t="s">
        <v>1230</v>
      </c>
      <c r="E366" s="50">
        <v>6</v>
      </c>
      <c r="F366" s="281">
        <v>12500</v>
      </c>
      <c r="G366" s="277">
        <v>75000</v>
      </c>
      <c r="H366" s="92" t="s">
        <v>1231</v>
      </c>
      <c r="I366" s="105" t="s">
        <v>763</v>
      </c>
    </row>
    <row r="367" spans="1:10">
      <c r="A367" s="48">
        <v>10</v>
      </c>
      <c r="B367" s="49" t="s">
        <v>86</v>
      </c>
      <c r="C367" s="120" t="s">
        <v>571</v>
      </c>
      <c r="D367" s="120" t="s">
        <v>572</v>
      </c>
      <c r="E367" s="50">
        <v>1</v>
      </c>
      <c r="F367" s="227">
        <v>10504</v>
      </c>
      <c r="G367" s="277">
        <f>IF(AND(ISNUMBER(E367), ISNUMBER(F367), E367&gt;0, F367&gt;0), ROUND(E367*F367, 2), IF(ISNUMBER(F367), F367, ""))</f>
        <v>10504</v>
      </c>
      <c r="H367" s="124" t="s">
        <v>570</v>
      </c>
      <c r="I367" s="113" t="s">
        <v>763</v>
      </c>
      <c r="J367" s="114" t="s">
        <v>119</v>
      </c>
    </row>
    <row r="368" spans="1:10">
      <c r="A368" s="48">
        <v>10</v>
      </c>
      <c r="B368" s="49" t="s">
        <v>86</v>
      </c>
      <c r="C368" s="120" t="s">
        <v>574</v>
      </c>
      <c r="D368" s="120" t="s">
        <v>575</v>
      </c>
      <c r="E368" s="50">
        <v>1</v>
      </c>
      <c r="F368" s="227">
        <v>12000</v>
      </c>
      <c r="G368" s="277">
        <f>IF(AND(ISNUMBER(E368), ISNUMBER(F368), E368&gt;0, F368&gt;0), ROUND(E368*F368, 2), IF(ISNUMBER(F368), F368, ""))</f>
        <v>12000</v>
      </c>
      <c r="H368" s="124" t="s">
        <v>573</v>
      </c>
      <c r="I368" s="113" t="s">
        <v>763</v>
      </c>
      <c r="J368" s="114" t="s">
        <v>119</v>
      </c>
    </row>
    <row r="369" spans="1:10">
      <c r="A369" s="48">
        <v>10</v>
      </c>
      <c r="B369" s="49" t="s">
        <v>86</v>
      </c>
      <c r="C369" s="120" t="s">
        <v>577</v>
      </c>
      <c r="D369" s="120" t="s">
        <v>578</v>
      </c>
      <c r="E369" s="50">
        <v>1</v>
      </c>
      <c r="F369" s="227">
        <v>33782</v>
      </c>
      <c r="G369" s="277">
        <f>IF(AND(ISNUMBER(E369), ISNUMBER(F369), E369&gt;0, F369&gt;0), ROUND(E369*F369, 2), IF(ISNUMBER(F369), F369, ""))</f>
        <v>33782</v>
      </c>
      <c r="H369" s="124" t="s">
        <v>576</v>
      </c>
      <c r="I369" s="113" t="s">
        <v>763</v>
      </c>
      <c r="J369" s="114" t="s">
        <v>119</v>
      </c>
    </row>
    <row r="370" spans="1:10">
      <c r="A370" s="48">
        <v>10</v>
      </c>
      <c r="B370" s="49" t="s">
        <v>86</v>
      </c>
      <c r="C370" s="120" t="s">
        <v>580</v>
      </c>
      <c r="D370" s="120" t="s">
        <v>581</v>
      </c>
      <c r="E370" s="50">
        <v>1</v>
      </c>
      <c r="F370" s="227">
        <v>37815</v>
      </c>
      <c r="G370" s="277">
        <f>IF(AND(ISNUMBER(E370), ISNUMBER(F370), E370&gt;0, F370&gt;0), ROUND(E370*F370, 2), IF(ISNUMBER(F370), F370, ""))</f>
        <v>37815</v>
      </c>
      <c r="H370" s="124" t="s">
        <v>579</v>
      </c>
      <c r="I370" s="113" t="s">
        <v>763</v>
      </c>
      <c r="J370" s="114" t="s">
        <v>119</v>
      </c>
    </row>
    <row r="371" spans="1:10">
      <c r="A371" s="48">
        <v>11</v>
      </c>
      <c r="B371" s="49" t="s">
        <v>780</v>
      </c>
      <c r="C371" s="91" t="s">
        <v>1232</v>
      </c>
      <c r="D371" s="91" t="s">
        <v>1233</v>
      </c>
      <c r="E371" s="50">
        <v>1</v>
      </c>
      <c r="F371" s="281">
        <v>5241000</v>
      </c>
      <c r="G371" s="277">
        <v>5241000</v>
      </c>
      <c r="H371" s="92" t="s">
        <v>1234</v>
      </c>
      <c r="I371" s="106" t="s">
        <v>774</v>
      </c>
    </row>
    <row r="372" spans="1:10">
      <c r="A372" s="48">
        <v>11</v>
      </c>
      <c r="B372" s="49" t="s">
        <v>780</v>
      </c>
      <c r="C372" s="91" t="s">
        <v>1235</v>
      </c>
      <c r="D372" s="91" t="s">
        <v>1236</v>
      </c>
      <c r="E372" s="50">
        <v>1</v>
      </c>
      <c r="F372" s="281">
        <v>72000</v>
      </c>
      <c r="G372" s="277">
        <v>72000</v>
      </c>
      <c r="H372" s="92" t="s">
        <v>1237</v>
      </c>
      <c r="I372" s="106" t="s">
        <v>774</v>
      </c>
    </row>
    <row r="373" spans="1:10">
      <c r="A373" s="48">
        <v>11</v>
      </c>
      <c r="B373" s="49" t="s">
        <v>780</v>
      </c>
      <c r="C373" s="91" t="s">
        <v>1238</v>
      </c>
      <c r="D373" s="91" t="s">
        <v>1239</v>
      </c>
      <c r="E373" s="50">
        <v>1</v>
      </c>
      <c r="F373" s="281">
        <v>1149000</v>
      </c>
      <c r="G373" s="277">
        <f t="shared" ref="G373:G404" si="4">IF(AND(ISNUMBER(E373), ISNUMBER(F373), E373&gt;0, F373&gt;0), ROUND(E373*F373, 2), IF(ISNUMBER(F373), F373, ""))</f>
        <v>1149000</v>
      </c>
      <c r="H373" s="92" t="s">
        <v>1240</v>
      </c>
      <c r="I373" s="106" t="s">
        <v>774</v>
      </c>
    </row>
    <row r="374" spans="1:10">
      <c r="A374" s="48">
        <v>11</v>
      </c>
      <c r="B374" s="49" t="s">
        <v>780</v>
      </c>
      <c r="C374" s="91" t="s">
        <v>1241</v>
      </c>
      <c r="D374" s="91" t="s">
        <v>1241</v>
      </c>
      <c r="E374" s="50">
        <v>1</v>
      </c>
      <c r="F374" s="281">
        <v>1200000</v>
      </c>
      <c r="G374" s="277">
        <f t="shared" si="4"/>
        <v>1200000</v>
      </c>
      <c r="H374" s="99" t="s">
        <v>353</v>
      </c>
      <c r="I374" s="106" t="s">
        <v>774</v>
      </c>
    </row>
    <row r="375" spans="1:10">
      <c r="A375" s="48">
        <v>11</v>
      </c>
      <c r="B375" s="49" t="s">
        <v>780</v>
      </c>
      <c r="C375" s="91" t="s">
        <v>1242</v>
      </c>
      <c r="D375" s="91" t="s">
        <v>1242</v>
      </c>
      <c r="E375" s="50">
        <v>1</v>
      </c>
      <c r="F375" s="281">
        <v>432000</v>
      </c>
      <c r="G375" s="277">
        <f t="shared" si="4"/>
        <v>432000</v>
      </c>
      <c r="H375" s="99" t="s">
        <v>353</v>
      </c>
      <c r="I375" s="106" t="s">
        <v>774</v>
      </c>
    </row>
    <row r="376" spans="1:10">
      <c r="A376" s="48">
        <v>11</v>
      </c>
      <c r="B376" s="49" t="s">
        <v>780</v>
      </c>
      <c r="C376" s="91" t="s">
        <v>1243</v>
      </c>
      <c r="D376" s="91" t="s">
        <v>1243</v>
      </c>
      <c r="E376" s="50">
        <v>1</v>
      </c>
      <c r="F376" s="281">
        <v>19944200</v>
      </c>
      <c r="G376" s="277">
        <f t="shared" si="4"/>
        <v>19944200</v>
      </c>
      <c r="H376" s="99" t="s">
        <v>353</v>
      </c>
      <c r="I376" s="106" t="s">
        <v>774</v>
      </c>
    </row>
    <row r="377" spans="1:10">
      <c r="A377" s="48">
        <v>11</v>
      </c>
      <c r="B377" s="49" t="s">
        <v>780</v>
      </c>
      <c r="C377" s="91" t="s">
        <v>1244</v>
      </c>
      <c r="D377" s="91" t="s">
        <v>1244</v>
      </c>
      <c r="E377" s="50">
        <v>1</v>
      </c>
      <c r="F377" s="281">
        <v>16523800</v>
      </c>
      <c r="G377" s="277">
        <f t="shared" si="4"/>
        <v>16523800</v>
      </c>
      <c r="H377" s="99" t="s">
        <v>353</v>
      </c>
      <c r="I377" s="106" t="s">
        <v>774</v>
      </c>
    </row>
    <row r="378" spans="1:10">
      <c r="A378" s="48">
        <v>11</v>
      </c>
      <c r="B378" s="49" t="s">
        <v>780</v>
      </c>
      <c r="C378" s="91" t="s">
        <v>1245</v>
      </c>
      <c r="D378" s="91" t="s">
        <v>1245</v>
      </c>
      <c r="E378" s="50">
        <v>1</v>
      </c>
      <c r="F378" s="281">
        <v>200000</v>
      </c>
      <c r="G378" s="277">
        <f t="shared" si="4"/>
        <v>200000</v>
      </c>
      <c r="H378" s="99" t="s">
        <v>353</v>
      </c>
      <c r="I378" s="106" t="s">
        <v>774</v>
      </c>
    </row>
    <row r="379" spans="1:10">
      <c r="A379" s="48">
        <v>11</v>
      </c>
      <c r="B379" s="49" t="s">
        <v>780</v>
      </c>
      <c r="C379" s="91" t="s">
        <v>1246</v>
      </c>
      <c r="D379" s="91" t="s">
        <v>1246</v>
      </c>
      <c r="E379" s="50">
        <v>1</v>
      </c>
      <c r="F379" s="281">
        <v>15000</v>
      </c>
      <c r="G379" s="277">
        <f t="shared" si="4"/>
        <v>15000</v>
      </c>
      <c r="H379" s="99" t="s">
        <v>353</v>
      </c>
      <c r="I379" s="106" t="s">
        <v>774</v>
      </c>
    </row>
    <row r="380" spans="1:10">
      <c r="A380" s="48">
        <v>11</v>
      </c>
      <c r="B380" s="49" t="s">
        <v>762</v>
      </c>
      <c r="C380" s="91" t="s">
        <v>354</v>
      </c>
      <c r="D380" s="91" t="s">
        <v>354</v>
      </c>
      <c r="E380" s="50">
        <v>1</v>
      </c>
      <c r="F380" s="281">
        <v>364000</v>
      </c>
      <c r="G380" s="277">
        <f t="shared" si="4"/>
        <v>364000</v>
      </c>
      <c r="H380" s="99" t="s">
        <v>353</v>
      </c>
      <c r="I380" s="106" t="s">
        <v>774</v>
      </c>
    </row>
    <row r="381" spans="1:10">
      <c r="A381" s="48">
        <v>11</v>
      </c>
      <c r="B381" s="49" t="s">
        <v>762</v>
      </c>
      <c r="C381" s="91" t="s">
        <v>354</v>
      </c>
      <c r="D381" s="91" t="s">
        <v>354</v>
      </c>
      <c r="E381" s="50">
        <v>1</v>
      </c>
      <c r="F381" s="281">
        <v>364000</v>
      </c>
      <c r="G381" s="277">
        <f t="shared" si="4"/>
        <v>364000</v>
      </c>
      <c r="H381" s="99" t="s">
        <v>353</v>
      </c>
      <c r="I381" s="106" t="s">
        <v>774</v>
      </c>
    </row>
    <row r="382" spans="1:10">
      <c r="A382" s="48">
        <v>11</v>
      </c>
      <c r="B382" s="49" t="s">
        <v>762</v>
      </c>
      <c r="C382" s="91" t="s">
        <v>355</v>
      </c>
      <c r="D382" s="91" t="s">
        <v>355</v>
      </c>
      <c r="E382" s="50">
        <v>1</v>
      </c>
      <c r="F382" s="281">
        <v>1124100</v>
      </c>
      <c r="G382" s="277">
        <f t="shared" si="4"/>
        <v>1124100</v>
      </c>
      <c r="H382" s="99" t="s">
        <v>353</v>
      </c>
      <c r="I382" s="106" t="s">
        <v>774</v>
      </c>
    </row>
    <row r="383" spans="1:10">
      <c r="A383" s="48">
        <v>11</v>
      </c>
      <c r="B383" s="49" t="s">
        <v>762</v>
      </c>
      <c r="C383" s="49" t="s">
        <v>354</v>
      </c>
      <c r="D383" s="49" t="s">
        <v>356</v>
      </c>
      <c r="E383" s="50">
        <v>2</v>
      </c>
      <c r="F383" s="277">
        <v>364000</v>
      </c>
      <c r="G383" s="277">
        <f t="shared" si="4"/>
        <v>728000</v>
      </c>
      <c r="H383" s="123" t="s">
        <v>353</v>
      </c>
      <c r="I383" s="106" t="s">
        <v>774</v>
      </c>
    </row>
    <row r="384" spans="1:10">
      <c r="A384" s="48">
        <v>11</v>
      </c>
      <c r="B384" s="49" t="s">
        <v>766</v>
      </c>
      <c r="C384" s="49" t="s">
        <v>1247</v>
      </c>
      <c r="D384" s="49" t="s">
        <v>1247</v>
      </c>
      <c r="E384" s="50">
        <v>1</v>
      </c>
      <c r="F384" s="277">
        <v>2288950</v>
      </c>
      <c r="G384" s="277">
        <f t="shared" si="4"/>
        <v>2288950</v>
      </c>
      <c r="H384" s="123" t="s">
        <v>353</v>
      </c>
      <c r="I384" s="106" t="s">
        <v>774</v>
      </c>
    </row>
    <row r="385" spans="1:10">
      <c r="A385" s="48">
        <v>11</v>
      </c>
      <c r="B385" s="49" t="s">
        <v>770</v>
      </c>
      <c r="C385" s="49" t="s">
        <v>1248</v>
      </c>
      <c r="D385" s="49" t="s">
        <v>1248</v>
      </c>
      <c r="E385" s="50">
        <v>1</v>
      </c>
      <c r="F385" s="277">
        <v>1076000</v>
      </c>
      <c r="G385" s="277">
        <f t="shared" si="4"/>
        <v>1076000</v>
      </c>
      <c r="H385" s="123" t="s">
        <v>353</v>
      </c>
      <c r="I385" s="106" t="s">
        <v>774</v>
      </c>
    </row>
    <row r="386" spans="1:10">
      <c r="A386" s="48">
        <v>11</v>
      </c>
      <c r="B386" s="49" t="s">
        <v>766</v>
      </c>
      <c r="C386" s="49" t="s">
        <v>767</v>
      </c>
      <c r="D386" s="49" t="s">
        <v>1249</v>
      </c>
      <c r="E386" s="50">
        <v>1</v>
      </c>
      <c r="F386" s="277">
        <v>200000</v>
      </c>
      <c r="G386" s="277">
        <f t="shared" si="4"/>
        <v>200000</v>
      </c>
      <c r="H386" s="123" t="s">
        <v>353</v>
      </c>
      <c r="I386" s="106" t="s">
        <v>774</v>
      </c>
    </row>
    <row r="387" spans="1:10">
      <c r="A387" s="48">
        <v>11</v>
      </c>
      <c r="B387" s="49" t="s">
        <v>780</v>
      </c>
      <c r="C387" s="221" t="s">
        <v>1250</v>
      </c>
      <c r="D387" s="221" t="s">
        <v>1250</v>
      </c>
      <c r="E387" s="50">
        <v>1</v>
      </c>
      <c r="F387" s="223">
        <v>66000</v>
      </c>
      <c r="G387" s="277">
        <f t="shared" si="4"/>
        <v>66000</v>
      </c>
      <c r="H387" s="100" t="s">
        <v>1022</v>
      </c>
      <c r="I387" s="105" t="s">
        <v>763</v>
      </c>
    </row>
    <row r="388" spans="1:10">
      <c r="A388" s="48">
        <v>11</v>
      </c>
      <c r="B388" s="49" t="s">
        <v>780</v>
      </c>
      <c r="C388" s="221" t="s">
        <v>1251</v>
      </c>
      <c r="D388" s="221" t="s">
        <v>1251</v>
      </c>
      <c r="E388" s="50">
        <v>1</v>
      </c>
      <c r="F388" s="222">
        <v>66000</v>
      </c>
      <c r="G388" s="277">
        <f t="shared" si="4"/>
        <v>66000</v>
      </c>
      <c r="H388" s="100" t="s">
        <v>1022</v>
      </c>
      <c r="I388" s="105" t="s">
        <v>763</v>
      </c>
    </row>
    <row r="389" spans="1:10">
      <c r="A389" s="48">
        <v>11</v>
      </c>
      <c r="B389" s="49" t="s">
        <v>780</v>
      </c>
      <c r="C389" s="221" t="s">
        <v>1252</v>
      </c>
      <c r="D389" s="221" t="s">
        <v>1252</v>
      </c>
      <c r="E389" s="50">
        <v>1</v>
      </c>
      <c r="F389" s="223">
        <v>66000</v>
      </c>
      <c r="G389" s="277">
        <f t="shared" si="4"/>
        <v>66000</v>
      </c>
      <c r="H389" s="100" t="s">
        <v>1022</v>
      </c>
      <c r="I389" s="105" t="s">
        <v>763</v>
      </c>
    </row>
    <row r="390" spans="1:10">
      <c r="A390" s="48">
        <v>11</v>
      </c>
      <c r="B390" s="49" t="s">
        <v>762</v>
      </c>
      <c r="C390" s="221" t="s">
        <v>357</v>
      </c>
      <c r="D390" s="221" t="s">
        <v>357</v>
      </c>
      <c r="E390" s="50">
        <v>1</v>
      </c>
      <c r="F390" s="222">
        <v>377500</v>
      </c>
      <c r="G390" s="277">
        <f t="shared" si="4"/>
        <v>377500</v>
      </c>
      <c r="H390" s="95" t="s">
        <v>313</v>
      </c>
      <c r="I390" s="105" t="s">
        <v>763</v>
      </c>
    </row>
    <row r="391" spans="1:10">
      <c r="A391" s="48">
        <v>11</v>
      </c>
      <c r="B391" s="49" t="s">
        <v>780</v>
      </c>
      <c r="C391" s="221" t="s">
        <v>1253</v>
      </c>
      <c r="D391" s="221" t="s">
        <v>1253</v>
      </c>
      <c r="E391" s="50">
        <v>1</v>
      </c>
      <c r="F391" s="223">
        <v>30000</v>
      </c>
      <c r="G391" s="277">
        <f t="shared" si="4"/>
        <v>30000</v>
      </c>
      <c r="H391" s="95" t="s">
        <v>313</v>
      </c>
      <c r="I391" s="105" t="s">
        <v>763</v>
      </c>
    </row>
    <row r="392" spans="1:10">
      <c r="A392" s="48">
        <v>11</v>
      </c>
      <c r="B392" s="49" t="s">
        <v>780</v>
      </c>
      <c r="C392" s="221" t="s">
        <v>1254</v>
      </c>
      <c r="D392" s="221" t="s">
        <v>1254</v>
      </c>
      <c r="E392" s="50">
        <v>1</v>
      </c>
      <c r="F392" s="222">
        <v>300000</v>
      </c>
      <c r="G392" s="277">
        <f t="shared" si="4"/>
        <v>300000</v>
      </c>
      <c r="H392" s="95" t="s">
        <v>313</v>
      </c>
      <c r="I392" s="105" t="s">
        <v>763</v>
      </c>
    </row>
    <row r="393" spans="1:10">
      <c r="A393" s="48">
        <v>11</v>
      </c>
      <c r="B393" s="49" t="s">
        <v>780</v>
      </c>
      <c r="C393" s="221" t="s">
        <v>1255</v>
      </c>
      <c r="D393" s="221" t="s">
        <v>1255</v>
      </c>
      <c r="E393" s="50">
        <v>1</v>
      </c>
      <c r="F393" s="223">
        <v>85000</v>
      </c>
      <c r="G393" s="277">
        <f t="shared" si="4"/>
        <v>85000</v>
      </c>
      <c r="H393" s="95" t="s">
        <v>313</v>
      </c>
      <c r="I393" s="105" t="s">
        <v>763</v>
      </c>
    </row>
    <row r="394" spans="1:10">
      <c r="A394" s="48">
        <v>11</v>
      </c>
      <c r="B394" s="49" t="s">
        <v>635</v>
      </c>
      <c r="C394" s="221" t="s">
        <v>1256</v>
      </c>
      <c r="D394" s="221" t="s">
        <v>1256</v>
      </c>
      <c r="E394" s="50">
        <v>1</v>
      </c>
      <c r="F394" s="222">
        <v>29000</v>
      </c>
      <c r="G394" s="277">
        <f t="shared" si="4"/>
        <v>29000</v>
      </c>
      <c r="H394" s="95" t="s">
        <v>313</v>
      </c>
      <c r="I394" s="105" t="s">
        <v>763</v>
      </c>
    </row>
    <row r="395" spans="1:10">
      <c r="A395" s="48">
        <v>11</v>
      </c>
      <c r="B395" s="49" t="s">
        <v>766</v>
      </c>
      <c r="C395" s="221" t="s">
        <v>1257</v>
      </c>
      <c r="D395" s="221" t="s">
        <v>1257</v>
      </c>
      <c r="E395" s="50">
        <v>1</v>
      </c>
      <c r="F395" s="222">
        <v>77300</v>
      </c>
      <c r="G395" s="277">
        <f t="shared" si="4"/>
        <v>77300</v>
      </c>
      <c r="H395" s="95" t="s">
        <v>313</v>
      </c>
      <c r="I395" s="105" t="s">
        <v>763</v>
      </c>
    </row>
    <row r="396" spans="1:10">
      <c r="A396" s="48">
        <v>11</v>
      </c>
      <c r="B396" s="49" t="s">
        <v>766</v>
      </c>
      <c r="C396" s="221" t="s">
        <v>1258</v>
      </c>
      <c r="D396" s="221" t="s">
        <v>1258</v>
      </c>
      <c r="E396" s="50">
        <v>1</v>
      </c>
      <c r="F396" s="223">
        <v>46500</v>
      </c>
      <c r="G396" s="277">
        <f t="shared" si="4"/>
        <v>46500</v>
      </c>
      <c r="H396" s="95" t="s">
        <v>313</v>
      </c>
      <c r="I396" s="105" t="s">
        <v>763</v>
      </c>
    </row>
    <row r="397" spans="1:10">
      <c r="A397" s="48">
        <v>11</v>
      </c>
      <c r="B397" s="49" t="s">
        <v>1259</v>
      </c>
      <c r="C397" s="111" t="s">
        <v>1260</v>
      </c>
      <c r="D397" s="111" t="s">
        <v>1261</v>
      </c>
      <c r="E397" s="50">
        <v>1</v>
      </c>
      <c r="F397" s="223">
        <v>900000</v>
      </c>
      <c r="G397" s="277">
        <f t="shared" si="4"/>
        <v>900000</v>
      </c>
      <c r="H397" s="112" t="s">
        <v>1262</v>
      </c>
      <c r="I397" s="113" t="s">
        <v>763</v>
      </c>
      <c r="J397" s="114" t="s">
        <v>116</v>
      </c>
    </row>
    <row r="398" spans="1:10">
      <c r="A398" s="48">
        <v>11</v>
      </c>
      <c r="B398" s="49" t="s">
        <v>1033</v>
      </c>
      <c r="C398" s="111" t="s">
        <v>771</v>
      </c>
      <c r="D398" s="111" t="s">
        <v>771</v>
      </c>
      <c r="E398" s="50">
        <v>200</v>
      </c>
      <c r="F398" s="223">
        <v>150</v>
      </c>
      <c r="G398" s="277">
        <f t="shared" si="4"/>
        <v>30000</v>
      </c>
      <c r="H398" s="112" t="s">
        <v>386</v>
      </c>
      <c r="I398" s="113" t="s">
        <v>763</v>
      </c>
      <c r="J398" s="114" t="s">
        <v>116</v>
      </c>
    </row>
    <row r="399" spans="1:10">
      <c r="A399" s="48">
        <v>11</v>
      </c>
      <c r="B399" s="49" t="s">
        <v>1033</v>
      </c>
      <c r="C399" s="111" t="s">
        <v>1263</v>
      </c>
      <c r="D399" s="111" t="s">
        <v>1264</v>
      </c>
      <c r="E399" s="50">
        <v>2</v>
      </c>
      <c r="F399" s="223">
        <v>9500</v>
      </c>
      <c r="G399" s="277">
        <f t="shared" si="4"/>
        <v>19000</v>
      </c>
      <c r="H399" s="112" t="s">
        <v>1265</v>
      </c>
      <c r="I399" s="113" t="s">
        <v>763</v>
      </c>
      <c r="J399" s="114" t="s">
        <v>116</v>
      </c>
    </row>
    <row r="400" spans="1:10">
      <c r="A400" s="48">
        <v>11</v>
      </c>
      <c r="B400" s="49" t="s">
        <v>1033</v>
      </c>
      <c r="C400" s="111" t="s">
        <v>1266</v>
      </c>
      <c r="D400" s="111" t="s">
        <v>1267</v>
      </c>
      <c r="E400" s="50">
        <v>2</v>
      </c>
      <c r="F400" s="223">
        <v>5000</v>
      </c>
      <c r="G400" s="277">
        <f t="shared" si="4"/>
        <v>10000</v>
      </c>
      <c r="H400" s="112" t="s">
        <v>1265</v>
      </c>
      <c r="I400" s="113" t="s">
        <v>763</v>
      </c>
      <c r="J400" s="114" t="s">
        <v>116</v>
      </c>
    </row>
    <row r="401" spans="1:10">
      <c r="A401" s="48">
        <v>11</v>
      </c>
      <c r="B401" s="49" t="s">
        <v>1259</v>
      </c>
      <c r="C401" s="111" t="s">
        <v>1268</v>
      </c>
      <c r="D401" s="111" t="s">
        <v>1268</v>
      </c>
      <c r="E401" s="50">
        <v>1</v>
      </c>
      <c r="F401" s="223">
        <v>30000</v>
      </c>
      <c r="G401" s="277">
        <f t="shared" si="4"/>
        <v>30000</v>
      </c>
      <c r="H401" s="112" t="s">
        <v>386</v>
      </c>
      <c r="I401" s="113" t="s">
        <v>763</v>
      </c>
      <c r="J401" s="114" t="s">
        <v>116</v>
      </c>
    </row>
    <row r="402" spans="1:10">
      <c r="A402" s="48">
        <v>11</v>
      </c>
      <c r="B402" s="49" t="s">
        <v>1126</v>
      </c>
      <c r="C402" s="111" t="s">
        <v>1269</v>
      </c>
      <c r="D402" s="111" t="s">
        <v>1270</v>
      </c>
      <c r="E402" s="50">
        <v>1</v>
      </c>
      <c r="F402" s="223">
        <v>85000</v>
      </c>
      <c r="G402" s="277">
        <f t="shared" si="4"/>
        <v>85000</v>
      </c>
      <c r="H402" s="112" t="s">
        <v>386</v>
      </c>
      <c r="I402" s="113" t="s">
        <v>763</v>
      </c>
      <c r="J402" s="114" t="s">
        <v>116</v>
      </c>
    </row>
    <row r="403" spans="1:10">
      <c r="A403" s="48">
        <v>11</v>
      </c>
      <c r="B403" s="49" t="s">
        <v>1171</v>
      </c>
      <c r="C403" s="111" t="s">
        <v>1271</v>
      </c>
      <c r="D403" s="111" t="s">
        <v>1272</v>
      </c>
      <c r="E403" s="50">
        <v>1</v>
      </c>
      <c r="F403" s="223">
        <v>25750</v>
      </c>
      <c r="G403" s="277">
        <f t="shared" si="4"/>
        <v>25750</v>
      </c>
      <c r="H403" s="112" t="s">
        <v>358</v>
      </c>
      <c r="I403" s="113" t="s">
        <v>763</v>
      </c>
      <c r="J403" s="114" t="s">
        <v>116</v>
      </c>
    </row>
    <row r="404" spans="1:10">
      <c r="A404" s="48">
        <v>11</v>
      </c>
      <c r="B404" s="49" t="s">
        <v>1171</v>
      </c>
      <c r="C404" s="111" t="s">
        <v>1271</v>
      </c>
      <c r="D404" s="111" t="s">
        <v>1273</v>
      </c>
      <c r="E404" s="50">
        <v>1</v>
      </c>
      <c r="F404" s="223">
        <v>25750</v>
      </c>
      <c r="G404" s="277">
        <f t="shared" si="4"/>
        <v>25750</v>
      </c>
      <c r="H404" s="112" t="s">
        <v>358</v>
      </c>
      <c r="I404" s="113" t="s">
        <v>763</v>
      </c>
      <c r="J404" s="114" t="s">
        <v>116</v>
      </c>
    </row>
    <row r="405" spans="1:10">
      <c r="A405" s="48">
        <v>11</v>
      </c>
      <c r="B405" s="49" t="s">
        <v>1033</v>
      </c>
      <c r="C405" s="111" t="s">
        <v>1274</v>
      </c>
      <c r="D405" s="111" t="s">
        <v>1275</v>
      </c>
      <c r="E405" s="50">
        <v>1</v>
      </c>
      <c r="F405" s="223">
        <v>300</v>
      </c>
      <c r="G405" s="277">
        <f t="shared" ref="G405:G436" si="5">IF(AND(ISNUMBER(E405), ISNUMBER(F405), E405&gt;0, F405&gt;0), ROUND(E405*F405, 2), IF(ISNUMBER(F405), F405, ""))</f>
        <v>300</v>
      </c>
      <c r="H405" s="112" t="s">
        <v>358</v>
      </c>
      <c r="I405" s="113" t="s">
        <v>763</v>
      </c>
      <c r="J405" s="114" t="s">
        <v>116</v>
      </c>
    </row>
    <row r="406" spans="1:10">
      <c r="A406" s="48">
        <v>11</v>
      </c>
      <c r="B406" s="49" t="s">
        <v>762</v>
      </c>
      <c r="C406" s="111" t="s">
        <v>359</v>
      </c>
      <c r="D406" s="111" t="s">
        <v>360</v>
      </c>
      <c r="E406" s="50">
        <v>1</v>
      </c>
      <c r="F406" s="223">
        <v>12750</v>
      </c>
      <c r="G406" s="277">
        <f t="shared" si="5"/>
        <v>12750</v>
      </c>
      <c r="H406" s="112" t="s">
        <v>358</v>
      </c>
      <c r="I406" s="113" t="s">
        <v>763</v>
      </c>
      <c r="J406" s="114" t="s">
        <v>116</v>
      </c>
    </row>
    <row r="407" spans="1:10">
      <c r="A407" s="48">
        <v>11</v>
      </c>
      <c r="B407" s="49" t="s">
        <v>762</v>
      </c>
      <c r="C407" s="111" t="s">
        <v>359</v>
      </c>
      <c r="D407" s="111" t="s">
        <v>361</v>
      </c>
      <c r="E407" s="50">
        <v>1</v>
      </c>
      <c r="F407" s="223">
        <v>12750</v>
      </c>
      <c r="G407" s="277">
        <f t="shared" si="5"/>
        <v>12750</v>
      </c>
      <c r="H407" s="112" t="s">
        <v>358</v>
      </c>
      <c r="I407" s="113" t="s">
        <v>763</v>
      </c>
      <c r="J407" s="114" t="s">
        <v>116</v>
      </c>
    </row>
    <row r="408" spans="1:10">
      <c r="A408" s="48">
        <v>11</v>
      </c>
      <c r="B408" s="49" t="s">
        <v>1171</v>
      </c>
      <c r="C408" s="111" t="s">
        <v>1271</v>
      </c>
      <c r="D408" s="111" t="s">
        <v>1272</v>
      </c>
      <c r="E408" s="50">
        <v>1</v>
      </c>
      <c r="F408" s="223">
        <v>25750</v>
      </c>
      <c r="G408" s="277">
        <f t="shared" si="5"/>
        <v>25750</v>
      </c>
      <c r="H408" s="112" t="s">
        <v>1276</v>
      </c>
      <c r="I408" s="113" t="s">
        <v>763</v>
      </c>
      <c r="J408" s="114" t="s">
        <v>116</v>
      </c>
    </row>
    <row r="409" spans="1:10">
      <c r="A409" s="48">
        <v>11</v>
      </c>
      <c r="B409" s="49" t="s">
        <v>1171</v>
      </c>
      <c r="C409" s="111" t="s">
        <v>1277</v>
      </c>
      <c r="D409" s="111" t="s">
        <v>1278</v>
      </c>
      <c r="E409" s="50">
        <v>1</v>
      </c>
      <c r="F409" s="223">
        <v>4150</v>
      </c>
      <c r="G409" s="277">
        <f t="shared" si="5"/>
        <v>4150</v>
      </c>
      <c r="H409" s="112" t="s">
        <v>1276</v>
      </c>
      <c r="I409" s="113" t="s">
        <v>763</v>
      </c>
      <c r="J409" s="114" t="s">
        <v>116</v>
      </c>
    </row>
    <row r="410" spans="1:10">
      <c r="A410" s="48">
        <v>11</v>
      </c>
      <c r="B410" s="49" t="s">
        <v>1171</v>
      </c>
      <c r="C410" s="111" t="s">
        <v>1277</v>
      </c>
      <c r="D410" s="111" t="s">
        <v>1279</v>
      </c>
      <c r="E410" s="50">
        <v>1</v>
      </c>
      <c r="F410" s="223">
        <v>4150</v>
      </c>
      <c r="G410" s="277">
        <f t="shared" si="5"/>
        <v>4150</v>
      </c>
      <c r="H410" s="112" t="s">
        <v>1276</v>
      </c>
      <c r="I410" s="113" t="s">
        <v>763</v>
      </c>
      <c r="J410" s="114" t="s">
        <v>116</v>
      </c>
    </row>
    <row r="411" spans="1:10">
      <c r="A411" s="48">
        <v>11</v>
      </c>
      <c r="B411" s="49" t="s">
        <v>1171</v>
      </c>
      <c r="C411" s="111" t="s">
        <v>1277</v>
      </c>
      <c r="D411" s="111" t="s">
        <v>1280</v>
      </c>
      <c r="E411" s="50">
        <v>1</v>
      </c>
      <c r="F411" s="223">
        <v>4150</v>
      </c>
      <c r="G411" s="277">
        <f t="shared" si="5"/>
        <v>4150</v>
      </c>
      <c r="H411" s="112" t="s">
        <v>1276</v>
      </c>
      <c r="I411" s="113" t="s">
        <v>763</v>
      </c>
      <c r="J411" s="114" t="s">
        <v>116</v>
      </c>
    </row>
    <row r="412" spans="1:10">
      <c r="A412" s="48">
        <v>11</v>
      </c>
      <c r="B412" s="49" t="s">
        <v>1171</v>
      </c>
      <c r="C412" s="111" t="s">
        <v>1277</v>
      </c>
      <c r="D412" s="111" t="s">
        <v>1281</v>
      </c>
      <c r="E412" s="50">
        <v>1</v>
      </c>
      <c r="F412" s="223">
        <v>4150</v>
      </c>
      <c r="G412" s="277">
        <f t="shared" si="5"/>
        <v>4150</v>
      </c>
      <c r="H412" s="112" t="s">
        <v>1276</v>
      </c>
      <c r="I412" s="113" t="s">
        <v>763</v>
      </c>
      <c r="J412" s="114" t="s">
        <v>116</v>
      </c>
    </row>
    <row r="413" spans="1:10">
      <c r="A413" s="48">
        <v>11</v>
      </c>
      <c r="B413" s="49" t="s">
        <v>1171</v>
      </c>
      <c r="C413" s="111" t="s">
        <v>1277</v>
      </c>
      <c r="D413" s="111" t="s">
        <v>1282</v>
      </c>
      <c r="E413" s="50">
        <v>1</v>
      </c>
      <c r="F413" s="223">
        <v>4150</v>
      </c>
      <c r="G413" s="277">
        <f t="shared" si="5"/>
        <v>4150</v>
      </c>
      <c r="H413" s="112" t="s">
        <v>1276</v>
      </c>
      <c r="I413" s="113" t="s">
        <v>763</v>
      </c>
      <c r="J413" s="114" t="s">
        <v>116</v>
      </c>
    </row>
    <row r="414" spans="1:10">
      <c r="A414" s="48">
        <v>11</v>
      </c>
      <c r="B414" s="49" t="s">
        <v>1283</v>
      </c>
      <c r="C414" s="111" t="s">
        <v>1284</v>
      </c>
      <c r="D414" s="111" t="s">
        <v>1284</v>
      </c>
      <c r="E414" s="50">
        <v>1</v>
      </c>
      <c r="F414" s="223">
        <v>66000</v>
      </c>
      <c r="G414" s="277">
        <f t="shared" si="5"/>
        <v>66000</v>
      </c>
      <c r="H414" s="112" t="s">
        <v>386</v>
      </c>
      <c r="I414" s="113" t="s">
        <v>763</v>
      </c>
      <c r="J414" s="114" t="s">
        <v>116</v>
      </c>
    </row>
    <row r="415" spans="1:10">
      <c r="A415" s="48">
        <v>11</v>
      </c>
      <c r="B415" s="49" t="s">
        <v>1283</v>
      </c>
      <c r="C415" s="111" t="s">
        <v>1285</v>
      </c>
      <c r="D415" s="111" t="s">
        <v>1285</v>
      </c>
      <c r="E415" s="50">
        <v>1</v>
      </c>
      <c r="F415" s="223">
        <v>49500</v>
      </c>
      <c r="G415" s="277">
        <f t="shared" si="5"/>
        <v>49500</v>
      </c>
      <c r="H415" s="112" t="s">
        <v>386</v>
      </c>
      <c r="I415" s="113" t="s">
        <v>763</v>
      </c>
      <c r="J415" s="114" t="s">
        <v>116</v>
      </c>
    </row>
    <row r="416" spans="1:10">
      <c r="A416" s="48">
        <v>11</v>
      </c>
      <c r="B416" s="49" t="s">
        <v>850</v>
      </c>
      <c r="C416" s="111" t="s">
        <v>850</v>
      </c>
      <c r="D416" s="111" t="s">
        <v>850</v>
      </c>
      <c r="E416" s="50">
        <v>1</v>
      </c>
      <c r="F416" s="223">
        <v>20000</v>
      </c>
      <c r="G416" s="277">
        <f t="shared" si="5"/>
        <v>20000</v>
      </c>
      <c r="H416" s="112" t="s">
        <v>386</v>
      </c>
      <c r="I416" s="113" t="s">
        <v>763</v>
      </c>
      <c r="J416" s="114" t="s">
        <v>116</v>
      </c>
    </row>
    <row r="417" spans="1:10">
      <c r="A417" s="48">
        <v>11</v>
      </c>
      <c r="B417" s="49" t="s">
        <v>850</v>
      </c>
      <c r="C417" s="111" t="s">
        <v>850</v>
      </c>
      <c r="D417" s="111" t="s">
        <v>850</v>
      </c>
      <c r="E417" s="50">
        <v>1</v>
      </c>
      <c r="F417" s="223">
        <v>50000</v>
      </c>
      <c r="G417" s="277">
        <f t="shared" si="5"/>
        <v>50000</v>
      </c>
      <c r="H417" s="112" t="s">
        <v>386</v>
      </c>
      <c r="I417" s="113" t="s">
        <v>763</v>
      </c>
      <c r="J417" s="114" t="s">
        <v>116</v>
      </c>
    </row>
    <row r="418" spans="1:10">
      <c r="A418" s="48">
        <v>11</v>
      </c>
      <c r="B418" s="49" t="s">
        <v>850</v>
      </c>
      <c r="C418" s="111" t="s">
        <v>850</v>
      </c>
      <c r="D418" s="111" t="s">
        <v>850</v>
      </c>
      <c r="E418" s="50">
        <v>1</v>
      </c>
      <c r="F418" s="223">
        <v>40000</v>
      </c>
      <c r="G418" s="277">
        <f t="shared" si="5"/>
        <v>40000</v>
      </c>
      <c r="H418" s="112" t="s">
        <v>386</v>
      </c>
      <c r="I418" s="113" t="s">
        <v>763</v>
      </c>
      <c r="J418" s="114" t="s">
        <v>116</v>
      </c>
    </row>
    <row r="419" spans="1:10">
      <c r="A419" s="48">
        <v>11</v>
      </c>
      <c r="B419" s="49" t="s">
        <v>850</v>
      </c>
      <c r="C419" s="111" t="s">
        <v>850</v>
      </c>
      <c r="D419" s="111" t="s">
        <v>850</v>
      </c>
      <c r="E419" s="50">
        <v>1</v>
      </c>
      <c r="F419" s="223">
        <v>26700</v>
      </c>
      <c r="G419" s="277">
        <f t="shared" si="5"/>
        <v>26700</v>
      </c>
      <c r="H419" s="112" t="s">
        <v>386</v>
      </c>
      <c r="I419" s="113" t="s">
        <v>763</v>
      </c>
      <c r="J419" s="114" t="s">
        <v>116</v>
      </c>
    </row>
    <row r="420" spans="1:10">
      <c r="A420" s="48">
        <v>11</v>
      </c>
      <c r="B420" s="49" t="s">
        <v>1171</v>
      </c>
      <c r="C420" s="111" t="s">
        <v>1286</v>
      </c>
      <c r="D420" s="111" t="s">
        <v>1287</v>
      </c>
      <c r="E420" s="50">
        <v>1</v>
      </c>
      <c r="F420" s="223">
        <v>20900</v>
      </c>
      <c r="G420" s="277">
        <f t="shared" si="5"/>
        <v>20900</v>
      </c>
      <c r="H420" s="112" t="s">
        <v>1288</v>
      </c>
      <c r="I420" s="113" t="s">
        <v>763</v>
      </c>
      <c r="J420" s="114" t="s">
        <v>116</v>
      </c>
    </row>
    <row r="421" spans="1:10">
      <c r="A421" s="48">
        <v>11</v>
      </c>
      <c r="B421" s="49" t="s">
        <v>1171</v>
      </c>
      <c r="C421" s="111" t="s">
        <v>1289</v>
      </c>
      <c r="D421" s="111" t="s">
        <v>1290</v>
      </c>
      <c r="E421" s="50">
        <v>5</v>
      </c>
      <c r="F421" s="223">
        <v>21900</v>
      </c>
      <c r="G421" s="277">
        <f t="shared" si="5"/>
        <v>109500</v>
      </c>
      <c r="H421" s="112" t="s">
        <v>1288</v>
      </c>
      <c r="I421" s="113" t="s">
        <v>763</v>
      </c>
      <c r="J421" s="114" t="s">
        <v>116</v>
      </c>
    </row>
    <row r="422" spans="1:10">
      <c r="A422" s="48">
        <v>11</v>
      </c>
      <c r="B422" s="49" t="s">
        <v>1033</v>
      </c>
      <c r="C422" s="111" t="s">
        <v>1291</v>
      </c>
      <c r="D422" s="111" t="s">
        <v>1292</v>
      </c>
      <c r="E422" s="50">
        <v>2</v>
      </c>
      <c r="F422" s="223">
        <v>73</v>
      </c>
      <c r="G422" s="277">
        <f t="shared" si="5"/>
        <v>146</v>
      </c>
      <c r="H422" s="112" t="s">
        <v>1288</v>
      </c>
      <c r="I422" s="113" t="s">
        <v>763</v>
      </c>
      <c r="J422" s="114" t="s">
        <v>116</v>
      </c>
    </row>
    <row r="423" spans="1:10">
      <c r="A423" s="48">
        <v>11</v>
      </c>
      <c r="B423" s="49" t="s">
        <v>1171</v>
      </c>
      <c r="C423" s="111" t="s">
        <v>1221</v>
      </c>
      <c r="D423" s="111" t="s">
        <v>1293</v>
      </c>
      <c r="E423" s="50">
        <v>1</v>
      </c>
      <c r="F423" s="223">
        <v>29900</v>
      </c>
      <c r="G423" s="277">
        <f t="shared" si="5"/>
        <v>29900</v>
      </c>
      <c r="H423" s="112" t="s">
        <v>386</v>
      </c>
      <c r="I423" s="113" t="s">
        <v>763</v>
      </c>
      <c r="J423" s="114" t="s">
        <v>116</v>
      </c>
    </row>
    <row r="424" spans="1:10">
      <c r="A424" s="48">
        <v>11</v>
      </c>
      <c r="B424" s="49" t="s">
        <v>1171</v>
      </c>
      <c r="C424" s="111" t="s">
        <v>1294</v>
      </c>
      <c r="D424" s="111" t="s">
        <v>1295</v>
      </c>
      <c r="E424" s="50">
        <v>2</v>
      </c>
      <c r="F424" s="223">
        <v>3000</v>
      </c>
      <c r="G424" s="277">
        <f t="shared" si="5"/>
        <v>6000</v>
      </c>
      <c r="H424" s="112" t="s">
        <v>386</v>
      </c>
      <c r="I424" s="113" t="s">
        <v>763</v>
      </c>
      <c r="J424" s="114" t="s">
        <v>116</v>
      </c>
    </row>
    <row r="425" spans="1:10">
      <c r="A425" s="48">
        <v>12</v>
      </c>
      <c r="B425" s="49" t="s">
        <v>762</v>
      </c>
      <c r="C425" s="111" t="s">
        <v>209</v>
      </c>
      <c r="D425" s="111" t="s">
        <v>367</v>
      </c>
      <c r="E425" s="50">
        <v>26.73</v>
      </c>
      <c r="F425" s="223">
        <v>25900</v>
      </c>
      <c r="G425" s="277">
        <f t="shared" si="5"/>
        <v>692307</v>
      </c>
      <c r="H425" s="112" t="s">
        <v>366</v>
      </c>
      <c r="I425" s="113" t="s">
        <v>763</v>
      </c>
      <c r="J425" s="114" t="s">
        <v>116</v>
      </c>
    </row>
    <row r="426" spans="1:10">
      <c r="A426" s="48">
        <v>12</v>
      </c>
      <c r="B426" s="49" t="s">
        <v>762</v>
      </c>
      <c r="C426" s="111" t="s">
        <v>368</v>
      </c>
      <c r="D426" s="111" t="s">
        <v>369</v>
      </c>
      <c r="E426" s="50">
        <v>106.3</v>
      </c>
      <c r="F426" s="223">
        <v>21900</v>
      </c>
      <c r="G426" s="277">
        <f t="shared" si="5"/>
        <v>2327970</v>
      </c>
      <c r="H426" s="112" t="s">
        <v>366</v>
      </c>
      <c r="I426" s="113" t="s">
        <v>763</v>
      </c>
      <c r="J426" s="114" t="s">
        <v>116</v>
      </c>
    </row>
    <row r="427" spans="1:10">
      <c r="A427" s="48">
        <v>12</v>
      </c>
      <c r="B427" s="49" t="s">
        <v>762</v>
      </c>
      <c r="C427" s="111" t="s">
        <v>370</v>
      </c>
      <c r="D427" s="111" t="s">
        <v>371</v>
      </c>
      <c r="E427" s="50">
        <v>29.9</v>
      </c>
      <c r="F427" s="223">
        <v>34500</v>
      </c>
      <c r="G427" s="277">
        <f t="shared" si="5"/>
        <v>1031550</v>
      </c>
      <c r="H427" s="112" t="s">
        <v>366</v>
      </c>
      <c r="I427" s="113" t="s">
        <v>763</v>
      </c>
      <c r="J427" s="114" t="s">
        <v>116</v>
      </c>
    </row>
    <row r="428" spans="1:10">
      <c r="A428" s="48">
        <v>12</v>
      </c>
      <c r="B428" s="49" t="s">
        <v>766</v>
      </c>
      <c r="C428" s="111" t="s">
        <v>1296</v>
      </c>
      <c r="D428" s="111" t="s">
        <v>1297</v>
      </c>
      <c r="E428" s="50">
        <v>8</v>
      </c>
      <c r="F428" s="223">
        <v>17500</v>
      </c>
      <c r="G428" s="277">
        <f t="shared" si="5"/>
        <v>140000</v>
      </c>
      <c r="H428" s="112" t="s">
        <v>366</v>
      </c>
      <c r="I428" s="113" t="s">
        <v>763</v>
      </c>
      <c r="J428" s="114" t="s">
        <v>116</v>
      </c>
    </row>
    <row r="429" spans="1:10">
      <c r="A429" s="48">
        <v>12</v>
      </c>
      <c r="B429" s="49" t="s">
        <v>762</v>
      </c>
      <c r="C429" s="111" t="s">
        <v>278</v>
      </c>
      <c r="D429" s="111" t="s">
        <v>372</v>
      </c>
      <c r="E429" s="50">
        <v>11</v>
      </c>
      <c r="F429" s="223">
        <v>44000</v>
      </c>
      <c r="G429" s="277">
        <f t="shared" si="5"/>
        <v>484000</v>
      </c>
      <c r="H429" s="112" t="s">
        <v>366</v>
      </c>
      <c r="I429" s="113" t="s">
        <v>763</v>
      </c>
      <c r="J429" s="114" t="s">
        <v>116</v>
      </c>
    </row>
    <row r="430" spans="1:10">
      <c r="A430" s="48">
        <v>12</v>
      </c>
      <c r="B430" s="49" t="s">
        <v>762</v>
      </c>
      <c r="C430" s="111" t="s">
        <v>245</v>
      </c>
      <c r="D430" s="111" t="s">
        <v>373</v>
      </c>
      <c r="E430" s="50">
        <v>41.6</v>
      </c>
      <c r="F430" s="223">
        <v>18900</v>
      </c>
      <c r="G430" s="277">
        <f t="shared" si="5"/>
        <v>786240</v>
      </c>
      <c r="H430" s="112" t="s">
        <v>366</v>
      </c>
      <c r="I430" s="113" t="s">
        <v>763</v>
      </c>
      <c r="J430" s="114" t="s">
        <v>116</v>
      </c>
    </row>
    <row r="431" spans="1:10">
      <c r="A431" s="48">
        <v>12</v>
      </c>
      <c r="B431" s="49" t="s">
        <v>766</v>
      </c>
      <c r="C431" s="111" t="s">
        <v>1298</v>
      </c>
      <c r="D431" s="111" t="s">
        <v>1299</v>
      </c>
      <c r="E431" s="50">
        <v>20</v>
      </c>
      <c r="F431" s="223">
        <v>5200</v>
      </c>
      <c r="G431" s="277">
        <f t="shared" si="5"/>
        <v>104000</v>
      </c>
      <c r="H431" s="112" t="s">
        <v>366</v>
      </c>
      <c r="I431" s="113" t="s">
        <v>763</v>
      </c>
      <c r="J431" s="114" t="s">
        <v>116</v>
      </c>
    </row>
    <row r="432" spans="1:10">
      <c r="A432" s="48">
        <v>12</v>
      </c>
      <c r="B432" s="49" t="s">
        <v>762</v>
      </c>
      <c r="C432" s="111" t="s">
        <v>296</v>
      </c>
      <c r="D432" s="111" t="s">
        <v>374</v>
      </c>
      <c r="E432" s="50">
        <v>19.23</v>
      </c>
      <c r="F432" s="223">
        <v>26900</v>
      </c>
      <c r="G432" s="277">
        <f t="shared" si="5"/>
        <v>517287</v>
      </c>
      <c r="H432" s="112" t="s">
        <v>366</v>
      </c>
      <c r="I432" s="113" t="s">
        <v>763</v>
      </c>
      <c r="J432" s="114" t="s">
        <v>116</v>
      </c>
    </row>
    <row r="433" spans="1:10">
      <c r="A433" s="48">
        <v>12</v>
      </c>
      <c r="B433" s="49" t="s">
        <v>762</v>
      </c>
      <c r="C433" s="111" t="s">
        <v>376</v>
      </c>
      <c r="D433" s="111" t="s">
        <v>377</v>
      </c>
      <c r="E433" s="50">
        <v>9.19</v>
      </c>
      <c r="F433" s="223">
        <v>20400</v>
      </c>
      <c r="G433" s="277">
        <f t="shared" si="5"/>
        <v>187476</v>
      </c>
      <c r="H433" s="112" t="s">
        <v>375</v>
      </c>
      <c r="I433" s="113" t="s">
        <v>763</v>
      </c>
      <c r="J433" s="114" t="s">
        <v>116</v>
      </c>
    </row>
    <row r="434" spans="1:10">
      <c r="A434" s="48">
        <v>12</v>
      </c>
      <c r="B434" s="49" t="s">
        <v>762</v>
      </c>
      <c r="C434" s="111" t="s">
        <v>370</v>
      </c>
      <c r="D434" s="111" t="s">
        <v>379</v>
      </c>
      <c r="E434" s="50">
        <v>39.75</v>
      </c>
      <c r="F434" s="223">
        <v>30000</v>
      </c>
      <c r="G434" s="277">
        <f t="shared" si="5"/>
        <v>1192500</v>
      </c>
      <c r="H434" s="112" t="s">
        <v>378</v>
      </c>
      <c r="I434" s="113" t="s">
        <v>763</v>
      </c>
      <c r="J434" s="114" t="s">
        <v>116</v>
      </c>
    </row>
    <row r="435" spans="1:10">
      <c r="A435" s="48">
        <v>12</v>
      </c>
      <c r="B435" s="49" t="s">
        <v>762</v>
      </c>
      <c r="C435" s="111" t="s">
        <v>376</v>
      </c>
      <c r="D435" s="111" t="s">
        <v>377</v>
      </c>
      <c r="E435" s="50">
        <v>4.6500000000000004</v>
      </c>
      <c r="F435" s="223">
        <v>18600</v>
      </c>
      <c r="G435" s="277">
        <f t="shared" si="5"/>
        <v>86490</v>
      </c>
      <c r="H435" s="112" t="s">
        <v>378</v>
      </c>
      <c r="I435" s="113" t="s">
        <v>763</v>
      </c>
      <c r="J435" s="114" t="s">
        <v>116</v>
      </c>
    </row>
    <row r="436" spans="1:10">
      <c r="A436" s="48">
        <v>12</v>
      </c>
      <c r="B436" s="49" t="s">
        <v>766</v>
      </c>
      <c r="C436" s="111" t="s">
        <v>1300</v>
      </c>
      <c r="D436" s="111" t="s">
        <v>1301</v>
      </c>
      <c r="E436" s="50">
        <v>73.599999999999994</v>
      </c>
      <c r="F436" s="223">
        <v>1400</v>
      </c>
      <c r="G436" s="277">
        <f t="shared" si="5"/>
        <v>103040</v>
      </c>
      <c r="H436" s="112" t="s">
        <v>1302</v>
      </c>
      <c r="I436" s="113" t="s">
        <v>763</v>
      </c>
      <c r="J436" s="114" t="s">
        <v>116</v>
      </c>
    </row>
    <row r="437" spans="1:10">
      <c r="A437" s="48">
        <v>12</v>
      </c>
      <c r="B437" s="49" t="s">
        <v>766</v>
      </c>
      <c r="C437" s="111" t="s">
        <v>1045</v>
      </c>
      <c r="D437" s="111" t="s">
        <v>1303</v>
      </c>
      <c r="E437" s="50">
        <v>19.5</v>
      </c>
      <c r="F437" s="223">
        <v>2800</v>
      </c>
      <c r="G437" s="277">
        <f t="shared" ref="G437:G468" si="6">IF(AND(ISNUMBER(E437), ISNUMBER(F437), E437&gt;0, F437&gt;0), ROUND(E437*F437, 2), IF(ISNUMBER(F437), F437, ""))</f>
        <v>54600</v>
      </c>
      <c r="H437" s="112" t="s">
        <v>1302</v>
      </c>
      <c r="I437" s="113" t="s">
        <v>763</v>
      </c>
      <c r="J437" s="114" t="s">
        <v>116</v>
      </c>
    </row>
    <row r="438" spans="1:10">
      <c r="A438" s="48">
        <v>12</v>
      </c>
      <c r="B438" s="49" t="s">
        <v>766</v>
      </c>
      <c r="C438" s="111" t="s">
        <v>1304</v>
      </c>
      <c r="D438" s="111" t="s">
        <v>1305</v>
      </c>
      <c r="E438" s="50">
        <v>2</v>
      </c>
      <c r="F438" s="223">
        <v>2000</v>
      </c>
      <c r="G438" s="277">
        <f t="shared" si="6"/>
        <v>4000</v>
      </c>
      <c r="H438" s="112" t="s">
        <v>1302</v>
      </c>
      <c r="I438" s="113" t="s">
        <v>763</v>
      </c>
      <c r="J438" s="114" t="s">
        <v>116</v>
      </c>
    </row>
    <row r="439" spans="1:10">
      <c r="A439" s="48">
        <v>12</v>
      </c>
      <c r="B439" s="49" t="s">
        <v>766</v>
      </c>
      <c r="C439" s="111" t="s">
        <v>1306</v>
      </c>
      <c r="D439" s="111" t="s">
        <v>1306</v>
      </c>
      <c r="E439" s="50">
        <v>1</v>
      </c>
      <c r="F439" s="223">
        <v>10000</v>
      </c>
      <c r="G439" s="277">
        <f t="shared" si="6"/>
        <v>10000</v>
      </c>
      <c r="H439" s="112" t="s">
        <v>1302</v>
      </c>
      <c r="I439" s="113" t="s">
        <v>763</v>
      </c>
      <c r="J439" s="114" t="s">
        <v>116</v>
      </c>
    </row>
    <row r="440" spans="1:10">
      <c r="A440" s="48">
        <v>12</v>
      </c>
      <c r="B440" s="49" t="s">
        <v>766</v>
      </c>
      <c r="C440" s="111" t="s">
        <v>1307</v>
      </c>
      <c r="D440" s="111" t="s">
        <v>1307</v>
      </c>
      <c r="E440" s="50">
        <v>4.3</v>
      </c>
      <c r="F440" s="223">
        <v>3500</v>
      </c>
      <c r="G440" s="277">
        <f t="shared" si="6"/>
        <v>15050</v>
      </c>
      <c r="H440" s="112" t="s">
        <v>1302</v>
      </c>
      <c r="I440" s="113" t="s">
        <v>763</v>
      </c>
      <c r="J440" s="114" t="s">
        <v>116</v>
      </c>
    </row>
    <row r="441" spans="1:10">
      <c r="A441" s="48">
        <v>12</v>
      </c>
      <c r="B441" s="49" t="s">
        <v>766</v>
      </c>
      <c r="C441" s="111" t="s">
        <v>1069</v>
      </c>
      <c r="D441" s="111" t="s">
        <v>1308</v>
      </c>
      <c r="E441" s="50">
        <v>7.9</v>
      </c>
      <c r="F441" s="223">
        <v>2000</v>
      </c>
      <c r="G441" s="277">
        <f t="shared" si="6"/>
        <v>15800</v>
      </c>
      <c r="H441" s="112" t="s">
        <v>1302</v>
      </c>
      <c r="I441" s="113" t="s">
        <v>763</v>
      </c>
      <c r="J441" s="114" t="s">
        <v>116</v>
      </c>
    </row>
    <row r="442" spans="1:10">
      <c r="A442" s="48">
        <v>12</v>
      </c>
      <c r="B442" s="49" t="s">
        <v>766</v>
      </c>
      <c r="C442" s="111" t="s">
        <v>1309</v>
      </c>
      <c r="D442" s="111" t="s">
        <v>1310</v>
      </c>
      <c r="E442" s="50">
        <v>2.4</v>
      </c>
      <c r="F442" s="223">
        <v>2800</v>
      </c>
      <c r="G442" s="277">
        <f t="shared" si="6"/>
        <v>6720</v>
      </c>
      <c r="H442" s="112" t="s">
        <v>1302</v>
      </c>
      <c r="I442" s="113" t="s">
        <v>763</v>
      </c>
      <c r="J442" s="114" t="s">
        <v>116</v>
      </c>
    </row>
    <row r="443" spans="1:10">
      <c r="A443" s="48">
        <v>12</v>
      </c>
      <c r="B443" s="49" t="s">
        <v>766</v>
      </c>
      <c r="C443" s="111" t="s">
        <v>1043</v>
      </c>
      <c r="D443" s="111" t="s">
        <v>1311</v>
      </c>
      <c r="E443" s="50">
        <v>8</v>
      </c>
      <c r="F443" s="223">
        <v>3800</v>
      </c>
      <c r="G443" s="277">
        <f t="shared" si="6"/>
        <v>30400</v>
      </c>
      <c r="H443" s="112" t="s">
        <v>1302</v>
      </c>
      <c r="I443" s="113" t="s">
        <v>763</v>
      </c>
      <c r="J443" s="114" t="s">
        <v>116</v>
      </c>
    </row>
    <row r="444" spans="1:10">
      <c r="A444" s="48">
        <v>12</v>
      </c>
      <c r="B444" s="49" t="s">
        <v>766</v>
      </c>
      <c r="C444" s="111" t="s">
        <v>1065</v>
      </c>
      <c r="D444" s="111" t="s">
        <v>1312</v>
      </c>
      <c r="E444" s="50">
        <v>7.4</v>
      </c>
      <c r="F444" s="223">
        <v>4800</v>
      </c>
      <c r="G444" s="277">
        <f t="shared" si="6"/>
        <v>35520</v>
      </c>
      <c r="H444" s="112" t="s">
        <v>1302</v>
      </c>
      <c r="I444" s="113" t="s">
        <v>763</v>
      </c>
      <c r="J444" s="114" t="s">
        <v>116</v>
      </c>
    </row>
    <row r="445" spans="1:10">
      <c r="A445" s="48">
        <v>12</v>
      </c>
      <c r="B445" s="49" t="s">
        <v>766</v>
      </c>
      <c r="C445" s="111" t="s">
        <v>1313</v>
      </c>
      <c r="D445" s="111" t="s">
        <v>1314</v>
      </c>
      <c r="E445" s="50">
        <v>1</v>
      </c>
      <c r="F445" s="223">
        <v>60000</v>
      </c>
      <c r="G445" s="277">
        <f t="shared" si="6"/>
        <v>60000</v>
      </c>
      <c r="H445" s="112" t="s">
        <v>1302</v>
      </c>
      <c r="I445" s="113" t="s">
        <v>763</v>
      </c>
      <c r="J445" s="114" t="s">
        <v>116</v>
      </c>
    </row>
    <row r="446" spans="1:10">
      <c r="A446" s="48">
        <v>12</v>
      </c>
      <c r="B446" s="49" t="s">
        <v>766</v>
      </c>
      <c r="C446" s="111" t="s">
        <v>1067</v>
      </c>
      <c r="D446" s="111" t="s">
        <v>1315</v>
      </c>
      <c r="E446" s="50">
        <v>4</v>
      </c>
      <c r="F446" s="223">
        <v>4800</v>
      </c>
      <c r="G446" s="277">
        <f t="shared" si="6"/>
        <v>19200</v>
      </c>
      <c r="H446" s="112" t="s">
        <v>1302</v>
      </c>
      <c r="I446" s="113" t="s">
        <v>763</v>
      </c>
      <c r="J446" s="114" t="s">
        <v>116</v>
      </c>
    </row>
    <row r="447" spans="1:10">
      <c r="A447" s="48">
        <v>12</v>
      </c>
      <c r="B447" s="49" t="s">
        <v>766</v>
      </c>
      <c r="C447" s="111" t="s">
        <v>1316</v>
      </c>
      <c r="D447" s="111" t="s">
        <v>1317</v>
      </c>
      <c r="E447" s="50">
        <v>45.2</v>
      </c>
      <c r="F447" s="223">
        <v>3400</v>
      </c>
      <c r="G447" s="277">
        <f t="shared" si="6"/>
        <v>153680</v>
      </c>
      <c r="H447" s="112" t="s">
        <v>1302</v>
      </c>
      <c r="I447" s="113" t="s">
        <v>763</v>
      </c>
      <c r="J447" s="114" t="s">
        <v>116</v>
      </c>
    </row>
    <row r="448" spans="1:10">
      <c r="A448" s="48">
        <v>12</v>
      </c>
      <c r="B448" s="49" t="s">
        <v>766</v>
      </c>
      <c r="C448" s="111" t="s">
        <v>1318</v>
      </c>
      <c r="D448" s="111" t="s">
        <v>1319</v>
      </c>
      <c r="E448" s="50">
        <v>56.4</v>
      </c>
      <c r="F448" s="223">
        <v>1400</v>
      </c>
      <c r="G448" s="277">
        <f t="shared" si="6"/>
        <v>78960</v>
      </c>
      <c r="H448" s="112" t="s">
        <v>1302</v>
      </c>
      <c r="I448" s="113" t="s">
        <v>763</v>
      </c>
      <c r="J448" s="114" t="s">
        <v>116</v>
      </c>
    </row>
    <row r="449" spans="1:10">
      <c r="A449" s="48">
        <v>12</v>
      </c>
      <c r="B449" s="49" t="s">
        <v>766</v>
      </c>
      <c r="C449" s="111" t="s">
        <v>1318</v>
      </c>
      <c r="D449" s="111" t="s">
        <v>1319</v>
      </c>
      <c r="E449" s="50">
        <v>12</v>
      </c>
      <c r="F449" s="223">
        <v>1400</v>
      </c>
      <c r="G449" s="277">
        <f t="shared" si="6"/>
        <v>16800</v>
      </c>
      <c r="H449" s="112" t="s">
        <v>1302</v>
      </c>
      <c r="I449" s="113" t="s">
        <v>763</v>
      </c>
      <c r="J449" s="114" t="s">
        <v>116</v>
      </c>
    </row>
    <row r="450" spans="1:10">
      <c r="A450" s="48">
        <v>12</v>
      </c>
      <c r="B450" s="49" t="s">
        <v>1320</v>
      </c>
      <c r="C450" s="111" t="s">
        <v>1321</v>
      </c>
      <c r="D450" s="111" t="s">
        <v>1322</v>
      </c>
      <c r="E450" s="50">
        <v>1</v>
      </c>
      <c r="F450" s="223">
        <v>20000</v>
      </c>
      <c r="G450" s="277">
        <f t="shared" si="6"/>
        <v>20000</v>
      </c>
      <c r="H450" s="112" t="s">
        <v>386</v>
      </c>
      <c r="I450" s="113" t="s">
        <v>763</v>
      </c>
      <c r="J450" s="114" t="s">
        <v>116</v>
      </c>
    </row>
    <row r="451" spans="1:10">
      <c r="A451" s="48">
        <v>12</v>
      </c>
      <c r="B451" s="49" t="s">
        <v>1033</v>
      </c>
      <c r="C451" s="111" t="s">
        <v>1323</v>
      </c>
      <c r="D451" s="111" t="s">
        <v>1323</v>
      </c>
      <c r="E451" s="50">
        <v>10</v>
      </c>
      <c r="F451" s="223">
        <v>14700</v>
      </c>
      <c r="G451" s="277">
        <f t="shared" si="6"/>
        <v>147000</v>
      </c>
      <c r="H451" s="112" t="s">
        <v>386</v>
      </c>
      <c r="I451" s="113" t="s">
        <v>763</v>
      </c>
      <c r="J451" s="114" t="s">
        <v>116</v>
      </c>
    </row>
    <row r="452" spans="1:10">
      <c r="A452" s="48">
        <v>12</v>
      </c>
      <c r="B452" s="49" t="s">
        <v>1171</v>
      </c>
      <c r="C452" s="111" t="s">
        <v>1324</v>
      </c>
      <c r="D452" s="111" t="s">
        <v>1173</v>
      </c>
      <c r="E452" s="50">
        <v>6</v>
      </c>
      <c r="F452" s="223">
        <v>22990</v>
      </c>
      <c r="G452" s="277">
        <f t="shared" si="6"/>
        <v>137940</v>
      </c>
      <c r="H452" s="112" t="s">
        <v>1325</v>
      </c>
      <c r="I452" s="113" t="s">
        <v>763</v>
      </c>
      <c r="J452" s="114" t="s">
        <v>116</v>
      </c>
    </row>
    <row r="453" spans="1:10">
      <c r="A453" s="48">
        <v>12</v>
      </c>
      <c r="B453" s="49" t="s">
        <v>766</v>
      </c>
      <c r="C453" s="111" t="s">
        <v>1326</v>
      </c>
      <c r="D453" s="111" t="s">
        <v>1327</v>
      </c>
      <c r="E453" s="50">
        <v>20</v>
      </c>
      <c r="F453" s="223">
        <v>4500</v>
      </c>
      <c r="G453" s="277">
        <f t="shared" si="6"/>
        <v>90000</v>
      </c>
      <c r="H453" s="112" t="s">
        <v>386</v>
      </c>
      <c r="I453" s="113" t="s">
        <v>763</v>
      </c>
      <c r="J453" s="114" t="s">
        <v>116</v>
      </c>
    </row>
    <row r="454" spans="1:10">
      <c r="A454" s="48">
        <v>12</v>
      </c>
      <c r="B454" s="49" t="s">
        <v>1033</v>
      </c>
      <c r="C454" s="111" t="s">
        <v>771</v>
      </c>
      <c r="D454" s="111" t="s">
        <v>1034</v>
      </c>
      <c r="E454" s="50">
        <v>1200</v>
      </c>
      <c r="F454" s="223">
        <v>150</v>
      </c>
      <c r="G454" s="277">
        <f t="shared" si="6"/>
        <v>180000</v>
      </c>
      <c r="H454" s="112" t="s">
        <v>1328</v>
      </c>
      <c r="I454" s="113" t="s">
        <v>763</v>
      </c>
      <c r="J454" s="114" t="s">
        <v>116</v>
      </c>
    </row>
    <row r="455" spans="1:10">
      <c r="A455" s="48">
        <v>12</v>
      </c>
      <c r="B455" s="49" t="s">
        <v>1033</v>
      </c>
      <c r="C455" s="111" t="s">
        <v>771</v>
      </c>
      <c r="D455" s="111" t="s">
        <v>771</v>
      </c>
      <c r="E455" s="50">
        <v>600</v>
      </c>
      <c r="F455" s="223">
        <v>150</v>
      </c>
      <c r="G455" s="277">
        <f t="shared" si="6"/>
        <v>90000</v>
      </c>
      <c r="H455" s="112" t="s">
        <v>386</v>
      </c>
      <c r="I455" s="113" t="s">
        <v>763</v>
      </c>
      <c r="J455" s="114" t="s">
        <v>116</v>
      </c>
    </row>
    <row r="456" spans="1:10">
      <c r="A456" s="48">
        <v>12</v>
      </c>
      <c r="B456" s="49" t="s">
        <v>1033</v>
      </c>
      <c r="C456" s="111" t="s">
        <v>1263</v>
      </c>
      <c r="D456" s="111" t="s">
        <v>1264</v>
      </c>
      <c r="E456" s="50">
        <v>2</v>
      </c>
      <c r="F456" s="223">
        <v>9500</v>
      </c>
      <c r="G456" s="277">
        <f t="shared" si="6"/>
        <v>19000</v>
      </c>
      <c r="H456" s="112" t="s">
        <v>1329</v>
      </c>
      <c r="I456" s="113" t="s">
        <v>763</v>
      </c>
      <c r="J456" s="114" t="s">
        <v>116</v>
      </c>
    </row>
    <row r="457" spans="1:10">
      <c r="A457" s="48">
        <v>12</v>
      </c>
      <c r="B457" s="49" t="s">
        <v>1033</v>
      </c>
      <c r="C457" s="111" t="s">
        <v>1266</v>
      </c>
      <c r="D457" s="111" t="s">
        <v>1267</v>
      </c>
      <c r="E457" s="50">
        <v>3</v>
      </c>
      <c r="F457" s="223">
        <v>5000</v>
      </c>
      <c r="G457" s="277">
        <f t="shared" si="6"/>
        <v>15000</v>
      </c>
      <c r="H457" s="112" t="s">
        <v>1329</v>
      </c>
      <c r="I457" s="113" t="s">
        <v>763</v>
      </c>
      <c r="J457" s="114" t="s">
        <v>116</v>
      </c>
    </row>
    <row r="458" spans="1:10">
      <c r="A458" s="48">
        <v>12</v>
      </c>
      <c r="B458" s="49" t="s">
        <v>762</v>
      </c>
      <c r="C458" s="111" t="s">
        <v>381</v>
      </c>
      <c r="D458" s="111" t="s">
        <v>382</v>
      </c>
      <c r="E458" s="50">
        <v>5</v>
      </c>
      <c r="F458" s="223">
        <v>48000</v>
      </c>
      <c r="G458" s="277">
        <f t="shared" si="6"/>
        <v>240000</v>
      </c>
      <c r="H458" s="112" t="s">
        <v>380</v>
      </c>
      <c r="I458" s="113" t="s">
        <v>763</v>
      </c>
      <c r="J458" s="114" t="s">
        <v>116</v>
      </c>
    </row>
    <row r="459" spans="1:10">
      <c r="A459" s="48">
        <v>12</v>
      </c>
      <c r="B459" s="49" t="s">
        <v>762</v>
      </c>
      <c r="C459" s="111" t="s">
        <v>383</v>
      </c>
      <c r="D459" s="111" t="s">
        <v>384</v>
      </c>
      <c r="E459" s="50">
        <v>2</v>
      </c>
      <c r="F459" s="223">
        <v>46000</v>
      </c>
      <c r="G459" s="277">
        <f t="shared" si="6"/>
        <v>92000</v>
      </c>
      <c r="H459" s="112" t="s">
        <v>380</v>
      </c>
      <c r="I459" s="113" t="s">
        <v>763</v>
      </c>
      <c r="J459" s="114" t="s">
        <v>116</v>
      </c>
    </row>
    <row r="460" spans="1:10">
      <c r="A460" s="48">
        <v>12</v>
      </c>
      <c r="B460" s="49" t="s">
        <v>86</v>
      </c>
      <c r="C460" s="111" t="s">
        <v>598</v>
      </c>
      <c r="D460" s="111" t="s">
        <v>599</v>
      </c>
      <c r="E460" s="50">
        <v>1</v>
      </c>
      <c r="F460" s="223">
        <v>20750</v>
      </c>
      <c r="G460" s="277">
        <f t="shared" si="6"/>
        <v>20750</v>
      </c>
      <c r="H460" s="112" t="s">
        <v>597</v>
      </c>
      <c r="I460" s="113" t="s">
        <v>763</v>
      </c>
      <c r="J460" s="114" t="s">
        <v>116</v>
      </c>
    </row>
    <row r="461" spans="1:10">
      <c r="A461" s="48">
        <v>12</v>
      </c>
      <c r="B461" s="49" t="s">
        <v>86</v>
      </c>
      <c r="C461" s="111" t="s">
        <v>598</v>
      </c>
      <c r="D461" s="111" t="s">
        <v>600</v>
      </c>
      <c r="E461" s="50">
        <v>1</v>
      </c>
      <c r="F461" s="223">
        <v>20750</v>
      </c>
      <c r="G461" s="277">
        <f t="shared" si="6"/>
        <v>20750</v>
      </c>
      <c r="H461" s="112" t="s">
        <v>597</v>
      </c>
      <c r="I461" s="113" t="s">
        <v>763</v>
      </c>
      <c r="J461" s="114" t="s">
        <v>116</v>
      </c>
    </row>
    <row r="462" spans="1:10">
      <c r="A462" s="48">
        <v>12</v>
      </c>
      <c r="B462" s="49" t="s">
        <v>86</v>
      </c>
      <c r="C462" s="111" t="s">
        <v>598</v>
      </c>
      <c r="D462" s="111" t="s">
        <v>601</v>
      </c>
      <c r="E462" s="50">
        <v>1</v>
      </c>
      <c r="F462" s="223">
        <v>20750</v>
      </c>
      <c r="G462" s="277">
        <f t="shared" si="6"/>
        <v>20750</v>
      </c>
      <c r="H462" s="112" t="s">
        <v>597</v>
      </c>
      <c r="I462" s="113" t="s">
        <v>763</v>
      </c>
      <c r="J462" s="114" t="s">
        <v>116</v>
      </c>
    </row>
    <row r="463" spans="1:10">
      <c r="A463" s="48">
        <v>12</v>
      </c>
      <c r="B463" s="49" t="s">
        <v>86</v>
      </c>
      <c r="C463" s="111" t="s">
        <v>598</v>
      </c>
      <c r="D463" s="111" t="s">
        <v>602</v>
      </c>
      <c r="E463" s="50">
        <v>1</v>
      </c>
      <c r="F463" s="223">
        <v>20750</v>
      </c>
      <c r="G463" s="277">
        <f t="shared" si="6"/>
        <v>20750</v>
      </c>
      <c r="H463" s="112" t="s">
        <v>597</v>
      </c>
      <c r="I463" s="113" t="s">
        <v>763</v>
      </c>
      <c r="J463" s="114" t="s">
        <v>116</v>
      </c>
    </row>
    <row r="464" spans="1:10">
      <c r="A464" s="48">
        <v>12</v>
      </c>
      <c r="B464" s="49" t="s">
        <v>1171</v>
      </c>
      <c r="C464" s="111" t="s">
        <v>859</v>
      </c>
      <c r="D464" s="111" t="s">
        <v>1330</v>
      </c>
      <c r="E464" s="50">
        <v>3</v>
      </c>
      <c r="F464" s="223">
        <v>254000</v>
      </c>
      <c r="G464" s="277">
        <f t="shared" si="6"/>
        <v>762000</v>
      </c>
      <c r="H464" s="112" t="s">
        <v>1331</v>
      </c>
      <c r="I464" s="113" t="s">
        <v>763</v>
      </c>
      <c r="J464" s="114" t="s">
        <v>119</v>
      </c>
    </row>
    <row r="465" spans="1:10">
      <c r="A465" s="48">
        <v>12</v>
      </c>
      <c r="B465" s="49" t="s">
        <v>1171</v>
      </c>
      <c r="C465" s="111" t="s">
        <v>1332</v>
      </c>
      <c r="D465" s="111" t="s">
        <v>1333</v>
      </c>
      <c r="E465" s="50">
        <v>1</v>
      </c>
      <c r="F465" s="223">
        <v>160000</v>
      </c>
      <c r="G465" s="277">
        <f t="shared" si="6"/>
        <v>160000</v>
      </c>
      <c r="H465" s="112" t="s">
        <v>1331</v>
      </c>
      <c r="I465" s="113" t="s">
        <v>763</v>
      </c>
      <c r="J465" s="114" t="s">
        <v>119</v>
      </c>
    </row>
    <row r="466" spans="1:10">
      <c r="A466" s="48">
        <v>12</v>
      </c>
      <c r="B466" s="49" t="s">
        <v>1171</v>
      </c>
      <c r="C466" s="111" t="s">
        <v>1334</v>
      </c>
      <c r="D466" s="111" t="s">
        <v>1335</v>
      </c>
      <c r="E466" s="50">
        <v>2</v>
      </c>
      <c r="F466" s="223">
        <v>86000</v>
      </c>
      <c r="G466" s="277">
        <f t="shared" si="6"/>
        <v>172000</v>
      </c>
      <c r="H466" s="112" t="s">
        <v>1331</v>
      </c>
      <c r="I466" s="113" t="s">
        <v>763</v>
      </c>
      <c r="J466" s="114" t="s">
        <v>119</v>
      </c>
    </row>
    <row r="467" spans="1:10">
      <c r="A467" s="48">
        <v>12</v>
      </c>
      <c r="B467" s="49" t="s">
        <v>1033</v>
      </c>
      <c r="C467" s="111" t="s">
        <v>1336</v>
      </c>
      <c r="D467" s="111" t="s">
        <v>1337</v>
      </c>
      <c r="E467" s="50">
        <v>1</v>
      </c>
      <c r="F467" s="223">
        <v>36000</v>
      </c>
      <c r="G467" s="277">
        <f t="shared" si="6"/>
        <v>36000</v>
      </c>
      <c r="H467" s="112" t="s">
        <v>1331</v>
      </c>
      <c r="I467" s="113" t="s">
        <v>763</v>
      </c>
      <c r="J467" s="114" t="s">
        <v>119</v>
      </c>
    </row>
    <row r="468" spans="1:10">
      <c r="A468" s="48">
        <v>13</v>
      </c>
      <c r="B468" s="49" t="s">
        <v>86</v>
      </c>
      <c r="C468" s="111" t="s">
        <v>605</v>
      </c>
      <c r="D468" s="111" t="s">
        <v>606</v>
      </c>
      <c r="E468" s="50">
        <v>2</v>
      </c>
      <c r="F468" s="223">
        <v>32000</v>
      </c>
      <c r="G468" s="277">
        <f t="shared" si="6"/>
        <v>64000</v>
      </c>
      <c r="H468" s="112" t="s">
        <v>604</v>
      </c>
      <c r="I468" s="113" t="s">
        <v>763</v>
      </c>
      <c r="J468" s="114" t="s">
        <v>116</v>
      </c>
    </row>
    <row r="469" spans="1:10">
      <c r="A469" s="48">
        <v>13</v>
      </c>
      <c r="B469" s="49" t="s">
        <v>86</v>
      </c>
      <c r="C469" s="111" t="s">
        <v>607</v>
      </c>
      <c r="D469" s="111" t="s">
        <v>608</v>
      </c>
      <c r="E469" s="50">
        <v>1</v>
      </c>
      <c r="F469" s="223">
        <v>62500</v>
      </c>
      <c r="G469" s="277">
        <f t="shared" ref="G469:G500" si="7">IF(AND(ISNUMBER(E469), ISNUMBER(F469), E469&gt;0, F469&gt;0), ROUND(E469*F469, 2), IF(ISNUMBER(F469), F469, ""))</f>
        <v>62500</v>
      </c>
      <c r="H469" s="112" t="s">
        <v>604</v>
      </c>
      <c r="I469" s="113" t="s">
        <v>763</v>
      </c>
      <c r="J469" s="114" t="s">
        <v>116</v>
      </c>
    </row>
    <row r="470" spans="1:10">
      <c r="A470" s="48">
        <v>13</v>
      </c>
      <c r="B470" s="49" t="s">
        <v>1033</v>
      </c>
      <c r="C470" s="111" t="s">
        <v>1266</v>
      </c>
      <c r="D470" s="111" t="s">
        <v>1267</v>
      </c>
      <c r="E470" s="50">
        <v>4</v>
      </c>
      <c r="F470" s="223">
        <v>5000</v>
      </c>
      <c r="G470" s="277">
        <f t="shared" si="7"/>
        <v>20000</v>
      </c>
      <c r="H470" s="112" t="s">
        <v>1338</v>
      </c>
      <c r="I470" s="113" t="s">
        <v>763</v>
      </c>
      <c r="J470" s="114" t="s">
        <v>116</v>
      </c>
    </row>
    <row r="471" spans="1:10">
      <c r="A471" s="48">
        <v>13</v>
      </c>
      <c r="B471" s="49" t="s">
        <v>766</v>
      </c>
      <c r="C471" s="111" t="s">
        <v>1339</v>
      </c>
      <c r="D471" s="111" t="s">
        <v>1340</v>
      </c>
      <c r="E471" s="50">
        <v>15</v>
      </c>
      <c r="F471" s="223">
        <v>7000</v>
      </c>
      <c r="G471" s="277">
        <f t="shared" si="7"/>
        <v>105000</v>
      </c>
      <c r="H471" s="112" t="s">
        <v>386</v>
      </c>
      <c r="I471" s="113" t="s">
        <v>763</v>
      </c>
      <c r="J471" s="114" t="s">
        <v>116</v>
      </c>
    </row>
    <row r="472" spans="1:10">
      <c r="A472" s="48">
        <v>13</v>
      </c>
      <c r="B472" s="49" t="s">
        <v>762</v>
      </c>
      <c r="C472" s="111" t="s">
        <v>387</v>
      </c>
      <c r="D472" s="111" t="s">
        <v>388</v>
      </c>
      <c r="E472" s="50">
        <v>7</v>
      </c>
      <c r="F472" s="223">
        <v>9714.2900000000009</v>
      </c>
      <c r="G472" s="277">
        <f t="shared" si="7"/>
        <v>68000.03</v>
      </c>
      <c r="H472" s="112" t="s">
        <v>386</v>
      </c>
      <c r="I472" s="113" t="s">
        <v>763</v>
      </c>
      <c r="J472" s="114" t="s">
        <v>116</v>
      </c>
    </row>
    <row r="473" spans="1:10">
      <c r="A473" s="48">
        <v>13</v>
      </c>
      <c r="B473" s="49" t="s">
        <v>762</v>
      </c>
      <c r="C473" s="111" t="s">
        <v>389</v>
      </c>
      <c r="D473" s="111" t="s">
        <v>390</v>
      </c>
      <c r="E473" s="50">
        <v>7</v>
      </c>
      <c r="F473" s="223">
        <v>4028.57</v>
      </c>
      <c r="G473" s="277">
        <f t="shared" si="7"/>
        <v>28199.99</v>
      </c>
      <c r="H473" s="112" t="s">
        <v>386</v>
      </c>
      <c r="I473" s="113" t="s">
        <v>763</v>
      </c>
      <c r="J473" s="114" t="s">
        <v>116</v>
      </c>
    </row>
    <row r="474" spans="1:10">
      <c r="A474" s="48">
        <v>13</v>
      </c>
      <c r="B474" s="49" t="s">
        <v>766</v>
      </c>
      <c r="C474" s="111" t="s">
        <v>1341</v>
      </c>
      <c r="D474" s="111" t="s">
        <v>1341</v>
      </c>
      <c r="E474" s="50">
        <v>1</v>
      </c>
      <c r="F474" s="223">
        <v>3000</v>
      </c>
      <c r="G474" s="277">
        <f t="shared" si="7"/>
        <v>3000</v>
      </c>
      <c r="H474" s="112" t="s">
        <v>386</v>
      </c>
      <c r="I474" s="113" t="s">
        <v>763</v>
      </c>
      <c r="J474" s="114" t="s">
        <v>116</v>
      </c>
    </row>
    <row r="475" spans="1:10">
      <c r="A475" s="48">
        <v>13</v>
      </c>
      <c r="B475" s="49" t="s">
        <v>1171</v>
      </c>
      <c r="C475" s="111" t="s">
        <v>1342</v>
      </c>
      <c r="D475" s="111" t="s">
        <v>1343</v>
      </c>
      <c r="E475" s="50">
        <v>1</v>
      </c>
      <c r="F475" s="223">
        <v>6200</v>
      </c>
      <c r="G475" s="277">
        <f t="shared" si="7"/>
        <v>6200</v>
      </c>
      <c r="H475" s="112" t="s">
        <v>386</v>
      </c>
      <c r="I475" s="113" t="s">
        <v>763</v>
      </c>
      <c r="J475" s="114" t="s">
        <v>116</v>
      </c>
    </row>
    <row r="476" spans="1:10">
      <c r="A476" s="48">
        <v>14</v>
      </c>
      <c r="B476" s="49" t="s">
        <v>762</v>
      </c>
      <c r="C476" s="111" t="s">
        <v>393</v>
      </c>
      <c r="D476" s="111" t="s">
        <v>394</v>
      </c>
      <c r="E476" s="50">
        <v>4.0999999999999996</v>
      </c>
      <c r="F476" s="223">
        <v>34000</v>
      </c>
      <c r="G476" s="277">
        <f t="shared" si="7"/>
        <v>139400</v>
      </c>
      <c r="H476" s="112" t="s">
        <v>392</v>
      </c>
      <c r="I476" s="113" t="s">
        <v>763</v>
      </c>
      <c r="J476" s="114" t="s">
        <v>116</v>
      </c>
    </row>
    <row r="477" spans="1:10">
      <c r="A477" s="48">
        <v>14</v>
      </c>
      <c r="B477" s="49" t="s">
        <v>762</v>
      </c>
      <c r="C477" s="111" t="s">
        <v>272</v>
      </c>
      <c r="D477" s="111" t="s">
        <v>395</v>
      </c>
      <c r="E477" s="50">
        <v>20.399999999999999</v>
      </c>
      <c r="F477" s="223">
        <v>20000</v>
      </c>
      <c r="G477" s="277">
        <f t="shared" si="7"/>
        <v>408000</v>
      </c>
      <c r="H477" s="112" t="s">
        <v>392</v>
      </c>
      <c r="I477" s="113" t="s">
        <v>763</v>
      </c>
      <c r="J477" s="114" t="s">
        <v>116</v>
      </c>
    </row>
    <row r="478" spans="1:10">
      <c r="A478" s="48">
        <v>14</v>
      </c>
      <c r="B478" s="49" t="s">
        <v>762</v>
      </c>
      <c r="C478" s="111" t="s">
        <v>209</v>
      </c>
      <c r="D478" s="111" t="s">
        <v>367</v>
      </c>
      <c r="E478" s="50">
        <v>19.422000000000001</v>
      </c>
      <c r="F478" s="223">
        <v>25900</v>
      </c>
      <c r="G478" s="277">
        <f t="shared" si="7"/>
        <v>503029.8</v>
      </c>
      <c r="H478" s="112" t="s">
        <v>396</v>
      </c>
      <c r="I478" s="113" t="s">
        <v>763</v>
      </c>
      <c r="J478" s="114" t="s">
        <v>116</v>
      </c>
    </row>
    <row r="479" spans="1:10">
      <c r="A479" s="48">
        <v>14</v>
      </c>
      <c r="B479" s="49" t="s">
        <v>762</v>
      </c>
      <c r="C479" s="111" t="s">
        <v>397</v>
      </c>
      <c r="D479" s="111" t="s">
        <v>398</v>
      </c>
      <c r="E479" s="50">
        <v>5.3220000000000001</v>
      </c>
      <c r="F479" s="223">
        <v>29500</v>
      </c>
      <c r="G479" s="277">
        <f t="shared" si="7"/>
        <v>156999</v>
      </c>
      <c r="H479" s="112" t="s">
        <v>396</v>
      </c>
      <c r="I479" s="113" t="s">
        <v>763</v>
      </c>
      <c r="J479" s="114" t="s">
        <v>116</v>
      </c>
    </row>
    <row r="480" spans="1:10">
      <c r="A480" s="48">
        <v>14</v>
      </c>
      <c r="B480" s="49" t="s">
        <v>766</v>
      </c>
      <c r="C480" s="111" t="s">
        <v>1300</v>
      </c>
      <c r="D480" s="111" t="s">
        <v>1301</v>
      </c>
      <c r="E480" s="50">
        <v>20.6</v>
      </c>
      <c r="F480" s="223">
        <v>1800</v>
      </c>
      <c r="G480" s="277">
        <f t="shared" si="7"/>
        <v>37080</v>
      </c>
      <c r="H480" s="112" t="s">
        <v>386</v>
      </c>
      <c r="I480" s="113" t="s">
        <v>763</v>
      </c>
      <c r="J480" s="114" t="s">
        <v>116</v>
      </c>
    </row>
    <row r="481" spans="1:10">
      <c r="A481" s="48">
        <v>14</v>
      </c>
      <c r="B481" s="49" t="s">
        <v>1033</v>
      </c>
      <c r="C481" s="111" t="s">
        <v>589</v>
      </c>
      <c r="D481" s="111" t="s">
        <v>1264</v>
      </c>
      <c r="E481" s="50">
        <v>2</v>
      </c>
      <c r="F481" s="223">
        <v>9500</v>
      </c>
      <c r="G481" s="277">
        <f t="shared" si="7"/>
        <v>19000</v>
      </c>
      <c r="H481" s="112" t="s">
        <v>1344</v>
      </c>
      <c r="I481" s="113" t="s">
        <v>763</v>
      </c>
      <c r="J481" s="114" t="s">
        <v>116</v>
      </c>
    </row>
    <row r="482" spans="1:10">
      <c r="A482" s="48">
        <v>14</v>
      </c>
      <c r="B482" s="49" t="s">
        <v>1033</v>
      </c>
      <c r="C482" s="111" t="s">
        <v>1345</v>
      </c>
      <c r="D482" s="111" t="s">
        <v>1267</v>
      </c>
      <c r="E482" s="50">
        <v>2</v>
      </c>
      <c r="F482" s="223">
        <v>5000</v>
      </c>
      <c r="G482" s="277">
        <f t="shared" si="7"/>
        <v>10000</v>
      </c>
      <c r="H482" s="112" t="s">
        <v>1344</v>
      </c>
      <c r="I482" s="113" t="s">
        <v>763</v>
      </c>
      <c r="J482" s="114" t="s">
        <v>116</v>
      </c>
    </row>
    <row r="483" spans="1:10">
      <c r="A483" s="48">
        <v>14</v>
      </c>
      <c r="B483" s="49" t="s">
        <v>1033</v>
      </c>
      <c r="C483" s="111" t="s">
        <v>1346</v>
      </c>
      <c r="D483" s="111" t="s">
        <v>1347</v>
      </c>
      <c r="E483" s="50">
        <v>9</v>
      </c>
      <c r="F483" s="223">
        <v>15333.33</v>
      </c>
      <c r="G483" s="277">
        <f t="shared" si="7"/>
        <v>137999.97</v>
      </c>
      <c r="H483" s="112" t="s">
        <v>1348</v>
      </c>
      <c r="I483" s="113" t="s">
        <v>763</v>
      </c>
      <c r="J483" s="114" t="s">
        <v>116</v>
      </c>
    </row>
    <row r="484" spans="1:10">
      <c r="A484" s="48">
        <v>14</v>
      </c>
      <c r="B484" s="49" t="s">
        <v>1259</v>
      </c>
      <c r="C484" s="111" t="s">
        <v>1349</v>
      </c>
      <c r="D484" s="111" t="s">
        <v>1350</v>
      </c>
      <c r="E484" s="50">
        <v>1</v>
      </c>
      <c r="F484" s="223">
        <v>300000</v>
      </c>
      <c r="G484" s="277">
        <f t="shared" si="7"/>
        <v>300000</v>
      </c>
      <c r="H484" s="112" t="s">
        <v>1351</v>
      </c>
      <c r="I484" s="113" t="s">
        <v>763</v>
      </c>
      <c r="J484" s="114" t="s">
        <v>116</v>
      </c>
    </row>
    <row r="485" spans="1:10">
      <c r="A485" s="48">
        <v>14</v>
      </c>
      <c r="B485" s="49" t="s">
        <v>762</v>
      </c>
      <c r="C485" s="111" t="s">
        <v>400</v>
      </c>
      <c r="D485" s="111" t="s">
        <v>401</v>
      </c>
      <c r="E485" s="50">
        <v>18.25</v>
      </c>
      <c r="F485" s="223">
        <v>19500</v>
      </c>
      <c r="G485" s="277">
        <f t="shared" si="7"/>
        <v>355875</v>
      </c>
      <c r="H485" s="112" t="s">
        <v>399</v>
      </c>
      <c r="I485" s="113" t="s">
        <v>763</v>
      </c>
      <c r="J485" s="114" t="s">
        <v>119</v>
      </c>
    </row>
    <row r="486" spans="1:10">
      <c r="A486" s="48">
        <v>14</v>
      </c>
      <c r="B486" s="49" t="s">
        <v>1126</v>
      </c>
      <c r="C486" s="111" t="s">
        <v>1352</v>
      </c>
      <c r="D486" s="111" t="s">
        <v>1353</v>
      </c>
      <c r="E486" s="50">
        <v>1</v>
      </c>
      <c r="F486" s="223">
        <v>3400000</v>
      </c>
      <c r="G486" s="277">
        <f t="shared" si="7"/>
        <v>3400000</v>
      </c>
      <c r="H486" s="112" t="s">
        <v>386</v>
      </c>
      <c r="I486" s="113" t="s">
        <v>763</v>
      </c>
      <c r="J486" s="114" t="s">
        <v>119</v>
      </c>
    </row>
    <row r="487" spans="1:10">
      <c r="A487" s="48">
        <v>14</v>
      </c>
      <c r="B487" s="49" t="s">
        <v>762</v>
      </c>
      <c r="C487" s="111" t="s">
        <v>403</v>
      </c>
      <c r="D487" s="111" t="s">
        <v>404</v>
      </c>
      <c r="E487" s="50">
        <v>17.100000000000001</v>
      </c>
      <c r="F487" s="223">
        <v>18500</v>
      </c>
      <c r="G487" s="277">
        <f t="shared" si="7"/>
        <v>316350</v>
      </c>
      <c r="H487" s="112" t="s">
        <v>402</v>
      </c>
      <c r="I487" s="113" t="s">
        <v>763</v>
      </c>
      <c r="J487" s="114" t="s">
        <v>119</v>
      </c>
    </row>
    <row r="488" spans="1:10">
      <c r="A488" s="48">
        <v>14</v>
      </c>
      <c r="B488" s="49" t="s">
        <v>762</v>
      </c>
      <c r="C488" s="111" t="s">
        <v>403</v>
      </c>
      <c r="D488" s="111" t="s">
        <v>406</v>
      </c>
      <c r="E488" s="50">
        <v>28.3</v>
      </c>
      <c r="F488" s="223">
        <v>18500</v>
      </c>
      <c r="G488" s="277">
        <f t="shared" si="7"/>
        <v>523550</v>
      </c>
      <c r="H488" s="112" t="s">
        <v>405</v>
      </c>
      <c r="I488" s="113" t="s">
        <v>763</v>
      </c>
      <c r="J488" s="114" t="s">
        <v>119</v>
      </c>
    </row>
    <row r="489" spans="1:10">
      <c r="A489" s="48">
        <v>15</v>
      </c>
      <c r="B489" s="49" t="s">
        <v>766</v>
      </c>
      <c r="C489" s="111" t="s">
        <v>1300</v>
      </c>
      <c r="D489" s="111" t="s">
        <v>1354</v>
      </c>
      <c r="E489" s="50">
        <v>22</v>
      </c>
      <c r="F489" s="223">
        <v>1800</v>
      </c>
      <c r="G489" s="277">
        <f t="shared" si="7"/>
        <v>39600</v>
      </c>
      <c r="H489" s="112" t="s">
        <v>386</v>
      </c>
      <c r="I489" s="113" t="s">
        <v>763</v>
      </c>
      <c r="J489" s="114" t="s">
        <v>116</v>
      </c>
    </row>
    <row r="490" spans="1:10">
      <c r="A490" s="48">
        <v>15</v>
      </c>
      <c r="B490" s="49" t="s">
        <v>787</v>
      </c>
      <c r="C490" s="111" t="s">
        <v>1355</v>
      </c>
      <c r="D490" s="111" t="s">
        <v>789</v>
      </c>
      <c r="E490" s="50">
        <v>1</v>
      </c>
      <c r="F490" s="223">
        <v>95820</v>
      </c>
      <c r="G490" s="277">
        <f t="shared" si="7"/>
        <v>95820</v>
      </c>
      <c r="H490" s="112" t="s">
        <v>1356</v>
      </c>
      <c r="I490" s="113" t="s">
        <v>763</v>
      </c>
      <c r="J490" s="114" t="s">
        <v>116</v>
      </c>
    </row>
    <row r="491" spans="1:10">
      <c r="A491" s="48">
        <v>16</v>
      </c>
      <c r="B491" s="49" t="s">
        <v>1320</v>
      </c>
      <c r="C491" s="111" t="s">
        <v>1357</v>
      </c>
      <c r="D491" s="111" t="s">
        <v>1358</v>
      </c>
      <c r="E491" s="50">
        <v>1</v>
      </c>
      <c r="F491" s="223">
        <v>100000</v>
      </c>
      <c r="G491" s="277">
        <f t="shared" si="7"/>
        <v>100000</v>
      </c>
      <c r="H491" s="112" t="s">
        <v>386</v>
      </c>
      <c r="I491" s="113" t="s">
        <v>763</v>
      </c>
      <c r="J491" s="114" t="s">
        <v>116</v>
      </c>
    </row>
    <row r="492" spans="1:10">
      <c r="A492" s="48">
        <v>16</v>
      </c>
      <c r="B492" s="49" t="s">
        <v>1320</v>
      </c>
      <c r="C492" s="111" t="s">
        <v>1359</v>
      </c>
      <c r="D492" s="111" t="s">
        <v>1360</v>
      </c>
      <c r="E492" s="50">
        <v>1</v>
      </c>
      <c r="F492" s="223">
        <v>800000</v>
      </c>
      <c r="G492" s="277">
        <f t="shared" si="7"/>
        <v>800000</v>
      </c>
      <c r="H492" s="112" t="s">
        <v>386</v>
      </c>
      <c r="I492" s="113" t="s">
        <v>763</v>
      </c>
      <c r="J492" s="114" t="s">
        <v>116</v>
      </c>
    </row>
    <row r="493" spans="1:10">
      <c r="A493" s="48">
        <v>16</v>
      </c>
      <c r="B493" s="49" t="s">
        <v>1320</v>
      </c>
      <c r="C493" s="111" t="s">
        <v>850</v>
      </c>
      <c r="D493" s="111" t="s">
        <v>1361</v>
      </c>
      <c r="E493" s="50">
        <v>1</v>
      </c>
      <c r="F493" s="223">
        <v>30000</v>
      </c>
      <c r="G493" s="277">
        <f t="shared" si="7"/>
        <v>30000</v>
      </c>
      <c r="H493" s="112" t="s">
        <v>386</v>
      </c>
      <c r="I493" s="113" t="s">
        <v>763</v>
      </c>
      <c r="J493" s="114" t="s">
        <v>116</v>
      </c>
    </row>
    <row r="494" spans="1:10">
      <c r="A494" s="48">
        <v>16</v>
      </c>
      <c r="B494" s="49" t="s">
        <v>1320</v>
      </c>
      <c r="C494" s="111" t="s">
        <v>850</v>
      </c>
      <c r="D494" s="111" t="s">
        <v>1362</v>
      </c>
      <c r="E494" s="50">
        <v>1</v>
      </c>
      <c r="F494" s="223">
        <v>30000</v>
      </c>
      <c r="G494" s="277">
        <f t="shared" si="7"/>
        <v>30000</v>
      </c>
      <c r="H494" s="112" t="s">
        <v>386</v>
      </c>
      <c r="I494" s="113" t="s">
        <v>763</v>
      </c>
      <c r="J494" s="114" t="s">
        <v>116</v>
      </c>
    </row>
    <row r="495" spans="1:10">
      <c r="A495" s="48">
        <v>16</v>
      </c>
      <c r="B495" s="49" t="s">
        <v>1320</v>
      </c>
      <c r="C495" s="111" t="s">
        <v>850</v>
      </c>
      <c r="D495" s="111" t="s">
        <v>1363</v>
      </c>
      <c r="E495" s="50">
        <v>1</v>
      </c>
      <c r="F495" s="223">
        <v>50000</v>
      </c>
      <c r="G495" s="277">
        <f t="shared" si="7"/>
        <v>50000</v>
      </c>
      <c r="H495" s="112" t="s">
        <v>386</v>
      </c>
      <c r="I495" s="113" t="s">
        <v>763</v>
      </c>
      <c r="J495" s="114" t="s">
        <v>116</v>
      </c>
    </row>
    <row r="496" spans="1:10">
      <c r="A496" s="48">
        <v>16</v>
      </c>
      <c r="B496" s="49" t="s">
        <v>1320</v>
      </c>
      <c r="C496" s="111" t="s">
        <v>850</v>
      </c>
      <c r="D496" s="111" t="s">
        <v>1363</v>
      </c>
      <c r="E496" s="50">
        <v>1</v>
      </c>
      <c r="F496" s="223">
        <v>27500</v>
      </c>
      <c r="G496" s="277">
        <f t="shared" si="7"/>
        <v>27500</v>
      </c>
      <c r="H496" s="112" t="s">
        <v>386</v>
      </c>
      <c r="I496" s="113" t="s">
        <v>763</v>
      </c>
      <c r="J496" s="114" t="s">
        <v>116</v>
      </c>
    </row>
    <row r="497" spans="1:10">
      <c r="A497" s="48">
        <v>16</v>
      </c>
      <c r="B497" s="49" t="s">
        <v>1320</v>
      </c>
      <c r="C497" s="111" t="s">
        <v>850</v>
      </c>
      <c r="D497" s="111" t="s">
        <v>1363</v>
      </c>
      <c r="E497" s="50">
        <v>1</v>
      </c>
      <c r="F497" s="223">
        <v>40000</v>
      </c>
      <c r="G497" s="277">
        <f t="shared" si="7"/>
        <v>40000</v>
      </c>
      <c r="H497" s="112" t="s">
        <v>386</v>
      </c>
      <c r="I497" s="113" t="s">
        <v>763</v>
      </c>
      <c r="J497" s="114" t="s">
        <v>116</v>
      </c>
    </row>
    <row r="498" spans="1:10">
      <c r="A498" s="282">
        <v>11</v>
      </c>
      <c r="B498" s="283" t="s">
        <v>86</v>
      </c>
      <c r="C498" s="284" t="s">
        <v>594</v>
      </c>
      <c r="D498" s="284" t="s">
        <v>468</v>
      </c>
      <c r="E498" s="285">
        <v>2</v>
      </c>
      <c r="F498" s="286">
        <v>9500</v>
      </c>
      <c r="G498" s="287">
        <f t="shared" si="7"/>
        <v>19000</v>
      </c>
      <c r="H498" s="288" t="s">
        <v>593</v>
      </c>
      <c r="I498" s="284" t="s">
        <v>763</v>
      </c>
      <c r="J498" s="289" t="s">
        <v>122</v>
      </c>
    </row>
    <row r="499" spans="1:10">
      <c r="A499" s="290">
        <v>11</v>
      </c>
      <c r="B499" s="291" t="s">
        <v>86</v>
      </c>
      <c r="C499" s="292" t="s">
        <v>595</v>
      </c>
      <c r="D499" s="292" t="s">
        <v>504</v>
      </c>
      <c r="E499" s="293">
        <v>3</v>
      </c>
      <c r="F499" s="294">
        <v>5000</v>
      </c>
      <c r="G499" s="295">
        <f t="shared" si="7"/>
        <v>15000</v>
      </c>
      <c r="H499" s="296" t="s">
        <v>593</v>
      </c>
      <c r="I499" s="292" t="s">
        <v>763</v>
      </c>
      <c r="J499" s="297" t="s">
        <v>122</v>
      </c>
    </row>
    <row r="500" spans="1:10">
      <c r="A500" s="282">
        <v>11</v>
      </c>
      <c r="B500" s="283" t="s">
        <v>762</v>
      </c>
      <c r="C500" s="284" t="s">
        <v>260</v>
      </c>
      <c r="D500" s="284" t="s">
        <v>363</v>
      </c>
      <c r="E500" s="285">
        <v>20.97</v>
      </c>
      <c r="F500" s="286">
        <v>18000</v>
      </c>
      <c r="G500" s="287">
        <f t="shared" si="7"/>
        <v>377460</v>
      </c>
      <c r="H500" s="288" t="s">
        <v>362</v>
      </c>
      <c r="I500" s="284" t="s">
        <v>763</v>
      </c>
      <c r="J500" s="289" t="s">
        <v>122</v>
      </c>
    </row>
    <row r="501" spans="1:10">
      <c r="A501" s="290">
        <v>10</v>
      </c>
      <c r="B501" s="291" t="s">
        <v>86</v>
      </c>
      <c r="C501" s="292" t="s">
        <v>583</v>
      </c>
      <c r="D501" s="292" t="s">
        <v>584</v>
      </c>
      <c r="E501" s="293">
        <v>1</v>
      </c>
      <c r="F501" s="294">
        <v>264500</v>
      </c>
      <c r="G501" s="295">
        <f t="shared" ref="G501:G532" si="8">IF(AND(ISNUMBER(E501), ISNUMBER(F501), E501&gt;0, F501&gt;0), ROUND(E501*F501, 2), IF(ISNUMBER(F501), F501, ""))</f>
        <v>264500</v>
      </c>
      <c r="H501" s="296" t="s">
        <v>582</v>
      </c>
      <c r="I501" s="292" t="s">
        <v>763</v>
      </c>
      <c r="J501" s="297" t="s">
        <v>122</v>
      </c>
    </row>
    <row r="502" spans="1:10">
      <c r="A502" s="282">
        <v>10</v>
      </c>
      <c r="B502" s="283" t="s">
        <v>86</v>
      </c>
      <c r="C502" s="284" t="s">
        <v>586</v>
      </c>
      <c r="D502" s="284" t="s">
        <v>587</v>
      </c>
      <c r="E502" s="285">
        <v>1</v>
      </c>
      <c r="F502" s="286">
        <v>65000</v>
      </c>
      <c r="G502" s="287">
        <f t="shared" si="8"/>
        <v>65000</v>
      </c>
      <c r="H502" s="288" t="s">
        <v>585</v>
      </c>
      <c r="I502" s="284" t="s">
        <v>763</v>
      </c>
      <c r="J502" s="289" t="s">
        <v>122</v>
      </c>
    </row>
    <row r="503" spans="1:10">
      <c r="A503" s="290">
        <v>11</v>
      </c>
      <c r="B503" s="291" t="s">
        <v>762</v>
      </c>
      <c r="C503" s="292" t="s">
        <v>245</v>
      </c>
      <c r="D503" s="292" t="s">
        <v>246</v>
      </c>
      <c r="E503" s="293">
        <v>40</v>
      </c>
      <c r="F503" s="294">
        <v>18200</v>
      </c>
      <c r="G503" s="295">
        <f t="shared" si="8"/>
        <v>728000</v>
      </c>
      <c r="H503" s="296" t="s">
        <v>364</v>
      </c>
      <c r="I503" s="292" t="s">
        <v>763</v>
      </c>
      <c r="J503" s="297" t="s">
        <v>122</v>
      </c>
    </row>
    <row r="504" spans="1:10">
      <c r="A504" s="282">
        <v>3</v>
      </c>
      <c r="B504" s="283" t="s">
        <v>762</v>
      </c>
      <c r="C504" s="284" t="s">
        <v>245</v>
      </c>
      <c r="D504" s="284" t="s">
        <v>246</v>
      </c>
      <c r="E504" s="285">
        <v>20</v>
      </c>
      <c r="F504" s="286">
        <v>18200</v>
      </c>
      <c r="G504" s="287">
        <f t="shared" si="8"/>
        <v>364000</v>
      </c>
      <c r="H504" s="288" t="s">
        <v>244</v>
      </c>
      <c r="I504" s="284" t="s">
        <v>763</v>
      </c>
      <c r="J504" s="289" t="s">
        <v>122</v>
      </c>
    </row>
    <row r="505" spans="1:10">
      <c r="A505" s="290">
        <v>5</v>
      </c>
      <c r="B505" s="291" t="s">
        <v>762</v>
      </c>
      <c r="C505" s="292" t="s">
        <v>245</v>
      </c>
      <c r="D505" s="292" t="s">
        <v>246</v>
      </c>
      <c r="E505" s="293">
        <v>20</v>
      </c>
      <c r="F505" s="294">
        <v>18200</v>
      </c>
      <c r="G505" s="295">
        <f t="shared" si="8"/>
        <v>364000</v>
      </c>
      <c r="H505" s="296" t="s">
        <v>284</v>
      </c>
      <c r="I505" s="292" t="s">
        <v>763</v>
      </c>
      <c r="J505" s="297" t="s">
        <v>122</v>
      </c>
    </row>
    <row r="506" spans="1:10">
      <c r="A506" s="282">
        <v>10</v>
      </c>
      <c r="B506" s="283" t="s">
        <v>86</v>
      </c>
      <c r="C506" s="284" t="s">
        <v>589</v>
      </c>
      <c r="D506" s="284" t="s">
        <v>590</v>
      </c>
      <c r="E506" s="285">
        <v>2</v>
      </c>
      <c r="F506" s="286">
        <v>9500</v>
      </c>
      <c r="G506" s="287">
        <f t="shared" si="8"/>
        <v>19000</v>
      </c>
      <c r="H506" s="288" t="s">
        <v>588</v>
      </c>
      <c r="I506" s="284" t="s">
        <v>763</v>
      </c>
      <c r="J506" s="289" t="s">
        <v>122</v>
      </c>
    </row>
    <row r="507" spans="1:10">
      <c r="A507" s="290">
        <v>9</v>
      </c>
      <c r="B507" s="291" t="s">
        <v>770</v>
      </c>
      <c r="C507" s="292" t="s">
        <v>1364</v>
      </c>
      <c r="D507" s="292" t="s">
        <v>1365</v>
      </c>
      <c r="E507" s="293">
        <v>1</v>
      </c>
      <c r="F507" s="294">
        <v>84000</v>
      </c>
      <c r="G507" s="295">
        <f t="shared" si="8"/>
        <v>84000</v>
      </c>
      <c r="H507" s="296" t="s">
        <v>1366</v>
      </c>
      <c r="I507" s="292" t="s">
        <v>763</v>
      </c>
      <c r="J507" s="297" t="s">
        <v>122</v>
      </c>
    </row>
    <row r="508" spans="1:10">
      <c r="A508" s="282">
        <v>9</v>
      </c>
      <c r="B508" s="283" t="s">
        <v>770</v>
      </c>
      <c r="C508" s="284" t="s">
        <v>1367</v>
      </c>
      <c r="D508" s="284" t="s">
        <v>1368</v>
      </c>
      <c r="E508" s="285">
        <v>2</v>
      </c>
      <c r="F508" s="286">
        <v>102000</v>
      </c>
      <c r="G508" s="287">
        <f t="shared" si="8"/>
        <v>204000</v>
      </c>
      <c r="H508" s="288" t="s">
        <v>1366</v>
      </c>
      <c r="I508" s="284" t="s">
        <v>763</v>
      </c>
      <c r="J508" s="289" t="s">
        <v>122</v>
      </c>
    </row>
    <row r="509" spans="1:10">
      <c r="A509" s="290">
        <v>9</v>
      </c>
      <c r="B509" s="291" t="s">
        <v>770</v>
      </c>
      <c r="C509" s="292" t="s">
        <v>1369</v>
      </c>
      <c r="D509" s="292" t="s">
        <v>1370</v>
      </c>
      <c r="E509" s="293">
        <v>3</v>
      </c>
      <c r="F509" s="294">
        <v>254000</v>
      </c>
      <c r="G509" s="295">
        <f t="shared" si="8"/>
        <v>762000</v>
      </c>
      <c r="H509" s="296" t="s">
        <v>1366</v>
      </c>
      <c r="I509" s="292" t="s">
        <v>763</v>
      </c>
      <c r="J509" s="297" t="s">
        <v>122</v>
      </c>
    </row>
    <row r="510" spans="1:10">
      <c r="A510" s="282">
        <v>9</v>
      </c>
      <c r="B510" s="283" t="s">
        <v>770</v>
      </c>
      <c r="C510" s="284" t="s">
        <v>1371</v>
      </c>
      <c r="D510" s="284" t="s">
        <v>1372</v>
      </c>
      <c r="E510" s="285">
        <v>1</v>
      </c>
      <c r="F510" s="286">
        <v>26000</v>
      </c>
      <c r="G510" s="287">
        <f t="shared" si="8"/>
        <v>26000</v>
      </c>
      <c r="H510" s="288" t="s">
        <v>1366</v>
      </c>
      <c r="I510" s="284" t="s">
        <v>763</v>
      </c>
      <c r="J510" s="289" t="s">
        <v>122</v>
      </c>
    </row>
    <row r="511" spans="1:10">
      <c r="A511" s="290">
        <v>10</v>
      </c>
      <c r="B511" s="291" t="s">
        <v>762</v>
      </c>
      <c r="C511" s="292" t="s">
        <v>350</v>
      </c>
      <c r="D511" s="292" t="s">
        <v>351</v>
      </c>
      <c r="E511" s="293">
        <v>4.1500000000000004</v>
      </c>
      <c r="F511" s="294">
        <v>33000</v>
      </c>
      <c r="G511" s="295">
        <f t="shared" si="8"/>
        <v>136950</v>
      </c>
      <c r="H511" s="296" t="s">
        <v>349</v>
      </c>
      <c r="I511" s="292" t="s">
        <v>763</v>
      </c>
      <c r="J511" s="297" t="s">
        <v>122</v>
      </c>
    </row>
    <row r="512" spans="1:10">
      <c r="A512" s="282">
        <v>5</v>
      </c>
      <c r="B512" s="283" t="s">
        <v>86</v>
      </c>
      <c r="C512" s="284" t="s">
        <v>471</v>
      </c>
      <c r="D512" s="284" t="s">
        <v>472</v>
      </c>
      <c r="E512" s="285">
        <v>5</v>
      </c>
      <c r="F512" s="286">
        <v>1820.73</v>
      </c>
      <c r="G512" s="287">
        <f t="shared" si="8"/>
        <v>9103.65</v>
      </c>
      <c r="H512" s="288" t="s">
        <v>470</v>
      </c>
      <c r="I512" s="284" t="s">
        <v>763</v>
      </c>
      <c r="J512" s="289" t="s">
        <v>122</v>
      </c>
    </row>
    <row r="513" spans="1:10">
      <c r="A513" s="290">
        <v>5</v>
      </c>
      <c r="B513" s="291" t="s">
        <v>86</v>
      </c>
      <c r="C513" s="292" t="s">
        <v>473</v>
      </c>
      <c r="D513" s="292" t="s">
        <v>474</v>
      </c>
      <c r="E513" s="293">
        <v>5</v>
      </c>
      <c r="F513" s="294">
        <v>1820.73</v>
      </c>
      <c r="G513" s="295">
        <f t="shared" si="8"/>
        <v>9103.65</v>
      </c>
      <c r="H513" s="296" t="s">
        <v>470</v>
      </c>
      <c r="I513" s="292" t="s">
        <v>763</v>
      </c>
      <c r="J513" s="297" t="s">
        <v>122</v>
      </c>
    </row>
    <row r="514" spans="1:10">
      <c r="A514" s="282">
        <v>5</v>
      </c>
      <c r="B514" s="283" t="s">
        <v>86</v>
      </c>
      <c r="C514" s="284" t="s">
        <v>475</v>
      </c>
      <c r="D514" s="284" t="s">
        <v>476</v>
      </c>
      <c r="E514" s="285">
        <v>5</v>
      </c>
      <c r="F514" s="286">
        <v>1820.73</v>
      </c>
      <c r="G514" s="287">
        <f t="shared" si="8"/>
        <v>9103.65</v>
      </c>
      <c r="H514" s="288" t="s">
        <v>470</v>
      </c>
      <c r="I514" s="284" t="s">
        <v>763</v>
      </c>
      <c r="J514" s="289" t="s">
        <v>122</v>
      </c>
    </row>
    <row r="515" spans="1:10">
      <c r="A515" s="290">
        <v>5</v>
      </c>
      <c r="B515" s="291" t="s">
        <v>86</v>
      </c>
      <c r="C515" s="292" t="s">
        <v>477</v>
      </c>
      <c r="D515" s="292" t="s">
        <v>478</v>
      </c>
      <c r="E515" s="293">
        <v>6</v>
      </c>
      <c r="F515" s="294">
        <v>1890.76</v>
      </c>
      <c r="G515" s="295">
        <f t="shared" si="8"/>
        <v>11344.56</v>
      </c>
      <c r="H515" s="296" t="s">
        <v>470</v>
      </c>
      <c r="I515" s="292" t="s">
        <v>763</v>
      </c>
      <c r="J515" s="297" t="s">
        <v>122</v>
      </c>
    </row>
    <row r="516" spans="1:10">
      <c r="A516" s="282">
        <v>5</v>
      </c>
      <c r="B516" s="283" t="s">
        <v>86</v>
      </c>
      <c r="C516" s="284" t="s">
        <v>479</v>
      </c>
      <c r="D516" s="284" t="s">
        <v>480</v>
      </c>
      <c r="E516" s="285">
        <v>6</v>
      </c>
      <c r="F516" s="286">
        <v>1890.76</v>
      </c>
      <c r="G516" s="287">
        <f t="shared" si="8"/>
        <v>11344.56</v>
      </c>
      <c r="H516" s="288" t="s">
        <v>470</v>
      </c>
      <c r="I516" s="284" t="s">
        <v>763</v>
      </c>
      <c r="J516" s="289" t="s">
        <v>122</v>
      </c>
    </row>
    <row r="517" spans="1:10">
      <c r="A517" s="290">
        <v>5</v>
      </c>
      <c r="B517" s="291" t="s">
        <v>86</v>
      </c>
      <c r="C517" s="292" t="s">
        <v>481</v>
      </c>
      <c r="D517" s="292" t="s">
        <v>482</v>
      </c>
      <c r="E517" s="293">
        <v>6</v>
      </c>
      <c r="F517" s="294">
        <v>3151.26</v>
      </c>
      <c r="G517" s="295">
        <f t="shared" si="8"/>
        <v>18907.560000000001</v>
      </c>
      <c r="H517" s="296" t="s">
        <v>470</v>
      </c>
      <c r="I517" s="292" t="s">
        <v>763</v>
      </c>
      <c r="J517" s="297" t="s">
        <v>122</v>
      </c>
    </row>
    <row r="518" spans="1:10">
      <c r="A518" s="282">
        <v>5</v>
      </c>
      <c r="B518" s="283" t="s">
        <v>86</v>
      </c>
      <c r="C518" s="284" t="s">
        <v>483</v>
      </c>
      <c r="D518" s="284" t="s">
        <v>484</v>
      </c>
      <c r="E518" s="285">
        <v>6</v>
      </c>
      <c r="F518" s="286">
        <v>3151.26</v>
      </c>
      <c r="G518" s="287">
        <f t="shared" si="8"/>
        <v>18907.560000000001</v>
      </c>
      <c r="H518" s="288" t="s">
        <v>470</v>
      </c>
      <c r="I518" s="284" t="s">
        <v>763</v>
      </c>
      <c r="J518" s="289" t="s">
        <v>122</v>
      </c>
    </row>
    <row r="519" spans="1:10">
      <c r="A519" s="290">
        <v>5</v>
      </c>
      <c r="B519" s="291" t="s">
        <v>86</v>
      </c>
      <c r="C519" s="292" t="s">
        <v>485</v>
      </c>
      <c r="D519" s="292" t="s">
        <v>486</v>
      </c>
      <c r="E519" s="293">
        <v>15</v>
      </c>
      <c r="F519" s="294">
        <v>1450.98</v>
      </c>
      <c r="G519" s="295">
        <f t="shared" si="8"/>
        <v>21764.7</v>
      </c>
      <c r="H519" s="296" t="s">
        <v>470</v>
      </c>
      <c r="I519" s="292" t="s">
        <v>763</v>
      </c>
      <c r="J519" s="297" t="s">
        <v>122</v>
      </c>
    </row>
    <row r="520" spans="1:10">
      <c r="A520" s="282">
        <v>5</v>
      </c>
      <c r="B520" s="283" t="s">
        <v>86</v>
      </c>
      <c r="C520" s="284" t="s">
        <v>487</v>
      </c>
      <c r="D520" s="284" t="s">
        <v>488</v>
      </c>
      <c r="E520" s="285">
        <v>15</v>
      </c>
      <c r="F520" s="286">
        <v>1450.98</v>
      </c>
      <c r="G520" s="287">
        <f t="shared" si="8"/>
        <v>21764.7</v>
      </c>
      <c r="H520" s="288" t="s">
        <v>470</v>
      </c>
      <c r="I520" s="284" t="s">
        <v>763</v>
      </c>
      <c r="J520" s="289" t="s">
        <v>122</v>
      </c>
    </row>
    <row r="521" spans="1:10">
      <c r="A521" s="290">
        <v>5</v>
      </c>
      <c r="B521" s="291" t="s">
        <v>86</v>
      </c>
      <c r="C521" s="292" t="s">
        <v>489</v>
      </c>
      <c r="D521" s="292" t="s">
        <v>490</v>
      </c>
      <c r="E521" s="293">
        <v>15</v>
      </c>
      <c r="F521" s="294">
        <v>1450.98</v>
      </c>
      <c r="G521" s="295">
        <f t="shared" si="8"/>
        <v>21764.7</v>
      </c>
      <c r="H521" s="296" t="s">
        <v>470</v>
      </c>
      <c r="I521" s="292" t="s">
        <v>763</v>
      </c>
      <c r="J521" s="297" t="s">
        <v>122</v>
      </c>
    </row>
    <row r="522" spans="1:10">
      <c r="A522" s="282">
        <v>5</v>
      </c>
      <c r="B522" s="283" t="s">
        <v>86</v>
      </c>
      <c r="C522" s="284" t="s">
        <v>491</v>
      </c>
      <c r="D522" s="284" t="s">
        <v>492</v>
      </c>
      <c r="E522" s="285">
        <v>15</v>
      </c>
      <c r="F522" s="286">
        <v>1450.98</v>
      </c>
      <c r="G522" s="287">
        <f t="shared" si="8"/>
        <v>21764.7</v>
      </c>
      <c r="H522" s="288" t="s">
        <v>470</v>
      </c>
      <c r="I522" s="284" t="s">
        <v>763</v>
      </c>
      <c r="J522" s="289" t="s">
        <v>122</v>
      </c>
    </row>
    <row r="523" spans="1:10">
      <c r="A523" s="290">
        <v>5</v>
      </c>
      <c r="B523" s="291" t="s">
        <v>86</v>
      </c>
      <c r="C523" s="292" t="s">
        <v>493</v>
      </c>
      <c r="D523" s="292" t="s">
        <v>494</v>
      </c>
      <c r="E523" s="293">
        <v>12</v>
      </c>
      <c r="F523" s="294">
        <v>3151.26</v>
      </c>
      <c r="G523" s="295">
        <f t="shared" si="8"/>
        <v>37815.120000000003</v>
      </c>
      <c r="H523" s="296" t="s">
        <v>470</v>
      </c>
      <c r="I523" s="292" t="s">
        <v>763</v>
      </c>
      <c r="J523" s="297" t="s">
        <v>122</v>
      </c>
    </row>
    <row r="524" spans="1:10">
      <c r="A524" s="282">
        <v>5</v>
      </c>
      <c r="B524" s="283" t="s">
        <v>86</v>
      </c>
      <c r="C524" s="284" t="s">
        <v>495</v>
      </c>
      <c r="D524" s="284" t="s">
        <v>496</v>
      </c>
      <c r="E524" s="285">
        <v>12</v>
      </c>
      <c r="F524" s="286">
        <v>3151.26</v>
      </c>
      <c r="G524" s="287">
        <f t="shared" si="8"/>
        <v>37815.120000000003</v>
      </c>
      <c r="H524" s="288" t="s">
        <v>470</v>
      </c>
      <c r="I524" s="284" t="s">
        <v>763</v>
      </c>
      <c r="J524" s="289" t="s">
        <v>122</v>
      </c>
    </row>
    <row r="525" spans="1:10">
      <c r="A525" s="290">
        <v>5</v>
      </c>
      <c r="B525" s="291" t="s">
        <v>86</v>
      </c>
      <c r="C525" s="292" t="s">
        <v>497</v>
      </c>
      <c r="D525" s="292" t="s">
        <v>498</v>
      </c>
      <c r="E525" s="293">
        <v>48</v>
      </c>
      <c r="F525" s="294">
        <v>1333.33</v>
      </c>
      <c r="G525" s="295">
        <f t="shared" si="8"/>
        <v>63999.839999999997</v>
      </c>
      <c r="H525" s="296" t="s">
        <v>470</v>
      </c>
      <c r="I525" s="292" t="s">
        <v>763</v>
      </c>
      <c r="J525" s="297" t="s">
        <v>122</v>
      </c>
    </row>
    <row r="526" spans="1:10">
      <c r="A526" s="282">
        <v>5</v>
      </c>
      <c r="B526" s="283" t="s">
        <v>86</v>
      </c>
      <c r="C526" s="284" t="s">
        <v>499</v>
      </c>
      <c r="D526" s="284" t="s">
        <v>500</v>
      </c>
      <c r="E526" s="285">
        <v>48</v>
      </c>
      <c r="F526" s="286">
        <v>1500</v>
      </c>
      <c r="G526" s="287">
        <f t="shared" si="8"/>
        <v>72000</v>
      </c>
      <c r="H526" s="288" t="s">
        <v>470</v>
      </c>
      <c r="I526" s="284" t="s">
        <v>763</v>
      </c>
      <c r="J526" s="289" t="s">
        <v>122</v>
      </c>
    </row>
    <row r="527" spans="1:10">
      <c r="A527" s="290">
        <v>10</v>
      </c>
      <c r="B527" s="291" t="s">
        <v>86</v>
      </c>
      <c r="C527" s="292" t="s">
        <v>464</v>
      </c>
      <c r="D527" s="292" t="s">
        <v>465</v>
      </c>
      <c r="E527" s="293">
        <v>6</v>
      </c>
      <c r="F527" s="294">
        <v>24395</v>
      </c>
      <c r="G527" s="295">
        <f t="shared" si="8"/>
        <v>146370</v>
      </c>
      <c r="H527" s="296" t="s">
        <v>591</v>
      </c>
      <c r="I527" s="292" t="s">
        <v>763</v>
      </c>
      <c r="J527" s="297" t="s">
        <v>122</v>
      </c>
    </row>
    <row r="528" spans="1:10">
      <c r="A528" s="282">
        <v>4</v>
      </c>
      <c r="B528" s="283" t="s">
        <v>86</v>
      </c>
      <c r="C528" s="284" t="s">
        <v>464</v>
      </c>
      <c r="D528" s="284" t="s">
        <v>465</v>
      </c>
      <c r="E528" s="285">
        <v>5</v>
      </c>
      <c r="F528" s="286">
        <v>24395</v>
      </c>
      <c r="G528" s="287">
        <f t="shared" si="8"/>
        <v>121975</v>
      </c>
      <c r="H528" s="288" t="s">
        <v>463</v>
      </c>
      <c r="I528" s="284" t="s">
        <v>763</v>
      </c>
      <c r="J528" s="289" t="s">
        <v>122</v>
      </c>
    </row>
    <row r="529" spans="1:10">
      <c r="A529" s="290">
        <v>4</v>
      </c>
      <c r="B529" s="291" t="s">
        <v>762</v>
      </c>
      <c r="C529" s="292" t="s">
        <v>260</v>
      </c>
      <c r="D529" s="292" t="s">
        <v>261</v>
      </c>
      <c r="E529" s="293">
        <v>20.74</v>
      </c>
      <c r="F529" s="294">
        <v>18000</v>
      </c>
      <c r="G529" s="295">
        <f t="shared" si="8"/>
        <v>373320</v>
      </c>
      <c r="H529" s="296" t="s">
        <v>259</v>
      </c>
      <c r="I529" s="292" t="s">
        <v>763</v>
      </c>
      <c r="J529" s="297" t="s">
        <v>122</v>
      </c>
    </row>
    <row r="530" spans="1:10">
      <c r="A530" s="282">
        <v>4</v>
      </c>
      <c r="B530" s="283" t="s">
        <v>762</v>
      </c>
      <c r="C530" s="284" t="s">
        <v>262</v>
      </c>
      <c r="D530" s="284" t="s">
        <v>263</v>
      </c>
      <c r="E530" s="285">
        <v>6.7649999999999997</v>
      </c>
      <c r="F530" s="286">
        <v>55000</v>
      </c>
      <c r="G530" s="287">
        <f t="shared" si="8"/>
        <v>372075</v>
      </c>
      <c r="H530" s="288" t="s">
        <v>259</v>
      </c>
      <c r="I530" s="284" t="s">
        <v>763</v>
      </c>
      <c r="J530" s="289" t="s">
        <v>122</v>
      </c>
    </row>
    <row r="531" spans="1:10">
      <c r="A531" s="290">
        <v>4</v>
      </c>
      <c r="B531" s="291" t="s">
        <v>762</v>
      </c>
      <c r="C531" s="292" t="s">
        <v>264</v>
      </c>
      <c r="D531" s="292" t="s">
        <v>265</v>
      </c>
      <c r="E531" s="293">
        <v>9.16</v>
      </c>
      <c r="F531" s="294">
        <v>23000</v>
      </c>
      <c r="G531" s="295">
        <f t="shared" si="8"/>
        <v>210680</v>
      </c>
      <c r="H531" s="296" t="s">
        <v>259</v>
      </c>
      <c r="I531" s="292" t="s">
        <v>763</v>
      </c>
      <c r="J531" s="297" t="s">
        <v>122</v>
      </c>
    </row>
    <row r="532" spans="1:10">
      <c r="A532" s="282">
        <v>4</v>
      </c>
      <c r="B532" s="283" t="s">
        <v>762</v>
      </c>
      <c r="C532" s="284" t="s">
        <v>266</v>
      </c>
      <c r="D532" s="284" t="s">
        <v>267</v>
      </c>
      <c r="E532" s="285">
        <v>7</v>
      </c>
      <c r="F532" s="286">
        <v>24000</v>
      </c>
      <c r="G532" s="287">
        <f t="shared" si="8"/>
        <v>168000</v>
      </c>
      <c r="H532" s="288" t="s">
        <v>259</v>
      </c>
      <c r="I532" s="284" t="s">
        <v>763</v>
      </c>
      <c r="J532" s="289" t="s">
        <v>122</v>
      </c>
    </row>
    <row r="533" spans="1:10">
      <c r="A533" s="290">
        <v>8</v>
      </c>
      <c r="B533" s="291" t="s">
        <v>780</v>
      </c>
      <c r="C533" s="292" t="s">
        <v>1373</v>
      </c>
      <c r="D533" s="292" t="s">
        <v>1374</v>
      </c>
      <c r="E533" s="293">
        <v>1</v>
      </c>
      <c r="F533" s="294">
        <v>29512</v>
      </c>
      <c r="G533" s="295">
        <f t="shared" ref="G533:G564" si="9">IF(AND(ISNUMBER(E533), ISNUMBER(F533), E533&gt;0, F533&gt;0), ROUND(E533*F533, 2), IF(ISNUMBER(F533), F533, ""))</f>
        <v>29512</v>
      </c>
      <c r="H533" s="296" t="s">
        <v>1375</v>
      </c>
      <c r="I533" s="292" t="s">
        <v>763</v>
      </c>
      <c r="J533" s="297" t="s">
        <v>122</v>
      </c>
    </row>
    <row r="534" spans="1:10">
      <c r="A534" s="282">
        <v>9</v>
      </c>
      <c r="B534" s="283" t="s">
        <v>86</v>
      </c>
      <c r="C534" s="284" t="s">
        <v>510</v>
      </c>
      <c r="D534" s="284" t="s">
        <v>504</v>
      </c>
      <c r="E534" s="285">
        <v>2</v>
      </c>
      <c r="F534" s="286">
        <v>5000</v>
      </c>
      <c r="G534" s="287">
        <f t="shared" si="9"/>
        <v>10000</v>
      </c>
      <c r="H534" s="288" t="s">
        <v>544</v>
      </c>
      <c r="I534" s="284" t="s">
        <v>763</v>
      </c>
      <c r="J534" s="289" t="s">
        <v>122</v>
      </c>
    </row>
    <row r="535" spans="1:10">
      <c r="A535" s="290">
        <v>9</v>
      </c>
      <c r="B535" s="291" t="s">
        <v>86</v>
      </c>
      <c r="C535" s="292" t="s">
        <v>546</v>
      </c>
      <c r="D535" s="292" t="s">
        <v>547</v>
      </c>
      <c r="E535" s="293">
        <v>5</v>
      </c>
      <c r="F535" s="294">
        <v>26000</v>
      </c>
      <c r="G535" s="295">
        <f t="shared" si="9"/>
        <v>130000</v>
      </c>
      <c r="H535" s="296" t="s">
        <v>545</v>
      </c>
      <c r="I535" s="292" t="s">
        <v>763</v>
      </c>
      <c r="J535" s="297" t="s">
        <v>122</v>
      </c>
    </row>
    <row r="536" spans="1:10">
      <c r="A536" s="282">
        <v>9</v>
      </c>
      <c r="B536" s="283" t="s">
        <v>780</v>
      </c>
      <c r="C536" s="284" t="s">
        <v>1376</v>
      </c>
      <c r="D536" s="284" t="s">
        <v>1377</v>
      </c>
      <c r="E536" s="285">
        <v>1</v>
      </c>
      <c r="F536" s="286">
        <v>1439070</v>
      </c>
      <c r="G536" s="287">
        <f t="shared" si="9"/>
        <v>1439070</v>
      </c>
      <c r="H536" s="288" t="s">
        <v>548</v>
      </c>
      <c r="I536" s="284" t="s">
        <v>763</v>
      </c>
      <c r="J536" s="289" t="s">
        <v>122</v>
      </c>
    </row>
    <row r="537" spans="1:10">
      <c r="A537" s="290">
        <v>9</v>
      </c>
      <c r="B537" s="291" t="s">
        <v>780</v>
      </c>
      <c r="C537" s="292" t="s">
        <v>1378</v>
      </c>
      <c r="D537" s="292" t="s">
        <v>1379</v>
      </c>
      <c r="E537" s="293">
        <v>1</v>
      </c>
      <c r="F537" s="294">
        <v>45900</v>
      </c>
      <c r="G537" s="295">
        <f t="shared" si="9"/>
        <v>45900</v>
      </c>
      <c r="H537" s="296" t="s">
        <v>548</v>
      </c>
      <c r="I537" s="292" t="s">
        <v>763</v>
      </c>
      <c r="J537" s="297" t="s">
        <v>122</v>
      </c>
    </row>
    <row r="538" spans="1:10">
      <c r="A538" s="282">
        <v>9</v>
      </c>
      <c r="B538" s="283" t="s">
        <v>780</v>
      </c>
      <c r="C538" s="284" t="s">
        <v>1380</v>
      </c>
      <c r="D538" s="284" t="s">
        <v>1381</v>
      </c>
      <c r="E538" s="285">
        <v>1</v>
      </c>
      <c r="F538" s="286">
        <v>27900</v>
      </c>
      <c r="G538" s="287">
        <f t="shared" si="9"/>
        <v>27900</v>
      </c>
      <c r="H538" s="288" t="s">
        <v>548</v>
      </c>
      <c r="I538" s="284" t="s">
        <v>763</v>
      </c>
      <c r="J538" s="289" t="s">
        <v>122</v>
      </c>
    </row>
    <row r="539" spans="1:10">
      <c r="A539" s="290">
        <v>9</v>
      </c>
      <c r="B539" s="291" t="s">
        <v>770</v>
      </c>
      <c r="C539" s="292" t="s">
        <v>1382</v>
      </c>
      <c r="D539" s="292" t="s">
        <v>1383</v>
      </c>
      <c r="E539" s="293">
        <v>1</v>
      </c>
      <c r="F539" s="294">
        <v>14800</v>
      </c>
      <c r="G539" s="295">
        <f t="shared" si="9"/>
        <v>14800</v>
      </c>
      <c r="H539" s="296" t="s">
        <v>548</v>
      </c>
      <c r="I539" s="292" t="s">
        <v>763</v>
      </c>
      <c r="J539" s="297" t="s">
        <v>122</v>
      </c>
    </row>
    <row r="540" spans="1:10">
      <c r="A540" s="282">
        <v>9</v>
      </c>
      <c r="B540" s="283" t="s">
        <v>86</v>
      </c>
      <c r="C540" s="284" t="s">
        <v>549</v>
      </c>
      <c r="D540" s="284" t="s">
        <v>550</v>
      </c>
      <c r="E540" s="285">
        <v>1</v>
      </c>
      <c r="F540" s="286">
        <v>44900</v>
      </c>
      <c r="G540" s="287">
        <f t="shared" si="9"/>
        <v>44900</v>
      </c>
      <c r="H540" s="288" t="s">
        <v>548</v>
      </c>
      <c r="I540" s="284" t="s">
        <v>763</v>
      </c>
      <c r="J540" s="289" t="s">
        <v>122</v>
      </c>
    </row>
    <row r="541" spans="1:10">
      <c r="A541" s="290">
        <v>9</v>
      </c>
      <c r="B541" s="291" t="s">
        <v>635</v>
      </c>
      <c r="C541" s="292" t="s">
        <v>1384</v>
      </c>
      <c r="D541" s="292" t="s">
        <v>1385</v>
      </c>
      <c r="E541" s="293">
        <v>1</v>
      </c>
      <c r="F541" s="294">
        <v>73</v>
      </c>
      <c r="G541" s="295">
        <f t="shared" si="9"/>
        <v>73</v>
      </c>
      <c r="H541" s="296" t="s">
        <v>548</v>
      </c>
      <c r="I541" s="292" t="s">
        <v>763</v>
      </c>
      <c r="J541" s="297" t="s">
        <v>122</v>
      </c>
    </row>
    <row r="542" spans="1:10">
      <c r="A542" s="282">
        <v>9</v>
      </c>
      <c r="B542" s="283" t="s">
        <v>86</v>
      </c>
      <c r="C542" s="284" t="s">
        <v>552</v>
      </c>
      <c r="D542" s="284" t="s">
        <v>553</v>
      </c>
      <c r="E542" s="285">
        <v>5</v>
      </c>
      <c r="F542" s="286">
        <v>3160</v>
      </c>
      <c r="G542" s="287">
        <f t="shared" si="9"/>
        <v>15800</v>
      </c>
      <c r="H542" s="288" t="s">
        <v>551</v>
      </c>
      <c r="I542" s="284" t="s">
        <v>763</v>
      </c>
      <c r="J542" s="289" t="s">
        <v>122</v>
      </c>
    </row>
    <row r="543" spans="1:10">
      <c r="A543" s="290">
        <v>9</v>
      </c>
      <c r="B543" s="291" t="s">
        <v>86</v>
      </c>
      <c r="C543" s="292" t="s">
        <v>554</v>
      </c>
      <c r="D543" s="292" t="s">
        <v>555</v>
      </c>
      <c r="E543" s="293">
        <v>5</v>
      </c>
      <c r="F543" s="294">
        <v>2510</v>
      </c>
      <c r="G543" s="295">
        <f t="shared" si="9"/>
        <v>12550</v>
      </c>
      <c r="H543" s="296" t="s">
        <v>551</v>
      </c>
      <c r="I543" s="292" t="s">
        <v>763</v>
      </c>
      <c r="J543" s="297" t="s">
        <v>122</v>
      </c>
    </row>
    <row r="544" spans="1:10">
      <c r="A544" s="282">
        <v>9</v>
      </c>
      <c r="B544" s="283" t="s">
        <v>86</v>
      </c>
      <c r="C544" s="284" t="s">
        <v>556</v>
      </c>
      <c r="D544" s="284" t="s">
        <v>557</v>
      </c>
      <c r="E544" s="285">
        <v>2</v>
      </c>
      <c r="F544" s="286">
        <v>18200</v>
      </c>
      <c r="G544" s="287">
        <f t="shared" si="9"/>
        <v>36400</v>
      </c>
      <c r="H544" s="288" t="s">
        <v>551</v>
      </c>
      <c r="I544" s="284" t="s">
        <v>763</v>
      </c>
      <c r="J544" s="289" t="s">
        <v>122</v>
      </c>
    </row>
    <row r="545" spans="1:10">
      <c r="A545" s="290">
        <v>9</v>
      </c>
      <c r="B545" s="291" t="s">
        <v>86</v>
      </c>
      <c r="C545" s="292" t="s">
        <v>558</v>
      </c>
      <c r="D545" s="292" t="s">
        <v>559</v>
      </c>
      <c r="E545" s="293">
        <v>70</v>
      </c>
      <c r="F545" s="294">
        <v>4180</v>
      </c>
      <c r="G545" s="295">
        <f t="shared" si="9"/>
        <v>292600</v>
      </c>
      <c r="H545" s="296" t="s">
        <v>551</v>
      </c>
      <c r="I545" s="292" t="s">
        <v>763</v>
      </c>
      <c r="J545" s="297" t="s">
        <v>122</v>
      </c>
    </row>
    <row r="546" spans="1:10">
      <c r="A546" s="282">
        <v>9</v>
      </c>
      <c r="B546" s="283" t="s">
        <v>86</v>
      </c>
      <c r="C546" s="284" t="s">
        <v>560</v>
      </c>
      <c r="D546" s="284" t="s">
        <v>561</v>
      </c>
      <c r="E546" s="285">
        <v>6</v>
      </c>
      <c r="F546" s="286">
        <v>1100</v>
      </c>
      <c r="G546" s="287">
        <f t="shared" si="9"/>
        <v>6600</v>
      </c>
      <c r="H546" s="288" t="s">
        <v>551</v>
      </c>
      <c r="I546" s="284" t="s">
        <v>763</v>
      </c>
      <c r="J546" s="289" t="s">
        <v>122</v>
      </c>
    </row>
    <row r="547" spans="1:10">
      <c r="A547" s="290">
        <v>9</v>
      </c>
      <c r="B547" s="291" t="s">
        <v>86</v>
      </c>
      <c r="C547" s="292" t="s">
        <v>562</v>
      </c>
      <c r="D547" s="292" t="s">
        <v>563</v>
      </c>
      <c r="E547" s="293">
        <v>6</v>
      </c>
      <c r="F547" s="294">
        <v>2510</v>
      </c>
      <c r="G547" s="295">
        <f t="shared" si="9"/>
        <v>15060</v>
      </c>
      <c r="H547" s="296" t="s">
        <v>551</v>
      </c>
      <c r="I547" s="292" t="s">
        <v>763</v>
      </c>
      <c r="J547" s="297" t="s">
        <v>122</v>
      </c>
    </row>
    <row r="548" spans="1:10">
      <c r="A548" s="282">
        <v>9</v>
      </c>
      <c r="B548" s="283" t="s">
        <v>86</v>
      </c>
      <c r="C548" s="284" t="s">
        <v>564</v>
      </c>
      <c r="D548" s="284" t="s">
        <v>565</v>
      </c>
      <c r="E548" s="285">
        <v>5</v>
      </c>
      <c r="F548" s="286">
        <v>3160</v>
      </c>
      <c r="G548" s="287">
        <f t="shared" si="9"/>
        <v>15800</v>
      </c>
      <c r="H548" s="288" t="s">
        <v>551</v>
      </c>
      <c r="I548" s="284" t="s">
        <v>763</v>
      </c>
      <c r="J548" s="289" t="s">
        <v>122</v>
      </c>
    </row>
    <row r="549" spans="1:10">
      <c r="A549" s="290">
        <v>9</v>
      </c>
      <c r="B549" s="291" t="s">
        <v>86</v>
      </c>
      <c r="C549" s="292" t="s">
        <v>566</v>
      </c>
      <c r="D549" s="292" t="s">
        <v>567</v>
      </c>
      <c r="E549" s="293">
        <v>6</v>
      </c>
      <c r="F549" s="294">
        <v>3160</v>
      </c>
      <c r="G549" s="295">
        <f t="shared" si="9"/>
        <v>18960</v>
      </c>
      <c r="H549" s="296" t="s">
        <v>551</v>
      </c>
      <c r="I549" s="292" t="s">
        <v>763</v>
      </c>
      <c r="J549" s="297" t="s">
        <v>122</v>
      </c>
    </row>
    <row r="550" spans="1:10">
      <c r="A550" s="282">
        <v>8</v>
      </c>
      <c r="B550" s="283" t="s">
        <v>86</v>
      </c>
      <c r="C550" s="284" t="s">
        <v>508</v>
      </c>
      <c r="D550" s="284" t="s">
        <v>468</v>
      </c>
      <c r="E550" s="285">
        <v>2</v>
      </c>
      <c r="F550" s="286">
        <v>9500</v>
      </c>
      <c r="G550" s="287">
        <f t="shared" si="9"/>
        <v>19000</v>
      </c>
      <c r="H550" s="288" t="s">
        <v>507</v>
      </c>
      <c r="I550" s="284" t="s">
        <v>763</v>
      </c>
      <c r="J550" s="289" t="s">
        <v>122</v>
      </c>
    </row>
    <row r="551" spans="1:10">
      <c r="A551" s="290">
        <v>8</v>
      </c>
      <c r="B551" s="291" t="s">
        <v>86</v>
      </c>
      <c r="C551" s="292" t="s">
        <v>510</v>
      </c>
      <c r="D551" s="292" t="s">
        <v>504</v>
      </c>
      <c r="E551" s="293">
        <v>2</v>
      </c>
      <c r="F551" s="294">
        <v>5000</v>
      </c>
      <c r="G551" s="295">
        <f t="shared" si="9"/>
        <v>10000</v>
      </c>
      <c r="H551" s="296" t="s">
        <v>509</v>
      </c>
      <c r="I551" s="292" t="s">
        <v>763</v>
      </c>
      <c r="J551" s="297" t="s">
        <v>122</v>
      </c>
    </row>
    <row r="552" spans="1:10">
      <c r="A552" s="282">
        <v>8</v>
      </c>
      <c r="B552" s="283" t="s">
        <v>766</v>
      </c>
      <c r="C552" s="284" t="s">
        <v>1386</v>
      </c>
      <c r="D552" s="284" t="s">
        <v>1387</v>
      </c>
      <c r="E552" s="285">
        <v>2.0099999999999998</v>
      </c>
      <c r="F552" s="286">
        <v>13000</v>
      </c>
      <c r="G552" s="287">
        <f t="shared" si="9"/>
        <v>26130</v>
      </c>
      <c r="H552" s="288" t="s">
        <v>315</v>
      </c>
      <c r="I552" s="284" t="s">
        <v>763</v>
      </c>
      <c r="J552" s="289" t="s">
        <v>122</v>
      </c>
    </row>
    <row r="553" spans="1:10">
      <c r="A553" s="290">
        <v>8</v>
      </c>
      <c r="B553" s="291" t="s">
        <v>766</v>
      </c>
      <c r="C553" s="292" t="s">
        <v>1386</v>
      </c>
      <c r="D553" s="292" t="s">
        <v>1387</v>
      </c>
      <c r="E553" s="293">
        <v>1</v>
      </c>
      <c r="F553" s="294">
        <v>13000</v>
      </c>
      <c r="G553" s="295">
        <f t="shared" si="9"/>
        <v>13000</v>
      </c>
      <c r="H553" s="296" t="s">
        <v>315</v>
      </c>
      <c r="I553" s="292" t="s">
        <v>763</v>
      </c>
      <c r="J553" s="297" t="s">
        <v>122</v>
      </c>
    </row>
    <row r="554" spans="1:10">
      <c r="A554" s="282">
        <v>8</v>
      </c>
      <c r="B554" s="283" t="s">
        <v>770</v>
      </c>
      <c r="C554" s="284" t="s">
        <v>1388</v>
      </c>
      <c r="D554" s="284" t="s">
        <v>1389</v>
      </c>
      <c r="E554" s="285">
        <v>1</v>
      </c>
      <c r="F554" s="286">
        <v>3700</v>
      </c>
      <c r="G554" s="287">
        <f t="shared" si="9"/>
        <v>3700</v>
      </c>
      <c r="H554" s="288" t="s">
        <v>315</v>
      </c>
      <c r="I554" s="284" t="s">
        <v>763</v>
      </c>
      <c r="J554" s="289" t="s">
        <v>122</v>
      </c>
    </row>
    <row r="555" spans="1:10">
      <c r="A555" s="290">
        <v>8</v>
      </c>
      <c r="B555" s="291" t="s">
        <v>770</v>
      </c>
      <c r="C555" s="292" t="s">
        <v>1388</v>
      </c>
      <c r="D555" s="292" t="s">
        <v>1389</v>
      </c>
      <c r="E555" s="293">
        <v>1</v>
      </c>
      <c r="F555" s="294">
        <v>3700</v>
      </c>
      <c r="G555" s="295">
        <f t="shared" si="9"/>
        <v>3700</v>
      </c>
      <c r="H555" s="296" t="s">
        <v>315</v>
      </c>
      <c r="I555" s="292" t="s">
        <v>763</v>
      </c>
      <c r="J555" s="297" t="s">
        <v>122</v>
      </c>
    </row>
    <row r="556" spans="1:10">
      <c r="A556" s="282">
        <v>8</v>
      </c>
      <c r="B556" s="283" t="s">
        <v>770</v>
      </c>
      <c r="C556" s="284" t="s">
        <v>1388</v>
      </c>
      <c r="D556" s="284" t="s">
        <v>1389</v>
      </c>
      <c r="E556" s="285">
        <v>1</v>
      </c>
      <c r="F556" s="286">
        <v>3700</v>
      </c>
      <c r="G556" s="287">
        <f t="shared" si="9"/>
        <v>3700</v>
      </c>
      <c r="H556" s="288" t="s">
        <v>315</v>
      </c>
      <c r="I556" s="284" t="s">
        <v>763</v>
      </c>
      <c r="J556" s="289" t="s">
        <v>122</v>
      </c>
    </row>
    <row r="557" spans="1:10">
      <c r="A557" s="290">
        <v>8</v>
      </c>
      <c r="B557" s="291" t="s">
        <v>770</v>
      </c>
      <c r="C557" s="292" t="s">
        <v>1388</v>
      </c>
      <c r="D557" s="292" t="s">
        <v>1389</v>
      </c>
      <c r="E557" s="293">
        <v>1</v>
      </c>
      <c r="F557" s="294">
        <v>3700</v>
      </c>
      <c r="G557" s="295">
        <f t="shared" si="9"/>
        <v>3700</v>
      </c>
      <c r="H557" s="296" t="s">
        <v>315</v>
      </c>
      <c r="I557" s="292" t="s">
        <v>763</v>
      </c>
      <c r="J557" s="297" t="s">
        <v>122</v>
      </c>
    </row>
    <row r="558" spans="1:10">
      <c r="A558" s="282">
        <v>8</v>
      </c>
      <c r="B558" s="283" t="s">
        <v>762</v>
      </c>
      <c r="C558" s="284" t="s">
        <v>316</v>
      </c>
      <c r="D558" s="284" t="s">
        <v>317</v>
      </c>
      <c r="E558" s="285">
        <v>2</v>
      </c>
      <c r="F558" s="286">
        <v>3050</v>
      </c>
      <c r="G558" s="287">
        <f t="shared" si="9"/>
        <v>6100</v>
      </c>
      <c r="H558" s="288" t="s">
        <v>315</v>
      </c>
      <c r="I558" s="284" t="s">
        <v>763</v>
      </c>
      <c r="J558" s="289" t="s">
        <v>122</v>
      </c>
    </row>
    <row r="559" spans="1:10">
      <c r="A559" s="290">
        <v>8</v>
      </c>
      <c r="B559" s="291" t="s">
        <v>762</v>
      </c>
      <c r="C559" s="292" t="s">
        <v>316</v>
      </c>
      <c r="D559" s="292" t="s">
        <v>317</v>
      </c>
      <c r="E559" s="293">
        <v>2</v>
      </c>
      <c r="F559" s="294">
        <v>3050</v>
      </c>
      <c r="G559" s="295">
        <f t="shared" si="9"/>
        <v>6100</v>
      </c>
      <c r="H559" s="296" t="s">
        <v>315</v>
      </c>
      <c r="I559" s="292" t="s">
        <v>763</v>
      </c>
      <c r="J559" s="297" t="s">
        <v>122</v>
      </c>
    </row>
    <row r="560" spans="1:10">
      <c r="A560" s="282">
        <v>8</v>
      </c>
      <c r="B560" s="283" t="s">
        <v>762</v>
      </c>
      <c r="C560" s="284" t="s">
        <v>316</v>
      </c>
      <c r="D560" s="284" t="s">
        <v>317</v>
      </c>
      <c r="E560" s="285">
        <v>2</v>
      </c>
      <c r="F560" s="286">
        <v>3050</v>
      </c>
      <c r="G560" s="287">
        <f t="shared" si="9"/>
        <v>6100</v>
      </c>
      <c r="H560" s="288" t="s">
        <v>315</v>
      </c>
      <c r="I560" s="284" t="s">
        <v>763</v>
      </c>
      <c r="J560" s="289" t="s">
        <v>122</v>
      </c>
    </row>
    <row r="561" spans="1:10">
      <c r="A561" s="290">
        <v>8</v>
      </c>
      <c r="B561" s="291" t="s">
        <v>762</v>
      </c>
      <c r="C561" s="292" t="s">
        <v>316</v>
      </c>
      <c r="D561" s="292" t="s">
        <v>317</v>
      </c>
      <c r="E561" s="293">
        <v>2</v>
      </c>
      <c r="F561" s="294">
        <v>3050</v>
      </c>
      <c r="G561" s="295">
        <f t="shared" si="9"/>
        <v>6100</v>
      </c>
      <c r="H561" s="296" t="s">
        <v>315</v>
      </c>
      <c r="I561" s="292" t="s">
        <v>763</v>
      </c>
      <c r="J561" s="297" t="s">
        <v>122</v>
      </c>
    </row>
    <row r="562" spans="1:10">
      <c r="A562" s="282">
        <v>8</v>
      </c>
      <c r="B562" s="283" t="s">
        <v>762</v>
      </c>
      <c r="C562" s="284" t="s">
        <v>316</v>
      </c>
      <c r="D562" s="284" t="s">
        <v>317</v>
      </c>
      <c r="E562" s="285">
        <v>2</v>
      </c>
      <c r="F562" s="286">
        <v>3050</v>
      </c>
      <c r="G562" s="287">
        <f t="shared" si="9"/>
        <v>6100</v>
      </c>
      <c r="H562" s="288" t="s">
        <v>315</v>
      </c>
      <c r="I562" s="284" t="s">
        <v>763</v>
      </c>
      <c r="J562" s="289" t="s">
        <v>122</v>
      </c>
    </row>
    <row r="563" spans="1:10">
      <c r="A563" s="290">
        <v>8</v>
      </c>
      <c r="B563" s="291" t="s">
        <v>635</v>
      </c>
      <c r="C563" s="292" t="s">
        <v>1390</v>
      </c>
      <c r="D563" s="292" t="s">
        <v>1391</v>
      </c>
      <c r="E563" s="293">
        <v>1</v>
      </c>
      <c r="F563" s="294">
        <v>2200</v>
      </c>
      <c r="G563" s="295">
        <f t="shared" si="9"/>
        <v>2200</v>
      </c>
      <c r="H563" s="296" t="s">
        <v>315</v>
      </c>
      <c r="I563" s="292" t="s">
        <v>763</v>
      </c>
      <c r="J563" s="297" t="s">
        <v>122</v>
      </c>
    </row>
    <row r="564" spans="1:10">
      <c r="A564" s="282">
        <v>7</v>
      </c>
      <c r="B564" s="283" t="s">
        <v>86</v>
      </c>
      <c r="C564" s="284" t="s">
        <v>467</v>
      </c>
      <c r="D564" s="284" t="s">
        <v>468</v>
      </c>
      <c r="E564" s="285">
        <v>2</v>
      </c>
      <c r="F564" s="286">
        <v>9500</v>
      </c>
      <c r="G564" s="287">
        <f t="shared" si="9"/>
        <v>19000</v>
      </c>
      <c r="H564" s="288" t="s">
        <v>502</v>
      </c>
      <c r="I564" s="284" t="s">
        <v>763</v>
      </c>
      <c r="J564" s="289" t="s">
        <v>122</v>
      </c>
    </row>
    <row r="565" spans="1:10">
      <c r="A565" s="290">
        <v>7</v>
      </c>
      <c r="B565" s="291" t="s">
        <v>86</v>
      </c>
      <c r="C565" s="292" t="s">
        <v>503</v>
      </c>
      <c r="D565" s="292" t="s">
        <v>504</v>
      </c>
      <c r="E565" s="293">
        <v>4</v>
      </c>
      <c r="F565" s="294">
        <v>5000</v>
      </c>
      <c r="G565" s="295">
        <f t="shared" ref="G565:G596" si="10">IF(AND(ISNUMBER(E565), ISNUMBER(F565), E565&gt;0, F565&gt;0), ROUND(E565*F565, 2), IF(ISNUMBER(F565), F565, ""))</f>
        <v>20000</v>
      </c>
      <c r="H565" s="296" t="s">
        <v>502</v>
      </c>
      <c r="I565" s="292" t="s">
        <v>763</v>
      </c>
      <c r="J565" s="297" t="s">
        <v>122</v>
      </c>
    </row>
    <row r="566" spans="1:10">
      <c r="A566" s="282">
        <v>7</v>
      </c>
      <c r="B566" s="283" t="s">
        <v>86</v>
      </c>
      <c r="C566" s="284" t="s">
        <v>467</v>
      </c>
      <c r="D566" s="284" t="s">
        <v>468</v>
      </c>
      <c r="E566" s="285">
        <v>2</v>
      </c>
      <c r="F566" s="286">
        <v>9500</v>
      </c>
      <c r="G566" s="287">
        <f t="shared" si="10"/>
        <v>19000</v>
      </c>
      <c r="H566" s="288" t="s">
        <v>505</v>
      </c>
      <c r="I566" s="284" t="s">
        <v>763</v>
      </c>
      <c r="J566" s="289" t="s">
        <v>122</v>
      </c>
    </row>
    <row r="567" spans="1:10">
      <c r="A567" s="290">
        <v>7</v>
      </c>
      <c r="B567" s="291" t="s">
        <v>86</v>
      </c>
      <c r="C567" s="292" t="s">
        <v>503</v>
      </c>
      <c r="D567" s="292" t="s">
        <v>504</v>
      </c>
      <c r="E567" s="293">
        <v>3</v>
      </c>
      <c r="F567" s="294">
        <v>5000</v>
      </c>
      <c r="G567" s="295">
        <f t="shared" si="10"/>
        <v>15000</v>
      </c>
      <c r="H567" s="296" t="s">
        <v>505</v>
      </c>
      <c r="I567" s="292" t="s">
        <v>763</v>
      </c>
      <c r="J567" s="297" t="s">
        <v>122</v>
      </c>
    </row>
    <row r="568" spans="1:10">
      <c r="A568" s="282">
        <v>4</v>
      </c>
      <c r="B568" s="283" t="s">
        <v>86</v>
      </c>
      <c r="C568" s="284" t="s">
        <v>467</v>
      </c>
      <c r="D568" s="284" t="s">
        <v>468</v>
      </c>
      <c r="E568" s="285">
        <v>2</v>
      </c>
      <c r="F568" s="286">
        <v>9500</v>
      </c>
      <c r="G568" s="287">
        <f t="shared" si="10"/>
        <v>19000</v>
      </c>
      <c r="H568" s="288" t="s">
        <v>466</v>
      </c>
      <c r="I568" s="284" t="s">
        <v>763</v>
      </c>
      <c r="J568" s="289" t="s">
        <v>122</v>
      </c>
    </row>
    <row r="569" spans="1:10">
      <c r="A569" s="48"/>
      <c r="B569" s="49"/>
      <c r="C569" s="49"/>
      <c r="D569" s="49"/>
      <c r="E569" s="50"/>
      <c r="F569" s="277"/>
      <c r="G569" s="277"/>
      <c r="H569" s="49"/>
      <c r="I569" s="107"/>
    </row>
    <row r="570" spans="1:10">
      <c r="A570" s="48"/>
      <c r="B570" s="49"/>
      <c r="C570" s="49"/>
      <c r="D570" s="49"/>
      <c r="E570" s="50"/>
      <c r="F570" s="277"/>
      <c r="G570" s="277"/>
      <c r="H570" s="49"/>
      <c r="I570" s="107"/>
    </row>
    <row r="571" spans="1:10">
      <c r="A571" s="48"/>
      <c r="B571" s="49"/>
      <c r="C571" s="49"/>
      <c r="D571" s="49"/>
      <c r="E571" s="50"/>
      <c r="F571" s="277"/>
      <c r="G571" s="277"/>
      <c r="H571" s="49"/>
      <c r="I571" s="107"/>
    </row>
    <row r="572" spans="1:10">
      <c r="A572" s="48"/>
      <c r="B572" s="49"/>
      <c r="C572" s="49"/>
      <c r="D572" s="49"/>
      <c r="E572" s="50"/>
      <c r="F572" s="277"/>
      <c r="G572" s="277"/>
      <c r="H572" s="49"/>
      <c r="I572" s="107"/>
    </row>
    <row r="573" spans="1:10">
      <c r="A573" s="48"/>
      <c r="B573" s="49"/>
      <c r="C573" s="49"/>
      <c r="D573" s="49"/>
      <c r="E573" s="50"/>
      <c r="F573" s="277"/>
      <c r="G573" s="277"/>
      <c r="H573" s="49"/>
      <c r="I573" s="107"/>
    </row>
    <row r="574" spans="1:10">
      <c r="A574" s="48"/>
      <c r="B574" s="49"/>
      <c r="C574" s="49"/>
      <c r="D574" s="49"/>
      <c r="E574" s="50"/>
      <c r="F574" s="277"/>
      <c r="G574" s="277"/>
      <c r="H574" s="49"/>
      <c r="I574" s="107"/>
    </row>
    <row r="575" spans="1:10">
      <c r="A575" s="48"/>
      <c r="B575" s="49"/>
      <c r="C575" s="49"/>
      <c r="D575" s="49"/>
      <c r="E575" s="50"/>
      <c r="F575" s="277"/>
      <c r="G575" s="277"/>
      <c r="H575" s="49"/>
      <c r="I575" s="107"/>
    </row>
    <row r="576" spans="1:10">
      <c r="A576" s="48"/>
      <c r="B576" s="49"/>
      <c r="C576" s="49"/>
      <c r="D576" s="49"/>
      <c r="E576" s="50"/>
      <c r="F576" s="277"/>
      <c r="G576" s="277"/>
      <c r="H576" s="49"/>
      <c r="I576" s="107"/>
    </row>
    <row r="577" spans="1:9">
      <c r="A577" s="48"/>
      <c r="B577" s="49"/>
      <c r="C577" s="49"/>
      <c r="D577" s="49"/>
      <c r="E577" s="50"/>
      <c r="F577" s="277"/>
      <c r="G577" s="277"/>
      <c r="H577" s="49"/>
      <c r="I577" s="107"/>
    </row>
    <row r="578" spans="1:9">
      <c r="A578" s="48"/>
      <c r="B578" s="49"/>
      <c r="C578" s="49"/>
      <c r="D578" s="49"/>
      <c r="E578" s="50"/>
      <c r="F578" s="277"/>
      <c r="G578" s="277"/>
      <c r="H578" s="49"/>
      <c r="I578" s="107"/>
    </row>
    <row r="579" spans="1:9">
      <c r="A579" s="48"/>
      <c r="B579" s="49"/>
      <c r="C579" s="49"/>
      <c r="D579" s="49"/>
      <c r="E579" s="50"/>
      <c r="F579" s="277"/>
      <c r="G579" s="277"/>
      <c r="H579" s="49"/>
      <c r="I579" s="107"/>
    </row>
    <row r="580" spans="1:9">
      <c r="A580" s="48"/>
      <c r="B580" s="49"/>
      <c r="C580" s="49"/>
      <c r="D580" s="49"/>
      <c r="E580" s="50"/>
      <c r="F580" s="277"/>
      <c r="G580" s="277"/>
      <c r="H580" s="49"/>
      <c r="I580" s="107"/>
    </row>
    <row r="581" spans="1:9">
      <c r="A581" s="48"/>
      <c r="B581" s="49"/>
      <c r="C581" s="49"/>
      <c r="D581" s="49"/>
      <c r="E581" s="50"/>
      <c r="F581" s="277"/>
      <c r="G581" s="277"/>
      <c r="H581" s="49"/>
      <c r="I581" s="107"/>
    </row>
    <row r="582" spans="1:9">
      <c r="A582" s="48"/>
      <c r="B582" s="49"/>
      <c r="C582" s="49"/>
      <c r="D582" s="49"/>
      <c r="E582" s="50"/>
      <c r="F582" s="277"/>
      <c r="G582" s="277"/>
      <c r="H582" s="49"/>
      <c r="I582" s="107"/>
    </row>
    <row r="583" spans="1:9">
      <c r="A583" s="48"/>
      <c r="B583" s="49"/>
      <c r="C583" s="49"/>
      <c r="D583" s="49"/>
      <c r="E583" s="50"/>
      <c r="F583" s="277"/>
      <c r="G583" s="277"/>
      <c r="H583" s="49"/>
      <c r="I583" s="107"/>
    </row>
    <row r="584" spans="1:9">
      <c r="A584" s="48"/>
      <c r="B584" s="49"/>
      <c r="C584" s="49"/>
      <c r="D584" s="49"/>
      <c r="E584" s="50"/>
      <c r="F584" s="277"/>
      <c r="G584" s="277"/>
      <c r="H584" s="49"/>
      <c r="I584" s="107"/>
    </row>
    <row r="585" spans="1:9">
      <c r="A585" s="48"/>
      <c r="B585" s="49"/>
      <c r="C585" s="49"/>
      <c r="D585" s="49"/>
      <c r="E585" s="50"/>
      <c r="F585" s="277"/>
      <c r="G585" s="277"/>
      <c r="H585" s="49"/>
      <c r="I585" s="107"/>
    </row>
    <row r="586" spans="1:9">
      <c r="A586" s="48"/>
      <c r="B586" s="49"/>
      <c r="C586" s="49"/>
      <c r="D586" s="49"/>
      <c r="E586" s="50"/>
      <c r="F586" s="277"/>
      <c r="G586" s="277"/>
      <c r="H586" s="49"/>
      <c r="I586" s="107"/>
    </row>
    <row r="587" spans="1:9">
      <c r="A587" s="48"/>
      <c r="B587" s="49"/>
      <c r="C587" s="49"/>
      <c r="D587" s="49"/>
      <c r="E587" s="50"/>
      <c r="F587" s="277"/>
      <c r="G587" s="277"/>
      <c r="H587" s="49"/>
      <c r="I587" s="107"/>
    </row>
    <row r="588" spans="1:9">
      <c r="A588" s="48"/>
      <c r="B588" s="49"/>
      <c r="C588" s="49"/>
      <c r="D588" s="49"/>
      <c r="E588" s="50"/>
      <c r="F588" s="277"/>
      <c r="G588" s="277"/>
      <c r="H588" s="49"/>
      <c r="I588" s="107"/>
    </row>
    <row r="589" spans="1:9">
      <c r="A589" s="48"/>
      <c r="B589" s="49"/>
      <c r="C589" s="49"/>
      <c r="D589" s="49"/>
      <c r="E589" s="50"/>
      <c r="F589" s="277"/>
      <c r="G589" s="277"/>
      <c r="H589" s="49"/>
      <c r="I589" s="107"/>
    </row>
    <row r="590" spans="1:9">
      <c r="A590" s="48"/>
      <c r="B590" s="49"/>
      <c r="C590" s="49"/>
      <c r="D590" s="49"/>
      <c r="E590" s="50"/>
      <c r="F590" s="277"/>
      <c r="G590" s="277"/>
      <c r="H590" s="49"/>
      <c r="I590" s="107"/>
    </row>
    <row r="591" spans="1:9">
      <c r="A591" s="48"/>
      <c r="B591" s="49"/>
      <c r="C591" s="49"/>
      <c r="D591" s="49"/>
      <c r="E591" s="50"/>
      <c r="F591" s="277"/>
      <c r="G591" s="277"/>
      <c r="H591" s="49"/>
      <c r="I591" s="107"/>
    </row>
    <row r="592" spans="1:9">
      <c r="A592" s="48"/>
      <c r="B592" s="49"/>
      <c r="C592" s="49"/>
      <c r="D592" s="49"/>
      <c r="E592" s="50"/>
      <c r="F592" s="277"/>
      <c r="G592" s="277"/>
      <c r="H592" s="49"/>
      <c r="I592" s="107"/>
    </row>
    <row r="593" spans="1:9">
      <c r="A593" s="48"/>
      <c r="B593" s="49"/>
      <c r="C593" s="49"/>
      <c r="D593" s="49"/>
      <c r="E593" s="50"/>
      <c r="F593" s="277"/>
      <c r="G593" s="277"/>
      <c r="H593" s="49"/>
      <c r="I593" s="107"/>
    </row>
    <row r="594" spans="1:9">
      <c r="A594" s="48"/>
      <c r="B594" s="49"/>
      <c r="C594" s="49"/>
      <c r="D594" s="49"/>
      <c r="E594" s="50"/>
      <c r="F594" s="277"/>
      <c r="G594" s="277"/>
      <c r="H594" s="49"/>
      <c r="I594" s="107"/>
    </row>
    <row r="595" spans="1:9">
      <c r="A595" s="48"/>
      <c r="B595" s="49"/>
      <c r="C595" s="49"/>
      <c r="D595" s="49"/>
      <c r="E595" s="50"/>
      <c r="F595" s="277"/>
      <c r="G595" s="277"/>
      <c r="H595" s="49"/>
      <c r="I595" s="107"/>
    </row>
    <row r="596" spans="1:9">
      <c r="A596" s="48"/>
      <c r="B596" s="49"/>
      <c r="C596" s="49"/>
      <c r="D596" s="49"/>
      <c r="E596" s="50"/>
      <c r="F596" s="277"/>
      <c r="G596" s="277"/>
      <c r="H596" s="49"/>
      <c r="I596" s="107"/>
    </row>
    <row r="597" spans="1:9">
      <c r="A597" s="48"/>
      <c r="B597" s="49"/>
      <c r="C597" s="49"/>
      <c r="D597" s="49"/>
      <c r="E597" s="50"/>
      <c r="F597" s="277"/>
      <c r="G597" s="277"/>
      <c r="H597" s="49"/>
      <c r="I597" s="107"/>
    </row>
    <row r="598" spans="1:9">
      <c r="A598" s="48"/>
      <c r="B598" s="49"/>
      <c r="C598" s="49"/>
      <c r="D598" s="49"/>
      <c r="E598" s="50"/>
      <c r="F598" s="277"/>
      <c r="G598" s="277"/>
      <c r="H598" s="49"/>
      <c r="I598" s="107"/>
    </row>
    <row r="599" spans="1:9">
      <c r="A599" s="48"/>
      <c r="B599" s="49"/>
      <c r="C599" s="49"/>
      <c r="D599" s="49"/>
      <c r="E599" s="50"/>
      <c r="F599" s="277"/>
      <c r="G599" s="277"/>
      <c r="H599" s="49"/>
      <c r="I599" s="107"/>
    </row>
    <row r="600" spans="1:9">
      <c r="A600" s="48"/>
      <c r="B600" s="49"/>
      <c r="C600" s="49"/>
      <c r="D600" s="49"/>
      <c r="E600" s="50"/>
      <c r="F600" s="277"/>
      <c r="G600" s="277"/>
      <c r="H600" s="49"/>
      <c r="I600" s="107"/>
    </row>
    <row r="601" spans="1:9">
      <c r="A601" s="48"/>
      <c r="B601" s="49"/>
      <c r="C601" s="49"/>
      <c r="D601" s="49"/>
      <c r="E601" s="50"/>
      <c r="F601" s="277"/>
      <c r="G601" s="277"/>
      <c r="H601" s="49"/>
      <c r="I601" s="107"/>
    </row>
    <row r="602" spans="1:9">
      <c r="A602" s="48"/>
      <c r="B602" s="49"/>
      <c r="C602" s="49"/>
      <c r="D602" s="49"/>
      <c r="E602" s="50"/>
      <c r="F602" s="277"/>
      <c r="G602" s="277"/>
      <c r="H602" s="49"/>
      <c r="I602" s="107"/>
    </row>
    <row r="603" spans="1:9">
      <c r="A603" s="48"/>
      <c r="B603" s="49"/>
      <c r="C603" s="49"/>
      <c r="D603" s="49"/>
      <c r="E603" s="50"/>
      <c r="F603" s="277"/>
      <c r="G603" s="277"/>
      <c r="H603" s="49"/>
      <c r="I603" s="107"/>
    </row>
    <row r="604" spans="1:9">
      <c r="A604" s="48"/>
      <c r="B604" s="49"/>
      <c r="C604" s="49"/>
      <c r="D604" s="49"/>
      <c r="E604" s="50"/>
      <c r="F604" s="277"/>
      <c r="G604" s="277"/>
      <c r="H604" s="49"/>
      <c r="I604" s="107"/>
    </row>
    <row r="605" spans="1:9">
      <c r="A605" s="48"/>
      <c r="B605" s="49"/>
      <c r="C605" s="49"/>
      <c r="D605" s="49"/>
      <c r="E605" s="50"/>
      <c r="F605" s="277"/>
      <c r="G605" s="277"/>
      <c r="H605" s="49"/>
      <c r="I605" s="107"/>
    </row>
    <row r="606" spans="1:9">
      <c r="A606" s="48"/>
      <c r="B606" s="49"/>
      <c r="C606" s="49"/>
      <c r="D606" s="49"/>
      <c r="E606" s="50"/>
      <c r="F606" s="277"/>
      <c r="G606" s="277"/>
      <c r="H606" s="49"/>
      <c r="I606" s="107"/>
    </row>
    <row r="607" spans="1:9">
      <c r="A607" s="48"/>
      <c r="B607" s="49"/>
      <c r="C607" s="49"/>
      <c r="D607" s="49"/>
      <c r="E607" s="50"/>
      <c r="F607" s="277"/>
      <c r="G607" s="277"/>
      <c r="H607" s="49"/>
      <c r="I607" s="107"/>
    </row>
    <row r="608" spans="1:9">
      <c r="A608" s="48"/>
      <c r="B608" s="49"/>
      <c r="C608" s="49"/>
      <c r="D608" s="49"/>
      <c r="E608" s="50"/>
      <c r="F608" s="277"/>
      <c r="G608" s="277"/>
      <c r="H608" s="49"/>
      <c r="I608" s="107"/>
    </row>
    <row r="609" spans="1:9">
      <c r="A609" s="48"/>
      <c r="B609" s="49"/>
      <c r="C609" s="49"/>
      <c r="D609" s="49"/>
      <c r="E609" s="50"/>
      <c r="F609" s="277"/>
      <c r="G609" s="277"/>
      <c r="H609" s="49"/>
      <c r="I609" s="107"/>
    </row>
    <row r="610" spans="1:9">
      <c r="A610" s="48"/>
      <c r="B610" s="49"/>
      <c r="C610" s="49"/>
      <c r="D610" s="49"/>
      <c r="E610" s="50"/>
      <c r="F610" s="277"/>
      <c r="G610" s="277"/>
      <c r="H610" s="49"/>
      <c r="I610" s="107"/>
    </row>
    <row r="611" spans="1:9">
      <c r="A611" s="48"/>
      <c r="B611" s="49"/>
      <c r="C611" s="49"/>
      <c r="D611" s="49"/>
      <c r="E611" s="50"/>
      <c r="F611" s="277"/>
      <c r="G611" s="277"/>
      <c r="H611" s="49"/>
      <c r="I611" s="107"/>
    </row>
    <row r="612" spans="1:9">
      <c r="A612" s="48"/>
      <c r="B612" s="49"/>
      <c r="C612" s="49"/>
      <c r="D612" s="49"/>
      <c r="E612" s="50"/>
      <c r="F612" s="277"/>
      <c r="G612" s="277"/>
      <c r="H612" s="49"/>
      <c r="I612" s="107"/>
    </row>
    <row r="613" spans="1:9">
      <c r="A613" s="48"/>
      <c r="B613" s="49"/>
      <c r="C613" s="49"/>
      <c r="D613" s="49"/>
      <c r="E613" s="50"/>
      <c r="F613" s="277"/>
      <c r="G613" s="277"/>
      <c r="H613" s="49"/>
      <c r="I613" s="107"/>
    </row>
    <row r="614" spans="1:9">
      <c r="A614" s="48"/>
      <c r="B614" s="49"/>
      <c r="C614" s="49"/>
      <c r="D614" s="49"/>
      <c r="E614" s="50"/>
      <c r="F614" s="277"/>
      <c r="G614" s="277"/>
      <c r="H614" s="49"/>
      <c r="I614" s="107"/>
    </row>
    <row r="615" spans="1:9">
      <c r="A615" s="48"/>
      <c r="B615" s="49"/>
      <c r="C615" s="49"/>
      <c r="D615" s="49"/>
      <c r="E615" s="50"/>
      <c r="F615" s="277"/>
      <c r="G615" s="277"/>
      <c r="H615" s="49"/>
      <c r="I615" s="107"/>
    </row>
    <row r="616" spans="1:9">
      <c r="A616" s="48"/>
      <c r="B616" s="49"/>
      <c r="C616" s="49"/>
      <c r="D616" s="49"/>
      <c r="E616" s="50"/>
      <c r="F616" s="277"/>
      <c r="G616" s="277"/>
      <c r="H616" s="49"/>
      <c r="I616" s="107"/>
    </row>
    <row r="617" spans="1:9">
      <c r="A617" s="48"/>
      <c r="B617" s="49"/>
      <c r="C617" s="49"/>
      <c r="D617" s="49"/>
      <c r="E617" s="50"/>
      <c r="F617" s="277"/>
      <c r="G617" s="277"/>
      <c r="H617" s="49"/>
      <c r="I617" s="107"/>
    </row>
    <row r="618" spans="1:9">
      <c r="A618" s="48"/>
      <c r="B618" s="49"/>
      <c r="C618" s="49"/>
      <c r="D618" s="49"/>
      <c r="E618" s="50"/>
      <c r="F618" s="277"/>
      <c r="G618" s="277"/>
      <c r="H618" s="49"/>
      <c r="I618" s="107"/>
    </row>
    <row r="619" spans="1:9">
      <c r="A619" s="48"/>
      <c r="B619" s="49"/>
      <c r="C619" s="49"/>
      <c r="D619" s="49"/>
      <c r="E619" s="50"/>
      <c r="F619" s="277"/>
      <c r="G619" s="277"/>
      <c r="H619" s="49"/>
      <c r="I619" s="107"/>
    </row>
    <row r="620" spans="1:9">
      <c r="A620" s="48"/>
      <c r="B620" s="49"/>
      <c r="C620" s="49"/>
      <c r="D620" s="49"/>
      <c r="E620" s="50"/>
      <c r="F620" s="277"/>
      <c r="G620" s="277"/>
      <c r="H620" s="49"/>
      <c r="I620" s="107"/>
    </row>
    <row r="621" spans="1:9">
      <c r="A621" s="48"/>
      <c r="B621" s="49"/>
      <c r="C621" s="49"/>
      <c r="D621" s="49"/>
      <c r="E621" s="50"/>
      <c r="F621" s="277"/>
      <c r="G621" s="277"/>
      <c r="H621" s="49"/>
      <c r="I621" s="107"/>
    </row>
    <row r="622" spans="1:9">
      <c r="A622" s="48"/>
      <c r="B622" s="49"/>
      <c r="C622" s="49"/>
      <c r="D622" s="49"/>
      <c r="E622" s="50"/>
      <c r="F622" s="277"/>
      <c r="G622" s="277"/>
      <c r="H622" s="49"/>
      <c r="I622" s="107"/>
    </row>
    <row r="623" spans="1:9">
      <c r="A623" s="48"/>
      <c r="B623" s="49"/>
      <c r="C623" s="49"/>
      <c r="D623" s="49"/>
      <c r="E623" s="50"/>
      <c r="F623" s="277"/>
      <c r="G623" s="277"/>
      <c r="H623" s="49"/>
      <c r="I623" s="107"/>
    </row>
    <row r="624" spans="1:9">
      <c r="A624" s="48"/>
      <c r="B624" s="49"/>
      <c r="C624" s="49"/>
      <c r="D624" s="49"/>
      <c r="E624" s="50"/>
      <c r="F624" s="277"/>
      <c r="G624" s="277"/>
      <c r="H624" s="49"/>
      <c r="I624" s="107"/>
    </row>
    <row r="625" spans="1:9">
      <c r="A625" s="48"/>
      <c r="B625" s="49"/>
      <c r="C625" s="49"/>
      <c r="D625" s="49"/>
      <c r="E625" s="50"/>
      <c r="F625" s="277"/>
      <c r="G625" s="277"/>
      <c r="H625" s="49"/>
      <c r="I625" s="107"/>
    </row>
    <row r="626" spans="1:9">
      <c r="A626" s="48"/>
      <c r="B626" s="49"/>
      <c r="C626" s="49"/>
      <c r="D626" s="49"/>
      <c r="E626" s="50"/>
      <c r="F626" s="277"/>
      <c r="G626" s="277"/>
      <c r="H626" s="49"/>
      <c r="I626" s="107"/>
    </row>
    <row r="627" spans="1:9">
      <c r="A627" s="48"/>
      <c r="B627" s="49"/>
      <c r="C627" s="49"/>
      <c r="D627" s="49"/>
      <c r="E627" s="50"/>
      <c r="F627" s="277"/>
      <c r="G627" s="277"/>
      <c r="H627" s="49"/>
      <c r="I627" s="107"/>
    </row>
    <row r="628" spans="1:9">
      <c r="A628" s="48"/>
      <c r="B628" s="49"/>
      <c r="C628" s="49"/>
      <c r="D628" s="49"/>
      <c r="E628" s="50"/>
      <c r="F628" s="277"/>
      <c r="G628" s="277"/>
      <c r="H628" s="49"/>
      <c r="I628" s="107"/>
    </row>
    <row r="629" spans="1:9">
      <c r="A629" s="48"/>
      <c r="B629" s="49"/>
      <c r="C629" s="49"/>
      <c r="D629" s="49"/>
      <c r="E629" s="50"/>
      <c r="F629" s="277"/>
      <c r="G629" s="277"/>
      <c r="H629" s="49"/>
      <c r="I629" s="107"/>
    </row>
    <row r="630" spans="1:9">
      <c r="A630" s="48"/>
      <c r="B630" s="49"/>
      <c r="C630" s="49"/>
      <c r="D630" s="49"/>
      <c r="E630" s="50"/>
      <c r="F630" s="277"/>
      <c r="G630" s="277"/>
      <c r="H630" s="49"/>
      <c r="I630" s="107"/>
    </row>
    <row r="631" spans="1:9">
      <c r="A631" s="48"/>
      <c r="B631" s="49"/>
      <c r="C631" s="49"/>
      <c r="D631" s="49"/>
      <c r="E631" s="50"/>
      <c r="F631" s="277"/>
      <c r="G631" s="277"/>
      <c r="H631" s="49"/>
      <c r="I631" s="107"/>
    </row>
    <row r="632" spans="1:9">
      <c r="A632" s="48"/>
      <c r="B632" s="49"/>
      <c r="C632" s="49"/>
      <c r="D632" s="49"/>
      <c r="E632" s="50"/>
      <c r="F632" s="277"/>
      <c r="G632" s="277"/>
      <c r="H632" s="49"/>
      <c r="I632" s="107"/>
    </row>
    <row r="633" spans="1:9">
      <c r="A633" s="48"/>
      <c r="B633" s="49"/>
      <c r="C633" s="49"/>
      <c r="D633" s="49"/>
      <c r="E633" s="50"/>
      <c r="F633" s="277"/>
      <c r="G633" s="277"/>
      <c r="H633" s="49"/>
      <c r="I633" s="107"/>
    </row>
    <row r="634" spans="1:9">
      <c r="A634" s="48"/>
      <c r="B634" s="49"/>
      <c r="C634" s="49"/>
      <c r="D634" s="49"/>
      <c r="E634" s="50"/>
      <c r="F634" s="277"/>
      <c r="G634" s="277"/>
      <c r="H634" s="49"/>
      <c r="I634" s="107"/>
    </row>
    <row r="635" spans="1:9">
      <c r="A635" s="48"/>
      <c r="B635" s="49"/>
      <c r="C635" s="49"/>
      <c r="D635" s="49"/>
      <c r="E635" s="50"/>
      <c r="F635" s="277"/>
      <c r="G635" s="277"/>
      <c r="H635" s="49"/>
      <c r="I635" s="107"/>
    </row>
    <row r="636" spans="1:9">
      <c r="A636" s="48"/>
      <c r="B636" s="49"/>
      <c r="C636" s="49"/>
      <c r="D636" s="49"/>
      <c r="E636" s="50"/>
      <c r="F636" s="277"/>
      <c r="G636" s="277"/>
      <c r="H636" s="49"/>
      <c r="I636" s="107"/>
    </row>
    <row r="637" spans="1:9">
      <c r="A637" s="48"/>
      <c r="B637" s="49"/>
      <c r="C637" s="49"/>
      <c r="D637" s="49"/>
      <c r="E637" s="50"/>
      <c r="F637" s="277"/>
      <c r="G637" s="277"/>
      <c r="H637" s="49"/>
      <c r="I637" s="107"/>
    </row>
    <row r="638" spans="1:9">
      <c r="A638" s="48"/>
      <c r="B638" s="49"/>
      <c r="C638" s="49"/>
      <c r="D638" s="49"/>
      <c r="E638" s="50"/>
      <c r="F638" s="277"/>
      <c r="G638" s="277"/>
      <c r="H638" s="49"/>
      <c r="I638" s="107"/>
    </row>
    <row r="639" spans="1:9">
      <c r="A639" s="48"/>
      <c r="B639" s="49"/>
      <c r="C639" s="49"/>
      <c r="D639" s="49"/>
      <c r="E639" s="50"/>
      <c r="F639" s="277"/>
      <c r="G639" s="277"/>
      <c r="H639" s="49"/>
      <c r="I639" s="107"/>
    </row>
    <row r="640" spans="1:9">
      <c r="A640" s="48"/>
      <c r="B640" s="49"/>
      <c r="C640" s="49"/>
      <c r="D640" s="49"/>
      <c r="E640" s="50"/>
      <c r="F640" s="277"/>
      <c r="G640" s="277"/>
      <c r="H640" s="49"/>
      <c r="I640" s="107"/>
    </row>
    <row r="641" spans="1:9">
      <c r="A641" s="48"/>
      <c r="B641" s="49"/>
      <c r="C641" s="49"/>
      <c r="D641" s="49"/>
      <c r="E641" s="50"/>
      <c r="F641" s="277"/>
      <c r="G641" s="277"/>
      <c r="H641" s="49"/>
      <c r="I641" s="107"/>
    </row>
    <row r="642" spans="1:9">
      <c r="A642" s="48"/>
      <c r="B642" s="49"/>
      <c r="C642" s="49"/>
      <c r="D642" s="49"/>
      <c r="E642" s="50"/>
      <c r="F642" s="277"/>
      <c r="G642" s="277"/>
      <c r="H642" s="49"/>
      <c r="I642" s="107"/>
    </row>
    <row r="643" spans="1:9">
      <c r="A643" s="48"/>
      <c r="B643" s="49"/>
      <c r="C643" s="49"/>
      <c r="D643" s="49"/>
      <c r="E643" s="50"/>
      <c r="F643" s="277"/>
      <c r="G643" s="277"/>
      <c r="H643" s="49"/>
      <c r="I643" s="107"/>
    </row>
    <row r="644" spans="1:9">
      <c r="A644" s="48"/>
      <c r="B644" s="49"/>
      <c r="C644" s="49"/>
      <c r="D644" s="49"/>
      <c r="E644" s="50"/>
      <c r="F644" s="277"/>
      <c r="G644" s="277"/>
      <c r="H644" s="49"/>
      <c r="I644" s="107"/>
    </row>
    <row r="645" spans="1:9">
      <c r="A645" s="48"/>
      <c r="B645" s="49"/>
      <c r="C645" s="49"/>
      <c r="D645" s="49"/>
      <c r="E645" s="50"/>
      <c r="F645" s="277"/>
      <c r="G645" s="277"/>
      <c r="H645" s="49"/>
      <c r="I645" s="107"/>
    </row>
    <row r="646" spans="1:9">
      <c r="A646" s="48"/>
      <c r="B646" s="49"/>
      <c r="C646" s="49"/>
      <c r="D646" s="49"/>
      <c r="E646" s="50"/>
      <c r="F646" s="277"/>
      <c r="G646" s="277"/>
      <c r="H646" s="49"/>
      <c r="I646" s="107"/>
    </row>
    <row r="647" spans="1:9">
      <c r="A647" s="48"/>
      <c r="B647" s="49"/>
      <c r="C647" s="49"/>
      <c r="D647" s="49"/>
      <c r="E647" s="50"/>
      <c r="F647" s="277"/>
      <c r="G647" s="277"/>
      <c r="H647" s="49"/>
      <c r="I647" s="107"/>
    </row>
    <row r="648" spans="1:9">
      <c r="A648" s="48"/>
      <c r="B648" s="49"/>
      <c r="C648" s="49"/>
      <c r="D648" s="49"/>
      <c r="E648" s="50"/>
      <c r="F648" s="277"/>
      <c r="G648" s="277"/>
      <c r="H648" s="49"/>
      <c r="I648" s="107"/>
    </row>
    <row r="649" spans="1:9">
      <c r="A649" s="48"/>
      <c r="B649" s="49"/>
      <c r="C649" s="49"/>
      <c r="D649" s="49"/>
      <c r="E649" s="50"/>
      <c r="F649" s="277"/>
      <c r="G649" s="277"/>
      <c r="H649" s="49"/>
      <c r="I649" s="107"/>
    </row>
    <row r="650" spans="1:9">
      <c r="A650" s="48"/>
      <c r="B650" s="49"/>
      <c r="C650" s="49"/>
      <c r="D650" s="49"/>
      <c r="E650" s="50"/>
      <c r="F650" s="277"/>
      <c r="G650" s="277"/>
      <c r="H650" s="49"/>
      <c r="I650" s="107"/>
    </row>
    <row r="651" spans="1:9">
      <c r="A651" s="48"/>
      <c r="B651" s="49"/>
      <c r="C651" s="49"/>
      <c r="D651" s="49"/>
      <c r="E651" s="50"/>
      <c r="F651" s="277"/>
      <c r="G651" s="277"/>
      <c r="H651" s="49"/>
      <c r="I651" s="107"/>
    </row>
    <row r="652" spans="1:9">
      <c r="A652" s="48"/>
      <c r="B652" s="49"/>
      <c r="C652" s="49"/>
      <c r="D652" s="49"/>
      <c r="E652" s="50"/>
      <c r="F652" s="277"/>
      <c r="G652" s="277"/>
      <c r="H652" s="49"/>
      <c r="I652" s="107"/>
    </row>
    <row r="653" spans="1:9">
      <c r="A653" s="48"/>
      <c r="B653" s="49"/>
      <c r="C653" s="49"/>
      <c r="D653" s="49"/>
      <c r="E653" s="50"/>
      <c r="F653" s="277"/>
      <c r="G653" s="277"/>
      <c r="H653" s="49"/>
      <c r="I653" s="107"/>
    </row>
    <row r="654" spans="1:9">
      <c r="A654" s="48"/>
      <c r="B654" s="49"/>
      <c r="C654" s="49"/>
      <c r="D654" s="49"/>
      <c r="E654" s="50"/>
      <c r="F654" s="277"/>
      <c r="G654" s="277"/>
      <c r="H654" s="49"/>
      <c r="I654" s="107"/>
    </row>
    <row r="655" spans="1:9">
      <c r="A655" s="48"/>
      <c r="B655" s="49"/>
      <c r="C655" s="49"/>
      <c r="D655" s="49"/>
      <c r="E655" s="50"/>
      <c r="F655" s="277"/>
      <c r="G655" s="277"/>
      <c r="H655" s="49"/>
      <c r="I655" s="107"/>
    </row>
    <row r="656" spans="1:9">
      <c r="A656" s="48"/>
      <c r="B656" s="49"/>
      <c r="C656" s="49"/>
      <c r="D656" s="49"/>
      <c r="E656" s="50"/>
      <c r="F656" s="277"/>
      <c r="G656" s="277"/>
      <c r="H656" s="49"/>
      <c r="I656" s="107"/>
    </row>
    <row r="657" spans="1:9">
      <c r="A657" s="48"/>
      <c r="B657" s="49"/>
      <c r="C657" s="49"/>
      <c r="D657" s="49"/>
      <c r="E657" s="50"/>
      <c r="F657" s="277"/>
      <c r="G657" s="277"/>
      <c r="H657" s="49"/>
      <c r="I657" s="107"/>
    </row>
    <row r="658" spans="1:9">
      <c r="A658" s="48"/>
      <c r="B658" s="49"/>
      <c r="C658" s="49"/>
      <c r="D658" s="49"/>
      <c r="E658" s="50"/>
      <c r="F658" s="277"/>
      <c r="G658" s="277"/>
      <c r="H658" s="49"/>
      <c r="I658" s="107"/>
    </row>
    <row r="659" spans="1:9">
      <c r="A659" s="48"/>
      <c r="B659" s="49"/>
      <c r="C659" s="49"/>
      <c r="D659" s="49"/>
      <c r="E659" s="50"/>
      <c r="F659" s="277"/>
      <c r="G659" s="277"/>
      <c r="H659" s="49"/>
      <c r="I659" s="107"/>
    </row>
    <row r="660" spans="1:9">
      <c r="A660" s="48"/>
      <c r="B660" s="49"/>
      <c r="C660" s="49"/>
      <c r="D660" s="49"/>
      <c r="E660" s="50"/>
      <c r="F660" s="277"/>
      <c r="G660" s="277"/>
      <c r="H660" s="49"/>
      <c r="I660" s="107"/>
    </row>
    <row r="661" spans="1:9">
      <c r="A661" s="48"/>
      <c r="B661" s="49"/>
      <c r="C661" s="49"/>
      <c r="D661" s="49"/>
      <c r="E661" s="50"/>
      <c r="F661" s="277"/>
      <c r="G661" s="277"/>
      <c r="H661" s="49"/>
      <c r="I661" s="107"/>
    </row>
    <row r="662" spans="1:9">
      <c r="A662" s="48"/>
      <c r="B662" s="49"/>
      <c r="C662" s="49"/>
      <c r="D662" s="49"/>
      <c r="E662" s="50"/>
      <c r="F662" s="277"/>
      <c r="G662" s="277"/>
      <c r="H662" s="49"/>
      <c r="I662" s="107"/>
    </row>
    <row r="663" spans="1:9">
      <c r="A663" s="48"/>
      <c r="B663" s="49"/>
      <c r="C663" s="49"/>
      <c r="D663" s="49"/>
      <c r="E663" s="50"/>
      <c r="F663" s="277"/>
      <c r="G663" s="277"/>
      <c r="H663" s="49"/>
      <c r="I663" s="107"/>
    </row>
    <row r="664" spans="1:9">
      <c r="A664" s="48"/>
      <c r="B664" s="49"/>
      <c r="C664" s="49"/>
      <c r="D664" s="49"/>
      <c r="E664" s="50"/>
      <c r="F664" s="277"/>
      <c r="G664" s="277"/>
      <c r="H664" s="49"/>
      <c r="I664" s="107"/>
    </row>
    <row r="665" spans="1:9">
      <c r="A665" s="48"/>
      <c r="B665" s="49"/>
      <c r="C665" s="49"/>
      <c r="D665" s="49"/>
      <c r="E665" s="50"/>
      <c r="F665" s="277"/>
      <c r="G665" s="277"/>
      <c r="H665" s="49"/>
      <c r="I665" s="107"/>
    </row>
    <row r="666" spans="1:9">
      <c r="A666" s="48"/>
      <c r="B666" s="49"/>
      <c r="C666" s="49"/>
      <c r="D666" s="49"/>
      <c r="E666" s="50"/>
      <c r="F666" s="277"/>
      <c r="G666" s="277"/>
      <c r="H666" s="49"/>
      <c r="I666" s="107"/>
    </row>
    <row r="667" spans="1:9">
      <c r="A667" s="48"/>
      <c r="B667" s="49"/>
      <c r="C667" s="49"/>
      <c r="D667" s="49"/>
      <c r="E667" s="50"/>
      <c r="F667" s="277"/>
      <c r="G667" s="277"/>
      <c r="H667" s="49"/>
      <c r="I667" s="107"/>
    </row>
    <row r="668" spans="1:9">
      <c r="A668" s="48"/>
      <c r="B668" s="49"/>
      <c r="C668" s="49"/>
      <c r="D668" s="49"/>
      <c r="E668" s="50"/>
      <c r="F668" s="277"/>
      <c r="G668" s="277"/>
      <c r="H668" s="49"/>
      <c r="I668" s="107"/>
    </row>
    <row r="669" spans="1:9">
      <c r="A669" s="48"/>
      <c r="B669" s="49"/>
      <c r="C669" s="49"/>
      <c r="D669" s="49"/>
      <c r="E669" s="50"/>
      <c r="F669" s="277"/>
      <c r="G669" s="277"/>
      <c r="H669" s="49"/>
      <c r="I669" s="107"/>
    </row>
    <row r="670" spans="1:9">
      <c r="A670" s="48"/>
      <c r="B670" s="49"/>
      <c r="C670" s="49"/>
      <c r="D670" s="49"/>
      <c r="E670" s="50"/>
      <c r="F670" s="277"/>
      <c r="G670" s="277"/>
      <c r="H670" s="49"/>
      <c r="I670" s="107"/>
    </row>
    <row r="671" spans="1:9">
      <c r="A671" s="48"/>
      <c r="B671" s="49"/>
      <c r="C671" s="49"/>
      <c r="D671" s="49"/>
      <c r="E671" s="50"/>
      <c r="F671" s="277"/>
      <c r="G671" s="277"/>
      <c r="H671" s="49"/>
      <c r="I671" s="107"/>
    </row>
    <row r="672" spans="1:9">
      <c r="A672" s="48"/>
      <c r="B672" s="49"/>
      <c r="C672" s="49"/>
      <c r="D672" s="49"/>
      <c r="E672" s="50"/>
      <c r="F672" s="277"/>
      <c r="G672" s="277"/>
      <c r="H672" s="49"/>
      <c r="I672" s="107"/>
    </row>
    <row r="673" spans="1:9">
      <c r="A673" s="48"/>
      <c r="B673" s="49"/>
      <c r="C673" s="49"/>
      <c r="D673" s="49"/>
      <c r="E673" s="50"/>
      <c r="F673" s="277"/>
      <c r="G673" s="277"/>
      <c r="H673" s="49"/>
      <c r="I673" s="107"/>
    </row>
    <row r="674" spans="1:9">
      <c r="A674" s="48"/>
      <c r="B674" s="49"/>
      <c r="C674" s="49"/>
      <c r="D674" s="49"/>
      <c r="E674" s="50"/>
      <c r="F674" s="277"/>
      <c r="G674" s="277"/>
      <c r="H674" s="49"/>
      <c r="I674" s="107"/>
    </row>
    <row r="675" spans="1:9">
      <c r="A675" s="48"/>
      <c r="B675" s="49"/>
      <c r="C675" s="49"/>
      <c r="D675" s="49"/>
      <c r="E675" s="50"/>
      <c r="F675" s="277"/>
      <c r="G675" s="277"/>
      <c r="H675" s="49"/>
      <c r="I675" s="107"/>
    </row>
    <row r="676" spans="1:9">
      <c r="A676" s="48"/>
      <c r="B676" s="49"/>
      <c r="C676" s="49"/>
      <c r="D676" s="49"/>
      <c r="E676" s="50"/>
      <c r="F676" s="277"/>
      <c r="G676" s="277"/>
      <c r="H676" s="49"/>
      <c r="I676" s="107"/>
    </row>
    <row r="677" spans="1:9">
      <c r="A677" s="48"/>
      <c r="B677" s="49"/>
      <c r="C677" s="49"/>
      <c r="D677" s="49"/>
      <c r="E677" s="50"/>
      <c r="F677" s="277"/>
      <c r="G677" s="277"/>
      <c r="H677" s="49"/>
      <c r="I677" s="107"/>
    </row>
    <row r="678" spans="1:9">
      <c r="A678" s="48"/>
      <c r="B678" s="49"/>
      <c r="C678" s="49"/>
      <c r="D678" s="49"/>
      <c r="E678" s="50"/>
      <c r="F678" s="277"/>
      <c r="G678" s="277"/>
      <c r="H678" s="49"/>
      <c r="I678" s="107"/>
    </row>
    <row r="679" spans="1:9">
      <c r="A679" s="48"/>
      <c r="B679" s="49"/>
      <c r="C679" s="49"/>
      <c r="D679" s="49"/>
      <c r="E679" s="50"/>
      <c r="F679" s="277"/>
      <c r="G679" s="277"/>
      <c r="H679" s="49"/>
      <c r="I679" s="107"/>
    </row>
    <row r="680" spans="1:9">
      <c r="A680" s="48"/>
      <c r="B680" s="49"/>
      <c r="C680" s="49"/>
      <c r="D680" s="49"/>
      <c r="E680" s="50"/>
      <c r="F680" s="277"/>
      <c r="G680" s="277"/>
      <c r="H680" s="49"/>
      <c r="I680" s="107"/>
    </row>
    <row r="681" spans="1:9">
      <c r="A681" s="48"/>
      <c r="B681" s="49"/>
      <c r="C681" s="49"/>
      <c r="D681" s="49"/>
      <c r="E681" s="50"/>
      <c r="F681" s="277"/>
      <c r="G681" s="277"/>
      <c r="H681" s="49"/>
      <c r="I681" s="107"/>
    </row>
    <row r="682" spans="1:9">
      <c r="A682" s="48"/>
      <c r="B682" s="49"/>
      <c r="C682" s="49"/>
      <c r="D682" s="49"/>
      <c r="E682" s="50"/>
      <c r="F682" s="277"/>
      <c r="G682" s="277"/>
      <c r="H682" s="49"/>
      <c r="I682" s="107"/>
    </row>
    <row r="683" spans="1:9">
      <c r="A683" s="48"/>
      <c r="B683" s="49"/>
      <c r="C683" s="49"/>
      <c r="D683" s="49"/>
      <c r="E683" s="50"/>
      <c r="F683" s="277"/>
      <c r="G683" s="277"/>
      <c r="H683" s="49"/>
      <c r="I683" s="107"/>
    </row>
    <row r="684" spans="1:9">
      <c r="A684" s="48"/>
      <c r="B684" s="49"/>
      <c r="C684" s="49"/>
      <c r="D684" s="49"/>
      <c r="E684" s="50"/>
      <c r="F684" s="277"/>
      <c r="G684" s="277"/>
      <c r="H684" s="49"/>
      <c r="I684" s="107"/>
    </row>
    <row r="685" spans="1:9">
      <c r="A685" s="48"/>
      <c r="B685" s="49"/>
      <c r="C685" s="49"/>
      <c r="D685" s="49"/>
      <c r="E685" s="50"/>
      <c r="F685" s="277"/>
      <c r="G685" s="277"/>
      <c r="H685" s="49"/>
      <c r="I685" s="107"/>
    </row>
    <row r="686" spans="1:9">
      <c r="A686" s="48"/>
      <c r="B686" s="49"/>
      <c r="C686" s="49"/>
      <c r="D686" s="49"/>
      <c r="E686" s="50"/>
      <c r="F686" s="277"/>
      <c r="G686" s="277"/>
      <c r="H686" s="49"/>
      <c r="I686" s="107"/>
    </row>
    <row r="687" spans="1:9">
      <c r="A687" s="48"/>
      <c r="B687" s="49"/>
      <c r="C687" s="49"/>
      <c r="D687" s="49"/>
      <c r="E687" s="50"/>
      <c r="F687" s="277"/>
      <c r="G687" s="277"/>
      <c r="H687" s="49"/>
      <c r="I687" s="107"/>
    </row>
    <row r="688" spans="1:9">
      <c r="A688" s="48"/>
      <c r="B688" s="49"/>
      <c r="C688" s="49"/>
      <c r="D688" s="49"/>
      <c r="E688" s="50"/>
      <c r="F688" s="277"/>
      <c r="G688" s="277"/>
      <c r="H688" s="49"/>
      <c r="I688" s="107"/>
    </row>
    <row r="689" spans="1:9">
      <c r="A689" s="48"/>
      <c r="B689" s="49"/>
      <c r="C689" s="49"/>
      <c r="D689" s="49"/>
      <c r="E689" s="50"/>
      <c r="F689" s="277"/>
      <c r="G689" s="277"/>
      <c r="H689" s="49"/>
      <c r="I689" s="107"/>
    </row>
    <row r="690" spans="1:9">
      <c r="A690" s="48"/>
      <c r="B690" s="49"/>
      <c r="C690" s="49"/>
      <c r="D690" s="49"/>
      <c r="E690" s="50"/>
      <c r="F690" s="277"/>
      <c r="G690" s="277"/>
      <c r="H690" s="49"/>
      <c r="I690" s="107"/>
    </row>
    <row r="691" spans="1:9">
      <c r="A691" s="48"/>
      <c r="B691" s="49"/>
      <c r="C691" s="49"/>
      <c r="D691" s="49"/>
      <c r="E691" s="50"/>
      <c r="F691" s="277"/>
      <c r="G691" s="277"/>
      <c r="H691" s="49"/>
      <c r="I691" s="107"/>
    </row>
    <row r="692" spans="1:9">
      <c r="A692" s="48"/>
      <c r="B692" s="49"/>
      <c r="C692" s="49"/>
      <c r="D692" s="49"/>
      <c r="E692" s="50"/>
      <c r="F692" s="277"/>
      <c r="G692" s="277"/>
      <c r="H692" s="49"/>
      <c r="I692" s="107"/>
    </row>
    <row r="693" spans="1:9">
      <c r="A693" s="48"/>
      <c r="B693" s="49"/>
      <c r="C693" s="49"/>
      <c r="D693" s="49"/>
      <c r="E693" s="50"/>
      <c r="F693" s="277"/>
      <c r="G693" s="277"/>
      <c r="H693" s="49"/>
      <c r="I693" s="107"/>
    </row>
    <row r="694" spans="1:9">
      <c r="A694" s="48"/>
      <c r="B694" s="49"/>
      <c r="C694" s="49"/>
      <c r="D694" s="49"/>
      <c r="E694" s="50"/>
      <c r="F694" s="277"/>
      <c r="G694" s="277"/>
      <c r="H694" s="49"/>
      <c r="I694" s="107"/>
    </row>
    <row r="695" spans="1:9">
      <c r="A695" s="48"/>
      <c r="B695" s="49"/>
      <c r="C695" s="49"/>
      <c r="D695" s="49"/>
      <c r="E695" s="50"/>
      <c r="F695" s="277"/>
      <c r="G695" s="277"/>
      <c r="H695" s="49"/>
      <c r="I695" s="107"/>
    </row>
    <row r="696" spans="1:9">
      <c r="A696" s="48"/>
      <c r="B696" s="49"/>
      <c r="C696" s="49"/>
      <c r="D696" s="49"/>
      <c r="E696" s="50"/>
      <c r="F696" s="277"/>
      <c r="G696" s="277"/>
      <c r="H696" s="49"/>
      <c r="I696" s="107"/>
    </row>
    <row r="697" spans="1:9">
      <c r="A697" s="48"/>
      <c r="B697" s="49"/>
      <c r="C697" s="49"/>
      <c r="D697" s="49"/>
      <c r="E697" s="50"/>
      <c r="F697" s="277"/>
      <c r="G697" s="277"/>
      <c r="H697" s="49"/>
      <c r="I697" s="107"/>
    </row>
    <row r="698" spans="1:9">
      <c r="A698" s="48"/>
      <c r="B698" s="49"/>
      <c r="C698" s="49"/>
      <c r="D698" s="49"/>
      <c r="E698" s="50"/>
      <c r="F698" s="277"/>
      <c r="G698" s="277"/>
      <c r="H698" s="49"/>
      <c r="I698" s="107"/>
    </row>
    <row r="699" spans="1:9">
      <c r="A699" s="48"/>
      <c r="B699" s="49"/>
      <c r="C699" s="49"/>
      <c r="D699" s="49"/>
      <c r="E699" s="50"/>
      <c r="F699" s="277"/>
      <c r="G699" s="277"/>
      <c r="H699" s="49"/>
      <c r="I699" s="107"/>
    </row>
    <row r="700" spans="1:9">
      <c r="A700" s="48"/>
      <c r="B700" s="49"/>
      <c r="C700" s="49"/>
      <c r="D700" s="49"/>
      <c r="E700" s="50"/>
      <c r="F700" s="277"/>
      <c r="G700" s="277"/>
      <c r="H700" s="49"/>
      <c r="I700" s="107"/>
    </row>
    <row r="701" spans="1:9">
      <c r="A701" s="48"/>
      <c r="B701" s="49"/>
      <c r="C701" s="49"/>
      <c r="D701" s="49"/>
      <c r="E701" s="50"/>
      <c r="F701" s="277"/>
      <c r="G701" s="277"/>
      <c r="H701" s="49"/>
      <c r="I701" s="107"/>
    </row>
    <row r="702" spans="1:9">
      <c r="A702" s="48"/>
      <c r="B702" s="49"/>
      <c r="C702" s="49"/>
      <c r="D702" s="49"/>
      <c r="E702" s="50"/>
      <c r="F702" s="277"/>
      <c r="G702" s="277"/>
      <c r="H702" s="49"/>
      <c r="I702" s="107"/>
    </row>
    <row r="703" spans="1:9">
      <c r="A703" s="48"/>
      <c r="B703" s="49"/>
      <c r="C703" s="49"/>
      <c r="D703" s="49"/>
      <c r="E703" s="50"/>
      <c r="F703" s="277"/>
      <c r="G703" s="277"/>
      <c r="H703" s="49"/>
      <c r="I703" s="107"/>
    </row>
    <row r="704" spans="1:9">
      <c r="A704" s="48"/>
      <c r="B704" s="49"/>
      <c r="C704" s="49"/>
      <c r="D704" s="49"/>
      <c r="E704" s="50"/>
      <c r="F704" s="277"/>
      <c r="G704" s="277"/>
      <c r="H704" s="49"/>
      <c r="I704" s="107"/>
    </row>
    <row r="705" spans="1:9">
      <c r="A705" s="48"/>
      <c r="B705" s="49"/>
      <c r="C705" s="49"/>
      <c r="D705" s="49"/>
      <c r="E705" s="50"/>
      <c r="F705" s="277"/>
      <c r="G705" s="277"/>
      <c r="H705" s="49"/>
      <c r="I705" s="107"/>
    </row>
    <row r="706" spans="1:9">
      <c r="A706" s="48"/>
      <c r="B706" s="49"/>
      <c r="C706" s="49"/>
      <c r="D706" s="49"/>
      <c r="E706" s="50"/>
      <c r="F706" s="277"/>
      <c r="G706" s="277"/>
      <c r="H706" s="49"/>
      <c r="I706" s="107"/>
    </row>
    <row r="707" spans="1:9">
      <c r="A707" s="48"/>
      <c r="B707" s="49"/>
      <c r="C707" s="49"/>
      <c r="D707" s="49"/>
      <c r="E707" s="50"/>
      <c r="F707" s="277"/>
      <c r="G707" s="277"/>
      <c r="H707" s="49"/>
      <c r="I707" s="107"/>
    </row>
    <row r="708" spans="1:9">
      <c r="A708" s="48"/>
      <c r="B708" s="49"/>
      <c r="C708" s="49"/>
      <c r="D708" s="49"/>
      <c r="E708" s="50"/>
      <c r="F708" s="277"/>
      <c r="G708" s="277"/>
      <c r="H708" s="49"/>
      <c r="I708" s="107"/>
    </row>
    <row r="709" spans="1:9">
      <c r="A709" s="48"/>
      <c r="B709" s="49"/>
      <c r="C709" s="49"/>
      <c r="D709" s="49"/>
      <c r="E709" s="50"/>
      <c r="F709" s="277"/>
      <c r="G709" s="277"/>
      <c r="H709" s="49"/>
      <c r="I709" s="107"/>
    </row>
    <row r="710" spans="1:9">
      <c r="A710" s="48"/>
      <c r="B710" s="49"/>
      <c r="C710" s="49"/>
      <c r="D710" s="49"/>
      <c r="E710" s="50"/>
      <c r="F710" s="277"/>
      <c r="G710" s="277"/>
      <c r="H710" s="49"/>
      <c r="I710" s="107"/>
    </row>
    <row r="711" spans="1:9">
      <c r="A711" s="48"/>
      <c r="B711" s="49"/>
      <c r="C711" s="49"/>
      <c r="D711" s="49"/>
      <c r="E711" s="50"/>
      <c r="F711" s="277"/>
      <c r="G711" s="277"/>
      <c r="H711" s="49"/>
      <c r="I711" s="107"/>
    </row>
    <row r="712" spans="1:9">
      <c r="A712" s="48"/>
      <c r="B712" s="49"/>
      <c r="C712" s="49"/>
      <c r="D712" s="49"/>
      <c r="E712" s="50"/>
      <c r="F712" s="277"/>
      <c r="G712" s="277"/>
      <c r="H712" s="49"/>
      <c r="I712" s="107"/>
    </row>
    <row r="713" spans="1:9">
      <c r="A713" s="48"/>
      <c r="B713" s="49"/>
      <c r="C713" s="49"/>
      <c r="D713" s="49"/>
      <c r="E713" s="50"/>
      <c r="F713" s="277"/>
      <c r="G713" s="277"/>
      <c r="H713" s="49"/>
      <c r="I713" s="107"/>
    </row>
    <row r="714" spans="1:9">
      <c r="A714" s="48"/>
      <c r="B714" s="49"/>
      <c r="C714" s="49"/>
      <c r="D714" s="49"/>
      <c r="E714" s="50"/>
      <c r="F714" s="277"/>
      <c r="G714" s="277"/>
      <c r="H714" s="49"/>
      <c r="I714" s="107"/>
    </row>
    <row r="715" spans="1:9">
      <c r="A715" s="48"/>
      <c r="B715" s="49"/>
      <c r="C715" s="49"/>
      <c r="D715" s="49"/>
      <c r="E715" s="50"/>
      <c r="F715" s="277"/>
      <c r="G715" s="277"/>
      <c r="H715" s="49"/>
      <c r="I715" s="107"/>
    </row>
    <row r="716" spans="1:9">
      <c r="A716" s="48"/>
      <c r="B716" s="49"/>
      <c r="C716" s="49"/>
      <c r="D716" s="49"/>
      <c r="E716" s="50"/>
      <c r="F716" s="277"/>
      <c r="G716" s="277"/>
      <c r="H716" s="49"/>
      <c r="I716" s="107"/>
    </row>
    <row r="717" spans="1:9">
      <c r="A717" s="48"/>
      <c r="B717" s="49"/>
      <c r="C717" s="49"/>
      <c r="D717" s="49"/>
      <c r="E717" s="50"/>
      <c r="F717" s="277"/>
      <c r="G717" s="277"/>
      <c r="H717" s="49"/>
      <c r="I717" s="107"/>
    </row>
    <row r="718" spans="1:9">
      <c r="A718" s="48"/>
      <c r="B718" s="49"/>
      <c r="C718" s="49"/>
      <c r="D718" s="49"/>
      <c r="E718" s="50"/>
      <c r="F718" s="277"/>
      <c r="G718" s="277"/>
      <c r="H718" s="49"/>
      <c r="I718" s="107"/>
    </row>
    <row r="719" spans="1:9">
      <c r="A719" s="48"/>
      <c r="B719" s="49"/>
      <c r="C719" s="49"/>
      <c r="D719" s="49"/>
      <c r="E719" s="50"/>
      <c r="F719" s="277"/>
      <c r="G719" s="277"/>
      <c r="H719" s="49"/>
      <c r="I719" s="107"/>
    </row>
    <row r="720" spans="1:9">
      <c r="A720" s="48"/>
      <c r="B720" s="49"/>
      <c r="C720" s="49"/>
      <c r="D720" s="49"/>
      <c r="E720" s="50"/>
      <c r="F720" s="277"/>
      <c r="G720" s="277"/>
      <c r="H720" s="49"/>
      <c r="I720" s="107"/>
    </row>
    <row r="721" spans="1:9">
      <c r="A721" s="48"/>
      <c r="B721" s="49"/>
      <c r="C721" s="49"/>
      <c r="D721" s="49"/>
      <c r="E721" s="50"/>
      <c r="F721" s="277"/>
      <c r="G721" s="277"/>
      <c r="H721" s="49"/>
      <c r="I721" s="107"/>
    </row>
    <row r="722" spans="1:9">
      <c r="A722" s="48"/>
      <c r="B722" s="49"/>
      <c r="C722" s="49"/>
      <c r="D722" s="49"/>
      <c r="E722" s="50"/>
      <c r="F722" s="277"/>
      <c r="G722" s="277"/>
      <c r="H722" s="49"/>
      <c r="I722" s="107"/>
    </row>
    <row r="723" spans="1:9">
      <c r="A723" s="48"/>
      <c r="B723" s="49"/>
      <c r="C723" s="49"/>
      <c r="D723" s="49"/>
      <c r="E723" s="50"/>
      <c r="F723" s="277"/>
      <c r="G723" s="277"/>
      <c r="H723" s="49"/>
      <c r="I723" s="107"/>
    </row>
    <row r="724" spans="1:9">
      <c r="A724" s="48"/>
      <c r="B724" s="49"/>
      <c r="C724" s="49"/>
      <c r="D724" s="49"/>
      <c r="E724" s="50"/>
      <c r="F724" s="277"/>
      <c r="G724" s="277"/>
      <c r="H724" s="49"/>
      <c r="I724" s="107"/>
    </row>
    <row r="725" spans="1:9">
      <c r="A725" s="48"/>
      <c r="B725" s="49"/>
      <c r="C725" s="49"/>
      <c r="D725" s="49"/>
      <c r="E725" s="50"/>
      <c r="F725" s="277"/>
      <c r="G725" s="277"/>
      <c r="H725" s="49"/>
      <c r="I725" s="107"/>
    </row>
    <row r="726" spans="1:9">
      <c r="A726" s="48"/>
      <c r="B726" s="49"/>
      <c r="C726" s="49"/>
      <c r="D726" s="49"/>
      <c r="E726" s="50"/>
      <c r="F726" s="277"/>
      <c r="G726" s="277"/>
      <c r="H726" s="49"/>
      <c r="I726" s="107"/>
    </row>
    <row r="727" spans="1:9">
      <c r="A727" s="48"/>
      <c r="B727" s="49"/>
      <c r="C727" s="49"/>
      <c r="D727" s="49"/>
      <c r="E727" s="50"/>
      <c r="F727" s="277"/>
      <c r="G727" s="277"/>
      <c r="H727" s="49"/>
      <c r="I727" s="107"/>
    </row>
    <row r="728" spans="1:9">
      <c r="A728" s="48"/>
      <c r="B728" s="49"/>
      <c r="C728" s="49"/>
      <c r="D728" s="49"/>
      <c r="E728" s="50"/>
      <c r="F728" s="277"/>
      <c r="G728" s="277"/>
      <c r="H728" s="49"/>
      <c r="I728" s="107"/>
    </row>
    <row r="729" spans="1:9">
      <c r="A729" s="48"/>
      <c r="B729" s="49"/>
      <c r="C729" s="49"/>
      <c r="D729" s="49"/>
      <c r="E729" s="50"/>
      <c r="F729" s="277"/>
      <c r="G729" s="277"/>
      <c r="H729" s="49"/>
      <c r="I729" s="107"/>
    </row>
    <row r="730" spans="1:9">
      <c r="A730" s="48"/>
      <c r="B730" s="49"/>
      <c r="C730" s="49"/>
      <c r="D730" s="49"/>
      <c r="E730" s="50"/>
      <c r="F730" s="277"/>
      <c r="G730" s="277"/>
      <c r="H730" s="49"/>
      <c r="I730" s="107"/>
    </row>
    <row r="731" spans="1:9">
      <c r="A731" s="48"/>
      <c r="B731" s="49"/>
      <c r="C731" s="49"/>
      <c r="D731" s="49"/>
      <c r="E731" s="50"/>
      <c r="F731" s="277"/>
      <c r="G731" s="277"/>
      <c r="H731" s="49"/>
      <c r="I731" s="107"/>
    </row>
    <row r="732" spans="1:9">
      <c r="A732" s="48"/>
      <c r="B732" s="49"/>
      <c r="C732" s="49"/>
      <c r="D732" s="49"/>
      <c r="E732" s="50"/>
      <c r="F732" s="277"/>
      <c r="G732" s="277"/>
      <c r="H732" s="49"/>
      <c r="I732" s="107"/>
    </row>
    <row r="733" spans="1:9">
      <c r="A733" s="48"/>
      <c r="B733" s="49"/>
      <c r="C733" s="49"/>
      <c r="D733" s="49"/>
      <c r="E733" s="50"/>
      <c r="F733" s="277"/>
      <c r="G733" s="277"/>
      <c r="H733" s="49"/>
      <c r="I733" s="107"/>
    </row>
    <row r="734" spans="1:9">
      <c r="A734" s="48"/>
      <c r="B734" s="49"/>
      <c r="C734" s="49"/>
      <c r="D734" s="49"/>
      <c r="E734" s="50"/>
      <c r="F734" s="277"/>
      <c r="G734" s="277"/>
      <c r="H734" s="49"/>
      <c r="I734" s="107"/>
    </row>
    <row r="735" spans="1:9">
      <c r="A735" s="48"/>
      <c r="B735" s="49"/>
      <c r="C735" s="49"/>
      <c r="D735" s="49"/>
      <c r="E735" s="50"/>
      <c r="F735" s="277"/>
      <c r="G735" s="277"/>
      <c r="H735" s="49"/>
      <c r="I735" s="107"/>
    </row>
    <row r="736" spans="1:9">
      <c r="A736" s="48"/>
      <c r="B736" s="49"/>
      <c r="C736" s="49"/>
      <c r="D736" s="49"/>
      <c r="E736" s="50"/>
      <c r="F736" s="277"/>
      <c r="G736" s="277"/>
      <c r="H736" s="49"/>
      <c r="I736" s="107"/>
    </row>
    <row r="737" spans="1:9">
      <c r="A737" s="48"/>
      <c r="B737" s="49"/>
      <c r="C737" s="49"/>
      <c r="D737" s="49"/>
      <c r="E737" s="50"/>
      <c r="F737" s="277"/>
      <c r="G737" s="277"/>
      <c r="H737" s="49"/>
      <c r="I737" s="107"/>
    </row>
    <row r="738" spans="1:9">
      <c r="A738" s="48"/>
      <c r="B738" s="49"/>
      <c r="C738" s="49"/>
      <c r="D738" s="49"/>
      <c r="E738" s="50"/>
      <c r="F738" s="277"/>
      <c r="G738" s="277"/>
      <c r="H738" s="49"/>
      <c r="I738" s="107"/>
    </row>
    <row r="739" spans="1:9">
      <c r="A739" s="48"/>
      <c r="B739" s="49"/>
      <c r="C739" s="49"/>
      <c r="D739" s="49"/>
      <c r="E739" s="50"/>
      <c r="F739" s="277"/>
      <c r="G739" s="277"/>
      <c r="H739" s="49"/>
      <c r="I739" s="107"/>
    </row>
    <row r="740" spans="1:9">
      <c r="A740" s="48"/>
      <c r="B740" s="49"/>
      <c r="C740" s="49"/>
      <c r="D740" s="49"/>
      <c r="E740" s="50"/>
      <c r="F740" s="277"/>
      <c r="G740" s="277"/>
      <c r="H740" s="49"/>
      <c r="I740" s="107"/>
    </row>
    <row r="741" spans="1:9">
      <c r="A741" s="48"/>
      <c r="B741" s="49"/>
      <c r="C741" s="49"/>
      <c r="D741" s="49"/>
      <c r="E741" s="50"/>
      <c r="F741" s="277"/>
      <c r="G741" s="277"/>
      <c r="H741" s="49"/>
      <c r="I741" s="107"/>
    </row>
    <row r="742" spans="1:9">
      <c r="A742" s="48"/>
      <c r="B742" s="49"/>
      <c r="C742" s="49"/>
      <c r="D742" s="49"/>
      <c r="E742" s="50"/>
      <c r="F742" s="277"/>
      <c r="G742" s="277"/>
      <c r="H742" s="49"/>
      <c r="I742" s="107"/>
    </row>
    <row r="743" spans="1:9">
      <c r="A743" s="48"/>
      <c r="B743" s="49"/>
      <c r="C743" s="49"/>
      <c r="D743" s="49"/>
      <c r="E743" s="50"/>
      <c r="F743" s="277"/>
      <c r="G743" s="277"/>
      <c r="H743" s="49"/>
      <c r="I743" s="107"/>
    </row>
    <row r="744" spans="1:9">
      <c r="A744" s="48"/>
      <c r="B744" s="49"/>
      <c r="C744" s="49"/>
      <c r="D744" s="49"/>
      <c r="E744" s="50"/>
      <c r="F744" s="277"/>
      <c r="G744" s="277"/>
      <c r="H744" s="49"/>
      <c r="I744" s="107"/>
    </row>
    <row r="745" spans="1:9">
      <c r="A745" s="48"/>
      <c r="B745" s="49"/>
      <c r="C745" s="49"/>
      <c r="D745" s="49"/>
      <c r="E745" s="50"/>
      <c r="F745" s="277"/>
      <c r="G745" s="277"/>
      <c r="H745" s="49"/>
      <c r="I745" s="107"/>
    </row>
    <row r="746" spans="1:9">
      <c r="A746" s="48"/>
      <c r="B746" s="49"/>
      <c r="C746" s="49"/>
      <c r="D746" s="49"/>
      <c r="E746" s="50"/>
      <c r="F746" s="277"/>
      <c r="G746" s="277"/>
      <c r="H746" s="49"/>
      <c r="I746" s="107"/>
    </row>
    <row r="747" spans="1:9">
      <c r="A747" s="48"/>
      <c r="B747" s="49"/>
      <c r="C747" s="49"/>
      <c r="D747" s="49"/>
      <c r="E747" s="50"/>
      <c r="F747" s="277"/>
      <c r="G747" s="277"/>
      <c r="H747" s="49"/>
      <c r="I747" s="107"/>
    </row>
    <row r="748" spans="1:9">
      <c r="A748" s="48"/>
      <c r="B748" s="49"/>
      <c r="C748" s="49"/>
      <c r="D748" s="49"/>
      <c r="E748" s="50"/>
      <c r="F748" s="277"/>
      <c r="G748" s="277"/>
      <c r="H748" s="49"/>
      <c r="I748" s="107"/>
    </row>
    <row r="749" spans="1:9">
      <c r="A749" s="48"/>
      <c r="B749" s="49"/>
      <c r="C749" s="49"/>
      <c r="D749" s="49"/>
      <c r="E749" s="50"/>
      <c r="F749" s="277"/>
      <c r="G749" s="277"/>
      <c r="H749" s="49"/>
      <c r="I749" s="107"/>
    </row>
    <row r="750" spans="1:9">
      <c r="A750" s="48"/>
      <c r="B750" s="49"/>
      <c r="C750" s="49"/>
      <c r="D750" s="49"/>
      <c r="E750" s="50"/>
      <c r="F750" s="277"/>
      <c r="G750" s="277"/>
      <c r="H750" s="49"/>
      <c r="I750" s="107"/>
    </row>
    <row r="751" spans="1:9">
      <c r="A751" s="48"/>
      <c r="B751" s="49"/>
      <c r="C751" s="49"/>
      <c r="D751" s="49"/>
      <c r="E751" s="50"/>
      <c r="F751" s="277"/>
      <c r="G751" s="277"/>
      <c r="H751" s="49"/>
      <c r="I751" s="107"/>
    </row>
    <row r="752" spans="1:9">
      <c r="A752" s="48"/>
      <c r="B752" s="49"/>
      <c r="C752" s="49"/>
      <c r="D752" s="49"/>
      <c r="E752" s="50"/>
      <c r="F752" s="277"/>
      <c r="G752" s="277"/>
      <c r="H752" s="49"/>
      <c r="I752" s="107"/>
    </row>
    <row r="753" spans="1:9">
      <c r="A753" s="48"/>
      <c r="B753" s="49"/>
      <c r="C753" s="49"/>
      <c r="D753" s="49"/>
      <c r="E753" s="50"/>
      <c r="F753" s="277"/>
      <c r="G753" s="277"/>
      <c r="H753" s="49"/>
      <c r="I753" s="107"/>
    </row>
    <row r="754" spans="1:9">
      <c r="A754" s="48"/>
      <c r="B754" s="49"/>
      <c r="C754" s="49"/>
      <c r="D754" s="49"/>
      <c r="E754" s="50"/>
      <c r="F754" s="277"/>
      <c r="G754" s="277"/>
      <c r="H754" s="49"/>
      <c r="I754" s="107"/>
    </row>
    <row r="755" spans="1:9">
      <c r="A755" s="48"/>
      <c r="B755" s="49"/>
      <c r="C755" s="49"/>
      <c r="D755" s="49"/>
      <c r="E755" s="50"/>
      <c r="F755" s="277"/>
      <c r="G755" s="277"/>
      <c r="H755" s="49"/>
      <c r="I755" s="107"/>
    </row>
    <row r="756" spans="1:9">
      <c r="A756" s="48"/>
      <c r="B756" s="49"/>
      <c r="C756" s="49"/>
      <c r="D756" s="49"/>
      <c r="E756" s="50"/>
      <c r="F756" s="277"/>
      <c r="G756" s="277"/>
      <c r="H756" s="49"/>
      <c r="I756" s="107"/>
    </row>
    <row r="757" spans="1:9">
      <c r="A757" s="48"/>
      <c r="B757" s="49"/>
      <c r="C757" s="49"/>
      <c r="D757" s="49"/>
      <c r="E757" s="50"/>
      <c r="F757" s="277"/>
      <c r="G757" s="277"/>
      <c r="H757" s="49"/>
      <c r="I757" s="107"/>
    </row>
    <row r="758" spans="1:9">
      <c r="A758" s="48"/>
      <c r="B758" s="49"/>
      <c r="C758" s="49"/>
      <c r="D758" s="49"/>
      <c r="E758" s="50"/>
      <c r="F758" s="277"/>
      <c r="G758" s="277"/>
      <c r="H758" s="49"/>
      <c r="I758" s="107"/>
    </row>
    <row r="759" spans="1:9">
      <c r="A759" s="48"/>
      <c r="B759" s="49"/>
      <c r="C759" s="49"/>
      <c r="D759" s="49"/>
      <c r="E759" s="50"/>
      <c r="F759" s="277"/>
      <c r="G759" s="277"/>
      <c r="H759" s="49"/>
      <c r="I759" s="107"/>
    </row>
    <row r="760" spans="1:9">
      <c r="A760" s="48"/>
      <c r="B760" s="49"/>
      <c r="C760" s="49"/>
      <c r="D760" s="49"/>
      <c r="E760" s="50"/>
      <c r="F760" s="277"/>
      <c r="G760" s="277"/>
      <c r="H760" s="49"/>
      <c r="I760" s="107"/>
    </row>
    <row r="761" spans="1:9">
      <c r="A761" s="48"/>
      <c r="B761" s="49"/>
      <c r="C761" s="49"/>
      <c r="D761" s="49"/>
      <c r="E761" s="50"/>
      <c r="F761" s="277"/>
      <c r="G761" s="277"/>
      <c r="H761" s="49"/>
      <c r="I761" s="107"/>
    </row>
    <row r="762" spans="1:9">
      <c r="A762" s="48"/>
      <c r="B762" s="49"/>
      <c r="C762" s="49"/>
      <c r="D762" s="49"/>
      <c r="E762" s="50"/>
      <c r="F762" s="277"/>
      <c r="G762" s="277"/>
      <c r="H762" s="49"/>
      <c r="I762" s="107"/>
    </row>
    <row r="763" spans="1:9">
      <c r="A763" s="48"/>
      <c r="B763" s="49"/>
      <c r="C763" s="49"/>
      <c r="D763" s="49"/>
      <c r="E763" s="50"/>
      <c r="F763" s="277"/>
      <c r="G763" s="277"/>
      <c r="H763" s="49"/>
      <c r="I763" s="107"/>
    </row>
    <row r="764" spans="1:9">
      <c r="A764" s="48"/>
      <c r="B764" s="49"/>
      <c r="C764" s="49"/>
      <c r="D764" s="49"/>
      <c r="E764" s="50"/>
      <c r="F764" s="277"/>
      <c r="G764" s="277"/>
      <c r="H764" s="49"/>
      <c r="I764" s="107"/>
    </row>
    <row r="765" spans="1:9">
      <c r="A765" s="48"/>
      <c r="B765" s="49"/>
      <c r="C765" s="49"/>
      <c r="D765" s="49"/>
      <c r="E765" s="50"/>
      <c r="F765" s="277"/>
      <c r="G765" s="277"/>
      <c r="H765" s="49"/>
      <c r="I765" s="107"/>
    </row>
    <row r="766" spans="1:9">
      <c r="A766" s="48"/>
      <c r="B766" s="49"/>
      <c r="C766" s="49"/>
      <c r="D766" s="49"/>
      <c r="E766" s="50"/>
      <c r="F766" s="277"/>
      <c r="G766" s="277"/>
      <c r="H766" s="49"/>
      <c r="I766" s="107"/>
    </row>
    <row r="767" spans="1:9">
      <c r="A767" s="48"/>
      <c r="B767" s="49"/>
      <c r="C767" s="49"/>
      <c r="D767" s="49"/>
      <c r="E767" s="50"/>
      <c r="F767" s="277"/>
      <c r="G767" s="277"/>
      <c r="H767" s="49"/>
      <c r="I767" s="107"/>
    </row>
    <row r="768" spans="1:9">
      <c r="A768" s="48"/>
      <c r="B768" s="49"/>
      <c r="C768" s="49"/>
      <c r="D768" s="49"/>
      <c r="E768" s="50"/>
      <c r="F768" s="277"/>
      <c r="G768" s="277"/>
      <c r="H768" s="49"/>
      <c r="I768" s="107"/>
    </row>
    <row r="769" spans="1:9">
      <c r="A769" s="48"/>
      <c r="B769" s="49"/>
      <c r="C769" s="49"/>
      <c r="D769" s="49"/>
      <c r="E769" s="50"/>
      <c r="F769" s="277"/>
      <c r="G769" s="277"/>
      <c r="H769" s="49"/>
      <c r="I769" s="107"/>
    </row>
    <row r="770" spans="1:9">
      <c r="A770" s="48"/>
      <c r="B770" s="49"/>
      <c r="C770" s="49"/>
      <c r="D770" s="49"/>
      <c r="E770" s="50"/>
      <c r="F770" s="277"/>
      <c r="G770" s="277"/>
      <c r="H770" s="49"/>
      <c r="I770" s="107"/>
    </row>
    <row r="771" spans="1:9">
      <c r="A771" s="48"/>
      <c r="B771" s="49"/>
      <c r="C771" s="49"/>
      <c r="D771" s="49"/>
      <c r="E771" s="50"/>
      <c r="F771" s="277"/>
      <c r="G771" s="277"/>
      <c r="H771" s="49"/>
      <c r="I771" s="107"/>
    </row>
    <row r="772" spans="1:9">
      <c r="A772" s="48"/>
      <c r="B772" s="49"/>
      <c r="C772" s="49"/>
      <c r="D772" s="49"/>
      <c r="E772" s="50"/>
      <c r="F772" s="277"/>
      <c r="G772" s="277"/>
      <c r="H772" s="49"/>
      <c r="I772" s="107"/>
    </row>
    <row r="773" spans="1:9">
      <c r="A773" s="48"/>
      <c r="B773" s="49"/>
      <c r="C773" s="49"/>
      <c r="D773" s="49"/>
      <c r="E773" s="50"/>
      <c r="F773" s="277"/>
      <c r="G773" s="277"/>
      <c r="H773" s="49"/>
      <c r="I773" s="107"/>
    </row>
    <row r="774" spans="1:9">
      <c r="A774" s="48"/>
      <c r="B774" s="49"/>
      <c r="C774" s="49"/>
      <c r="D774" s="49"/>
      <c r="E774" s="50"/>
      <c r="F774" s="277"/>
      <c r="G774" s="277"/>
      <c r="H774" s="49"/>
      <c r="I774" s="107"/>
    </row>
    <row r="775" spans="1:9">
      <c r="A775" s="48"/>
      <c r="B775" s="49"/>
      <c r="C775" s="49"/>
      <c r="D775" s="49"/>
      <c r="E775" s="50"/>
      <c r="F775" s="277"/>
      <c r="G775" s="277"/>
      <c r="H775" s="49"/>
      <c r="I775" s="107"/>
    </row>
    <row r="776" spans="1:9">
      <c r="A776" s="48"/>
      <c r="B776" s="49"/>
      <c r="C776" s="49"/>
      <c r="D776" s="49"/>
      <c r="E776" s="50"/>
      <c r="F776" s="277"/>
      <c r="G776" s="277"/>
      <c r="H776" s="49"/>
      <c r="I776" s="107"/>
    </row>
    <row r="777" spans="1:9">
      <c r="A777" s="48"/>
      <c r="B777" s="49"/>
      <c r="C777" s="49"/>
      <c r="D777" s="49"/>
      <c r="E777" s="50"/>
      <c r="F777" s="277"/>
      <c r="G777" s="277"/>
      <c r="H777" s="49"/>
      <c r="I777" s="107"/>
    </row>
    <row r="778" spans="1:9">
      <c r="A778" s="48"/>
      <c r="B778" s="49"/>
      <c r="C778" s="49"/>
      <c r="D778" s="49"/>
      <c r="E778" s="50"/>
      <c r="F778" s="277"/>
      <c r="G778" s="277"/>
      <c r="H778" s="49"/>
      <c r="I778" s="107"/>
    </row>
    <row r="779" spans="1:9">
      <c r="A779" s="48"/>
      <c r="B779" s="49"/>
      <c r="C779" s="49"/>
      <c r="D779" s="49"/>
      <c r="E779" s="50"/>
      <c r="F779" s="277"/>
      <c r="G779" s="277"/>
      <c r="H779" s="49"/>
      <c r="I779" s="107"/>
    </row>
    <row r="780" spans="1:9">
      <c r="A780" s="48"/>
      <c r="B780" s="49"/>
      <c r="C780" s="49"/>
      <c r="D780" s="49"/>
      <c r="E780" s="50"/>
      <c r="F780" s="277"/>
      <c r="G780" s="277"/>
      <c r="H780" s="49"/>
      <c r="I780" s="107"/>
    </row>
    <row r="781" spans="1:9">
      <c r="A781" s="48"/>
      <c r="B781" s="49"/>
      <c r="C781" s="49"/>
      <c r="D781" s="49"/>
      <c r="E781" s="50"/>
      <c r="F781" s="277"/>
      <c r="G781" s="277"/>
      <c r="H781" s="49"/>
      <c r="I781" s="107"/>
    </row>
    <row r="782" spans="1:9">
      <c r="A782" s="48"/>
      <c r="B782" s="49"/>
      <c r="C782" s="49"/>
      <c r="D782" s="49"/>
      <c r="E782" s="50"/>
      <c r="F782" s="277"/>
      <c r="G782" s="277"/>
      <c r="H782" s="49"/>
      <c r="I782" s="107"/>
    </row>
    <row r="783" spans="1:9">
      <c r="A783" s="48"/>
      <c r="B783" s="49"/>
      <c r="C783" s="49"/>
      <c r="D783" s="49"/>
      <c r="E783" s="50"/>
      <c r="F783" s="277"/>
      <c r="G783" s="277"/>
      <c r="H783" s="49"/>
      <c r="I783" s="107"/>
    </row>
    <row r="784" spans="1:9">
      <c r="A784" s="48"/>
      <c r="B784" s="49"/>
      <c r="C784" s="49"/>
      <c r="D784" s="49"/>
      <c r="E784" s="50"/>
      <c r="F784" s="277"/>
      <c r="G784" s="277"/>
      <c r="H784" s="49"/>
      <c r="I784" s="107"/>
    </row>
    <row r="785" spans="1:9">
      <c r="A785" s="48"/>
      <c r="B785" s="49"/>
      <c r="C785" s="49"/>
      <c r="D785" s="49"/>
      <c r="E785" s="50"/>
      <c r="F785" s="277"/>
      <c r="G785" s="277"/>
      <c r="H785" s="49"/>
      <c r="I785" s="107"/>
    </row>
    <row r="786" spans="1:9">
      <c r="A786" s="48"/>
      <c r="B786" s="49"/>
      <c r="C786" s="49"/>
      <c r="D786" s="49"/>
      <c r="E786" s="50"/>
      <c r="F786" s="277"/>
      <c r="G786" s="277"/>
      <c r="H786" s="49"/>
      <c r="I786" s="107"/>
    </row>
    <row r="787" spans="1:9">
      <c r="A787" s="48"/>
      <c r="B787" s="49"/>
      <c r="C787" s="49"/>
      <c r="D787" s="49"/>
      <c r="E787" s="50"/>
      <c r="F787" s="277"/>
      <c r="G787" s="277"/>
      <c r="H787" s="49"/>
      <c r="I787" s="107"/>
    </row>
    <row r="788" spans="1:9">
      <c r="A788" s="48"/>
      <c r="B788" s="49"/>
      <c r="C788" s="49"/>
      <c r="D788" s="49"/>
      <c r="E788" s="50"/>
      <c r="F788" s="277"/>
      <c r="G788" s="277"/>
      <c r="H788" s="49"/>
      <c r="I788" s="107"/>
    </row>
    <row r="789" spans="1:9">
      <c r="A789" s="48"/>
      <c r="B789" s="49"/>
      <c r="C789" s="49"/>
      <c r="D789" s="49"/>
      <c r="E789" s="50"/>
      <c r="F789" s="277"/>
      <c r="G789" s="277"/>
      <c r="H789" s="49"/>
      <c r="I789" s="107"/>
    </row>
    <row r="790" spans="1:9">
      <c r="A790" s="48"/>
      <c r="B790" s="49"/>
      <c r="C790" s="49"/>
      <c r="D790" s="49"/>
      <c r="E790" s="50"/>
      <c r="F790" s="277"/>
      <c r="G790" s="277"/>
      <c r="H790" s="49"/>
      <c r="I790" s="107"/>
    </row>
    <row r="791" spans="1:9">
      <c r="A791" s="48"/>
      <c r="B791" s="49"/>
      <c r="C791" s="49"/>
      <c r="D791" s="49"/>
      <c r="E791" s="50"/>
      <c r="F791" s="277"/>
      <c r="G791" s="277"/>
      <c r="H791" s="49"/>
      <c r="I791" s="107"/>
    </row>
    <row r="792" spans="1:9">
      <c r="A792" s="48"/>
      <c r="B792" s="49"/>
      <c r="C792" s="49"/>
      <c r="D792" s="49"/>
      <c r="E792" s="50"/>
      <c r="F792" s="277"/>
      <c r="G792" s="277"/>
      <c r="H792" s="49"/>
      <c r="I792" s="107"/>
    </row>
    <row r="793" spans="1:9">
      <c r="A793" s="48"/>
      <c r="B793" s="49"/>
      <c r="C793" s="49"/>
      <c r="D793" s="49"/>
      <c r="E793" s="50"/>
      <c r="F793" s="277"/>
      <c r="G793" s="277"/>
      <c r="H793" s="49"/>
      <c r="I793" s="107"/>
    </row>
    <row r="794" spans="1:9">
      <c r="A794" s="48"/>
      <c r="B794" s="49"/>
      <c r="C794" s="49"/>
      <c r="D794" s="49"/>
      <c r="E794" s="50"/>
      <c r="F794" s="277"/>
      <c r="G794" s="277"/>
      <c r="H794" s="49"/>
      <c r="I794" s="107"/>
    </row>
    <row r="795" spans="1:9">
      <c r="A795" s="48"/>
      <c r="B795" s="49"/>
      <c r="C795" s="49"/>
      <c r="D795" s="49"/>
      <c r="E795" s="50"/>
      <c r="F795" s="277"/>
      <c r="G795" s="277"/>
      <c r="H795" s="49"/>
      <c r="I795" s="107"/>
    </row>
    <row r="796" spans="1:9">
      <c r="A796" s="48"/>
      <c r="B796" s="49"/>
      <c r="C796" s="49"/>
      <c r="D796" s="49"/>
      <c r="E796" s="50"/>
      <c r="F796" s="277"/>
      <c r="G796" s="277"/>
      <c r="H796" s="49"/>
      <c r="I796" s="107"/>
    </row>
    <row r="797" spans="1:9">
      <c r="A797" s="48"/>
      <c r="B797" s="49"/>
      <c r="C797" s="49"/>
      <c r="D797" s="49"/>
      <c r="E797" s="50"/>
      <c r="F797" s="277"/>
      <c r="G797" s="277"/>
      <c r="H797" s="49"/>
      <c r="I797" s="107"/>
    </row>
    <row r="798" spans="1:9">
      <c r="A798" s="48"/>
      <c r="B798" s="49"/>
      <c r="C798" s="49"/>
      <c r="D798" s="49"/>
      <c r="E798" s="50"/>
      <c r="F798" s="277"/>
      <c r="G798" s="277"/>
      <c r="H798" s="49"/>
      <c r="I798" s="107"/>
    </row>
    <row r="799" spans="1:9">
      <c r="A799" s="48"/>
      <c r="B799" s="49"/>
      <c r="C799" s="49"/>
      <c r="D799" s="49"/>
      <c r="E799" s="50"/>
      <c r="F799" s="277"/>
      <c r="G799" s="277"/>
      <c r="H799" s="49"/>
      <c r="I799" s="107"/>
    </row>
    <row r="800" spans="1:9">
      <c r="A800" s="48"/>
      <c r="B800" s="49"/>
      <c r="C800" s="49"/>
      <c r="D800" s="49"/>
      <c r="E800" s="50"/>
      <c r="F800" s="277"/>
      <c r="G800" s="277"/>
      <c r="H800" s="49"/>
      <c r="I800" s="107"/>
    </row>
    <row r="801" spans="1:9">
      <c r="A801" s="48"/>
      <c r="B801" s="49"/>
      <c r="C801" s="49"/>
      <c r="D801" s="49"/>
      <c r="E801" s="50"/>
      <c r="F801" s="277"/>
      <c r="G801" s="277"/>
      <c r="H801" s="49"/>
      <c r="I801" s="107"/>
    </row>
    <row r="802" spans="1:9">
      <c r="A802" s="48"/>
      <c r="B802" s="49"/>
      <c r="C802" s="49"/>
      <c r="D802" s="49"/>
      <c r="E802" s="50"/>
      <c r="F802" s="277"/>
      <c r="G802" s="277"/>
      <c r="H802" s="49"/>
      <c r="I802" s="107"/>
    </row>
    <row r="803" spans="1:9">
      <c r="A803" s="48"/>
      <c r="B803" s="49"/>
      <c r="C803" s="49"/>
      <c r="D803" s="49"/>
      <c r="E803" s="50"/>
      <c r="F803" s="277"/>
      <c r="G803" s="277"/>
      <c r="H803" s="49"/>
      <c r="I803" s="107"/>
    </row>
    <row r="804" spans="1:9">
      <c r="A804" s="48"/>
      <c r="B804" s="49"/>
      <c r="C804" s="49"/>
      <c r="D804" s="49"/>
      <c r="E804" s="50"/>
      <c r="F804" s="277"/>
      <c r="G804" s="277"/>
      <c r="H804" s="49"/>
      <c r="I804" s="107"/>
    </row>
    <row r="805" spans="1:9">
      <c r="A805" s="48"/>
      <c r="B805" s="49"/>
      <c r="C805" s="49"/>
      <c r="D805" s="49"/>
      <c r="E805" s="50"/>
      <c r="F805" s="277"/>
      <c r="G805" s="277"/>
      <c r="H805" s="49"/>
      <c r="I805" s="107"/>
    </row>
    <row r="806" spans="1:9">
      <c r="A806" s="48"/>
      <c r="B806" s="49"/>
      <c r="C806" s="49"/>
      <c r="D806" s="49"/>
      <c r="E806" s="50"/>
      <c r="F806" s="277"/>
      <c r="G806" s="277"/>
      <c r="H806" s="49"/>
      <c r="I806" s="107"/>
    </row>
    <row r="807" spans="1:9">
      <c r="A807" s="48"/>
      <c r="B807" s="49"/>
      <c r="C807" s="49"/>
      <c r="D807" s="49"/>
      <c r="E807" s="50"/>
      <c r="F807" s="277"/>
      <c r="G807" s="277"/>
      <c r="H807" s="49"/>
      <c r="I807" s="107"/>
    </row>
    <row r="808" spans="1:9">
      <c r="A808" s="48"/>
      <c r="B808" s="49"/>
      <c r="C808" s="49"/>
      <c r="D808" s="49"/>
      <c r="E808" s="50"/>
      <c r="F808" s="277"/>
      <c r="G808" s="277"/>
      <c r="H808" s="49"/>
      <c r="I808" s="107"/>
    </row>
    <row r="809" spans="1:9">
      <c r="A809" s="48"/>
      <c r="B809" s="49"/>
      <c r="C809" s="49"/>
      <c r="D809" s="49"/>
      <c r="E809" s="50"/>
      <c r="F809" s="277"/>
      <c r="G809" s="277"/>
      <c r="H809" s="49"/>
      <c r="I809" s="107"/>
    </row>
    <row r="810" spans="1:9">
      <c r="A810" s="48"/>
      <c r="B810" s="49"/>
      <c r="C810" s="49"/>
      <c r="D810" s="49"/>
      <c r="E810" s="50"/>
      <c r="F810" s="277"/>
      <c r="G810" s="277"/>
      <c r="H810" s="49"/>
      <c r="I810" s="107"/>
    </row>
    <row r="811" spans="1:9">
      <c r="A811" s="48"/>
      <c r="B811" s="49"/>
      <c r="C811" s="49"/>
      <c r="D811" s="49"/>
      <c r="E811" s="50"/>
      <c r="F811" s="277"/>
      <c r="G811" s="277"/>
      <c r="H811" s="49"/>
      <c r="I811" s="107"/>
    </row>
    <row r="812" spans="1:9">
      <c r="A812" s="48"/>
      <c r="B812" s="49"/>
      <c r="C812" s="49"/>
      <c r="D812" s="49"/>
      <c r="E812" s="50"/>
      <c r="F812" s="277"/>
      <c r="G812" s="277"/>
      <c r="H812" s="49"/>
      <c r="I812" s="107"/>
    </row>
    <row r="813" spans="1:9">
      <c r="A813" s="48"/>
      <c r="B813" s="49"/>
      <c r="C813" s="49"/>
      <c r="D813" s="49"/>
      <c r="E813" s="50"/>
      <c r="F813" s="277"/>
      <c r="G813" s="277"/>
      <c r="H813" s="49"/>
      <c r="I813" s="107"/>
    </row>
    <row r="814" spans="1:9">
      <c r="A814" s="48"/>
      <c r="B814" s="49"/>
      <c r="C814" s="49"/>
      <c r="D814" s="49"/>
      <c r="E814" s="50"/>
      <c r="F814" s="277"/>
      <c r="G814" s="277"/>
      <c r="H814" s="49"/>
      <c r="I814" s="107"/>
    </row>
    <row r="815" spans="1:9">
      <c r="A815" s="48"/>
      <c r="B815" s="49"/>
      <c r="C815" s="49"/>
      <c r="D815" s="49"/>
      <c r="E815" s="50"/>
      <c r="F815" s="277"/>
      <c r="G815" s="277"/>
      <c r="H815" s="49"/>
      <c r="I815" s="107"/>
    </row>
    <row r="816" spans="1:9">
      <c r="A816" s="48"/>
      <c r="B816" s="49"/>
      <c r="C816" s="49"/>
      <c r="D816" s="49"/>
      <c r="E816" s="50"/>
      <c r="F816" s="277"/>
      <c r="G816" s="277"/>
      <c r="H816" s="49"/>
      <c r="I816" s="107"/>
    </row>
    <row r="817" spans="1:9">
      <c r="A817" s="48"/>
      <c r="B817" s="49"/>
      <c r="C817" s="49"/>
      <c r="D817" s="49"/>
      <c r="E817" s="50"/>
      <c r="F817" s="277"/>
      <c r="G817" s="277"/>
      <c r="H817" s="49"/>
      <c r="I817" s="107"/>
    </row>
    <row r="818" spans="1:9">
      <c r="A818" s="48"/>
      <c r="B818" s="49"/>
      <c r="C818" s="49"/>
      <c r="D818" s="49"/>
      <c r="E818" s="50"/>
      <c r="F818" s="277"/>
      <c r="G818" s="277"/>
      <c r="H818" s="49"/>
      <c r="I818" s="107"/>
    </row>
    <row r="819" spans="1:9">
      <c r="A819" s="48"/>
      <c r="B819" s="49"/>
      <c r="C819" s="49"/>
      <c r="D819" s="49"/>
      <c r="E819" s="50"/>
      <c r="F819" s="277"/>
      <c r="G819" s="277"/>
      <c r="H819" s="49"/>
      <c r="I819" s="107"/>
    </row>
    <row r="820" spans="1:9">
      <c r="A820" s="48"/>
      <c r="B820" s="49"/>
      <c r="C820" s="49"/>
      <c r="D820" s="49"/>
      <c r="E820" s="50"/>
      <c r="F820" s="277"/>
      <c r="G820" s="277"/>
      <c r="H820" s="49"/>
      <c r="I820" s="107"/>
    </row>
    <row r="821" spans="1:9">
      <c r="A821" s="48"/>
      <c r="B821" s="49"/>
      <c r="C821" s="49"/>
      <c r="D821" s="49"/>
      <c r="E821" s="50"/>
      <c r="F821" s="277"/>
      <c r="G821" s="277"/>
      <c r="H821" s="49"/>
      <c r="I821" s="107"/>
    </row>
    <row r="822" spans="1:9">
      <c r="A822" s="48"/>
      <c r="B822" s="49"/>
      <c r="C822" s="49"/>
      <c r="D822" s="49"/>
      <c r="E822" s="50"/>
      <c r="F822" s="277"/>
      <c r="G822" s="277"/>
      <c r="H822" s="49"/>
      <c r="I822" s="107"/>
    </row>
    <row r="823" spans="1:9">
      <c r="A823" s="48"/>
      <c r="B823" s="49"/>
      <c r="C823" s="49"/>
      <c r="D823" s="49"/>
      <c r="E823" s="50"/>
      <c r="F823" s="277"/>
      <c r="G823" s="277"/>
      <c r="H823" s="49"/>
      <c r="I823" s="107"/>
    </row>
    <row r="824" spans="1:9">
      <c r="A824" s="48"/>
      <c r="B824" s="49"/>
      <c r="C824" s="49"/>
      <c r="D824" s="49"/>
      <c r="E824" s="50"/>
      <c r="F824" s="277"/>
      <c r="G824" s="277"/>
      <c r="H824" s="49"/>
      <c r="I824" s="107"/>
    </row>
    <row r="825" spans="1:9">
      <c r="A825" s="48"/>
      <c r="B825" s="49"/>
      <c r="C825" s="49"/>
      <c r="D825" s="49"/>
      <c r="E825" s="50"/>
      <c r="F825" s="277"/>
      <c r="G825" s="277"/>
      <c r="H825" s="49"/>
      <c r="I825" s="107"/>
    </row>
    <row r="826" spans="1:9">
      <c r="A826" s="48"/>
      <c r="B826" s="49"/>
      <c r="C826" s="49"/>
      <c r="D826" s="49"/>
      <c r="E826" s="50"/>
      <c r="F826" s="277"/>
      <c r="G826" s="277"/>
      <c r="H826" s="49"/>
      <c r="I826" s="107"/>
    </row>
    <row r="827" spans="1:9">
      <c r="A827" s="48"/>
      <c r="B827" s="49"/>
      <c r="C827" s="49"/>
      <c r="D827" s="49"/>
      <c r="E827" s="50"/>
      <c r="F827" s="277"/>
      <c r="G827" s="277"/>
      <c r="H827" s="49"/>
      <c r="I827" s="107"/>
    </row>
    <row r="828" spans="1:9">
      <c r="A828" s="48"/>
      <c r="B828" s="49"/>
      <c r="C828" s="49"/>
      <c r="D828" s="49"/>
      <c r="E828" s="50"/>
      <c r="F828" s="277"/>
      <c r="G828" s="277"/>
      <c r="H828" s="49"/>
      <c r="I828" s="107"/>
    </row>
    <row r="829" spans="1:9">
      <c r="A829" s="48"/>
      <c r="B829" s="49"/>
      <c r="C829" s="49"/>
      <c r="D829" s="49"/>
      <c r="E829" s="50"/>
      <c r="F829" s="277"/>
      <c r="G829" s="277"/>
      <c r="H829" s="49"/>
      <c r="I829" s="107"/>
    </row>
    <row r="830" spans="1:9">
      <c r="A830" s="48"/>
      <c r="B830" s="49"/>
      <c r="C830" s="49"/>
      <c r="D830" s="49"/>
      <c r="E830" s="50"/>
      <c r="F830" s="277"/>
      <c r="G830" s="277"/>
      <c r="H830" s="49"/>
      <c r="I830" s="107"/>
    </row>
    <row r="831" spans="1:9">
      <c r="A831" s="48"/>
      <c r="B831" s="49"/>
      <c r="C831" s="49"/>
      <c r="D831" s="49"/>
      <c r="E831" s="50"/>
      <c r="F831" s="277"/>
      <c r="G831" s="277"/>
      <c r="H831" s="49"/>
      <c r="I831" s="107"/>
    </row>
    <row r="832" spans="1:9">
      <c r="A832" s="48"/>
      <c r="B832" s="49"/>
      <c r="C832" s="49"/>
      <c r="D832" s="49"/>
      <c r="E832" s="50"/>
      <c r="F832" s="277"/>
      <c r="G832" s="277"/>
      <c r="H832" s="49"/>
      <c r="I832" s="107"/>
    </row>
    <row r="833" spans="1:9">
      <c r="A833" s="48"/>
      <c r="B833" s="49"/>
      <c r="C833" s="49"/>
      <c r="D833" s="49"/>
      <c r="E833" s="50"/>
      <c r="F833" s="277"/>
      <c r="G833" s="277"/>
      <c r="H833" s="49"/>
      <c r="I833" s="107"/>
    </row>
    <row r="834" spans="1:9">
      <c r="A834" s="48"/>
      <c r="B834" s="49"/>
      <c r="C834" s="49"/>
      <c r="D834" s="49"/>
      <c r="E834" s="50"/>
      <c r="F834" s="277"/>
      <c r="G834" s="277"/>
      <c r="H834" s="49"/>
      <c r="I834" s="107"/>
    </row>
    <row r="835" spans="1:9">
      <c r="A835" s="48"/>
      <c r="B835" s="49"/>
      <c r="C835" s="49"/>
      <c r="D835" s="49"/>
      <c r="E835" s="50"/>
      <c r="F835" s="277"/>
      <c r="G835" s="277"/>
      <c r="H835" s="49"/>
      <c r="I835" s="107"/>
    </row>
    <row r="836" spans="1:9">
      <c r="A836" s="48"/>
      <c r="B836" s="49"/>
      <c r="C836" s="49"/>
      <c r="D836" s="49"/>
      <c r="E836" s="50"/>
      <c r="F836" s="277"/>
      <c r="G836" s="277"/>
      <c r="H836" s="49"/>
      <c r="I836" s="107"/>
    </row>
    <row r="837" spans="1:9">
      <c r="A837" s="48"/>
      <c r="B837" s="49"/>
      <c r="C837" s="49"/>
      <c r="D837" s="49"/>
      <c r="E837" s="50"/>
      <c r="F837" s="277"/>
      <c r="G837" s="277"/>
      <c r="H837" s="49"/>
      <c r="I837" s="107"/>
    </row>
    <row r="838" spans="1:9">
      <c r="A838" s="48"/>
      <c r="B838" s="49"/>
      <c r="C838" s="49"/>
      <c r="D838" s="49"/>
      <c r="E838" s="50"/>
      <c r="F838" s="277"/>
      <c r="G838" s="277"/>
      <c r="H838" s="49"/>
      <c r="I838" s="107"/>
    </row>
    <row r="839" spans="1:9">
      <c r="A839" s="48"/>
      <c r="B839" s="49"/>
      <c r="C839" s="49"/>
      <c r="D839" s="49"/>
      <c r="E839" s="50"/>
      <c r="F839" s="277"/>
      <c r="G839" s="277"/>
      <c r="H839" s="49"/>
      <c r="I839" s="107"/>
    </row>
    <row r="840" spans="1:9">
      <c r="A840" s="48"/>
      <c r="B840" s="49"/>
      <c r="C840" s="49"/>
      <c r="D840" s="49"/>
      <c r="E840" s="50"/>
      <c r="F840" s="277"/>
      <c r="G840" s="277"/>
      <c r="H840" s="49"/>
      <c r="I840" s="107"/>
    </row>
    <row r="841" spans="1:9">
      <c r="A841" s="48"/>
      <c r="B841" s="49"/>
      <c r="C841" s="49"/>
      <c r="D841" s="49"/>
      <c r="E841" s="50"/>
      <c r="F841" s="277"/>
      <c r="G841" s="277"/>
      <c r="H841" s="49"/>
      <c r="I841" s="107"/>
    </row>
    <row r="842" spans="1:9">
      <c r="A842" s="48"/>
      <c r="B842" s="49"/>
      <c r="C842" s="49"/>
      <c r="D842" s="49"/>
      <c r="E842" s="50"/>
      <c r="F842" s="277"/>
      <c r="G842" s="277"/>
      <c r="H842" s="49"/>
      <c r="I842" s="107"/>
    </row>
    <row r="843" spans="1:9">
      <c r="A843" s="48"/>
      <c r="B843" s="49"/>
      <c r="C843" s="49"/>
      <c r="D843" s="49"/>
      <c r="E843" s="50"/>
      <c r="F843" s="277"/>
      <c r="G843" s="277"/>
      <c r="H843" s="49"/>
      <c r="I843" s="107"/>
    </row>
    <row r="844" spans="1:9">
      <c r="A844" s="48"/>
      <c r="B844" s="49"/>
      <c r="C844" s="49"/>
      <c r="D844" s="49"/>
      <c r="E844" s="50"/>
      <c r="F844" s="277"/>
      <c r="G844" s="277"/>
      <c r="H844" s="49"/>
      <c r="I844" s="107"/>
    </row>
    <row r="845" spans="1:9">
      <c r="A845" s="48"/>
      <c r="B845" s="49"/>
      <c r="C845" s="49"/>
      <c r="D845" s="49"/>
      <c r="E845" s="50"/>
      <c r="F845" s="277"/>
      <c r="G845" s="277"/>
      <c r="H845" s="49"/>
      <c r="I845" s="107"/>
    </row>
    <row r="846" spans="1:9">
      <c r="A846" s="48"/>
      <c r="B846" s="49"/>
      <c r="C846" s="49"/>
      <c r="D846" s="49"/>
      <c r="E846" s="50"/>
      <c r="F846" s="277"/>
      <c r="G846" s="277"/>
      <c r="H846" s="49"/>
      <c r="I846" s="107"/>
    </row>
    <row r="847" spans="1:9">
      <c r="A847" s="48"/>
      <c r="B847" s="49"/>
      <c r="C847" s="49"/>
      <c r="D847" s="49"/>
      <c r="E847" s="50"/>
      <c r="F847" s="277"/>
      <c r="G847" s="277"/>
      <c r="H847" s="49"/>
      <c r="I847" s="107"/>
    </row>
    <row r="848" spans="1:9">
      <c r="A848" s="48"/>
      <c r="B848" s="49"/>
      <c r="C848" s="49"/>
      <c r="D848" s="49"/>
      <c r="E848" s="50"/>
      <c r="F848" s="277"/>
      <c r="G848" s="277"/>
      <c r="H848" s="49"/>
      <c r="I848" s="107"/>
    </row>
    <row r="849" spans="1:9">
      <c r="A849" s="48"/>
      <c r="B849" s="49"/>
      <c r="C849" s="49"/>
      <c r="D849" s="49"/>
      <c r="E849" s="50"/>
      <c r="F849" s="277"/>
      <c r="G849" s="277"/>
      <c r="H849" s="49"/>
      <c r="I849" s="107"/>
    </row>
    <row r="850" spans="1:9">
      <c r="A850" s="48"/>
      <c r="B850" s="49"/>
      <c r="C850" s="49"/>
      <c r="D850" s="49"/>
      <c r="E850" s="50"/>
      <c r="F850" s="277"/>
      <c r="G850" s="277"/>
      <c r="H850" s="49"/>
      <c r="I850" s="107"/>
    </row>
    <row r="851" spans="1:9">
      <c r="A851" s="48"/>
      <c r="B851" s="49"/>
      <c r="C851" s="49"/>
      <c r="D851" s="49"/>
      <c r="E851" s="50"/>
      <c r="F851" s="277"/>
      <c r="G851" s="277"/>
      <c r="H851" s="49"/>
      <c r="I851" s="107"/>
    </row>
    <row r="852" spans="1:9">
      <c r="A852" s="48"/>
      <c r="B852" s="49"/>
      <c r="C852" s="49"/>
      <c r="D852" s="49"/>
      <c r="E852" s="50"/>
      <c r="F852" s="277"/>
      <c r="G852" s="277"/>
      <c r="H852" s="49"/>
      <c r="I852" s="107"/>
    </row>
    <row r="853" spans="1:9">
      <c r="A853" s="48"/>
      <c r="B853" s="49"/>
      <c r="C853" s="49"/>
      <c r="D853" s="49"/>
      <c r="E853" s="50"/>
      <c r="F853" s="277"/>
      <c r="G853" s="277"/>
      <c r="H853" s="49"/>
      <c r="I853" s="107"/>
    </row>
    <row r="854" spans="1:9">
      <c r="A854" s="48"/>
      <c r="B854" s="49"/>
      <c r="C854" s="49"/>
      <c r="D854" s="49"/>
      <c r="E854" s="50"/>
      <c r="F854" s="277"/>
      <c r="G854" s="277"/>
      <c r="H854" s="49"/>
      <c r="I854" s="107"/>
    </row>
    <row r="855" spans="1:9">
      <c r="A855" s="48"/>
      <c r="B855" s="49"/>
      <c r="C855" s="49"/>
      <c r="D855" s="49"/>
      <c r="E855" s="50"/>
      <c r="F855" s="277"/>
      <c r="G855" s="277"/>
      <c r="H855" s="49"/>
      <c r="I855" s="107"/>
    </row>
    <row r="856" spans="1:9">
      <c r="A856" s="48"/>
      <c r="B856" s="49"/>
      <c r="C856" s="49"/>
      <c r="D856" s="49"/>
      <c r="E856" s="50"/>
      <c r="F856" s="277"/>
      <c r="G856" s="277"/>
      <c r="H856" s="49"/>
      <c r="I856" s="107"/>
    </row>
    <row r="857" spans="1:9">
      <c r="A857" s="48"/>
      <c r="B857" s="49"/>
      <c r="C857" s="49"/>
      <c r="D857" s="49"/>
      <c r="E857" s="50"/>
      <c r="F857" s="277"/>
      <c r="G857" s="277"/>
      <c r="H857" s="49"/>
      <c r="I857" s="107"/>
    </row>
    <row r="858" spans="1:9">
      <c r="A858" s="48"/>
      <c r="B858" s="49"/>
      <c r="C858" s="49"/>
      <c r="D858" s="49"/>
      <c r="E858" s="50"/>
      <c r="F858" s="277"/>
      <c r="G858" s="277"/>
      <c r="H858" s="49"/>
      <c r="I858" s="107"/>
    </row>
    <row r="859" spans="1:9">
      <c r="A859" s="48"/>
      <c r="B859" s="49"/>
      <c r="C859" s="49"/>
      <c r="D859" s="49"/>
      <c r="E859" s="50"/>
      <c r="F859" s="277"/>
      <c r="G859" s="277"/>
      <c r="H859" s="49"/>
      <c r="I859" s="107"/>
    </row>
    <row r="860" spans="1:9">
      <c r="A860" s="48"/>
      <c r="B860" s="49"/>
      <c r="C860" s="49"/>
      <c r="D860" s="49"/>
      <c r="E860" s="50"/>
      <c r="F860" s="277"/>
      <c r="G860" s="277"/>
      <c r="H860" s="49"/>
      <c r="I860" s="107"/>
    </row>
    <row r="861" spans="1:9">
      <c r="A861" s="48"/>
      <c r="B861" s="49"/>
      <c r="C861" s="49"/>
      <c r="D861" s="49"/>
      <c r="E861" s="50"/>
      <c r="F861" s="277"/>
      <c r="G861" s="277"/>
      <c r="H861" s="49"/>
      <c r="I861" s="107"/>
    </row>
    <row r="862" spans="1:9">
      <c r="A862" s="48"/>
      <c r="B862" s="49"/>
      <c r="C862" s="49"/>
      <c r="D862" s="49"/>
      <c r="E862" s="50"/>
      <c r="F862" s="277"/>
      <c r="G862" s="277"/>
      <c r="H862" s="49"/>
      <c r="I862" s="107"/>
    </row>
    <row r="863" spans="1:9">
      <c r="A863" s="48"/>
      <c r="B863" s="49"/>
      <c r="C863" s="49"/>
      <c r="D863" s="49"/>
      <c r="E863" s="50"/>
      <c r="F863" s="277"/>
      <c r="G863" s="277"/>
      <c r="H863" s="49"/>
      <c r="I863" s="107"/>
    </row>
    <row r="864" spans="1:9">
      <c r="A864" s="48"/>
      <c r="B864" s="49"/>
      <c r="C864" s="49"/>
      <c r="D864" s="49"/>
      <c r="E864" s="50"/>
      <c r="F864" s="277"/>
      <c r="G864" s="277"/>
      <c r="H864" s="49"/>
      <c r="I864" s="107"/>
    </row>
    <row r="865" spans="1:9">
      <c r="A865" s="48"/>
      <c r="B865" s="49"/>
      <c r="C865" s="49"/>
      <c r="D865" s="49"/>
      <c r="E865" s="50"/>
      <c r="F865" s="277"/>
      <c r="G865" s="277"/>
      <c r="H865" s="49"/>
      <c r="I865" s="107"/>
    </row>
    <row r="866" spans="1:9">
      <c r="A866" s="48"/>
      <c r="B866" s="49"/>
      <c r="C866" s="49"/>
      <c r="D866" s="49"/>
      <c r="E866" s="50"/>
      <c r="F866" s="277"/>
      <c r="G866" s="277"/>
      <c r="H866" s="49"/>
      <c r="I866" s="107"/>
    </row>
    <row r="867" spans="1:9">
      <c r="A867" s="48"/>
      <c r="B867" s="49"/>
      <c r="C867" s="49"/>
      <c r="D867" s="49"/>
      <c r="E867" s="50"/>
      <c r="F867" s="277"/>
      <c r="G867" s="277"/>
      <c r="H867" s="49"/>
      <c r="I867" s="107"/>
    </row>
    <row r="868" spans="1:9">
      <c r="A868" s="48"/>
      <c r="B868" s="49"/>
      <c r="C868" s="49"/>
      <c r="D868" s="49"/>
      <c r="E868" s="50"/>
      <c r="F868" s="277"/>
      <c r="G868" s="277"/>
      <c r="H868" s="49"/>
      <c r="I868" s="107"/>
    </row>
    <row r="869" spans="1:9">
      <c r="A869" s="48"/>
      <c r="B869" s="49"/>
      <c r="C869" s="49"/>
      <c r="D869" s="49"/>
      <c r="E869" s="50"/>
      <c r="F869" s="277"/>
      <c r="G869" s="277"/>
      <c r="H869" s="49"/>
      <c r="I869" s="107"/>
    </row>
    <row r="870" spans="1:9">
      <c r="A870" s="48"/>
      <c r="B870" s="49"/>
      <c r="C870" s="49"/>
      <c r="D870" s="49"/>
      <c r="E870" s="50"/>
      <c r="F870" s="277"/>
      <c r="G870" s="277"/>
      <c r="H870" s="49"/>
      <c r="I870" s="107"/>
    </row>
    <row r="871" spans="1:9">
      <c r="A871" s="48"/>
      <c r="B871" s="49"/>
      <c r="C871" s="49"/>
      <c r="D871" s="49"/>
      <c r="E871" s="50"/>
      <c r="F871" s="277"/>
      <c r="G871" s="277"/>
      <c r="H871" s="49"/>
      <c r="I871" s="107"/>
    </row>
    <row r="872" spans="1:9">
      <c r="A872" s="48"/>
      <c r="B872" s="49"/>
      <c r="C872" s="49"/>
      <c r="D872" s="49"/>
      <c r="E872" s="50"/>
      <c r="F872" s="277"/>
      <c r="G872" s="277"/>
      <c r="H872" s="49"/>
      <c r="I872" s="107"/>
    </row>
    <row r="873" spans="1:9">
      <c r="A873" s="48"/>
      <c r="B873" s="49"/>
      <c r="C873" s="49"/>
      <c r="D873" s="49"/>
      <c r="E873" s="50"/>
      <c r="F873" s="277"/>
      <c r="G873" s="277"/>
      <c r="H873" s="49"/>
      <c r="I873" s="107"/>
    </row>
    <row r="874" spans="1:9">
      <c r="A874" s="48"/>
      <c r="B874" s="49"/>
      <c r="C874" s="49"/>
      <c r="D874" s="49"/>
      <c r="E874" s="50"/>
      <c r="F874" s="277"/>
      <c r="G874" s="277"/>
      <c r="H874" s="49"/>
      <c r="I874" s="107"/>
    </row>
    <row r="875" spans="1:9">
      <c r="A875" s="48"/>
      <c r="B875" s="49"/>
      <c r="C875" s="49"/>
      <c r="D875" s="49"/>
      <c r="E875" s="50"/>
      <c r="F875" s="277"/>
      <c r="G875" s="277"/>
      <c r="H875" s="49"/>
      <c r="I875" s="107"/>
    </row>
    <row r="876" spans="1:9">
      <c r="A876" s="48"/>
      <c r="B876" s="49"/>
      <c r="C876" s="49"/>
      <c r="D876" s="49"/>
      <c r="E876" s="50"/>
      <c r="F876" s="277"/>
      <c r="G876" s="277"/>
      <c r="H876" s="49"/>
      <c r="I876" s="107"/>
    </row>
    <row r="877" spans="1:9">
      <c r="A877" s="48"/>
      <c r="B877" s="49"/>
      <c r="C877" s="49"/>
      <c r="D877" s="49"/>
      <c r="E877" s="50"/>
      <c r="F877" s="277"/>
      <c r="G877" s="277"/>
      <c r="H877" s="49"/>
      <c r="I877" s="107"/>
    </row>
    <row r="878" spans="1:9">
      <c r="A878" s="48"/>
      <c r="B878" s="49"/>
      <c r="C878" s="49"/>
      <c r="D878" s="49"/>
      <c r="E878" s="50"/>
      <c r="F878" s="277"/>
      <c r="G878" s="277"/>
      <c r="H878" s="49"/>
      <c r="I878" s="107"/>
    </row>
    <row r="879" spans="1:9">
      <c r="A879" s="48"/>
      <c r="B879" s="49"/>
      <c r="C879" s="49"/>
      <c r="D879" s="49"/>
      <c r="E879" s="50"/>
      <c r="F879" s="277"/>
      <c r="G879" s="277"/>
      <c r="H879" s="49"/>
      <c r="I879" s="107"/>
    </row>
    <row r="880" spans="1:9">
      <c r="A880" s="48"/>
      <c r="B880" s="49"/>
      <c r="C880" s="49"/>
      <c r="D880" s="49"/>
      <c r="E880" s="50"/>
      <c r="F880" s="277"/>
      <c r="G880" s="277"/>
      <c r="H880" s="49"/>
      <c r="I880" s="107"/>
    </row>
    <row r="881" spans="1:9">
      <c r="A881" s="48"/>
      <c r="B881" s="49"/>
      <c r="C881" s="49"/>
      <c r="D881" s="49"/>
      <c r="E881" s="50"/>
      <c r="F881" s="277"/>
      <c r="G881" s="277"/>
      <c r="H881" s="49"/>
      <c r="I881" s="107"/>
    </row>
    <row r="882" spans="1:9">
      <c r="A882" s="48"/>
      <c r="B882" s="49"/>
      <c r="C882" s="49"/>
      <c r="D882" s="49"/>
      <c r="E882" s="50"/>
      <c r="F882" s="277"/>
      <c r="G882" s="277"/>
      <c r="H882" s="49"/>
      <c r="I882" s="107"/>
    </row>
    <row r="883" spans="1:9">
      <c r="A883" s="48"/>
      <c r="B883" s="49"/>
      <c r="C883" s="49"/>
      <c r="D883" s="49"/>
      <c r="E883" s="50"/>
      <c r="F883" s="277"/>
      <c r="G883" s="277"/>
      <c r="H883" s="49"/>
      <c r="I883" s="107"/>
    </row>
    <row r="884" spans="1:9">
      <c r="A884" s="48"/>
      <c r="B884" s="49"/>
      <c r="C884" s="49"/>
      <c r="D884" s="49"/>
      <c r="E884" s="50"/>
      <c r="F884" s="277"/>
      <c r="G884" s="277"/>
      <c r="H884" s="49"/>
      <c r="I884" s="107"/>
    </row>
    <row r="885" spans="1:9">
      <c r="A885" s="48"/>
      <c r="B885" s="49"/>
      <c r="C885" s="49"/>
      <c r="D885" s="49"/>
      <c r="E885" s="50"/>
      <c r="F885" s="277"/>
      <c r="G885" s="277"/>
      <c r="H885" s="49"/>
      <c r="I885" s="107"/>
    </row>
    <row r="886" spans="1:9">
      <c r="A886" s="48"/>
      <c r="B886" s="49"/>
      <c r="C886" s="49"/>
      <c r="D886" s="49"/>
      <c r="E886" s="50"/>
      <c r="F886" s="277"/>
      <c r="G886" s="277"/>
      <c r="H886" s="49"/>
      <c r="I886" s="107"/>
    </row>
    <row r="887" spans="1:9">
      <c r="A887" s="48"/>
      <c r="B887" s="49"/>
      <c r="C887" s="49"/>
      <c r="D887" s="49"/>
      <c r="E887" s="50"/>
      <c r="F887" s="277"/>
      <c r="G887" s="277"/>
      <c r="H887" s="49"/>
      <c r="I887" s="107"/>
    </row>
    <row r="888" spans="1:9">
      <c r="A888" s="48"/>
      <c r="B888" s="49"/>
      <c r="C888" s="49"/>
      <c r="D888" s="49"/>
      <c r="E888" s="50"/>
      <c r="F888" s="277"/>
      <c r="G888" s="277"/>
      <c r="H888" s="49"/>
      <c r="I888" s="107"/>
    </row>
    <row r="889" spans="1:9">
      <c r="A889" s="48"/>
      <c r="B889" s="49"/>
      <c r="C889" s="49"/>
      <c r="D889" s="49"/>
      <c r="E889" s="50"/>
      <c r="F889" s="277"/>
      <c r="G889" s="277"/>
      <c r="H889" s="49"/>
      <c r="I889" s="107"/>
    </row>
    <row r="890" spans="1:9">
      <c r="A890" s="48"/>
      <c r="B890" s="49"/>
      <c r="C890" s="49"/>
      <c r="D890" s="49"/>
      <c r="E890" s="50"/>
      <c r="F890" s="277"/>
      <c r="G890" s="277"/>
      <c r="H890" s="49"/>
      <c r="I890" s="107"/>
    </row>
    <row r="891" spans="1:9">
      <c r="A891" s="48"/>
      <c r="B891" s="49"/>
      <c r="C891" s="49"/>
      <c r="D891" s="49"/>
      <c r="E891" s="50"/>
      <c r="F891" s="277"/>
      <c r="G891" s="277"/>
      <c r="H891" s="49"/>
      <c r="I891" s="107"/>
    </row>
    <row r="892" spans="1:9">
      <c r="A892" s="48"/>
      <c r="B892" s="49"/>
      <c r="C892" s="49"/>
      <c r="D892" s="49"/>
      <c r="E892" s="50"/>
      <c r="F892" s="277"/>
      <c r="G892" s="277"/>
      <c r="H892" s="49"/>
      <c r="I892" s="107"/>
    </row>
    <row r="893" spans="1:9">
      <c r="A893" s="48"/>
      <c r="B893" s="49"/>
      <c r="C893" s="49"/>
      <c r="D893" s="49"/>
      <c r="E893" s="50"/>
      <c r="F893" s="277"/>
      <c r="G893" s="277"/>
      <c r="H893" s="49"/>
      <c r="I893" s="107"/>
    </row>
    <row r="894" spans="1:9">
      <c r="A894" s="48"/>
      <c r="B894" s="49"/>
      <c r="C894" s="49"/>
      <c r="D894" s="49"/>
      <c r="E894" s="50"/>
      <c r="F894" s="277"/>
      <c r="G894" s="277"/>
      <c r="H894" s="49"/>
      <c r="I894" s="107"/>
    </row>
    <row r="895" spans="1:9">
      <c r="A895" s="48"/>
      <c r="B895" s="49"/>
      <c r="C895" s="49"/>
      <c r="D895" s="49"/>
      <c r="E895" s="50"/>
      <c r="F895" s="277"/>
      <c r="G895" s="277"/>
      <c r="H895" s="49"/>
      <c r="I895" s="107"/>
    </row>
    <row r="896" spans="1:9">
      <c r="A896" s="48"/>
      <c r="B896" s="49"/>
      <c r="C896" s="49"/>
      <c r="D896" s="49"/>
      <c r="E896" s="50"/>
      <c r="F896" s="277"/>
      <c r="G896" s="277"/>
      <c r="H896" s="49"/>
      <c r="I896" s="107"/>
    </row>
    <row r="897" spans="1:9">
      <c r="A897" s="48"/>
      <c r="B897" s="49"/>
      <c r="C897" s="49"/>
      <c r="D897" s="49"/>
      <c r="E897" s="50"/>
      <c r="F897" s="277"/>
      <c r="G897" s="277"/>
      <c r="H897" s="49"/>
      <c r="I897" s="107"/>
    </row>
    <row r="898" spans="1:9">
      <c r="A898" s="48"/>
      <c r="B898" s="49"/>
      <c r="C898" s="49"/>
      <c r="D898" s="49"/>
      <c r="E898" s="50"/>
      <c r="F898" s="277"/>
      <c r="G898" s="277"/>
      <c r="H898" s="49"/>
      <c r="I898" s="107"/>
    </row>
    <row r="899" spans="1:9">
      <c r="A899" s="48"/>
      <c r="B899" s="49"/>
      <c r="C899" s="49"/>
      <c r="D899" s="49"/>
      <c r="E899" s="50"/>
      <c r="F899" s="277"/>
      <c r="G899" s="277"/>
      <c r="H899" s="49"/>
      <c r="I899" s="107"/>
    </row>
    <row r="900" spans="1:9">
      <c r="A900" s="48"/>
      <c r="B900" s="49"/>
      <c r="C900" s="49"/>
      <c r="D900" s="49"/>
      <c r="E900" s="50"/>
      <c r="F900" s="277"/>
      <c r="G900" s="277"/>
      <c r="H900" s="49"/>
      <c r="I900" s="107"/>
    </row>
    <row r="901" spans="1:9">
      <c r="A901" s="48"/>
      <c r="B901" s="49"/>
      <c r="C901" s="49"/>
      <c r="D901" s="49"/>
      <c r="E901" s="50"/>
      <c r="F901" s="277"/>
      <c r="G901" s="277"/>
      <c r="H901" s="49"/>
      <c r="I901" s="107"/>
    </row>
    <row r="902" spans="1:9">
      <c r="A902" s="48"/>
      <c r="B902" s="49"/>
      <c r="C902" s="49"/>
      <c r="D902" s="49"/>
      <c r="E902" s="50"/>
      <c r="F902" s="277"/>
      <c r="G902" s="277"/>
      <c r="H902" s="49"/>
      <c r="I902" s="107"/>
    </row>
    <row r="903" spans="1:9">
      <c r="A903" s="48"/>
      <c r="B903" s="49"/>
      <c r="C903" s="49"/>
      <c r="D903" s="49"/>
      <c r="E903" s="50"/>
      <c r="F903" s="277"/>
      <c r="G903" s="277"/>
      <c r="H903" s="49"/>
      <c r="I903" s="107"/>
    </row>
    <row r="904" spans="1:9">
      <c r="A904" s="48"/>
      <c r="B904" s="49"/>
      <c r="C904" s="49"/>
      <c r="D904" s="49"/>
      <c r="E904" s="50"/>
      <c r="F904" s="277"/>
      <c r="G904" s="277"/>
      <c r="H904" s="49"/>
      <c r="I904" s="107"/>
    </row>
    <row r="905" spans="1:9">
      <c r="A905" s="48"/>
      <c r="B905" s="49"/>
      <c r="C905" s="49"/>
      <c r="D905" s="49"/>
      <c r="E905" s="50"/>
      <c r="F905" s="277"/>
      <c r="G905" s="277"/>
      <c r="H905" s="49"/>
      <c r="I905" s="107"/>
    </row>
    <row r="906" spans="1:9">
      <c r="A906" s="48"/>
      <c r="B906" s="49"/>
      <c r="C906" s="49"/>
      <c r="D906" s="49"/>
      <c r="E906" s="50"/>
      <c r="F906" s="277"/>
      <c r="G906" s="277"/>
      <c r="H906" s="49"/>
      <c r="I906" s="107"/>
    </row>
    <row r="907" spans="1:9">
      <c r="A907" s="48"/>
      <c r="B907" s="49"/>
      <c r="C907" s="49"/>
      <c r="D907" s="49"/>
      <c r="E907" s="50"/>
      <c r="F907" s="277"/>
      <c r="G907" s="277"/>
      <c r="H907" s="49"/>
      <c r="I907" s="107"/>
    </row>
    <row r="908" spans="1:9">
      <c r="A908" s="48"/>
      <c r="B908" s="49"/>
      <c r="C908" s="49"/>
      <c r="D908" s="49"/>
      <c r="E908" s="50"/>
      <c r="F908" s="277"/>
      <c r="G908" s="277"/>
      <c r="H908" s="49"/>
      <c r="I908" s="107"/>
    </row>
    <row r="909" spans="1:9">
      <c r="A909" s="48"/>
      <c r="B909" s="49"/>
      <c r="C909" s="49"/>
      <c r="D909" s="49"/>
      <c r="E909" s="50"/>
      <c r="F909" s="277"/>
      <c r="G909" s="277"/>
      <c r="H909" s="49"/>
      <c r="I909" s="107"/>
    </row>
    <row r="910" spans="1:9">
      <c r="A910" s="48"/>
      <c r="B910" s="49"/>
      <c r="C910" s="49"/>
      <c r="D910" s="49"/>
      <c r="E910" s="50"/>
      <c r="F910" s="277"/>
      <c r="G910" s="277"/>
      <c r="H910" s="49"/>
      <c r="I910" s="107"/>
    </row>
    <row r="911" spans="1:9">
      <c r="A911" s="48"/>
      <c r="B911" s="49"/>
      <c r="C911" s="49"/>
      <c r="D911" s="49"/>
      <c r="E911" s="50"/>
      <c r="F911" s="277"/>
      <c r="G911" s="277"/>
      <c r="H911" s="49"/>
      <c r="I911" s="107"/>
    </row>
    <row r="912" spans="1:9">
      <c r="A912" s="48"/>
      <c r="B912" s="49"/>
      <c r="C912" s="49"/>
      <c r="D912" s="49"/>
      <c r="E912" s="50"/>
      <c r="F912" s="277"/>
      <c r="G912" s="277"/>
      <c r="H912" s="49"/>
      <c r="I912" s="107"/>
    </row>
    <row r="913" spans="1:9">
      <c r="A913" s="48"/>
      <c r="B913" s="49"/>
      <c r="C913" s="49"/>
      <c r="D913" s="49"/>
      <c r="E913" s="50"/>
      <c r="F913" s="277"/>
      <c r="G913" s="277"/>
      <c r="H913" s="49"/>
      <c r="I913" s="107"/>
    </row>
    <row r="914" spans="1:9">
      <c r="A914" s="48"/>
      <c r="B914" s="49"/>
      <c r="C914" s="49"/>
      <c r="D914" s="49"/>
      <c r="E914" s="50"/>
      <c r="F914" s="277"/>
      <c r="G914" s="277"/>
      <c r="H914" s="49"/>
      <c r="I914" s="107"/>
    </row>
    <row r="915" spans="1:9">
      <c r="A915" s="48"/>
      <c r="B915" s="49"/>
      <c r="C915" s="49"/>
      <c r="D915" s="49"/>
      <c r="E915" s="50"/>
      <c r="F915" s="277"/>
      <c r="G915" s="277"/>
      <c r="H915" s="49"/>
      <c r="I915" s="107"/>
    </row>
    <row r="916" spans="1:9">
      <c r="A916" s="48"/>
      <c r="B916" s="49"/>
      <c r="C916" s="49"/>
      <c r="D916" s="49"/>
      <c r="E916" s="50"/>
      <c r="F916" s="277"/>
      <c r="G916" s="277"/>
      <c r="H916" s="49"/>
      <c r="I916" s="107"/>
    </row>
    <row r="917" spans="1:9">
      <c r="A917" s="48"/>
      <c r="B917" s="49"/>
      <c r="C917" s="49"/>
      <c r="D917" s="49"/>
      <c r="E917" s="50"/>
      <c r="F917" s="277"/>
      <c r="G917" s="277"/>
      <c r="H917" s="49"/>
      <c r="I917" s="107"/>
    </row>
    <row r="918" spans="1:9">
      <c r="A918" s="48"/>
      <c r="B918" s="49"/>
      <c r="C918" s="49"/>
      <c r="D918" s="49"/>
      <c r="E918" s="50"/>
      <c r="F918" s="277"/>
      <c r="G918" s="277"/>
      <c r="H918" s="49"/>
      <c r="I918" s="107"/>
    </row>
    <row r="919" spans="1:9">
      <c r="A919" s="48"/>
      <c r="B919" s="49"/>
      <c r="C919" s="49"/>
      <c r="D919" s="49"/>
      <c r="E919" s="50"/>
      <c r="F919" s="277"/>
      <c r="G919" s="277"/>
      <c r="H919" s="49"/>
      <c r="I919" s="107"/>
    </row>
    <row r="920" spans="1:9">
      <c r="A920" s="48"/>
      <c r="B920" s="49"/>
      <c r="C920" s="49"/>
      <c r="D920" s="49"/>
      <c r="E920" s="50"/>
      <c r="F920" s="277"/>
      <c r="G920" s="277"/>
      <c r="H920" s="49"/>
      <c r="I920" s="107"/>
    </row>
    <row r="921" spans="1:9">
      <c r="A921" s="48"/>
      <c r="B921" s="49"/>
      <c r="C921" s="49"/>
      <c r="D921" s="49"/>
      <c r="E921" s="50"/>
      <c r="F921" s="277"/>
      <c r="G921" s="277"/>
      <c r="H921" s="49"/>
      <c r="I921" s="107"/>
    </row>
    <row r="922" spans="1:9">
      <c r="A922" s="48"/>
      <c r="B922" s="49"/>
      <c r="C922" s="49"/>
      <c r="D922" s="49"/>
      <c r="E922" s="50"/>
      <c r="F922" s="277"/>
      <c r="G922" s="277"/>
      <c r="H922" s="49"/>
      <c r="I922" s="107"/>
    </row>
    <row r="923" spans="1:9">
      <c r="A923" s="48"/>
      <c r="B923" s="49"/>
      <c r="C923" s="49"/>
      <c r="D923" s="49"/>
      <c r="E923" s="50"/>
      <c r="F923" s="277"/>
      <c r="G923" s="277"/>
      <c r="H923" s="49"/>
      <c r="I923" s="107"/>
    </row>
    <row r="924" spans="1:9">
      <c r="A924" s="48"/>
      <c r="B924" s="49"/>
      <c r="C924" s="49"/>
      <c r="D924" s="49"/>
      <c r="E924" s="50"/>
      <c r="F924" s="277"/>
      <c r="G924" s="277"/>
      <c r="H924" s="49"/>
      <c r="I924" s="107"/>
    </row>
    <row r="925" spans="1:9">
      <c r="A925" s="48"/>
      <c r="B925" s="49"/>
      <c r="C925" s="49"/>
      <c r="D925" s="49"/>
      <c r="E925" s="50"/>
      <c r="F925" s="277"/>
      <c r="G925" s="277"/>
      <c r="H925" s="49"/>
      <c r="I925" s="107"/>
    </row>
    <row r="926" spans="1:9">
      <c r="A926" s="48"/>
      <c r="B926" s="49"/>
      <c r="C926" s="49"/>
      <c r="D926" s="49"/>
      <c r="E926" s="50"/>
      <c r="F926" s="277"/>
      <c r="G926" s="277"/>
      <c r="H926" s="49"/>
      <c r="I926" s="107"/>
    </row>
    <row r="927" spans="1:9">
      <c r="A927" s="48"/>
      <c r="B927" s="49"/>
      <c r="C927" s="49"/>
      <c r="D927" s="49"/>
      <c r="E927" s="50"/>
      <c r="F927" s="277"/>
      <c r="G927" s="277"/>
      <c r="H927" s="49"/>
      <c r="I927" s="107"/>
    </row>
    <row r="928" spans="1:9">
      <c r="A928" s="48"/>
      <c r="B928" s="49"/>
      <c r="C928" s="49"/>
      <c r="D928" s="49"/>
      <c r="E928" s="50"/>
      <c r="F928" s="277"/>
      <c r="G928" s="277"/>
      <c r="H928" s="49"/>
      <c r="I928" s="107"/>
    </row>
    <row r="929" spans="1:9">
      <c r="A929" s="48"/>
      <c r="B929" s="49"/>
      <c r="C929" s="49"/>
      <c r="D929" s="49"/>
      <c r="E929" s="50"/>
      <c r="F929" s="277"/>
      <c r="G929" s="277"/>
      <c r="H929" s="49"/>
      <c r="I929" s="107"/>
    </row>
    <row r="930" spans="1:9">
      <c r="A930" s="48"/>
      <c r="B930" s="49"/>
      <c r="C930" s="49"/>
      <c r="D930" s="49"/>
      <c r="E930" s="50"/>
      <c r="F930" s="277"/>
      <c r="G930" s="277"/>
      <c r="H930" s="49"/>
      <c r="I930" s="107"/>
    </row>
    <row r="931" spans="1:9">
      <c r="A931" s="48"/>
      <c r="B931" s="49"/>
      <c r="C931" s="49"/>
      <c r="D931" s="49"/>
      <c r="E931" s="50"/>
      <c r="F931" s="277"/>
      <c r="G931" s="277"/>
      <c r="H931" s="49"/>
      <c r="I931" s="107"/>
    </row>
    <row r="932" spans="1:9">
      <c r="A932" s="48"/>
      <c r="B932" s="49"/>
      <c r="C932" s="49"/>
      <c r="D932" s="49"/>
      <c r="E932" s="50"/>
      <c r="F932" s="277"/>
      <c r="G932" s="277"/>
      <c r="H932" s="49"/>
      <c r="I932" s="107"/>
    </row>
    <row r="933" spans="1:9">
      <c r="A933" s="48"/>
      <c r="B933" s="49"/>
      <c r="C933" s="49"/>
      <c r="D933" s="49"/>
      <c r="E933" s="50"/>
      <c r="F933" s="277"/>
      <c r="G933" s="277"/>
      <c r="H933" s="49"/>
      <c r="I933" s="107"/>
    </row>
    <row r="934" spans="1:9">
      <c r="A934" s="48"/>
      <c r="B934" s="49"/>
      <c r="C934" s="49"/>
      <c r="D934" s="49"/>
      <c r="E934" s="50"/>
      <c r="F934" s="277"/>
      <c r="G934" s="277"/>
      <c r="H934" s="49"/>
      <c r="I934" s="107"/>
    </row>
    <row r="935" spans="1:9">
      <c r="A935" s="48"/>
      <c r="B935" s="49"/>
      <c r="C935" s="49"/>
      <c r="D935" s="49"/>
      <c r="E935" s="50"/>
      <c r="F935" s="277"/>
      <c r="G935" s="277"/>
      <c r="H935" s="49"/>
      <c r="I935" s="107"/>
    </row>
    <row r="936" spans="1:9">
      <c r="A936" s="48"/>
      <c r="B936" s="49"/>
      <c r="C936" s="49"/>
      <c r="D936" s="49"/>
      <c r="E936" s="50"/>
      <c r="F936" s="277"/>
      <c r="G936" s="277"/>
      <c r="H936" s="49"/>
      <c r="I936" s="107"/>
    </row>
    <row r="937" spans="1:9">
      <c r="A937" s="48"/>
      <c r="B937" s="49"/>
      <c r="C937" s="49"/>
      <c r="D937" s="49"/>
      <c r="E937" s="50"/>
      <c r="F937" s="277"/>
      <c r="G937" s="277"/>
      <c r="H937" s="49"/>
      <c r="I937" s="107"/>
    </row>
    <row r="938" spans="1:9">
      <c r="A938" s="48"/>
      <c r="B938" s="49"/>
      <c r="C938" s="49"/>
      <c r="D938" s="49"/>
      <c r="E938" s="50"/>
      <c r="F938" s="277"/>
      <c r="G938" s="277"/>
      <c r="H938" s="49"/>
      <c r="I938" s="107"/>
    </row>
    <row r="939" spans="1:9">
      <c r="A939" s="48"/>
      <c r="B939" s="49"/>
      <c r="C939" s="49"/>
      <c r="D939" s="49"/>
      <c r="E939" s="50"/>
      <c r="F939" s="277"/>
      <c r="G939" s="277"/>
      <c r="H939" s="49"/>
      <c r="I939" s="107"/>
    </row>
    <row r="940" spans="1:9">
      <c r="A940" s="48"/>
      <c r="B940" s="49"/>
      <c r="C940" s="49"/>
      <c r="D940" s="49"/>
      <c r="E940" s="50"/>
      <c r="F940" s="277"/>
      <c r="G940" s="277"/>
      <c r="H940" s="49"/>
      <c r="I940" s="107"/>
    </row>
    <row r="941" spans="1:9">
      <c r="A941" s="48"/>
      <c r="B941" s="49"/>
      <c r="C941" s="49"/>
      <c r="D941" s="49"/>
      <c r="E941" s="50"/>
      <c r="F941" s="277"/>
      <c r="G941" s="277"/>
      <c r="H941" s="49"/>
      <c r="I941" s="107"/>
    </row>
    <row r="942" spans="1:9">
      <c r="A942" s="48"/>
      <c r="B942" s="49"/>
      <c r="C942" s="49"/>
      <c r="D942" s="49"/>
      <c r="E942" s="50"/>
      <c r="F942" s="277"/>
      <c r="G942" s="277"/>
      <c r="H942" s="49"/>
      <c r="I942" s="107"/>
    </row>
    <row r="943" spans="1:9">
      <c r="A943" s="48"/>
      <c r="B943" s="49"/>
      <c r="C943" s="49"/>
      <c r="D943" s="49"/>
      <c r="E943" s="50"/>
      <c r="F943" s="277"/>
      <c r="G943" s="277"/>
      <c r="H943" s="49"/>
      <c r="I943" s="107"/>
    </row>
    <row r="944" spans="1:9">
      <c r="A944" s="48"/>
      <c r="B944" s="49"/>
      <c r="C944" s="49"/>
      <c r="D944" s="49"/>
      <c r="E944" s="50"/>
      <c r="F944" s="277"/>
      <c r="G944" s="277"/>
      <c r="H944" s="49"/>
      <c r="I944" s="107"/>
    </row>
    <row r="945" spans="1:9">
      <c r="A945" s="48"/>
      <c r="B945" s="49"/>
      <c r="C945" s="49"/>
      <c r="D945" s="49"/>
      <c r="E945" s="50"/>
      <c r="F945" s="277"/>
      <c r="G945" s="277"/>
      <c r="H945" s="49"/>
      <c r="I945" s="107"/>
    </row>
    <row r="946" spans="1:9">
      <c r="A946" s="48"/>
      <c r="B946" s="49"/>
      <c r="C946" s="49"/>
      <c r="D946" s="49"/>
      <c r="E946" s="50"/>
      <c r="F946" s="277"/>
      <c r="G946" s="277"/>
      <c r="H946" s="49"/>
      <c r="I946" s="107"/>
    </row>
    <row r="947" spans="1:9">
      <c r="A947" s="48"/>
      <c r="B947" s="49"/>
      <c r="C947" s="49"/>
      <c r="D947" s="49"/>
      <c r="E947" s="50"/>
      <c r="F947" s="277"/>
      <c r="G947" s="277"/>
      <c r="H947" s="49"/>
      <c r="I947" s="107"/>
    </row>
    <row r="948" spans="1:9">
      <c r="A948" s="48"/>
      <c r="B948" s="49"/>
      <c r="C948" s="49"/>
      <c r="D948" s="49"/>
      <c r="E948" s="50"/>
      <c r="F948" s="277"/>
      <c r="G948" s="277"/>
      <c r="H948" s="49"/>
      <c r="I948" s="107"/>
    </row>
    <row r="949" spans="1:9">
      <c r="A949" s="48"/>
      <c r="B949" s="49"/>
      <c r="C949" s="49"/>
      <c r="D949" s="49"/>
      <c r="E949" s="50"/>
      <c r="F949" s="277"/>
      <c r="G949" s="277"/>
      <c r="H949" s="49"/>
      <c r="I949" s="107"/>
    </row>
    <row r="950" spans="1:9">
      <c r="A950" s="48"/>
      <c r="B950" s="49"/>
      <c r="C950" s="49"/>
      <c r="D950" s="49"/>
      <c r="E950" s="50"/>
      <c r="F950" s="277"/>
      <c r="G950" s="277"/>
      <c r="H950" s="49"/>
      <c r="I950" s="107"/>
    </row>
    <row r="951" spans="1:9">
      <c r="A951" s="48"/>
      <c r="B951" s="49"/>
      <c r="C951" s="49"/>
      <c r="D951" s="49"/>
      <c r="E951" s="50"/>
      <c r="F951" s="277"/>
      <c r="G951" s="277"/>
      <c r="H951" s="49"/>
      <c r="I951" s="107"/>
    </row>
    <row r="952" spans="1:9">
      <c r="A952" s="48"/>
      <c r="B952" s="49"/>
      <c r="C952" s="49"/>
      <c r="D952" s="49"/>
      <c r="E952" s="50"/>
      <c r="F952" s="277"/>
      <c r="G952" s="277"/>
      <c r="H952" s="49"/>
      <c r="I952" s="107"/>
    </row>
    <row r="953" spans="1:9">
      <c r="A953" s="48"/>
      <c r="B953" s="49"/>
      <c r="C953" s="49"/>
      <c r="D953" s="49"/>
      <c r="E953" s="50"/>
      <c r="F953" s="277"/>
      <c r="G953" s="277"/>
      <c r="H953" s="49"/>
      <c r="I953" s="107"/>
    </row>
    <row r="954" spans="1:9">
      <c r="A954" s="48"/>
      <c r="B954" s="49"/>
      <c r="C954" s="49"/>
      <c r="D954" s="49"/>
      <c r="E954" s="50"/>
      <c r="F954" s="277"/>
      <c r="G954" s="277"/>
      <c r="H954" s="49"/>
      <c r="I954" s="107"/>
    </row>
    <row r="955" spans="1:9">
      <c r="A955" s="48"/>
      <c r="B955" s="49"/>
      <c r="C955" s="49"/>
      <c r="D955" s="49"/>
      <c r="E955" s="50"/>
      <c r="F955" s="277"/>
      <c r="G955" s="277"/>
      <c r="H955" s="49"/>
      <c r="I955" s="107"/>
    </row>
    <row r="956" spans="1:9">
      <c r="A956" s="48"/>
      <c r="B956" s="49"/>
      <c r="C956" s="49"/>
      <c r="D956" s="49"/>
      <c r="E956" s="50"/>
      <c r="F956" s="277"/>
      <c r="G956" s="277"/>
      <c r="H956" s="49"/>
      <c r="I956" s="107"/>
    </row>
    <row r="957" spans="1:9">
      <c r="A957" s="48"/>
      <c r="B957" s="49"/>
      <c r="C957" s="49"/>
      <c r="D957" s="49"/>
      <c r="E957" s="50"/>
      <c r="F957" s="277"/>
      <c r="G957" s="277"/>
      <c r="H957" s="49"/>
      <c r="I957" s="107"/>
    </row>
    <row r="958" spans="1:9">
      <c r="A958" s="48"/>
      <c r="B958" s="49"/>
      <c r="C958" s="49"/>
      <c r="D958" s="49"/>
      <c r="E958" s="50"/>
      <c r="F958" s="277"/>
      <c r="G958" s="277"/>
      <c r="H958" s="49"/>
      <c r="I958" s="107"/>
    </row>
    <row r="959" spans="1:9">
      <c r="A959" s="48"/>
      <c r="B959" s="49"/>
      <c r="C959" s="49"/>
      <c r="D959" s="49"/>
      <c r="E959" s="50"/>
      <c r="F959" s="277"/>
      <c r="G959" s="277"/>
      <c r="H959" s="49"/>
      <c r="I959" s="107"/>
    </row>
    <row r="960" spans="1:9">
      <c r="A960" s="48"/>
      <c r="B960" s="49"/>
      <c r="C960" s="49"/>
      <c r="D960" s="49"/>
      <c r="E960" s="50"/>
      <c r="F960" s="277"/>
      <c r="G960" s="277"/>
      <c r="H960" s="49"/>
      <c r="I960" s="107"/>
    </row>
    <row r="961" spans="1:9">
      <c r="A961" s="48"/>
      <c r="B961" s="49"/>
      <c r="C961" s="49"/>
      <c r="D961" s="49"/>
      <c r="E961" s="50"/>
      <c r="F961" s="277"/>
      <c r="G961" s="277"/>
      <c r="H961" s="49"/>
      <c r="I961" s="107"/>
    </row>
    <row r="962" spans="1:9">
      <c r="A962" s="48"/>
      <c r="B962" s="49"/>
      <c r="C962" s="49"/>
      <c r="D962" s="49"/>
      <c r="E962" s="50"/>
      <c r="F962" s="277"/>
      <c r="G962" s="277"/>
      <c r="H962" s="49"/>
      <c r="I962" s="107"/>
    </row>
    <row r="963" spans="1:9">
      <c r="A963" s="48"/>
      <c r="B963" s="49"/>
      <c r="C963" s="49"/>
      <c r="D963" s="49"/>
      <c r="E963" s="50"/>
      <c r="F963" s="277"/>
      <c r="G963" s="277"/>
      <c r="H963" s="49"/>
      <c r="I963" s="107"/>
    </row>
    <row r="964" spans="1:9">
      <c r="A964" s="48"/>
      <c r="B964" s="49"/>
      <c r="C964" s="49"/>
      <c r="D964" s="49"/>
      <c r="E964" s="50"/>
      <c r="F964" s="277"/>
      <c r="G964" s="277"/>
      <c r="H964" s="49"/>
      <c r="I964" s="107"/>
    </row>
    <row r="965" spans="1:9">
      <c r="A965" s="48"/>
      <c r="B965" s="49"/>
      <c r="C965" s="49"/>
      <c r="D965" s="49"/>
      <c r="E965" s="50"/>
      <c r="F965" s="277"/>
      <c r="G965" s="277"/>
      <c r="H965" s="49"/>
      <c r="I965" s="107"/>
    </row>
    <row r="966" spans="1:9">
      <c r="A966" s="48"/>
      <c r="B966" s="49"/>
      <c r="C966" s="49"/>
      <c r="D966" s="49"/>
      <c r="E966" s="50"/>
      <c r="F966" s="277"/>
      <c r="G966" s="277"/>
      <c r="H966" s="49"/>
      <c r="I966" s="107"/>
    </row>
    <row r="967" spans="1:9">
      <c r="A967" s="48"/>
      <c r="B967" s="49"/>
      <c r="C967" s="49"/>
      <c r="D967" s="49"/>
      <c r="E967" s="50"/>
      <c r="F967" s="277"/>
      <c r="G967" s="277"/>
      <c r="H967" s="49"/>
      <c r="I967" s="107"/>
    </row>
    <row r="968" spans="1:9">
      <c r="A968" s="48"/>
      <c r="B968" s="49"/>
      <c r="C968" s="49"/>
      <c r="D968" s="49"/>
      <c r="E968" s="50"/>
      <c r="F968" s="277"/>
      <c r="G968" s="277"/>
      <c r="H968" s="49"/>
      <c r="I968" s="107"/>
    </row>
    <row r="969" spans="1:9">
      <c r="A969" s="48"/>
      <c r="B969" s="49"/>
      <c r="C969" s="49"/>
      <c r="D969" s="49"/>
      <c r="E969" s="50"/>
      <c r="F969" s="277"/>
      <c r="G969" s="277"/>
      <c r="H969" s="49"/>
      <c r="I969" s="107"/>
    </row>
    <row r="970" spans="1:9">
      <c r="A970" s="48"/>
      <c r="B970" s="49"/>
      <c r="C970" s="49"/>
      <c r="D970" s="49"/>
      <c r="E970" s="50"/>
      <c r="F970" s="277"/>
      <c r="G970" s="277"/>
      <c r="H970" s="49"/>
      <c r="I970" s="107"/>
    </row>
    <row r="971" spans="1:9">
      <c r="A971" s="48"/>
      <c r="B971" s="49"/>
      <c r="C971" s="49"/>
      <c r="D971" s="49"/>
      <c r="E971" s="50"/>
      <c r="F971" s="277"/>
      <c r="G971" s="277"/>
      <c r="H971" s="49"/>
      <c r="I971" s="107"/>
    </row>
    <row r="972" spans="1:9">
      <c r="A972" s="48"/>
      <c r="B972" s="49"/>
      <c r="C972" s="49"/>
      <c r="D972" s="49"/>
      <c r="E972" s="50"/>
      <c r="F972" s="277"/>
      <c r="G972" s="277"/>
      <c r="H972" s="49"/>
      <c r="I972" s="107"/>
    </row>
    <row r="973" spans="1:9">
      <c r="A973" s="48"/>
      <c r="B973" s="49"/>
      <c r="C973" s="49"/>
      <c r="D973" s="49"/>
      <c r="E973" s="50"/>
      <c r="F973" s="277"/>
      <c r="G973" s="277"/>
      <c r="H973" s="49"/>
      <c r="I973" s="107"/>
    </row>
    <row r="974" spans="1:9">
      <c r="A974" s="48"/>
      <c r="B974" s="49"/>
      <c r="C974" s="49"/>
      <c r="D974" s="49"/>
      <c r="E974" s="50"/>
      <c r="F974" s="277"/>
      <c r="G974" s="277"/>
      <c r="H974" s="49"/>
      <c r="I974" s="107"/>
    </row>
    <row r="975" spans="1:9">
      <c r="A975" s="48"/>
      <c r="B975" s="49"/>
      <c r="C975" s="49"/>
      <c r="D975" s="49"/>
      <c r="E975" s="50"/>
      <c r="F975" s="277"/>
      <c r="G975" s="277"/>
      <c r="H975" s="49"/>
      <c r="I975" s="107"/>
    </row>
    <row r="976" spans="1:9">
      <c r="A976" s="48"/>
      <c r="B976" s="49"/>
      <c r="C976" s="49"/>
      <c r="D976" s="49"/>
      <c r="E976" s="50"/>
      <c r="F976" s="277"/>
      <c r="G976" s="277"/>
      <c r="H976" s="49"/>
      <c r="I976" s="107"/>
    </row>
    <row r="977" spans="1:9">
      <c r="A977" s="48"/>
      <c r="B977" s="49"/>
      <c r="C977" s="49"/>
      <c r="D977" s="49"/>
      <c r="E977" s="50"/>
      <c r="F977" s="277"/>
      <c r="G977" s="277"/>
      <c r="H977" s="49"/>
      <c r="I977" s="107"/>
    </row>
    <row r="978" spans="1:9">
      <c r="A978" s="48"/>
      <c r="B978" s="49"/>
      <c r="C978" s="49"/>
      <c r="D978" s="49"/>
      <c r="E978" s="50"/>
      <c r="F978" s="277"/>
      <c r="G978" s="277"/>
      <c r="H978" s="49"/>
      <c r="I978" s="107"/>
    </row>
    <row r="979" spans="1:9">
      <c r="A979" s="48"/>
      <c r="B979" s="49"/>
      <c r="C979" s="49"/>
      <c r="D979" s="49"/>
      <c r="E979" s="50"/>
      <c r="F979" s="277"/>
      <c r="G979" s="277"/>
      <c r="H979" s="49"/>
      <c r="I979" s="107"/>
    </row>
    <row r="980" spans="1:9">
      <c r="A980" s="48"/>
      <c r="B980" s="49"/>
      <c r="C980" s="49"/>
      <c r="D980" s="49"/>
      <c r="E980" s="50"/>
      <c r="F980" s="277"/>
      <c r="G980" s="277"/>
      <c r="H980" s="49"/>
      <c r="I980" s="107"/>
    </row>
    <row r="981" spans="1:9">
      <c r="A981" s="48"/>
      <c r="B981" s="49"/>
      <c r="C981" s="49"/>
      <c r="D981" s="49"/>
      <c r="E981" s="50"/>
      <c r="F981" s="277"/>
      <c r="G981" s="277"/>
      <c r="H981" s="49"/>
      <c r="I981" s="107"/>
    </row>
    <row r="982" spans="1:9">
      <c r="A982" s="48"/>
      <c r="B982" s="49"/>
      <c r="C982" s="49"/>
      <c r="D982" s="49"/>
      <c r="E982" s="50"/>
      <c r="F982" s="277"/>
      <c r="G982" s="277"/>
      <c r="H982" s="49"/>
      <c r="I982" s="107"/>
    </row>
    <row r="983" spans="1:9">
      <c r="A983" s="48"/>
      <c r="B983" s="49"/>
      <c r="C983" s="49"/>
      <c r="D983" s="49"/>
      <c r="E983" s="50"/>
      <c r="F983" s="277"/>
      <c r="G983" s="277"/>
      <c r="H983" s="49"/>
      <c r="I983" s="107"/>
    </row>
    <row r="984" spans="1:9">
      <c r="A984" s="48"/>
      <c r="B984" s="49"/>
      <c r="C984" s="49"/>
      <c r="D984" s="49"/>
      <c r="E984" s="50"/>
      <c r="F984" s="277"/>
      <c r="G984" s="277"/>
      <c r="H984" s="49"/>
      <c r="I984" s="107"/>
    </row>
    <row r="985" spans="1:9">
      <c r="A985" s="48"/>
      <c r="B985" s="49"/>
      <c r="C985" s="49"/>
      <c r="D985" s="49"/>
      <c r="E985" s="50"/>
      <c r="F985" s="277"/>
      <c r="G985" s="277"/>
      <c r="H985" s="49"/>
      <c r="I985" s="107"/>
    </row>
    <row r="986" spans="1:9">
      <c r="A986" s="48"/>
      <c r="B986" s="49"/>
      <c r="C986" s="49"/>
      <c r="D986" s="49"/>
      <c r="E986" s="50"/>
      <c r="F986" s="277"/>
      <c r="G986" s="277"/>
      <c r="H986" s="49"/>
      <c r="I986" s="107"/>
    </row>
    <row r="987" spans="1:9">
      <c r="A987" s="48"/>
      <c r="B987" s="49"/>
      <c r="C987" s="49"/>
      <c r="D987" s="49"/>
      <c r="E987" s="50"/>
      <c r="F987" s="277"/>
      <c r="G987" s="277"/>
      <c r="H987" s="49"/>
      <c r="I987" s="107"/>
    </row>
    <row r="988" spans="1:9">
      <c r="A988" s="48"/>
      <c r="B988" s="49"/>
      <c r="C988" s="49"/>
      <c r="D988" s="49"/>
      <c r="E988" s="50"/>
      <c r="F988" s="277"/>
      <c r="G988" s="277"/>
      <c r="H988" s="49"/>
      <c r="I988" s="107"/>
    </row>
    <row r="989" spans="1:9">
      <c r="A989" s="48"/>
      <c r="B989" s="49"/>
      <c r="C989" s="49"/>
      <c r="D989" s="49"/>
      <c r="E989" s="50"/>
      <c r="F989" s="277"/>
      <c r="G989" s="277"/>
      <c r="H989" s="49"/>
      <c r="I989" s="107"/>
    </row>
    <row r="990" spans="1:9">
      <c r="A990" s="48"/>
      <c r="B990" s="49"/>
      <c r="C990" s="49"/>
      <c r="D990" s="49"/>
      <c r="E990" s="50"/>
      <c r="F990" s="277"/>
      <c r="G990" s="277"/>
      <c r="H990" s="49"/>
      <c r="I990" s="107"/>
    </row>
    <row r="991" spans="1:9">
      <c r="A991" s="48"/>
      <c r="B991" s="49"/>
      <c r="C991" s="49"/>
      <c r="D991" s="49"/>
      <c r="E991" s="50"/>
      <c r="F991" s="277"/>
      <c r="G991" s="277"/>
      <c r="H991" s="49"/>
      <c r="I991" s="107"/>
    </row>
    <row r="992" spans="1:9">
      <c r="A992" s="48"/>
      <c r="B992" s="49"/>
      <c r="C992" s="49"/>
      <c r="D992" s="49"/>
      <c r="E992" s="50"/>
      <c r="F992" s="277"/>
      <c r="G992" s="277"/>
      <c r="H992" s="49"/>
      <c r="I992" s="107"/>
    </row>
    <row r="993" spans="1:9">
      <c r="A993" s="48"/>
      <c r="B993" s="49"/>
      <c r="C993" s="49"/>
      <c r="D993" s="49"/>
      <c r="E993" s="50"/>
      <c r="F993" s="277"/>
      <c r="G993" s="277"/>
      <c r="H993" s="49"/>
      <c r="I993" s="107"/>
    </row>
    <row r="994" spans="1:9">
      <c r="A994" s="48"/>
      <c r="B994" s="49"/>
      <c r="C994" s="49"/>
      <c r="D994" s="49"/>
      <c r="E994" s="50"/>
      <c r="F994" s="277"/>
      <c r="G994" s="277"/>
      <c r="H994" s="49"/>
      <c r="I994" s="107"/>
    </row>
    <row r="995" spans="1:9">
      <c r="A995" s="48"/>
      <c r="B995" s="49"/>
      <c r="C995" s="49"/>
      <c r="D995" s="49"/>
      <c r="E995" s="50"/>
      <c r="F995" s="277"/>
      <c r="G995" s="277"/>
      <c r="H995" s="49"/>
      <c r="I995" s="107"/>
    </row>
    <row r="996" spans="1:9">
      <c r="A996" s="48"/>
      <c r="B996" s="49"/>
      <c r="C996" s="49"/>
      <c r="D996" s="49"/>
      <c r="E996" s="50"/>
      <c r="F996" s="277"/>
      <c r="G996" s="277"/>
      <c r="H996" s="49"/>
      <c r="I996" s="107"/>
    </row>
    <row r="997" spans="1:9">
      <c r="A997" s="48"/>
      <c r="B997" s="49"/>
      <c r="C997" s="49"/>
      <c r="D997" s="49"/>
      <c r="E997" s="50"/>
      <c r="F997" s="277"/>
      <c r="G997" s="277"/>
      <c r="H997" s="49"/>
      <c r="I997" s="107"/>
    </row>
    <row r="998" spans="1:9">
      <c r="A998" s="48"/>
      <c r="B998" s="49"/>
      <c r="C998" s="49"/>
      <c r="D998" s="49"/>
      <c r="E998" s="50"/>
      <c r="F998" s="277"/>
      <c r="G998" s="277"/>
      <c r="H998" s="49"/>
      <c r="I998" s="107"/>
    </row>
    <row r="999" spans="1:9">
      <c r="A999" s="48"/>
      <c r="B999" s="49"/>
      <c r="C999" s="49"/>
      <c r="D999" s="49"/>
      <c r="E999" s="50"/>
      <c r="F999" s="277"/>
      <c r="G999" s="277"/>
      <c r="H999" s="49"/>
      <c r="I999" s="107"/>
    </row>
    <row r="1000" spans="1:9">
      <c r="A1000" s="48"/>
      <c r="B1000" s="49"/>
      <c r="C1000" s="49"/>
      <c r="D1000" s="49"/>
      <c r="E1000" s="50"/>
      <c r="F1000" s="277"/>
      <c r="G1000" s="277"/>
      <c r="H1000" s="49"/>
      <c r="I1000" s="107"/>
    </row>
    <row r="1001" spans="1:9">
      <c r="A1001" s="48"/>
      <c r="B1001" s="49"/>
      <c r="C1001" s="49"/>
      <c r="D1001" s="49"/>
      <c r="E1001" s="50"/>
      <c r="F1001" s="277"/>
      <c r="G1001" s="277"/>
      <c r="H1001" s="49"/>
      <c r="I1001" s="107"/>
    </row>
  </sheetData>
  <autoFilter ref="A1:J497" xr:uid="{00000000-0009-0000-0000-000005000000}">
    <sortState xmlns:xlrd2="http://schemas.microsoft.com/office/spreadsheetml/2017/richdata2" ref="A2:J497">
      <sortCondition ref="A1:A497"/>
    </sortState>
  </autoFilter>
  <dataValidations count="1">
    <dataValidation type="list" errorTitle="Categoría Inválida" error="Por favor seleccione una categoría válida de la lista." promptTitle="Categoría de Gasto/Costo" prompt="Seleccione una categoría:" sqref="B3:B1001" xr:uid="{00000000-0002-0000-05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J53"/>
  <sheetViews>
    <sheetView topLeftCell="A22" workbookViewId="0">
      <selection activeCell="D46" sqref="D46"/>
    </sheetView>
  </sheetViews>
  <sheetFormatPr baseColWidth="10" defaultColWidth="9.140625" defaultRowHeight="15"/>
  <cols>
    <col min="1" max="1" width="4" style="236" customWidth="1"/>
    <col min="2" max="2" width="6" style="236" customWidth="1"/>
    <col min="3" max="3" width="34" style="236" customWidth="1"/>
    <col min="4" max="4" width="20" style="236" customWidth="1"/>
    <col min="5" max="5" width="28" style="236" customWidth="1"/>
    <col min="6" max="7" width="20" style="236" customWidth="1"/>
    <col min="8" max="8" width="19.28515625" style="236" customWidth="1"/>
    <col min="9" max="9" width="32" style="236" customWidth="1"/>
    <col min="10" max="10" width="55" style="236" customWidth="1"/>
  </cols>
  <sheetData>
    <row r="2" spans="2:10" ht="27.95" customHeight="1">
      <c r="B2" s="377" t="s">
        <v>1392</v>
      </c>
      <c r="C2" s="339"/>
      <c r="D2" s="339"/>
      <c r="E2" s="339"/>
      <c r="F2" s="339"/>
      <c r="G2" s="339"/>
      <c r="H2" s="339"/>
      <c r="I2" s="339"/>
      <c r="J2" s="339"/>
    </row>
    <row r="3" spans="2:10" ht="18" customHeight="1">
      <c r="B3" s="371" t="s">
        <v>1393</v>
      </c>
      <c r="C3" s="339"/>
      <c r="D3" s="339"/>
      <c r="E3" s="339"/>
      <c r="F3" s="339"/>
      <c r="G3" s="339"/>
      <c r="H3" s="339"/>
      <c r="I3" s="339"/>
      <c r="J3" s="339"/>
    </row>
    <row r="5" spans="2:10" ht="15.95" customHeight="1">
      <c r="B5" s="374" t="s">
        <v>1394</v>
      </c>
      <c r="C5" s="336"/>
      <c r="D5" s="128"/>
      <c r="E5" s="128"/>
      <c r="F5" s="128"/>
      <c r="G5" s="374"/>
      <c r="H5" s="336"/>
      <c r="I5" s="374"/>
      <c r="J5" s="336"/>
    </row>
    <row r="6" spans="2:10" ht="24" customHeight="1">
      <c r="B6" s="370"/>
      <c r="C6" s="336"/>
      <c r="D6" s="298"/>
      <c r="E6" s="299"/>
      <c r="F6" s="300"/>
      <c r="G6" s="376"/>
      <c r="H6" s="336"/>
      <c r="I6" s="372"/>
      <c r="J6" s="336"/>
    </row>
    <row r="7" spans="2:10" ht="15" customHeight="1">
      <c r="B7" s="373" t="s">
        <v>1395</v>
      </c>
      <c r="C7" s="336"/>
      <c r="D7" s="129"/>
      <c r="E7" s="129"/>
      <c r="F7" s="129"/>
      <c r="G7" s="373"/>
      <c r="H7" s="336"/>
      <c r="I7" s="373"/>
      <c r="J7" s="336"/>
    </row>
    <row r="9" spans="2:10" ht="21.95" customHeight="1">
      <c r="B9" s="375" t="s">
        <v>1396</v>
      </c>
      <c r="C9" s="339"/>
      <c r="D9" s="339"/>
      <c r="E9" s="339"/>
      <c r="F9" s="339"/>
      <c r="G9" s="339"/>
      <c r="H9" s="339"/>
      <c r="I9" s="339"/>
      <c r="J9" s="339"/>
    </row>
    <row r="10" spans="2:10" ht="24.95" customHeight="1">
      <c r="B10" s="60" t="s">
        <v>1397</v>
      </c>
      <c r="C10" s="61" t="s">
        <v>1398</v>
      </c>
      <c r="D10" s="62" t="s">
        <v>1399</v>
      </c>
      <c r="E10" s="60" t="s">
        <v>1400</v>
      </c>
      <c r="F10" s="62" t="s">
        <v>1401</v>
      </c>
      <c r="G10" s="62" t="s">
        <v>1402</v>
      </c>
      <c r="H10" s="60" t="s">
        <v>1403</v>
      </c>
      <c r="I10" s="61" t="s">
        <v>1404</v>
      </c>
      <c r="J10" s="61" t="s">
        <v>1405</v>
      </c>
    </row>
    <row r="11" spans="2:10" ht="18.95" customHeight="1">
      <c r="B11" s="63">
        <v>1</v>
      </c>
      <c r="C11" s="64" t="s">
        <v>1406</v>
      </c>
      <c r="D11" s="280">
        <v>5241000</v>
      </c>
      <c r="E11" s="65" t="s">
        <v>1407</v>
      </c>
      <c r="F11" s="280">
        <v>5241000</v>
      </c>
      <c r="G11" s="280">
        <f t="shared" ref="G11:G48" si="0">D11-F11</f>
        <v>0</v>
      </c>
      <c r="H11" s="63" t="s">
        <v>1408</v>
      </c>
      <c r="I11" s="64" t="s">
        <v>1234</v>
      </c>
      <c r="J11" s="64" t="s">
        <v>1409</v>
      </c>
    </row>
    <row r="12" spans="2:10" ht="18.95" customHeight="1">
      <c r="B12" s="63">
        <v>2</v>
      </c>
      <c r="C12" s="64" t="s">
        <v>1410</v>
      </c>
      <c r="D12" s="280">
        <v>728000</v>
      </c>
      <c r="E12" s="66" t="s">
        <v>1411</v>
      </c>
      <c r="F12" s="280">
        <v>728000</v>
      </c>
      <c r="G12" s="280">
        <f t="shared" si="0"/>
        <v>0</v>
      </c>
      <c r="H12" s="63" t="s">
        <v>1412</v>
      </c>
      <c r="I12" s="64" t="s">
        <v>1413</v>
      </c>
      <c r="J12" s="64" t="s">
        <v>1414</v>
      </c>
    </row>
    <row r="13" spans="2:10" ht="18.95" customHeight="1">
      <c r="B13" s="63">
        <v>3</v>
      </c>
      <c r="C13" s="64" t="s">
        <v>1243</v>
      </c>
      <c r="D13" s="280">
        <v>19944200</v>
      </c>
      <c r="E13" s="66" t="s">
        <v>1411</v>
      </c>
      <c r="F13" s="280">
        <v>19944200</v>
      </c>
      <c r="G13" s="280">
        <f t="shared" si="0"/>
        <v>0</v>
      </c>
      <c r="H13" s="64" t="s">
        <v>1243</v>
      </c>
      <c r="I13" s="64" t="s">
        <v>1243</v>
      </c>
      <c r="J13" s="64" t="s">
        <v>1243</v>
      </c>
    </row>
    <row r="14" spans="2:10" ht="18.95" customHeight="1">
      <c r="B14" s="63">
        <v>4</v>
      </c>
      <c r="C14" s="64" t="s">
        <v>1415</v>
      </c>
      <c r="D14" s="278">
        <v>16523800</v>
      </c>
      <c r="E14" s="66" t="s">
        <v>1411</v>
      </c>
      <c r="F14" s="278">
        <v>16523800</v>
      </c>
      <c r="G14" s="280">
        <f t="shared" si="0"/>
        <v>0</v>
      </c>
      <c r="H14" s="64" t="s">
        <v>1415</v>
      </c>
      <c r="I14" s="64" t="s">
        <v>1415</v>
      </c>
      <c r="J14" s="64" t="s">
        <v>1415</v>
      </c>
    </row>
    <row r="15" spans="2:10" ht="18.95" customHeight="1">
      <c r="B15" s="63">
        <v>5</v>
      </c>
      <c r="C15" s="64" t="s">
        <v>1247</v>
      </c>
      <c r="D15" s="280">
        <v>2288950</v>
      </c>
      <c r="E15" s="66" t="s">
        <v>1411</v>
      </c>
      <c r="F15" s="280">
        <v>2288950</v>
      </c>
      <c r="G15" s="280">
        <f t="shared" si="0"/>
        <v>0</v>
      </c>
      <c r="H15" s="63" t="s">
        <v>1416</v>
      </c>
      <c r="I15" s="64" t="s">
        <v>1413</v>
      </c>
      <c r="J15" s="64" t="s">
        <v>1417</v>
      </c>
    </row>
    <row r="16" spans="2:10" ht="18.95" customHeight="1">
      <c r="B16" s="63">
        <v>6</v>
      </c>
      <c r="C16" s="64" t="s">
        <v>1418</v>
      </c>
      <c r="D16" s="280">
        <v>254200</v>
      </c>
      <c r="E16" s="65" t="s">
        <v>1407</v>
      </c>
      <c r="F16" s="280">
        <v>254200</v>
      </c>
      <c r="G16" s="280">
        <f t="shared" si="0"/>
        <v>0</v>
      </c>
      <c r="H16" s="63" t="s">
        <v>1419</v>
      </c>
      <c r="I16" s="64" t="s">
        <v>1420</v>
      </c>
      <c r="J16" s="64" t="s">
        <v>1421</v>
      </c>
    </row>
    <row r="17" spans="2:10" ht="18.95" customHeight="1">
      <c r="B17" s="63">
        <v>7</v>
      </c>
      <c r="C17" s="64" t="s">
        <v>1422</v>
      </c>
      <c r="D17" s="280">
        <v>227500</v>
      </c>
      <c r="E17" s="65" t="s">
        <v>1407</v>
      </c>
      <c r="F17" s="280">
        <v>227500</v>
      </c>
      <c r="G17" s="280">
        <f t="shared" si="0"/>
        <v>0</v>
      </c>
      <c r="H17" s="63" t="s">
        <v>1423</v>
      </c>
      <c r="I17" s="64" t="s">
        <v>1125</v>
      </c>
      <c r="J17" s="64" t="s">
        <v>1424</v>
      </c>
    </row>
    <row r="18" spans="2:10" ht="18.95" customHeight="1">
      <c r="B18" s="63">
        <v>8</v>
      </c>
      <c r="C18" s="64" t="s">
        <v>1339</v>
      </c>
      <c r="D18" s="280">
        <v>200000</v>
      </c>
      <c r="E18" s="67" t="s">
        <v>1425</v>
      </c>
      <c r="F18" s="280">
        <v>204000</v>
      </c>
      <c r="G18" s="280">
        <f t="shared" si="0"/>
        <v>-4000</v>
      </c>
      <c r="H18" s="63" t="s">
        <v>1426</v>
      </c>
      <c r="I18" s="64" t="s">
        <v>1003</v>
      </c>
      <c r="J18" s="64" t="s">
        <v>1427</v>
      </c>
    </row>
    <row r="19" spans="2:10" ht="18.95" customHeight="1">
      <c r="B19" s="63">
        <v>9</v>
      </c>
      <c r="C19" s="64" t="s">
        <v>1339</v>
      </c>
      <c r="D19" s="280">
        <v>200000</v>
      </c>
      <c r="E19" s="66" t="s">
        <v>1411</v>
      </c>
      <c r="F19" s="280">
        <v>200000</v>
      </c>
      <c r="G19" s="280">
        <f t="shared" si="0"/>
        <v>0</v>
      </c>
      <c r="H19" s="63" t="s">
        <v>1428</v>
      </c>
      <c r="I19" s="64" t="s">
        <v>1429</v>
      </c>
      <c r="J19" s="64" t="s">
        <v>1430</v>
      </c>
    </row>
    <row r="20" spans="2:10" ht="18.95" customHeight="1">
      <c r="B20" s="63">
        <v>10</v>
      </c>
      <c r="C20" s="64" t="s">
        <v>1431</v>
      </c>
      <c r="D20" s="280">
        <v>443900</v>
      </c>
      <c r="E20" s="65" t="s">
        <v>1407</v>
      </c>
      <c r="F20" s="280">
        <v>443900</v>
      </c>
      <c r="G20" s="280">
        <f t="shared" si="0"/>
        <v>0</v>
      </c>
      <c r="H20" s="63" t="s">
        <v>1432</v>
      </c>
      <c r="I20" s="64" t="s">
        <v>290</v>
      </c>
      <c r="J20" s="64" t="s">
        <v>1433</v>
      </c>
    </row>
    <row r="21" spans="2:10" ht="18.95" customHeight="1">
      <c r="B21" s="63">
        <v>11</v>
      </c>
      <c r="C21" s="64" t="s">
        <v>1434</v>
      </c>
      <c r="D21" s="280">
        <v>198500</v>
      </c>
      <c r="E21" s="65" t="s">
        <v>1407</v>
      </c>
      <c r="F21" s="280">
        <v>198500</v>
      </c>
      <c r="G21" s="280">
        <f t="shared" si="0"/>
        <v>0</v>
      </c>
      <c r="H21" s="63" t="s">
        <v>1435</v>
      </c>
      <c r="I21" s="64" t="s">
        <v>866</v>
      </c>
      <c r="J21" s="64" t="s">
        <v>1436</v>
      </c>
    </row>
    <row r="22" spans="2:10" ht="18.95" customHeight="1">
      <c r="B22" s="63">
        <v>12</v>
      </c>
      <c r="C22" s="64" t="s">
        <v>1437</v>
      </c>
      <c r="D22" s="280">
        <v>238000</v>
      </c>
      <c r="E22" s="65" t="s">
        <v>1407</v>
      </c>
      <c r="F22" s="280">
        <v>238000</v>
      </c>
      <c r="G22" s="280">
        <f t="shared" si="0"/>
        <v>0</v>
      </c>
      <c r="H22" s="63" t="s">
        <v>1438</v>
      </c>
      <c r="I22" s="64" t="s">
        <v>1439</v>
      </c>
      <c r="J22" s="64" t="s">
        <v>1440</v>
      </c>
    </row>
    <row r="23" spans="2:10" ht="18.95" customHeight="1">
      <c r="B23" s="63">
        <v>13</v>
      </c>
      <c r="C23" s="64" t="s">
        <v>1441</v>
      </c>
      <c r="D23" s="280">
        <v>91950</v>
      </c>
      <c r="E23" s="65" t="s">
        <v>1407</v>
      </c>
      <c r="F23" s="280">
        <v>91950</v>
      </c>
      <c r="G23" s="280">
        <f t="shared" si="0"/>
        <v>0</v>
      </c>
      <c r="H23" s="63" t="s">
        <v>1442</v>
      </c>
      <c r="I23" s="64" t="s">
        <v>1443</v>
      </c>
      <c r="J23" s="64" t="s">
        <v>1444</v>
      </c>
    </row>
    <row r="24" spans="2:10" ht="18.95" customHeight="1">
      <c r="B24" s="63">
        <v>14</v>
      </c>
      <c r="C24" s="64" t="s">
        <v>1445</v>
      </c>
      <c r="D24" s="280">
        <v>43269</v>
      </c>
      <c r="E24" s="65" t="s">
        <v>1407</v>
      </c>
      <c r="F24" s="280">
        <v>43269</v>
      </c>
      <c r="G24" s="280">
        <f t="shared" si="0"/>
        <v>0</v>
      </c>
      <c r="H24" s="63" t="s">
        <v>1446</v>
      </c>
      <c r="I24" s="64" t="s">
        <v>1447</v>
      </c>
      <c r="J24" s="64" t="s">
        <v>1448</v>
      </c>
    </row>
    <row r="25" spans="2:10" ht="18.95" customHeight="1">
      <c r="B25" s="63">
        <v>15</v>
      </c>
      <c r="C25" s="64" t="s">
        <v>1449</v>
      </c>
      <c r="D25" s="280">
        <v>8850</v>
      </c>
      <c r="E25" s="65" t="s">
        <v>1407</v>
      </c>
      <c r="F25" s="280">
        <v>8850</v>
      </c>
      <c r="G25" s="280">
        <f t="shared" si="0"/>
        <v>0</v>
      </c>
      <c r="H25" s="63" t="s">
        <v>1450</v>
      </c>
      <c r="I25" s="64" t="s">
        <v>1451</v>
      </c>
      <c r="J25" s="64" t="s">
        <v>1452</v>
      </c>
    </row>
    <row r="26" spans="2:10" ht="18.95" customHeight="1">
      <c r="B26" s="63">
        <v>16</v>
      </c>
      <c r="C26" s="64" t="s">
        <v>354</v>
      </c>
      <c r="D26" s="280">
        <v>364000</v>
      </c>
      <c r="E26" s="66" t="s">
        <v>1411</v>
      </c>
      <c r="F26" s="280">
        <v>364000</v>
      </c>
      <c r="G26" s="280">
        <f t="shared" si="0"/>
        <v>0</v>
      </c>
      <c r="H26" s="63" t="s">
        <v>1453</v>
      </c>
      <c r="I26" s="64" t="s">
        <v>1413</v>
      </c>
      <c r="J26" s="64" t="s">
        <v>1454</v>
      </c>
    </row>
    <row r="27" spans="2:10" ht="18.95" customHeight="1">
      <c r="B27" s="63">
        <v>17</v>
      </c>
      <c r="C27" s="64" t="s">
        <v>1248</v>
      </c>
      <c r="D27" s="280">
        <v>738000</v>
      </c>
      <c r="E27" s="65" t="s">
        <v>1407</v>
      </c>
      <c r="F27" s="280">
        <v>738000</v>
      </c>
      <c r="G27" s="280">
        <f t="shared" si="0"/>
        <v>0</v>
      </c>
      <c r="H27" s="63" t="s">
        <v>1455</v>
      </c>
      <c r="I27" s="64" t="s">
        <v>1456</v>
      </c>
      <c r="J27" s="64" t="s">
        <v>1457</v>
      </c>
    </row>
    <row r="28" spans="2:10" ht="18.95" customHeight="1">
      <c r="B28" s="63">
        <v>18</v>
      </c>
      <c r="C28" s="64" t="s">
        <v>354</v>
      </c>
      <c r="D28" s="280">
        <v>364000</v>
      </c>
      <c r="E28" s="66" t="s">
        <v>1411</v>
      </c>
      <c r="F28" s="280">
        <v>364000</v>
      </c>
      <c r="G28" s="280">
        <f t="shared" si="0"/>
        <v>0</v>
      </c>
      <c r="H28" s="63" t="s">
        <v>1458</v>
      </c>
      <c r="I28" s="64" t="s">
        <v>1413</v>
      </c>
      <c r="J28" s="64" t="s">
        <v>1459</v>
      </c>
    </row>
    <row r="29" spans="2:10" ht="18.95" customHeight="1">
      <c r="B29" s="63">
        <v>19</v>
      </c>
      <c r="C29" s="64" t="s">
        <v>355</v>
      </c>
      <c r="D29" s="280">
        <v>1124100</v>
      </c>
      <c r="E29" s="66" t="s">
        <v>1411</v>
      </c>
      <c r="F29" s="280">
        <v>1124100</v>
      </c>
      <c r="G29" s="280">
        <f t="shared" si="0"/>
        <v>0</v>
      </c>
      <c r="H29" s="63" t="s">
        <v>1460</v>
      </c>
      <c r="I29" s="64" t="s">
        <v>1413</v>
      </c>
      <c r="J29" s="64" t="s">
        <v>1461</v>
      </c>
    </row>
    <row r="30" spans="2:10" ht="18.95" customHeight="1">
      <c r="B30" s="63">
        <v>20</v>
      </c>
      <c r="C30" s="64" t="s">
        <v>1462</v>
      </c>
      <c r="D30" s="280">
        <v>19000</v>
      </c>
      <c r="E30" s="65" t="s">
        <v>1407</v>
      </c>
      <c r="F30" s="280">
        <v>19000</v>
      </c>
      <c r="G30" s="280">
        <f t="shared" si="0"/>
        <v>0</v>
      </c>
      <c r="H30" s="63" t="s">
        <v>1463</v>
      </c>
      <c r="I30" s="64" t="s">
        <v>1185</v>
      </c>
      <c r="J30" s="64" t="s">
        <v>1464</v>
      </c>
    </row>
    <row r="31" spans="2:10" ht="18.95" customHeight="1">
      <c r="B31" s="63">
        <v>21</v>
      </c>
      <c r="C31" s="64" t="s">
        <v>1465</v>
      </c>
      <c r="D31" s="280">
        <v>336000</v>
      </c>
      <c r="E31" s="65" t="s">
        <v>1407</v>
      </c>
      <c r="F31" s="280">
        <v>336000</v>
      </c>
      <c r="G31" s="280">
        <f t="shared" si="0"/>
        <v>0</v>
      </c>
      <c r="H31" s="63" t="s">
        <v>1466</v>
      </c>
      <c r="I31" s="64" t="s">
        <v>340</v>
      </c>
      <c r="J31" s="64" t="s">
        <v>1467</v>
      </c>
    </row>
    <row r="32" spans="2:10" ht="18.95" customHeight="1">
      <c r="B32" s="63">
        <v>22</v>
      </c>
      <c r="C32" s="64" t="s">
        <v>1468</v>
      </c>
      <c r="D32" s="280">
        <v>422400</v>
      </c>
      <c r="E32" s="65" t="s">
        <v>1407</v>
      </c>
      <c r="F32" s="280">
        <v>422400</v>
      </c>
      <c r="G32" s="280">
        <f t="shared" si="0"/>
        <v>0</v>
      </c>
      <c r="H32" s="63" t="s">
        <v>1469</v>
      </c>
      <c r="I32" s="64" t="s">
        <v>327</v>
      </c>
      <c r="J32" s="64" t="s">
        <v>1470</v>
      </c>
    </row>
    <row r="33" spans="2:10" ht="18.95" customHeight="1">
      <c r="B33" s="63">
        <v>23</v>
      </c>
      <c r="C33" s="64" t="s">
        <v>1471</v>
      </c>
      <c r="D33" s="280">
        <v>58000</v>
      </c>
      <c r="E33" s="65" t="s">
        <v>1407</v>
      </c>
      <c r="F33" s="280">
        <v>58000</v>
      </c>
      <c r="G33" s="280">
        <f t="shared" si="0"/>
        <v>0</v>
      </c>
      <c r="H33" s="63" t="s">
        <v>1472</v>
      </c>
      <c r="I33" s="64" t="s">
        <v>1199</v>
      </c>
      <c r="J33" s="64" t="s">
        <v>1473</v>
      </c>
    </row>
    <row r="34" spans="2:10" ht="18.95" customHeight="1">
      <c r="B34" s="63">
        <v>24</v>
      </c>
      <c r="C34" s="64" t="s">
        <v>1474</v>
      </c>
      <c r="D34" s="280">
        <v>10000</v>
      </c>
      <c r="E34" s="65" t="s">
        <v>1407</v>
      </c>
      <c r="F34" s="280">
        <v>10000</v>
      </c>
      <c r="G34" s="280">
        <f t="shared" si="0"/>
        <v>0</v>
      </c>
      <c r="H34" s="63" t="s">
        <v>1475</v>
      </c>
      <c r="I34" s="64" t="s">
        <v>1202</v>
      </c>
      <c r="J34" s="64" t="s">
        <v>1476</v>
      </c>
    </row>
    <row r="35" spans="2:10" ht="18.95" customHeight="1">
      <c r="B35" s="63">
        <v>25</v>
      </c>
      <c r="C35" s="64" t="s">
        <v>1246</v>
      </c>
      <c r="D35" s="280">
        <v>15000</v>
      </c>
      <c r="E35" s="66" t="s">
        <v>1411</v>
      </c>
      <c r="F35" s="280">
        <v>15000</v>
      </c>
      <c r="G35" s="280">
        <f t="shared" si="0"/>
        <v>0</v>
      </c>
      <c r="H35" s="63" t="s">
        <v>1477</v>
      </c>
      <c r="I35" s="64" t="s">
        <v>1413</v>
      </c>
      <c r="J35" s="64" t="s">
        <v>1478</v>
      </c>
    </row>
    <row r="36" spans="2:10" ht="18.95" customHeight="1">
      <c r="B36" s="63">
        <v>26</v>
      </c>
      <c r="C36" s="64" t="s">
        <v>1479</v>
      </c>
      <c r="D36" s="280">
        <v>17000</v>
      </c>
      <c r="E36" s="65" t="s">
        <v>1407</v>
      </c>
      <c r="F36" s="280">
        <v>17000</v>
      </c>
      <c r="G36" s="280">
        <f t="shared" si="0"/>
        <v>0</v>
      </c>
      <c r="H36" s="63" t="s">
        <v>1480</v>
      </c>
      <c r="I36" s="64" t="s">
        <v>1481</v>
      </c>
      <c r="J36" s="64" t="s">
        <v>1482</v>
      </c>
    </row>
    <row r="37" spans="2:10" ht="18.95" customHeight="1">
      <c r="B37" s="63">
        <v>27</v>
      </c>
      <c r="C37" s="64" t="s">
        <v>850</v>
      </c>
      <c r="D37" s="280">
        <v>20000</v>
      </c>
      <c r="E37" s="65" t="s">
        <v>1407</v>
      </c>
      <c r="F37" s="280">
        <v>20000</v>
      </c>
      <c r="G37" s="280">
        <f t="shared" si="0"/>
        <v>0</v>
      </c>
      <c r="H37" s="63" t="s">
        <v>1483</v>
      </c>
      <c r="I37" s="64" t="s">
        <v>1187</v>
      </c>
      <c r="J37" s="64" t="s">
        <v>1484</v>
      </c>
    </row>
    <row r="38" spans="2:10" ht="18.95" customHeight="1">
      <c r="B38" s="63">
        <v>28</v>
      </c>
      <c r="C38" s="64" t="s">
        <v>1485</v>
      </c>
      <c r="D38" s="280">
        <v>279350</v>
      </c>
      <c r="E38" s="65" t="s">
        <v>1407</v>
      </c>
      <c r="F38" s="280">
        <v>279350</v>
      </c>
      <c r="G38" s="280">
        <f t="shared" si="0"/>
        <v>0</v>
      </c>
      <c r="H38" s="63" t="s">
        <v>1486</v>
      </c>
      <c r="I38" s="64" t="s">
        <v>1487</v>
      </c>
      <c r="J38" s="64" t="s">
        <v>1488</v>
      </c>
    </row>
    <row r="39" spans="2:10" ht="18.95" customHeight="1">
      <c r="B39" s="63">
        <v>29</v>
      </c>
      <c r="C39" s="64" t="s">
        <v>1485</v>
      </c>
      <c r="D39" s="280">
        <v>434750</v>
      </c>
      <c r="E39" s="65" t="s">
        <v>1407</v>
      </c>
      <c r="F39" s="280">
        <v>434750</v>
      </c>
      <c r="G39" s="280">
        <f t="shared" si="0"/>
        <v>0</v>
      </c>
      <c r="H39" s="63" t="s">
        <v>1489</v>
      </c>
      <c r="I39" s="64" t="s">
        <v>1490</v>
      </c>
      <c r="J39" s="64" t="s">
        <v>1491</v>
      </c>
    </row>
    <row r="40" spans="2:10" ht="18.95" customHeight="1">
      <c r="B40" s="63">
        <v>30</v>
      </c>
      <c r="C40" s="64" t="s">
        <v>1485</v>
      </c>
      <c r="D40" s="280">
        <v>260250</v>
      </c>
      <c r="E40" s="65" t="s">
        <v>1407</v>
      </c>
      <c r="F40" s="280">
        <v>260250</v>
      </c>
      <c r="G40" s="280">
        <f t="shared" si="0"/>
        <v>0</v>
      </c>
      <c r="H40" s="63" t="s">
        <v>1492</v>
      </c>
      <c r="I40" s="64" t="s">
        <v>1493</v>
      </c>
      <c r="J40" s="64" t="s">
        <v>1494</v>
      </c>
    </row>
    <row r="41" spans="2:10" ht="18.95" customHeight="1">
      <c r="B41" s="63">
        <v>31</v>
      </c>
      <c r="C41" s="64" t="s">
        <v>1241</v>
      </c>
      <c r="D41" s="280">
        <v>1200000</v>
      </c>
      <c r="E41" s="66" t="s">
        <v>1411</v>
      </c>
      <c r="F41" s="280">
        <v>1200000</v>
      </c>
      <c r="G41" s="280">
        <f t="shared" si="0"/>
        <v>0</v>
      </c>
      <c r="H41" s="63" t="s">
        <v>1495</v>
      </c>
      <c r="I41" s="64" t="s">
        <v>1413</v>
      </c>
      <c r="J41" s="64" t="s">
        <v>1496</v>
      </c>
    </row>
    <row r="42" spans="2:10" ht="18.95" customHeight="1">
      <c r="B42" s="63">
        <v>32</v>
      </c>
      <c r="C42" s="64" t="s">
        <v>1248</v>
      </c>
      <c r="D42" s="280">
        <v>1076000</v>
      </c>
      <c r="E42" s="66" t="s">
        <v>1411</v>
      </c>
      <c r="F42" s="280">
        <v>1076000</v>
      </c>
      <c r="G42" s="280">
        <f t="shared" si="0"/>
        <v>0</v>
      </c>
      <c r="H42" s="63" t="s">
        <v>1497</v>
      </c>
      <c r="I42" s="64" t="s">
        <v>1413</v>
      </c>
      <c r="J42" s="64" t="s">
        <v>1498</v>
      </c>
    </row>
    <row r="43" spans="2:10" ht="18.95" customHeight="1">
      <c r="B43" s="63">
        <v>33</v>
      </c>
      <c r="C43" s="64" t="s">
        <v>1499</v>
      </c>
      <c r="D43" s="280">
        <v>429800</v>
      </c>
      <c r="E43" s="67" t="s">
        <v>1500</v>
      </c>
      <c r="F43" s="280">
        <v>438415</v>
      </c>
      <c r="G43" s="280">
        <f t="shared" si="0"/>
        <v>-8615</v>
      </c>
      <c r="H43" s="63" t="s">
        <v>1501</v>
      </c>
      <c r="I43" s="64" t="s">
        <v>1502</v>
      </c>
      <c r="J43" s="64" t="s">
        <v>1503</v>
      </c>
    </row>
    <row r="44" spans="2:10" ht="18.95" customHeight="1">
      <c r="B44" s="63">
        <v>34</v>
      </c>
      <c r="C44" s="64" t="s">
        <v>1504</v>
      </c>
      <c r="D44" s="280">
        <v>649800</v>
      </c>
      <c r="E44" s="65" t="s">
        <v>1407</v>
      </c>
      <c r="F44" s="280">
        <v>649800</v>
      </c>
      <c r="G44" s="280">
        <f t="shared" si="0"/>
        <v>0</v>
      </c>
      <c r="H44" s="63" t="s">
        <v>1505</v>
      </c>
      <c r="I44" s="64" t="s">
        <v>1506</v>
      </c>
      <c r="J44" s="64" t="s">
        <v>1507</v>
      </c>
    </row>
    <row r="45" spans="2:10" ht="18.95" customHeight="1">
      <c r="B45" s="63">
        <v>35</v>
      </c>
      <c r="C45" s="64" t="s">
        <v>1245</v>
      </c>
      <c r="D45" s="280">
        <v>200000</v>
      </c>
      <c r="E45" s="66" t="s">
        <v>1411</v>
      </c>
      <c r="F45" s="280">
        <v>200000</v>
      </c>
      <c r="G45" s="280">
        <f t="shared" si="0"/>
        <v>0</v>
      </c>
      <c r="H45" s="63" t="s">
        <v>1508</v>
      </c>
      <c r="I45" s="64" t="s">
        <v>1413</v>
      </c>
      <c r="J45" s="64" t="s">
        <v>1509</v>
      </c>
    </row>
    <row r="46" spans="2:10" ht="18.95" customHeight="1">
      <c r="B46" s="63">
        <v>36</v>
      </c>
      <c r="C46" s="64" t="s">
        <v>1242</v>
      </c>
      <c r="D46" s="280">
        <v>432000</v>
      </c>
      <c r="E46" s="66" t="s">
        <v>1411</v>
      </c>
      <c r="F46" s="280">
        <v>432000</v>
      </c>
      <c r="G46" s="280">
        <f t="shared" si="0"/>
        <v>0</v>
      </c>
      <c r="H46" s="63" t="s">
        <v>1510</v>
      </c>
      <c r="I46" s="64" t="s">
        <v>1413</v>
      </c>
      <c r="J46" s="64" t="s">
        <v>1511</v>
      </c>
    </row>
    <row r="47" spans="2:10" s="130" customFormat="1" ht="18.95" customHeight="1">
      <c r="B47" s="102">
        <v>37</v>
      </c>
      <c r="C47" s="64" t="s">
        <v>1236</v>
      </c>
      <c r="D47" s="277">
        <v>72000</v>
      </c>
      <c r="E47" s="88" t="s">
        <v>1512</v>
      </c>
      <c r="F47" s="277">
        <v>72000</v>
      </c>
      <c r="G47" s="280">
        <f t="shared" si="0"/>
        <v>0</v>
      </c>
      <c r="H47" s="88" t="s">
        <v>1512</v>
      </c>
      <c r="I47" s="88" t="s">
        <v>1512</v>
      </c>
      <c r="J47" s="88" t="s">
        <v>1512</v>
      </c>
    </row>
    <row r="48" spans="2:10" s="130" customFormat="1" ht="18.95" customHeight="1">
      <c r="B48" s="102">
        <v>38</v>
      </c>
      <c r="C48" s="49" t="s">
        <v>1238</v>
      </c>
      <c r="D48" s="277">
        <v>1149000</v>
      </c>
      <c r="E48" s="88" t="s">
        <v>1512</v>
      </c>
      <c r="F48" s="277">
        <v>1149000</v>
      </c>
      <c r="G48" s="280">
        <f t="shared" si="0"/>
        <v>0</v>
      </c>
      <c r="H48" s="88" t="s">
        <v>1512</v>
      </c>
      <c r="I48" s="88" t="s">
        <v>1512</v>
      </c>
      <c r="J48" s="88" t="s">
        <v>1512</v>
      </c>
    </row>
    <row r="49" spans="2:10" ht="21.95" customHeight="1" thickBot="1">
      <c r="B49" s="68" t="s">
        <v>1513</v>
      </c>
      <c r="C49" s="69" t="s">
        <v>1514</v>
      </c>
      <c r="D49" s="301">
        <f>SUM(D11:D48)</f>
        <v>56302569</v>
      </c>
      <c r="E49" s="68" t="s">
        <v>1515</v>
      </c>
      <c r="F49" s="301">
        <f>SUM(F11:F48)</f>
        <v>56315184</v>
      </c>
      <c r="G49" s="301">
        <f>SUM(G11:G48)</f>
        <v>-12615</v>
      </c>
      <c r="H49" s="68" t="s">
        <v>57</v>
      </c>
      <c r="I49" s="68" t="s">
        <v>57</v>
      </c>
      <c r="J49" s="69" t="s">
        <v>1516</v>
      </c>
    </row>
    <row r="50" spans="2:10" ht="15.75" customHeight="1" thickTop="1">
      <c r="C50" s="89" t="s">
        <v>1517</v>
      </c>
      <c r="D50" s="275">
        <v>12243950</v>
      </c>
    </row>
    <row r="51" spans="2:10">
      <c r="C51" s="103" t="s">
        <v>1518</v>
      </c>
      <c r="D51" s="302">
        <f>SUM(D49:D50)</f>
        <v>68546519</v>
      </c>
      <c r="E51" s="302"/>
    </row>
    <row r="52" spans="2:10">
      <c r="C52" s="103" t="s">
        <v>1519</v>
      </c>
      <c r="D52" s="303">
        <v>97087065.039999992</v>
      </c>
    </row>
    <row r="53" spans="2:10">
      <c r="C53" s="103" t="s">
        <v>1520</v>
      </c>
      <c r="D53" s="304">
        <f>D51-D52</f>
        <v>-28540546.039999992</v>
      </c>
    </row>
  </sheetData>
  <autoFilter ref="B10:J53" xr:uid="{00000000-0009-0000-0000-000006000000}"/>
  <mergeCells count="12">
    <mergeCell ref="B9:J9"/>
    <mergeCell ref="I5:J5"/>
    <mergeCell ref="G6:H6"/>
    <mergeCell ref="B2:J2"/>
    <mergeCell ref="B6:C6"/>
    <mergeCell ref="B3:J3"/>
    <mergeCell ref="I6:J6"/>
    <mergeCell ref="B7:C7"/>
    <mergeCell ref="G7:H7"/>
    <mergeCell ref="B5:C5"/>
    <mergeCell ref="I7:J7"/>
    <mergeCell ref="G5:H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L100"/>
  <sheetViews>
    <sheetView zoomScaleNormal="100" workbookViewId="0">
      <selection activeCell="A5" sqref="A5"/>
    </sheetView>
  </sheetViews>
  <sheetFormatPr baseColWidth="10" defaultColWidth="9.140625" defaultRowHeight="15"/>
  <cols>
    <col min="1" max="1" width="3" style="236" customWidth="1"/>
    <col min="2" max="2" width="12" style="236" customWidth="1"/>
    <col min="3" max="3" width="20" style="236" customWidth="1"/>
    <col min="4" max="4" width="26" style="236" customWidth="1"/>
    <col min="5" max="5" width="17.42578125" style="236" customWidth="1"/>
    <col min="6" max="6" width="47.85546875" style="242" bestFit="1" customWidth="1"/>
    <col min="7" max="7" width="22.42578125" style="236" bestFit="1" customWidth="1"/>
    <col min="8" max="9" width="17.42578125" style="236" bestFit="1" customWidth="1"/>
    <col min="10" max="10" width="41.85546875" style="236" bestFit="1" customWidth="1"/>
    <col min="11" max="11" width="17.85546875" style="236" bestFit="1" customWidth="1"/>
    <col min="12" max="12" width="80.28515625" style="236" bestFit="1" customWidth="1"/>
  </cols>
  <sheetData>
    <row r="2" spans="2:12" ht="27.95" customHeight="1">
      <c r="B2" s="388" t="s">
        <v>1521</v>
      </c>
      <c r="C2" s="339"/>
      <c r="D2" s="339"/>
      <c r="E2" s="339"/>
      <c r="F2" s="383"/>
      <c r="G2" s="339"/>
      <c r="H2" s="339"/>
      <c r="I2" s="339"/>
      <c r="J2" s="339"/>
      <c r="K2" s="339"/>
      <c r="L2" s="339"/>
    </row>
    <row r="3" spans="2:12" ht="20.100000000000001" customHeight="1">
      <c r="B3" s="382" t="s">
        <v>1522</v>
      </c>
      <c r="C3" s="339"/>
      <c r="D3" s="339"/>
      <c r="E3" s="339"/>
      <c r="F3" s="383"/>
      <c r="G3" s="339"/>
      <c r="H3" s="339"/>
      <c r="I3" s="339"/>
      <c r="J3" s="339"/>
      <c r="K3" s="339"/>
      <c r="L3" s="339"/>
    </row>
    <row r="5" spans="2:12" ht="15.95" customHeight="1">
      <c r="B5" s="384" t="s">
        <v>1523</v>
      </c>
      <c r="C5" s="379"/>
      <c r="D5" s="384" t="s">
        <v>1524</v>
      </c>
      <c r="E5" s="379"/>
      <c r="F5" s="90"/>
      <c r="G5" s="384" t="s">
        <v>1525</v>
      </c>
      <c r="H5" s="379"/>
      <c r="I5" s="384" t="s">
        <v>1526</v>
      </c>
      <c r="J5" s="379"/>
      <c r="K5" s="384" t="s">
        <v>1527</v>
      </c>
      <c r="L5" s="379"/>
    </row>
    <row r="6" spans="2:12" ht="21.95" customHeight="1">
      <c r="B6" s="380">
        <f>H93</f>
        <v>25175286</v>
      </c>
      <c r="C6" s="379"/>
      <c r="D6" s="380">
        <f>K80</f>
        <v>2208436</v>
      </c>
      <c r="E6" s="379"/>
      <c r="F6" s="90"/>
      <c r="G6" s="380">
        <v>868000</v>
      </c>
      <c r="H6" s="379"/>
      <c r="I6" s="380">
        <f>E80-K80-868000</f>
        <v>2905950</v>
      </c>
      <c r="J6" s="379"/>
      <c r="K6" s="389">
        <v>69</v>
      </c>
      <c r="L6" s="379"/>
    </row>
    <row r="7" spans="2:12" ht="15" customHeight="1">
      <c r="B7" s="381" t="s">
        <v>1528</v>
      </c>
      <c r="C7" s="379"/>
      <c r="D7" s="381" t="s">
        <v>1529</v>
      </c>
      <c r="E7" s="379"/>
      <c r="F7" s="90"/>
      <c r="G7" s="381" t="s">
        <v>1530</v>
      </c>
      <c r="H7" s="379"/>
      <c r="I7" s="381" t="s">
        <v>1531</v>
      </c>
      <c r="J7" s="379"/>
      <c r="K7" s="381" t="s">
        <v>1532</v>
      </c>
      <c r="L7" s="379"/>
    </row>
    <row r="9" spans="2:12" ht="21.95" customHeight="1">
      <c r="B9" s="387" t="s">
        <v>1533</v>
      </c>
      <c r="C9" s="339"/>
      <c r="D9" s="339"/>
      <c r="E9" s="339"/>
      <c r="F9" s="383"/>
      <c r="G9" s="339"/>
      <c r="H9" s="339"/>
      <c r="I9" s="339"/>
      <c r="J9" s="339"/>
      <c r="K9" s="339"/>
      <c r="L9" s="339"/>
    </row>
    <row r="10" spans="2:12" ht="24" customHeight="1">
      <c r="B10" s="73" t="s">
        <v>1534</v>
      </c>
      <c r="C10" s="74" t="s">
        <v>1535</v>
      </c>
      <c r="D10" s="74" t="s">
        <v>1536</v>
      </c>
      <c r="E10" s="75" t="s">
        <v>1537</v>
      </c>
      <c r="F10" s="74"/>
      <c r="G10" s="74" t="s">
        <v>1538</v>
      </c>
      <c r="H10" s="73" t="s">
        <v>1539</v>
      </c>
      <c r="I10" s="73" t="s">
        <v>1403</v>
      </c>
      <c r="J10" s="74" t="s">
        <v>1404</v>
      </c>
      <c r="K10" s="75" t="s">
        <v>1540</v>
      </c>
      <c r="L10" s="74" t="s">
        <v>1541</v>
      </c>
    </row>
    <row r="11" spans="2:12" ht="20.100000000000001" customHeight="1">
      <c r="B11" s="76" t="s">
        <v>1542</v>
      </c>
      <c r="C11" s="77" t="s">
        <v>1543</v>
      </c>
      <c r="D11" s="77" t="s">
        <v>1544</v>
      </c>
      <c r="E11" s="227">
        <v>10000</v>
      </c>
      <c r="F11" s="225" t="s">
        <v>1023</v>
      </c>
      <c r="G11" s="77" t="s">
        <v>1126</v>
      </c>
      <c r="H11" s="78" t="s">
        <v>1545</v>
      </c>
      <c r="I11" s="76" t="s">
        <v>57</v>
      </c>
      <c r="J11" s="77" t="s">
        <v>1546</v>
      </c>
      <c r="K11" s="79" t="s">
        <v>57</v>
      </c>
      <c r="L11" s="77" t="s">
        <v>1547</v>
      </c>
    </row>
    <row r="12" spans="2:12" ht="20.100000000000001" customHeight="1">
      <c r="B12" s="80" t="s">
        <v>1542</v>
      </c>
      <c r="C12" s="81" t="s">
        <v>1543</v>
      </c>
      <c r="D12" s="81" t="s">
        <v>1548</v>
      </c>
      <c r="E12" s="226">
        <v>37100</v>
      </c>
      <c r="F12" s="225" t="s">
        <v>1024</v>
      </c>
      <c r="G12" s="81" t="s">
        <v>1549</v>
      </c>
      <c r="H12" s="78" t="s">
        <v>1545</v>
      </c>
      <c r="I12" s="80" t="s">
        <v>57</v>
      </c>
      <c r="J12" s="81" t="s">
        <v>1546</v>
      </c>
      <c r="K12" s="82" t="s">
        <v>57</v>
      </c>
      <c r="L12" s="81" t="s">
        <v>1550</v>
      </c>
    </row>
    <row r="13" spans="2:12" ht="20.100000000000001" customHeight="1">
      <c r="B13" s="76" t="s">
        <v>1542</v>
      </c>
      <c r="C13" s="77" t="s">
        <v>1543</v>
      </c>
      <c r="D13" s="77" t="s">
        <v>1551</v>
      </c>
      <c r="E13" s="227">
        <v>66000</v>
      </c>
      <c r="F13" s="225" t="s">
        <v>1021</v>
      </c>
      <c r="G13" s="77" t="s">
        <v>1552</v>
      </c>
      <c r="H13" s="83" t="s">
        <v>1553</v>
      </c>
      <c r="I13" s="76" t="s">
        <v>57</v>
      </c>
      <c r="J13" s="77" t="s">
        <v>1554</v>
      </c>
      <c r="K13" s="79" t="s">
        <v>57</v>
      </c>
      <c r="L13" s="77" t="s">
        <v>1555</v>
      </c>
    </row>
    <row r="14" spans="2:12" ht="20.100000000000001" customHeight="1">
      <c r="B14" s="80" t="s">
        <v>1542</v>
      </c>
      <c r="C14" s="81" t="s">
        <v>1543</v>
      </c>
      <c r="D14" s="81" t="s">
        <v>1556</v>
      </c>
      <c r="E14" s="226">
        <v>4000</v>
      </c>
      <c r="F14" s="225" t="s">
        <v>1025</v>
      </c>
      <c r="G14" s="81" t="s">
        <v>1557</v>
      </c>
      <c r="H14" s="83" t="s">
        <v>1558</v>
      </c>
      <c r="I14" s="80" t="s">
        <v>57</v>
      </c>
      <c r="J14" s="81" t="s">
        <v>1559</v>
      </c>
      <c r="K14" s="82" t="s">
        <v>57</v>
      </c>
      <c r="L14" s="81" t="s">
        <v>1560</v>
      </c>
    </row>
    <row r="15" spans="2:12" ht="20.100000000000001" customHeight="1">
      <c r="B15" s="76" t="s">
        <v>1542</v>
      </c>
      <c r="C15" s="77" t="s">
        <v>1543</v>
      </c>
      <c r="D15" s="77" t="s">
        <v>1561</v>
      </c>
      <c r="E15" s="227">
        <v>15000</v>
      </c>
      <c r="F15" s="225" t="s">
        <v>1027</v>
      </c>
      <c r="G15" s="77" t="s">
        <v>1562</v>
      </c>
      <c r="H15" s="78" t="s">
        <v>1545</v>
      </c>
      <c r="I15" s="76" t="s">
        <v>57</v>
      </c>
      <c r="J15" s="77" t="s">
        <v>1546</v>
      </c>
      <c r="K15" s="79" t="s">
        <v>57</v>
      </c>
      <c r="L15" s="77" t="s">
        <v>1563</v>
      </c>
    </row>
    <row r="16" spans="2:12" ht="20.100000000000001" customHeight="1">
      <c r="B16" s="80" t="s">
        <v>1542</v>
      </c>
      <c r="C16" s="81" t="s">
        <v>1543</v>
      </c>
      <c r="D16" s="81" t="s">
        <v>1564</v>
      </c>
      <c r="E16" s="226">
        <v>85000</v>
      </c>
      <c r="F16" s="225" t="s">
        <v>1026</v>
      </c>
      <c r="G16" s="81" t="s">
        <v>1565</v>
      </c>
      <c r="H16" s="78" t="s">
        <v>1545</v>
      </c>
      <c r="I16" s="80" t="s">
        <v>57</v>
      </c>
      <c r="J16" s="81" t="s">
        <v>1546</v>
      </c>
      <c r="K16" s="82" t="s">
        <v>57</v>
      </c>
      <c r="L16" s="81" t="s">
        <v>1566</v>
      </c>
    </row>
    <row r="17" spans="2:12" ht="20.100000000000001" customHeight="1">
      <c r="B17" s="76" t="s">
        <v>1567</v>
      </c>
      <c r="C17" s="77" t="s">
        <v>1568</v>
      </c>
      <c r="D17" s="77" t="s">
        <v>1569</v>
      </c>
      <c r="E17" s="227">
        <v>132000</v>
      </c>
      <c r="F17" s="225" t="s">
        <v>1112</v>
      </c>
      <c r="G17" s="77" t="s">
        <v>1552</v>
      </c>
      <c r="H17" s="83" t="s">
        <v>1553</v>
      </c>
      <c r="I17" s="76" t="s">
        <v>57</v>
      </c>
      <c r="J17" s="77" t="s">
        <v>1554</v>
      </c>
      <c r="K17" s="79" t="s">
        <v>57</v>
      </c>
      <c r="L17" s="77" t="s">
        <v>1570</v>
      </c>
    </row>
    <row r="18" spans="2:12" ht="20.100000000000001" customHeight="1">
      <c r="B18" s="80" t="s">
        <v>1567</v>
      </c>
      <c r="C18" s="81" t="s">
        <v>1568</v>
      </c>
      <c r="D18" s="81" t="s">
        <v>1571</v>
      </c>
      <c r="E18" s="226">
        <v>66000</v>
      </c>
      <c r="F18" s="225" t="s">
        <v>1109</v>
      </c>
      <c r="G18" s="81" t="s">
        <v>1552</v>
      </c>
      <c r="H18" s="83" t="s">
        <v>1553</v>
      </c>
      <c r="I18" s="80" t="s">
        <v>57</v>
      </c>
      <c r="J18" s="81" t="s">
        <v>1554</v>
      </c>
      <c r="K18" s="82" t="s">
        <v>57</v>
      </c>
      <c r="L18" s="81" t="s">
        <v>1572</v>
      </c>
    </row>
    <row r="19" spans="2:12" ht="20.100000000000001" customHeight="1">
      <c r="B19" s="76" t="s">
        <v>1567</v>
      </c>
      <c r="C19" s="77" t="s">
        <v>1568</v>
      </c>
      <c r="D19" s="77" t="s">
        <v>1573</v>
      </c>
      <c r="E19" s="227">
        <v>66000</v>
      </c>
      <c r="F19" s="225" t="s">
        <v>1110</v>
      </c>
      <c r="G19" s="77" t="s">
        <v>1552</v>
      </c>
      <c r="H19" s="83" t="s">
        <v>1553</v>
      </c>
      <c r="I19" s="76" t="s">
        <v>57</v>
      </c>
      <c r="J19" s="77" t="s">
        <v>1554</v>
      </c>
      <c r="K19" s="79" t="s">
        <v>57</v>
      </c>
      <c r="L19" s="77" t="s">
        <v>1572</v>
      </c>
    </row>
    <row r="20" spans="2:12" ht="20.100000000000001" customHeight="1">
      <c r="B20" s="80" t="s">
        <v>1567</v>
      </c>
      <c r="C20" s="81" t="s">
        <v>1568</v>
      </c>
      <c r="D20" s="81" t="s">
        <v>1574</v>
      </c>
      <c r="E20" s="226">
        <v>10000</v>
      </c>
      <c r="F20" s="225" t="s">
        <v>1575</v>
      </c>
      <c r="G20" s="81" t="s">
        <v>1576</v>
      </c>
      <c r="H20" s="84" t="s">
        <v>1577</v>
      </c>
      <c r="I20" s="80" t="s">
        <v>1578</v>
      </c>
      <c r="J20" s="81" t="s">
        <v>1579</v>
      </c>
      <c r="K20" s="226">
        <v>10000</v>
      </c>
      <c r="L20" s="81" t="s">
        <v>1580</v>
      </c>
    </row>
    <row r="21" spans="2:12" ht="20.100000000000001" customHeight="1">
      <c r="B21" s="76" t="s">
        <v>1567</v>
      </c>
      <c r="C21" s="77" t="s">
        <v>1568</v>
      </c>
      <c r="D21" s="77" t="s">
        <v>781</v>
      </c>
      <c r="E21" s="227">
        <v>30000</v>
      </c>
      <c r="F21" s="225" t="s">
        <v>1581</v>
      </c>
      <c r="G21" s="77" t="s">
        <v>1582</v>
      </c>
      <c r="H21" s="84" t="s">
        <v>1577</v>
      </c>
      <c r="I21" s="76" t="s">
        <v>1583</v>
      </c>
      <c r="J21" s="77" t="s">
        <v>1584</v>
      </c>
      <c r="K21" s="227">
        <v>30000</v>
      </c>
      <c r="L21" s="77" t="s">
        <v>1585</v>
      </c>
    </row>
    <row r="22" spans="2:12" ht="20.100000000000001" customHeight="1">
      <c r="B22" s="80" t="s">
        <v>1567</v>
      </c>
      <c r="C22" s="81" t="s">
        <v>1568</v>
      </c>
      <c r="D22" s="81" t="s">
        <v>1586</v>
      </c>
      <c r="E22" s="226">
        <v>35100</v>
      </c>
      <c r="F22" s="225" t="s">
        <v>1120</v>
      </c>
      <c r="G22" s="81" t="s">
        <v>1587</v>
      </c>
      <c r="H22" s="78" t="s">
        <v>1545</v>
      </c>
      <c r="I22" s="80" t="s">
        <v>57</v>
      </c>
      <c r="J22" s="81" t="s">
        <v>1546</v>
      </c>
      <c r="K22" s="82" t="s">
        <v>57</v>
      </c>
      <c r="L22" s="81" t="s">
        <v>1588</v>
      </c>
    </row>
    <row r="23" spans="2:12" ht="20.100000000000001" customHeight="1">
      <c r="B23" s="76" t="s">
        <v>1567</v>
      </c>
      <c r="C23" s="77" t="s">
        <v>1568</v>
      </c>
      <c r="D23" s="77" t="s">
        <v>1061</v>
      </c>
      <c r="E23" s="227">
        <v>66000</v>
      </c>
      <c r="F23" s="225" t="s">
        <v>1122</v>
      </c>
      <c r="G23" s="77" t="s">
        <v>23</v>
      </c>
      <c r="H23" s="85" t="s">
        <v>1589</v>
      </c>
      <c r="I23" s="76" t="s">
        <v>1590</v>
      </c>
      <c r="J23" s="77" t="s">
        <v>1591</v>
      </c>
      <c r="K23" s="227">
        <v>85400</v>
      </c>
      <c r="L23" s="77" t="s">
        <v>1592</v>
      </c>
    </row>
    <row r="24" spans="2:12" ht="20.100000000000001" customHeight="1">
      <c r="B24" s="80" t="s">
        <v>1567</v>
      </c>
      <c r="C24" s="81" t="s">
        <v>1568</v>
      </c>
      <c r="D24" s="81" t="s">
        <v>1104</v>
      </c>
      <c r="E24" s="226">
        <v>147000</v>
      </c>
      <c r="F24" s="225" t="s">
        <v>1593</v>
      </c>
      <c r="G24" s="81" t="s">
        <v>1594</v>
      </c>
      <c r="H24" s="84" t="s">
        <v>1577</v>
      </c>
      <c r="I24" s="80" t="s">
        <v>1595</v>
      </c>
      <c r="J24" s="81" t="s">
        <v>1596</v>
      </c>
      <c r="K24" s="226">
        <v>147000</v>
      </c>
      <c r="L24" s="81" t="s">
        <v>1597</v>
      </c>
    </row>
    <row r="25" spans="2:12" ht="20.100000000000001" customHeight="1">
      <c r="B25" s="76" t="s">
        <v>1567</v>
      </c>
      <c r="C25" s="77" t="s">
        <v>1568</v>
      </c>
      <c r="D25" s="77" t="s">
        <v>1598</v>
      </c>
      <c r="E25" s="227">
        <v>14000</v>
      </c>
      <c r="F25" s="225" t="s">
        <v>1599</v>
      </c>
      <c r="G25" s="77" t="s">
        <v>1600</v>
      </c>
      <c r="H25" s="84" t="s">
        <v>1577</v>
      </c>
      <c r="I25" s="76" t="s">
        <v>1601</v>
      </c>
      <c r="J25" s="77" t="s">
        <v>1602</v>
      </c>
      <c r="K25" s="227">
        <v>14000</v>
      </c>
      <c r="L25" s="77" t="s">
        <v>1603</v>
      </c>
    </row>
    <row r="26" spans="2:12" ht="20.100000000000001" customHeight="1">
      <c r="B26" s="80" t="s">
        <v>1567</v>
      </c>
      <c r="C26" s="81" t="s">
        <v>1568</v>
      </c>
      <c r="D26" s="81" t="s">
        <v>1604</v>
      </c>
      <c r="E26" s="226">
        <v>78500</v>
      </c>
      <c r="F26" s="225" t="s">
        <v>1123</v>
      </c>
      <c r="G26" s="81" t="s">
        <v>23</v>
      </c>
      <c r="H26" s="85" t="s">
        <v>1589</v>
      </c>
      <c r="I26" s="80" t="s">
        <v>1605</v>
      </c>
      <c r="J26" s="81" t="s">
        <v>1606</v>
      </c>
      <c r="K26" s="226">
        <v>74200</v>
      </c>
      <c r="L26" s="81" t="s">
        <v>1607</v>
      </c>
    </row>
    <row r="27" spans="2:12" ht="20.100000000000001" customHeight="1">
      <c r="B27" s="76" t="s">
        <v>1567</v>
      </c>
      <c r="C27" s="77" t="s">
        <v>1568</v>
      </c>
      <c r="D27" s="77" t="s">
        <v>1608</v>
      </c>
      <c r="E27" s="227">
        <v>90000</v>
      </c>
      <c r="F27" s="225" t="s">
        <v>1115</v>
      </c>
      <c r="G27" s="77" t="s">
        <v>1609</v>
      </c>
      <c r="H27" s="78" t="s">
        <v>1545</v>
      </c>
      <c r="I27" s="76" t="s">
        <v>57</v>
      </c>
      <c r="J27" s="77" t="s">
        <v>1546</v>
      </c>
      <c r="K27" s="79" t="s">
        <v>57</v>
      </c>
      <c r="L27" s="77" t="s">
        <v>1610</v>
      </c>
    </row>
    <row r="28" spans="2:12" ht="20.100000000000001" customHeight="1">
      <c r="B28" s="80" t="s">
        <v>1567</v>
      </c>
      <c r="C28" s="81" t="s">
        <v>1568</v>
      </c>
      <c r="D28" s="81" t="s">
        <v>1326</v>
      </c>
      <c r="E28" s="226">
        <v>81000</v>
      </c>
      <c r="F28" s="225" t="s">
        <v>1116</v>
      </c>
      <c r="G28" s="81" t="s">
        <v>1611</v>
      </c>
      <c r="H28" s="78" t="s">
        <v>1545</v>
      </c>
      <c r="I28" s="80" t="s">
        <v>57</v>
      </c>
      <c r="J28" s="81" t="s">
        <v>1546</v>
      </c>
      <c r="K28" s="82" t="s">
        <v>57</v>
      </c>
      <c r="L28" s="81" t="s">
        <v>1612</v>
      </c>
    </row>
    <row r="29" spans="2:12" ht="20.100000000000001" customHeight="1">
      <c r="B29" s="76" t="s">
        <v>1567</v>
      </c>
      <c r="C29" s="77" t="s">
        <v>1568</v>
      </c>
      <c r="D29" s="77" t="s">
        <v>1613</v>
      </c>
      <c r="E29" s="227">
        <v>5555</v>
      </c>
      <c r="F29" s="225" t="s">
        <v>1614</v>
      </c>
      <c r="G29" s="77" t="s">
        <v>1615</v>
      </c>
      <c r="H29" s="84" t="s">
        <v>1616</v>
      </c>
      <c r="I29" s="76" t="s">
        <v>1617</v>
      </c>
      <c r="J29" s="77" t="s">
        <v>1618</v>
      </c>
      <c r="K29" s="227">
        <v>5555</v>
      </c>
      <c r="L29" s="77" t="s">
        <v>1619</v>
      </c>
    </row>
    <row r="30" spans="2:12" ht="20.100000000000001" customHeight="1">
      <c r="B30" s="80" t="s">
        <v>1567</v>
      </c>
      <c r="C30" s="81" t="s">
        <v>1568</v>
      </c>
      <c r="D30" s="81" t="s">
        <v>1620</v>
      </c>
      <c r="E30" s="226">
        <v>90125</v>
      </c>
      <c r="F30" s="225" t="s">
        <v>1621</v>
      </c>
      <c r="G30" s="81" t="s">
        <v>1594</v>
      </c>
      <c r="H30" s="84" t="s">
        <v>1616</v>
      </c>
      <c r="I30" s="80" t="s">
        <v>1622</v>
      </c>
      <c r="J30" s="81" t="s">
        <v>1623</v>
      </c>
      <c r="K30" s="226">
        <v>90125</v>
      </c>
      <c r="L30" s="81" t="s">
        <v>1624</v>
      </c>
    </row>
    <row r="31" spans="2:12" ht="20.100000000000001" customHeight="1">
      <c r="B31" s="76" t="s">
        <v>1567</v>
      </c>
      <c r="C31" s="77" t="s">
        <v>1568</v>
      </c>
      <c r="D31" s="77" t="s">
        <v>1625</v>
      </c>
      <c r="E31" s="227">
        <v>61606</v>
      </c>
      <c r="F31" s="225" t="s">
        <v>1626</v>
      </c>
      <c r="G31" s="77" t="s">
        <v>762</v>
      </c>
      <c r="H31" s="84" t="s">
        <v>1616</v>
      </c>
      <c r="I31" s="76" t="s">
        <v>1627</v>
      </c>
      <c r="J31" s="77" t="s">
        <v>1628</v>
      </c>
      <c r="K31" s="227">
        <v>61606</v>
      </c>
      <c r="L31" s="77" t="s">
        <v>1629</v>
      </c>
    </row>
    <row r="32" spans="2:12" ht="20.100000000000001" customHeight="1">
      <c r="B32" s="80" t="s">
        <v>1567</v>
      </c>
      <c r="C32" s="81" t="s">
        <v>1568</v>
      </c>
      <c r="D32" s="81" t="s">
        <v>1630</v>
      </c>
      <c r="E32" s="226">
        <v>13500</v>
      </c>
      <c r="F32" s="225" t="s">
        <v>1113</v>
      </c>
      <c r="G32" s="81" t="s">
        <v>1631</v>
      </c>
      <c r="H32" s="78" t="s">
        <v>1545</v>
      </c>
      <c r="I32" s="80" t="s">
        <v>57</v>
      </c>
      <c r="J32" s="81" t="s">
        <v>1546</v>
      </c>
      <c r="K32" s="82" t="s">
        <v>57</v>
      </c>
      <c r="L32" s="81" t="s">
        <v>1632</v>
      </c>
    </row>
    <row r="33" spans="2:12" ht="20.100000000000001" customHeight="1">
      <c r="B33" s="76" t="s">
        <v>1567</v>
      </c>
      <c r="C33" s="77" t="s">
        <v>1568</v>
      </c>
      <c r="D33" s="77" t="s">
        <v>1633</v>
      </c>
      <c r="E33" s="227">
        <v>130000</v>
      </c>
      <c r="F33" s="225" t="s">
        <v>1119</v>
      </c>
      <c r="G33" s="77" t="s">
        <v>1634</v>
      </c>
      <c r="H33" s="78" t="s">
        <v>1545</v>
      </c>
      <c r="I33" s="76" t="s">
        <v>57</v>
      </c>
      <c r="J33" s="77" t="s">
        <v>1546</v>
      </c>
      <c r="K33" s="79" t="s">
        <v>57</v>
      </c>
      <c r="L33" s="77" t="s">
        <v>1635</v>
      </c>
    </row>
    <row r="34" spans="2:12" ht="20.100000000000001" customHeight="1">
      <c r="B34" s="80" t="s">
        <v>1636</v>
      </c>
      <c r="C34" s="81" t="s">
        <v>1637</v>
      </c>
      <c r="D34" s="81" t="s">
        <v>1638</v>
      </c>
      <c r="E34" s="226">
        <v>5000</v>
      </c>
      <c r="F34" s="225" t="s">
        <v>1117</v>
      </c>
      <c r="G34" s="81" t="s">
        <v>766</v>
      </c>
      <c r="H34" s="78" t="s">
        <v>1545</v>
      </c>
      <c r="I34" s="80" t="s">
        <v>57</v>
      </c>
      <c r="J34" s="81" t="s">
        <v>1546</v>
      </c>
      <c r="K34" s="82" t="s">
        <v>57</v>
      </c>
      <c r="L34" s="81" t="s">
        <v>1639</v>
      </c>
    </row>
    <row r="35" spans="2:12" ht="20.100000000000001" customHeight="1">
      <c r="B35" s="76" t="s">
        <v>1636</v>
      </c>
      <c r="C35" s="77" t="s">
        <v>1637</v>
      </c>
      <c r="D35" s="77" t="s">
        <v>1640</v>
      </c>
      <c r="E35" s="227">
        <v>20000</v>
      </c>
      <c r="F35" s="225" t="s">
        <v>1121</v>
      </c>
      <c r="G35" s="77" t="s">
        <v>1126</v>
      </c>
      <c r="H35" s="78" t="s">
        <v>1545</v>
      </c>
      <c r="I35" s="76" t="s">
        <v>57</v>
      </c>
      <c r="J35" s="77" t="s">
        <v>1546</v>
      </c>
      <c r="K35" s="79" t="s">
        <v>57</v>
      </c>
      <c r="L35" s="77" t="s">
        <v>1641</v>
      </c>
    </row>
    <row r="36" spans="2:12" ht="20.100000000000001" customHeight="1">
      <c r="B36" s="80" t="s">
        <v>1636</v>
      </c>
      <c r="C36" s="81" t="s">
        <v>1637</v>
      </c>
      <c r="D36" s="81" t="s">
        <v>1642</v>
      </c>
      <c r="E36" s="226">
        <v>86600</v>
      </c>
      <c r="F36" s="225" t="s">
        <v>1118</v>
      </c>
      <c r="G36" s="81" t="s">
        <v>1594</v>
      </c>
      <c r="H36" s="78" t="s">
        <v>1545</v>
      </c>
      <c r="I36" s="80" t="s">
        <v>57</v>
      </c>
      <c r="J36" s="81" t="s">
        <v>1546</v>
      </c>
      <c r="K36" s="82" t="s">
        <v>57</v>
      </c>
      <c r="L36" s="81" t="s">
        <v>1643</v>
      </c>
    </row>
    <row r="37" spans="2:12" ht="20.100000000000001" customHeight="1">
      <c r="B37" s="76" t="s">
        <v>1636</v>
      </c>
      <c r="C37" s="77" t="s">
        <v>1637</v>
      </c>
      <c r="D37" s="77" t="s">
        <v>1644</v>
      </c>
      <c r="E37" s="227">
        <v>20000</v>
      </c>
      <c r="F37" s="225" t="s">
        <v>1114</v>
      </c>
      <c r="G37" s="77" t="s">
        <v>1557</v>
      </c>
      <c r="H37" s="83" t="s">
        <v>1558</v>
      </c>
      <c r="I37" s="76" t="s">
        <v>57</v>
      </c>
      <c r="J37" s="77" t="s">
        <v>1559</v>
      </c>
      <c r="K37" s="79" t="s">
        <v>57</v>
      </c>
      <c r="L37" s="77" t="s">
        <v>1645</v>
      </c>
    </row>
    <row r="38" spans="2:12" ht="20.100000000000001" customHeight="1">
      <c r="B38" s="80" t="s">
        <v>1636</v>
      </c>
      <c r="C38" s="81" t="s">
        <v>1637</v>
      </c>
      <c r="D38" s="81" t="s">
        <v>1646</v>
      </c>
      <c r="E38" s="226">
        <v>72200</v>
      </c>
      <c r="F38" s="225" t="s">
        <v>314</v>
      </c>
      <c r="G38" s="81" t="s">
        <v>1647</v>
      </c>
      <c r="H38" s="78" t="s">
        <v>1545</v>
      </c>
      <c r="I38" s="80" t="s">
        <v>57</v>
      </c>
      <c r="J38" s="81" t="s">
        <v>1546</v>
      </c>
      <c r="K38" s="82" t="s">
        <v>57</v>
      </c>
      <c r="L38" s="81" t="s">
        <v>1648</v>
      </c>
    </row>
    <row r="39" spans="2:12" ht="20.100000000000001" customHeight="1">
      <c r="B39" s="76" t="s">
        <v>1636</v>
      </c>
      <c r="C39" s="77" t="s">
        <v>1637</v>
      </c>
      <c r="D39" s="77" t="s">
        <v>1551</v>
      </c>
      <c r="E39" s="227">
        <v>66000</v>
      </c>
      <c r="F39" s="225" t="s">
        <v>1111</v>
      </c>
      <c r="G39" s="77" t="s">
        <v>1552</v>
      </c>
      <c r="H39" s="83" t="s">
        <v>1553</v>
      </c>
      <c r="I39" s="76" t="s">
        <v>57</v>
      </c>
      <c r="J39" s="77" t="s">
        <v>1554</v>
      </c>
      <c r="K39" s="79" t="s">
        <v>57</v>
      </c>
      <c r="L39" s="77" t="s">
        <v>1572</v>
      </c>
    </row>
    <row r="40" spans="2:12" ht="20.100000000000001" customHeight="1">
      <c r="B40" s="80" t="s">
        <v>1649</v>
      </c>
      <c r="C40" s="81" t="s">
        <v>1568</v>
      </c>
      <c r="D40" s="81" t="s">
        <v>1571</v>
      </c>
      <c r="E40" s="226">
        <v>66000</v>
      </c>
      <c r="F40" s="225" t="s">
        <v>1109</v>
      </c>
      <c r="G40" s="81" t="s">
        <v>1552</v>
      </c>
      <c r="H40" s="83" t="s">
        <v>1553</v>
      </c>
      <c r="I40" s="80" t="s">
        <v>57</v>
      </c>
      <c r="J40" s="81" t="s">
        <v>1554</v>
      </c>
      <c r="K40" s="82" t="s">
        <v>57</v>
      </c>
      <c r="L40" s="81" t="s">
        <v>1572</v>
      </c>
    </row>
    <row r="41" spans="2:12" ht="20.100000000000001" customHeight="1">
      <c r="B41" s="76" t="s">
        <v>1649</v>
      </c>
      <c r="C41" s="77" t="s">
        <v>1568</v>
      </c>
      <c r="D41" s="77" t="s">
        <v>1650</v>
      </c>
      <c r="E41" s="227">
        <v>66000</v>
      </c>
      <c r="F41" s="225" t="s">
        <v>1157</v>
      </c>
      <c r="G41" s="77" t="s">
        <v>1552</v>
      </c>
      <c r="H41" s="83" t="s">
        <v>1553</v>
      </c>
      <c r="I41" s="76" t="s">
        <v>57</v>
      </c>
      <c r="J41" s="77" t="s">
        <v>1554</v>
      </c>
      <c r="K41" s="79" t="s">
        <v>57</v>
      </c>
      <c r="L41" s="77" t="s">
        <v>1572</v>
      </c>
    </row>
    <row r="42" spans="2:12" ht="20.100000000000001" customHeight="1">
      <c r="B42" s="80" t="s">
        <v>1649</v>
      </c>
      <c r="C42" s="81" t="s">
        <v>1568</v>
      </c>
      <c r="D42" s="81" t="s">
        <v>1574</v>
      </c>
      <c r="E42" s="226">
        <v>19000</v>
      </c>
      <c r="F42" s="225" t="s">
        <v>1575</v>
      </c>
      <c r="G42" s="81" t="s">
        <v>1576</v>
      </c>
      <c r="H42" s="84" t="s">
        <v>1577</v>
      </c>
      <c r="I42" s="80" t="s">
        <v>1651</v>
      </c>
      <c r="J42" s="81" t="s">
        <v>1652</v>
      </c>
      <c r="K42" s="226">
        <v>19000</v>
      </c>
      <c r="L42" s="81" t="s">
        <v>1653</v>
      </c>
    </row>
    <row r="43" spans="2:12" ht="20.100000000000001" customHeight="1">
      <c r="B43" s="76" t="s">
        <v>1649</v>
      </c>
      <c r="C43" s="77" t="s">
        <v>1568</v>
      </c>
      <c r="D43" s="77" t="s">
        <v>1654</v>
      </c>
      <c r="E43" s="227">
        <v>31000</v>
      </c>
      <c r="F43" s="225" t="s">
        <v>1161</v>
      </c>
      <c r="G43" s="77" t="s">
        <v>766</v>
      </c>
      <c r="H43" s="78" t="s">
        <v>1545</v>
      </c>
      <c r="I43" s="76" t="s">
        <v>57</v>
      </c>
      <c r="J43" s="77" t="s">
        <v>1546</v>
      </c>
      <c r="K43" s="79" t="s">
        <v>57</v>
      </c>
      <c r="L43" s="77" t="s">
        <v>1655</v>
      </c>
    </row>
    <row r="44" spans="2:12" ht="20.100000000000001" customHeight="1">
      <c r="B44" s="80" t="s">
        <v>1649</v>
      </c>
      <c r="C44" s="81" t="s">
        <v>1568</v>
      </c>
      <c r="D44" s="81" t="s">
        <v>1656</v>
      </c>
      <c r="E44" s="226">
        <v>76500</v>
      </c>
      <c r="F44" s="225" t="s">
        <v>336</v>
      </c>
      <c r="G44" s="81" t="s">
        <v>1657</v>
      </c>
      <c r="H44" s="78" t="s">
        <v>1545</v>
      </c>
      <c r="I44" s="80" t="s">
        <v>57</v>
      </c>
      <c r="J44" s="81" t="s">
        <v>1546</v>
      </c>
      <c r="K44" s="82" t="s">
        <v>57</v>
      </c>
      <c r="L44" s="81" t="s">
        <v>1658</v>
      </c>
    </row>
    <row r="45" spans="2:12" ht="20.100000000000001" customHeight="1">
      <c r="B45" s="76" t="s">
        <v>1649</v>
      </c>
      <c r="C45" s="77" t="s">
        <v>1568</v>
      </c>
      <c r="D45" s="77" t="s">
        <v>1659</v>
      </c>
      <c r="E45" s="227">
        <v>40000</v>
      </c>
      <c r="F45" s="225" t="s">
        <v>1160</v>
      </c>
      <c r="G45" s="77" t="s">
        <v>1660</v>
      </c>
      <c r="H45" s="78" t="s">
        <v>1545</v>
      </c>
      <c r="I45" s="76" t="s">
        <v>57</v>
      </c>
      <c r="J45" s="77" t="s">
        <v>1546</v>
      </c>
      <c r="K45" s="79" t="s">
        <v>57</v>
      </c>
      <c r="L45" s="77" t="s">
        <v>1661</v>
      </c>
    </row>
    <row r="46" spans="2:12" ht="20.100000000000001" customHeight="1">
      <c r="B46" s="80" t="s">
        <v>1649</v>
      </c>
      <c r="C46" s="81" t="s">
        <v>1568</v>
      </c>
      <c r="D46" s="81" t="s">
        <v>781</v>
      </c>
      <c r="E46" s="226">
        <v>30000</v>
      </c>
      <c r="F46" s="225" t="s">
        <v>1581</v>
      </c>
      <c r="G46" s="81" t="s">
        <v>1582</v>
      </c>
      <c r="H46" s="84" t="s">
        <v>1577</v>
      </c>
      <c r="I46" s="80" t="s">
        <v>1662</v>
      </c>
      <c r="J46" s="81" t="s">
        <v>1663</v>
      </c>
      <c r="K46" s="226">
        <v>30000</v>
      </c>
      <c r="L46" s="81" t="s">
        <v>1664</v>
      </c>
    </row>
    <row r="47" spans="2:12" ht="20.100000000000001" customHeight="1">
      <c r="B47" s="76" t="s">
        <v>1649</v>
      </c>
      <c r="C47" s="77" t="s">
        <v>1568</v>
      </c>
      <c r="D47" s="77" t="s">
        <v>651</v>
      </c>
      <c r="E47" s="227">
        <v>25000</v>
      </c>
      <c r="F47" s="225" t="s">
        <v>1665</v>
      </c>
      <c r="G47" s="77" t="s">
        <v>1666</v>
      </c>
      <c r="H47" s="84" t="s">
        <v>1577</v>
      </c>
      <c r="I47" s="76" t="s">
        <v>1667</v>
      </c>
      <c r="J47" s="77" t="s">
        <v>1668</v>
      </c>
      <c r="K47" s="227">
        <v>25000</v>
      </c>
      <c r="L47" s="77" t="s">
        <v>1669</v>
      </c>
    </row>
    <row r="48" spans="2:12" ht="20.100000000000001" customHeight="1">
      <c r="B48" s="80" t="s">
        <v>1670</v>
      </c>
      <c r="C48" s="81" t="s">
        <v>1671</v>
      </c>
      <c r="D48" s="81" t="s">
        <v>970</v>
      </c>
      <c r="E48" s="226">
        <v>47300</v>
      </c>
      <c r="F48" s="225" t="s">
        <v>1672</v>
      </c>
      <c r="G48" s="81" t="s">
        <v>1673</v>
      </c>
      <c r="H48" s="84" t="s">
        <v>1577</v>
      </c>
      <c r="I48" s="80" t="s">
        <v>1674</v>
      </c>
      <c r="J48" s="81" t="s">
        <v>1675</v>
      </c>
      <c r="K48" s="226">
        <v>47250</v>
      </c>
      <c r="L48" s="81" t="s">
        <v>1676</v>
      </c>
    </row>
    <row r="49" spans="2:12" ht="20.100000000000001" customHeight="1">
      <c r="B49" s="76" t="s">
        <v>1670</v>
      </c>
      <c r="C49" s="77" t="s">
        <v>1671</v>
      </c>
      <c r="D49" s="77" t="s">
        <v>1154</v>
      </c>
      <c r="E49" s="227">
        <v>76900</v>
      </c>
      <c r="F49" s="225" t="s">
        <v>1677</v>
      </c>
      <c r="G49" s="77" t="s">
        <v>1678</v>
      </c>
      <c r="H49" s="84" t="s">
        <v>1577</v>
      </c>
      <c r="I49" s="76" t="s">
        <v>1679</v>
      </c>
      <c r="J49" s="77" t="s">
        <v>1680</v>
      </c>
      <c r="K49" s="227">
        <v>76860</v>
      </c>
      <c r="L49" s="77" t="s">
        <v>1681</v>
      </c>
    </row>
    <row r="50" spans="2:12" ht="20.100000000000001" customHeight="1">
      <c r="B50" s="80" t="s">
        <v>1670</v>
      </c>
      <c r="C50" s="81" t="s">
        <v>1671</v>
      </c>
      <c r="D50" s="81" t="s">
        <v>1682</v>
      </c>
      <c r="E50" s="226">
        <v>4500</v>
      </c>
      <c r="F50" s="225" t="s">
        <v>1683</v>
      </c>
      <c r="G50" s="81" t="s">
        <v>1684</v>
      </c>
      <c r="H50" s="84" t="s">
        <v>1616</v>
      </c>
      <c r="I50" s="80" t="s">
        <v>1685</v>
      </c>
      <c r="J50" s="81" t="s">
        <v>1686</v>
      </c>
      <c r="K50" s="226">
        <v>4500</v>
      </c>
      <c r="L50" s="81" t="s">
        <v>1687</v>
      </c>
    </row>
    <row r="51" spans="2:12" ht="20.100000000000001" customHeight="1">
      <c r="B51" s="76" t="s">
        <v>1670</v>
      </c>
      <c r="C51" s="77" t="s">
        <v>1671</v>
      </c>
      <c r="D51" s="77" t="s">
        <v>1688</v>
      </c>
      <c r="E51" s="227">
        <v>130000</v>
      </c>
      <c r="F51" s="225" t="s">
        <v>1162</v>
      </c>
      <c r="G51" s="77" t="s">
        <v>1689</v>
      </c>
      <c r="H51" s="78" t="s">
        <v>1545</v>
      </c>
      <c r="I51" s="76" t="s">
        <v>57</v>
      </c>
      <c r="J51" s="77" t="s">
        <v>1546</v>
      </c>
      <c r="K51" s="79" t="s">
        <v>57</v>
      </c>
      <c r="L51" s="77" t="s">
        <v>1690</v>
      </c>
    </row>
    <row r="52" spans="2:12" ht="20.100000000000001" customHeight="1">
      <c r="B52" s="80" t="s">
        <v>1670</v>
      </c>
      <c r="C52" s="81" t="s">
        <v>1671</v>
      </c>
      <c r="D52" s="81" t="s">
        <v>1691</v>
      </c>
      <c r="E52" s="226">
        <v>500000</v>
      </c>
      <c r="F52" s="225" t="s">
        <v>1159</v>
      </c>
      <c r="G52" s="81" t="s">
        <v>1692</v>
      </c>
      <c r="H52" s="83" t="s">
        <v>1693</v>
      </c>
      <c r="I52" s="80" t="s">
        <v>57</v>
      </c>
      <c r="J52" s="81" t="s">
        <v>1694</v>
      </c>
      <c r="K52" s="82" t="s">
        <v>57</v>
      </c>
      <c r="L52" s="81" t="s">
        <v>1695</v>
      </c>
    </row>
    <row r="53" spans="2:12" ht="20.100000000000001" customHeight="1">
      <c r="B53" s="76" t="s">
        <v>1670</v>
      </c>
      <c r="C53" s="77" t="s">
        <v>1671</v>
      </c>
      <c r="D53" s="77" t="s">
        <v>1551</v>
      </c>
      <c r="E53" s="227">
        <v>66000</v>
      </c>
      <c r="F53" s="225" t="s">
        <v>1158</v>
      </c>
      <c r="G53" s="77" t="s">
        <v>1552</v>
      </c>
      <c r="H53" s="83" t="s">
        <v>1553</v>
      </c>
      <c r="I53" s="76" t="s">
        <v>57</v>
      </c>
      <c r="J53" s="77" t="s">
        <v>1554</v>
      </c>
      <c r="K53" s="79" t="s">
        <v>57</v>
      </c>
      <c r="L53" s="77" t="s">
        <v>1572</v>
      </c>
    </row>
    <row r="54" spans="2:12" ht="20.100000000000001" customHeight="1">
      <c r="B54" s="80" t="s">
        <v>1696</v>
      </c>
      <c r="C54" s="81" t="s">
        <v>1568</v>
      </c>
      <c r="D54" s="81" t="s">
        <v>1571</v>
      </c>
      <c r="E54" s="226">
        <v>66000</v>
      </c>
      <c r="F54" s="225" t="s">
        <v>1109</v>
      </c>
      <c r="G54" s="81" t="s">
        <v>1552</v>
      </c>
      <c r="H54" s="83" t="s">
        <v>1553</v>
      </c>
      <c r="I54" s="80" t="s">
        <v>57</v>
      </c>
      <c r="J54" s="81" t="s">
        <v>1554</v>
      </c>
      <c r="K54" s="82" t="s">
        <v>57</v>
      </c>
      <c r="L54" s="81" t="s">
        <v>1572</v>
      </c>
    </row>
    <row r="55" spans="2:12" ht="20.100000000000001" customHeight="1">
      <c r="B55" s="76" t="s">
        <v>1696</v>
      </c>
      <c r="C55" s="77" t="s">
        <v>1568</v>
      </c>
      <c r="D55" s="77" t="s">
        <v>1650</v>
      </c>
      <c r="E55" s="227">
        <v>66000</v>
      </c>
      <c r="F55" s="225" t="s">
        <v>1157</v>
      </c>
      <c r="G55" s="77" t="s">
        <v>1552</v>
      </c>
      <c r="H55" s="83" t="s">
        <v>1553</v>
      </c>
      <c r="I55" s="76" t="s">
        <v>57</v>
      </c>
      <c r="J55" s="77" t="s">
        <v>1554</v>
      </c>
      <c r="K55" s="79" t="s">
        <v>57</v>
      </c>
      <c r="L55" s="77" t="s">
        <v>1572</v>
      </c>
    </row>
    <row r="56" spans="2:12" ht="20.100000000000001" customHeight="1">
      <c r="B56" s="80" t="s">
        <v>1696</v>
      </c>
      <c r="C56" s="81" t="s">
        <v>1568</v>
      </c>
      <c r="D56" s="81" t="s">
        <v>1574</v>
      </c>
      <c r="E56" s="226">
        <v>34000</v>
      </c>
      <c r="F56" s="225" t="s">
        <v>1575</v>
      </c>
      <c r="G56" s="81" t="s">
        <v>1576</v>
      </c>
      <c r="H56" s="84" t="s">
        <v>1577</v>
      </c>
      <c r="I56" s="80" t="s">
        <v>1697</v>
      </c>
      <c r="J56" s="81" t="s">
        <v>1698</v>
      </c>
      <c r="K56" s="226">
        <v>34000</v>
      </c>
      <c r="L56" s="81" t="s">
        <v>1699</v>
      </c>
    </row>
    <row r="57" spans="2:12" ht="20.100000000000001" customHeight="1">
      <c r="B57" s="76" t="s">
        <v>1696</v>
      </c>
      <c r="C57" s="77" t="s">
        <v>1568</v>
      </c>
      <c r="D57" s="77" t="s">
        <v>651</v>
      </c>
      <c r="E57" s="227">
        <v>20000</v>
      </c>
      <c r="F57" s="225" t="s">
        <v>1665</v>
      </c>
      <c r="G57" s="77" t="s">
        <v>1666</v>
      </c>
      <c r="H57" s="84" t="s">
        <v>1577</v>
      </c>
      <c r="I57" s="76" t="s">
        <v>1700</v>
      </c>
      <c r="J57" s="77" t="s">
        <v>1701</v>
      </c>
      <c r="K57" s="227">
        <v>20000</v>
      </c>
      <c r="L57" s="77" t="s">
        <v>1702</v>
      </c>
    </row>
    <row r="58" spans="2:12" ht="20.100000000000001" customHeight="1">
      <c r="B58" s="80" t="s">
        <v>1696</v>
      </c>
      <c r="C58" s="81" t="s">
        <v>1568</v>
      </c>
      <c r="D58" s="81" t="s">
        <v>781</v>
      </c>
      <c r="E58" s="226">
        <v>30000</v>
      </c>
      <c r="F58" s="225" t="s">
        <v>1581</v>
      </c>
      <c r="G58" s="81" t="s">
        <v>1582</v>
      </c>
      <c r="H58" s="84" t="s">
        <v>1577</v>
      </c>
      <c r="I58" s="80" t="s">
        <v>1703</v>
      </c>
      <c r="J58" s="81" t="s">
        <v>1704</v>
      </c>
      <c r="K58" s="226">
        <v>30000</v>
      </c>
      <c r="L58" s="81" t="s">
        <v>1705</v>
      </c>
    </row>
    <row r="59" spans="2:12" ht="20.100000000000001" customHeight="1">
      <c r="B59" s="76" t="s">
        <v>1696</v>
      </c>
      <c r="C59" s="77" t="s">
        <v>1568</v>
      </c>
      <c r="D59" s="77" t="s">
        <v>1706</v>
      </c>
      <c r="E59" s="227">
        <v>75350</v>
      </c>
      <c r="F59" s="225" t="s">
        <v>1215</v>
      </c>
      <c r="G59" s="77" t="s">
        <v>1673</v>
      </c>
      <c r="H59" s="85" t="s">
        <v>1589</v>
      </c>
      <c r="I59" s="76" t="s">
        <v>1707</v>
      </c>
      <c r="J59" s="77" t="s">
        <v>1708</v>
      </c>
      <c r="K59" s="227">
        <v>66400</v>
      </c>
      <c r="L59" s="77" t="s">
        <v>1709</v>
      </c>
    </row>
    <row r="60" spans="2:12" ht="20.100000000000001" customHeight="1">
      <c r="B60" s="80" t="s">
        <v>1696</v>
      </c>
      <c r="C60" s="81" t="s">
        <v>1568</v>
      </c>
      <c r="D60" s="81" t="s">
        <v>1710</v>
      </c>
      <c r="E60" s="226">
        <v>352450</v>
      </c>
      <c r="F60" s="225" t="s">
        <v>1711</v>
      </c>
      <c r="G60" s="81" t="s">
        <v>1689</v>
      </c>
      <c r="H60" s="84" t="s">
        <v>1616</v>
      </c>
      <c r="I60" s="80" t="s">
        <v>1712</v>
      </c>
      <c r="J60" s="81" t="s">
        <v>1713</v>
      </c>
      <c r="K60" s="226">
        <v>352450</v>
      </c>
      <c r="L60" s="81" t="s">
        <v>1714</v>
      </c>
    </row>
    <row r="61" spans="2:12" ht="20.100000000000001" customHeight="1">
      <c r="B61" s="76" t="s">
        <v>1696</v>
      </c>
      <c r="C61" s="77" t="s">
        <v>1568</v>
      </c>
      <c r="D61" s="77" t="s">
        <v>1715</v>
      </c>
      <c r="E61" s="227">
        <v>614300</v>
      </c>
      <c r="F61" s="225" t="s">
        <v>1716</v>
      </c>
      <c r="G61" s="77" t="s">
        <v>1717</v>
      </c>
      <c r="H61" s="84" t="s">
        <v>1718</v>
      </c>
      <c r="I61" s="76" t="s">
        <v>1719</v>
      </c>
      <c r="J61" s="77" t="s">
        <v>1720</v>
      </c>
      <c r="K61" s="227">
        <v>621140</v>
      </c>
      <c r="L61" s="77" t="s">
        <v>1721</v>
      </c>
    </row>
    <row r="62" spans="2:12" ht="20.100000000000001" customHeight="1">
      <c r="B62" s="80" t="s">
        <v>1722</v>
      </c>
      <c r="C62" s="81" t="s">
        <v>1637</v>
      </c>
      <c r="D62" s="81" t="s">
        <v>1723</v>
      </c>
      <c r="E62" s="226">
        <v>70000</v>
      </c>
      <c r="F62" s="225" t="s">
        <v>1213</v>
      </c>
      <c r="G62" s="81" t="s">
        <v>1724</v>
      </c>
      <c r="H62" s="83" t="s">
        <v>1553</v>
      </c>
      <c r="I62" s="80" t="s">
        <v>57</v>
      </c>
      <c r="J62" s="81" t="s">
        <v>1554</v>
      </c>
      <c r="K62" s="82" t="s">
        <v>57</v>
      </c>
      <c r="L62" s="81" t="s">
        <v>1725</v>
      </c>
    </row>
    <row r="63" spans="2:12" ht="20.100000000000001" customHeight="1">
      <c r="B63" s="76" t="s">
        <v>1722</v>
      </c>
      <c r="C63" s="77" t="s">
        <v>1637</v>
      </c>
      <c r="D63" s="77" t="s">
        <v>1551</v>
      </c>
      <c r="E63" s="227">
        <v>66000</v>
      </c>
      <c r="F63" s="225" t="s">
        <v>1111</v>
      </c>
      <c r="G63" s="77" t="s">
        <v>1552</v>
      </c>
      <c r="H63" s="85" t="s">
        <v>1589</v>
      </c>
      <c r="I63" s="76" t="s">
        <v>1726</v>
      </c>
      <c r="J63" s="77" t="s">
        <v>1727</v>
      </c>
      <c r="K63" s="227">
        <v>58000</v>
      </c>
      <c r="L63" s="77" t="s">
        <v>1728</v>
      </c>
    </row>
    <row r="64" spans="2:12" ht="20.100000000000001" customHeight="1">
      <c r="B64" s="80" t="s">
        <v>1722</v>
      </c>
      <c r="C64" s="81" t="s">
        <v>1637</v>
      </c>
      <c r="D64" s="81" t="s">
        <v>1729</v>
      </c>
      <c r="E64" s="226">
        <v>109000</v>
      </c>
      <c r="F64" s="225" t="s">
        <v>1730</v>
      </c>
      <c r="G64" s="81" t="s">
        <v>1731</v>
      </c>
      <c r="H64" s="84" t="s">
        <v>1577</v>
      </c>
      <c r="I64" s="80" t="s">
        <v>1732</v>
      </c>
      <c r="J64" s="81" t="s">
        <v>1733</v>
      </c>
      <c r="K64" s="226">
        <v>108950</v>
      </c>
      <c r="L64" s="81" t="s">
        <v>1734</v>
      </c>
    </row>
    <row r="65" spans="2:12" ht="20.100000000000001" customHeight="1">
      <c r="B65" s="76" t="s">
        <v>1722</v>
      </c>
      <c r="C65" s="77" t="s">
        <v>1637</v>
      </c>
      <c r="D65" s="77" t="s">
        <v>1735</v>
      </c>
      <c r="E65" s="227">
        <v>28000</v>
      </c>
      <c r="F65" s="225" t="s">
        <v>1214</v>
      </c>
      <c r="G65" s="77" t="s">
        <v>1562</v>
      </c>
      <c r="H65" s="78" t="s">
        <v>1545</v>
      </c>
      <c r="I65" s="76" t="s">
        <v>57</v>
      </c>
      <c r="J65" s="77" t="s">
        <v>1546</v>
      </c>
      <c r="K65" s="79" t="s">
        <v>57</v>
      </c>
      <c r="L65" s="77" t="s">
        <v>1736</v>
      </c>
    </row>
    <row r="66" spans="2:12" ht="20.100000000000001" customHeight="1">
      <c r="B66" s="80" t="s">
        <v>1722</v>
      </c>
      <c r="C66" s="81" t="s">
        <v>1637</v>
      </c>
      <c r="D66" s="81" t="s">
        <v>1737</v>
      </c>
      <c r="E66" s="226">
        <v>50000</v>
      </c>
      <c r="F66" s="225" t="s">
        <v>1738</v>
      </c>
      <c r="G66" s="81" t="s">
        <v>1562</v>
      </c>
      <c r="H66" s="84" t="s">
        <v>1577</v>
      </c>
      <c r="I66" s="80" t="s">
        <v>1739</v>
      </c>
      <c r="J66" s="81" t="s">
        <v>1740</v>
      </c>
      <c r="K66" s="226">
        <v>50000</v>
      </c>
      <c r="L66" s="81" t="s">
        <v>1741</v>
      </c>
    </row>
    <row r="67" spans="2:12" ht="20.100000000000001" customHeight="1">
      <c r="B67" s="76" t="s">
        <v>1722</v>
      </c>
      <c r="C67" s="77" t="s">
        <v>1637</v>
      </c>
      <c r="D67" s="77" t="s">
        <v>1742</v>
      </c>
      <c r="E67" s="227">
        <v>75000</v>
      </c>
      <c r="F67" s="225" t="s">
        <v>1743</v>
      </c>
      <c r="G67" s="77" t="s">
        <v>1744</v>
      </c>
      <c r="H67" s="84" t="s">
        <v>1577</v>
      </c>
      <c r="I67" s="76" t="s">
        <v>1745</v>
      </c>
      <c r="J67" s="77" t="s">
        <v>1746</v>
      </c>
      <c r="K67" s="227">
        <v>75000</v>
      </c>
      <c r="L67" s="77" t="s">
        <v>1747</v>
      </c>
    </row>
    <row r="68" spans="2:12" ht="20.100000000000001" customHeight="1">
      <c r="B68" s="80" t="s">
        <v>1722</v>
      </c>
      <c r="C68" s="81" t="s">
        <v>1637</v>
      </c>
      <c r="D68" s="81" t="s">
        <v>1748</v>
      </c>
      <c r="E68" s="226">
        <v>329500</v>
      </c>
      <c r="F68" s="225" t="s">
        <v>569</v>
      </c>
      <c r="G68" s="81" t="s">
        <v>1717</v>
      </c>
      <c r="H68" s="78" t="s">
        <v>1545</v>
      </c>
      <c r="I68" s="80" t="s">
        <v>57</v>
      </c>
      <c r="J68" s="81" t="s">
        <v>1546</v>
      </c>
      <c r="K68" s="82" t="s">
        <v>57</v>
      </c>
      <c r="L68" s="81" t="s">
        <v>1749</v>
      </c>
    </row>
    <row r="69" spans="2:12" ht="20.100000000000001" customHeight="1">
      <c r="B69" s="76" t="s">
        <v>1750</v>
      </c>
      <c r="C69" s="77" t="s">
        <v>1751</v>
      </c>
      <c r="D69" s="77" t="s">
        <v>1571</v>
      </c>
      <c r="E69" s="227">
        <v>66000</v>
      </c>
      <c r="F69" s="225" t="s">
        <v>1250</v>
      </c>
      <c r="G69" s="77" t="s">
        <v>1552</v>
      </c>
      <c r="H69" s="83" t="s">
        <v>1553</v>
      </c>
      <c r="I69" s="76" t="s">
        <v>57</v>
      </c>
      <c r="J69" s="77" t="s">
        <v>1554</v>
      </c>
      <c r="K69" s="79" t="s">
        <v>57</v>
      </c>
      <c r="L69" s="77" t="s">
        <v>1572</v>
      </c>
    </row>
    <row r="70" spans="2:12" ht="20.100000000000001" customHeight="1">
      <c r="B70" s="80" t="s">
        <v>1750</v>
      </c>
      <c r="C70" s="81" t="s">
        <v>1751</v>
      </c>
      <c r="D70" s="81" t="s">
        <v>1650</v>
      </c>
      <c r="E70" s="226">
        <v>66000</v>
      </c>
      <c r="F70" s="225" t="s">
        <v>1251</v>
      </c>
      <c r="G70" s="81" t="s">
        <v>1552</v>
      </c>
      <c r="H70" s="83" t="s">
        <v>1553</v>
      </c>
      <c r="I70" s="80" t="s">
        <v>57</v>
      </c>
      <c r="J70" s="81" t="s">
        <v>1554</v>
      </c>
      <c r="K70" s="82" t="s">
        <v>57</v>
      </c>
      <c r="L70" s="81" t="s">
        <v>1572</v>
      </c>
    </row>
    <row r="71" spans="2:12" ht="20.100000000000001" customHeight="1">
      <c r="B71" s="76" t="s">
        <v>1750</v>
      </c>
      <c r="C71" s="77" t="s">
        <v>1751</v>
      </c>
      <c r="D71" s="77" t="s">
        <v>1752</v>
      </c>
      <c r="E71" s="227">
        <v>66000</v>
      </c>
      <c r="F71" s="225" t="s">
        <v>1252</v>
      </c>
      <c r="G71" s="77" t="s">
        <v>1552</v>
      </c>
      <c r="H71" s="83" t="s">
        <v>1553</v>
      </c>
      <c r="I71" s="76" t="s">
        <v>57</v>
      </c>
      <c r="J71" s="77" t="s">
        <v>1554</v>
      </c>
      <c r="K71" s="79" t="s">
        <v>57</v>
      </c>
      <c r="L71" s="77" t="s">
        <v>1572</v>
      </c>
    </row>
    <row r="72" spans="2:12" ht="20.100000000000001" customHeight="1">
      <c r="B72" s="80" t="s">
        <v>1750</v>
      </c>
      <c r="C72" s="81" t="s">
        <v>1751</v>
      </c>
      <c r="D72" s="81" t="s">
        <v>1574</v>
      </c>
      <c r="E72" s="226">
        <v>29000</v>
      </c>
      <c r="F72" s="225" t="s">
        <v>1256</v>
      </c>
      <c r="G72" s="81" t="s">
        <v>1576</v>
      </c>
      <c r="H72" s="78" t="s">
        <v>1545</v>
      </c>
      <c r="I72" s="80" t="s">
        <v>57</v>
      </c>
      <c r="J72" s="81" t="s">
        <v>1546</v>
      </c>
      <c r="K72" s="82" t="s">
        <v>57</v>
      </c>
      <c r="L72" s="81" t="s">
        <v>1753</v>
      </c>
    </row>
    <row r="73" spans="2:12" ht="20.100000000000001" customHeight="1">
      <c r="B73" s="76" t="s">
        <v>1750</v>
      </c>
      <c r="C73" s="77" t="s">
        <v>1751</v>
      </c>
      <c r="D73" s="77" t="s">
        <v>781</v>
      </c>
      <c r="E73" s="227">
        <v>30000</v>
      </c>
      <c r="F73" s="225" t="s">
        <v>1253</v>
      </c>
      <c r="G73" s="77" t="s">
        <v>1582</v>
      </c>
      <c r="H73" s="78" t="s">
        <v>1545</v>
      </c>
      <c r="I73" s="76" t="s">
        <v>57</v>
      </c>
      <c r="J73" s="77" t="s">
        <v>1546</v>
      </c>
      <c r="K73" s="79" t="s">
        <v>57</v>
      </c>
      <c r="L73" s="77" t="s">
        <v>1754</v>
      </c>
    </row>
    <row r="74" spans="2:12" ht="20.100000000000001" customHeight="1">
      <c r="B74" s="80" t="s">
        <v>1750</v>
      </c>
      <c r="C74" s="81" t="s">
        <v>1751</v>
      </c>
      <c r="D74" s="81" t="s">
        <v>1755</v>
      </c>
      <c r="E74" s="226">
        <v>300000</v>
      </c>
      <c r="F74" s="225" t="s">
        <v>1254</v>
      </c>
      <c r="G74" s="81" t="s">
        <v>1756</v>
      </c>
      <c r="H74" s="86" t="s">
        <v>1757</v>
      </c>
      <c r="I74" s="80" t="s">
        <v>57</v>
      </c>
      <c r="J74" s="81" t="s">
        <v>1758</v>
      </c>
      <c r="K74" s="82" t="s">
        <v>57</v>
      </c>
      <c r="L74" s="81" t="s">
        <v>1759</v>
      </c>
    </row>
    <row r="75" spans="2:12" ht="20.100000000000001" customHeight="1">
      <c r="B75" s="76" t="s">
        <v>1750</v>
      </c>
      <c r="C75" s="77" t="s">
        <v>1751</v>
      </c>
      <c r="D75" s="77" t="s">
        <v>1760</v>
      </c>
      <c r="E75" s="227">
        <v>85000</v>
      </c>
      <c r="F75" s="225" t="s">
        <v>1255</v>
      </c>
      <c r="G75" s="77" t="s">
        <v>1761</v>
      </c>
      <c r="H75" s="78" t="s">
        <v>1545</v>
      </c>
      <c r="I75" s="76" t="s">
        <v>57</v>
      </c>
      <c r="J75" s="77" t="s">
        <v>1546</v>
      </c>
      <c r="K75" s="79" t="s">
        <v>57</v>
      </c>
      <c r="L75" s="77" t="s">
        <v>1762</v>
      </c>
    </row>
    <row r="76" spans="2:12" ht="20.100000000000001" customHeight="1">
      <c r="B76" s="80" t="s">
        <v>1750</v>
      </c>
      <c r="C76" s="81" t="s">
        <v>1751</v>
      </c>
      <c r="D76" s="81" t="s">
        <v>810</v>
      </c>
      <c r="E76" s="226">
        <v>77300</v>
      </c>
      <c r="F76" s="225" t="s">
        <v>1257</v>
      </c>
      <c r="G76" s="81" t="s">
        <v>1763</v>
      </c>
      <c r="H76" s="78" t="s">
        <v>1545</v>
      </c>
      <c r="I76" s="80" t="s">
        <v>57</v>
      </c>
      <c r="J76" s="81" t="s">
        <v>1546</v>
      </c>
      <c r="K76" s="82" t="s">
        <v>57</v>
      </c>
      <c r="L76" s="81" t="s">
        <v>1764</v>
      </c>
    </row>
    <row r="77" spans="2:12" ht="20.100000000000001" customHeight="1">
      <c r="B77" s="76" t="s">
        <v>1750</v>
      </c>
      <c r="C77" s="77" t="s">
        <v>1751</v>
      </c>
      <c r="D77" s="77" t="s">
        <v>1706</v>
      </c>
      <c r="E77" s="227">
        <v>46500</v>
      </c>
      <c r="F77" s="225" t="s">
        <v>1258</v>
      </c>
      <c r="G77" s="77" t="s">
        <v>1673</v>
      </c>
      <c r="H77" s="78" t="s">
        <v>1545</v>
      </c>
      <c r="I77" s="76" t="s">
        <v>57</v>
      </c>
      <c r="J77" s="77" t="s">
        <v>1546</v>
      </c>
      <c r="K77" s="79" t="s">
        <v>57</v>
      </c>
      <c r="L77" s="77" t="s">
        <v>1765</v>
      </c>
    </row>
    <row r="78" spans="2:12" ht="20.100000000000001" customHeight="1">
      <c r="B78" s="80" t="s">
        <v>1750</v>
      </c>
      <c r="C78" s="81" t="s">
        <v>1751</v>
      </c>
      <c r="D78" s="81" t="s">
        <v>1766</v>
      </c>
      <c r="E78" s="226">
        <v>377500</v>
      </c>
      <c r="F78" s="225" t="s">
        <v>357</v>
      </c>
      <c r="G78" s="81" t="s">
        <v>1767</v>
      </c>
      <c r="H78" s="78" t="s">
        <v>1545</v>
      </c>
      <c r="I78" s="80" t="s">
        <v>57</v>
      </c>
      <c r="J78" s="81" t="s">
        <v>1546</v>
      </c>
      <c r="K78" s="82" t="s">
        <v>57</v>
      </c>
      <c r="L78" s="81" t="s">
        <v>1768</v>
      </c>
    </row>
    <row r="79" spans="2:12" ht="20.100000000000001" customHeight="1">
      <c r="B79" s="76" t="s">
        <v>1750</v>
      </c>
      <c r="C79" s="77" t="s">
        <v>1751</v>
      </c>
      <c r="D79" s="77" t="s">
        <v>1769</v>
      </c>
      <c r="E79" s="227">
        <v>72000</v>
      </c>
      <c r="F79" s="225" t="s">
        <v>1770</v>
      </c>
      <c r="G79" s="77" t="s">
        <v>1771</v>
      </c>
      <c r="H79" s="84" t="s">
        <v>1577</v>
      </c>
      <c r="I79" s="76" t="s">
        <v>1772</v>
      </c>
      <c r="J79" s="77" t="s">
        <v>1773</v>
      </c>
      <c r="K79" s="227">
        <v>72000</v>
      </c>
      <c r="L79" s="77" t="s">
        <v>1774</v>
      </c>
    </row>
    <row r="80" spans="2:12" ht="21.95" customHeight="1">
      <c r="B80" s="87" t="s">
        <v>1513</v>
      </c>
      <c r="C80" s="87" t="s">
        <v>57</v>
      </c>
      <c r="D80" s="87" t="s">
        <v>1775</v>
      </c>
      <c r="E80" s="228">
        <f>SUM(E11:E79)</f>
        <v>5982386</v>
      </c>
      <c r="F80" s="229"/>
      <c r="G80" s="87" t="s">
        <v>1776</v>
      </c>
      <c r="H80" s="87" t="s">
        <v>1777</v>
      </c>
      <c r="I80" s="87" t="s">
        <v>57</v>
      </c>
      <c r="J80" s="87" t="s">
        <v>1778</v>
      </c>
      <c r="K80" s="228">
        <f>SUM(K11:K79)</f>
        <v>2208436</v>
      </c>
      <c r="L80" s="87" t="s">
        <v>1779</v>
      </c>
    </row>
    <row r="83" spans="2:12" ht="21.95" customHeight="1">
      <c r="B83" s="387" t="s">
        <v>1780</v>
      </c>
      <c r="C83" s="339"/>
      <c r="D83" s="339"/>
      <c r="E83" s="339"/>
      <c r="F83" s="383"/>
      <c r="G83" s="339"/>
      <c r="H83" s="339"/>
      <c r="I83" s="339"/>
      <c r="J83" s="339"/>
      <c r="K83" s="339"/>
      <c r="L83" s="339"/>
    </row>
    <row r="84" spans="2:12" ht="24" customHeight="1">
      <c r="B84" s="73" t="s">
        <v>1534</v>
      </c>
      <c r="C84" s="74" t="s">
        <v>1781</v>
      </c>
      <c r="D84" s="75" t="s">
        <v>1782</v>
      </c>
      <c r="E84" s="75" t="s">
        <v>1783</v>
      </c>
      <c r="F84" s="74"/>
      <c r="G84" s="75" t="s">
        <v>1784</v>
      </c>
      <c r="H84" s="75" t="s">
        <v>1785</v>
      </c>
      <c r="I84" s="75" t="s">
        <v>1786</v>
      </c>
      <c r="J84" s="75" t="s">
        <v>1787</v>
      </c>
      <c r="K84" s="75" t="s">
        <v>1788</v>
      </c>
      <c r="L84" s="74" t="s">
        <v>1789</v>
      </c>
    </row>
    <row r="85" spans="2:12" ht="20.100000000000001" customHeight="1">
      <c r="B85" s="76" t="s">
        <v>1542</v>
      </c>
      <c r="C85" s="77" t="s">
        <v>1543</v>
      </c>
      <c r="D85" s="227">
        <v>401500</v>
      </c>
      <c r="E85" s="227">
        <v>99000</v>
      </c>
      <c r="F85" s="225"/>
      <c r="G85" s="227">
        <v>1139400</v>
      </c>
      <c r="H85" s="227">
        <v>1751000</v>
      </c>
      <c r="I85" s="227">
        <v>217100</v>
      </c>
      <c r="J85" s="227">
        <v>1756800</v>
      </c>
      <c r="K85" s="230">
        <v>-5800</v>
      </c>
      <c r="L85" s="77" t="s">
        <v>1790</v>
      </c>
    </row>
    <row r="86" spans="2:12" ht="20.100000000000001" customHeight="1">
      <c r="B86" s="80" t="s">
        <v>1567</v>
      </c>
      <c r="C86" s="81" t="s">
        <v>1568</v>
      </c>
      <c r="D86" s="226">
        <v>1716400</v>
      </c>
      <c r="E86" s="226">
        <v>0</v>
      </c>
      <c r="F86" s="231"/>
      <c r="G86" s="226">
        <v>646000</v>
      </c>
      <c r="H86" s="226">
        <v>3478786</v>
      </c>
      <c r="I86" s="226">
        <v>1116386</v>
      </c>
      <c r="J86" s="226">
        <v>3481800</v>
      </c>
      <c r="K86" s="232">
        <v>-3014</v>
      </c>
      <c r="L86" s="81" t="s">
        <v>1791</v>
      </c>
    </row>
    <row r="87" spans="2:12" ht="20.100000000000001" customHeight="1">
      <c r="B87" s="76" t="s">
        <v>1636</v>
      </c>
      <c r="C87" s="77" t="s">
        <v>1637</v>
      </c>
      <c r="D87" s="227">
        <v>894400</v>
      </c>
      <c r="E87" s="227">
        <v>169500</v>
      </c>
      <c r="F87" s="225"/>
      <c r="G87" s="227">
        <v>1580000</v>
      </c>
      <c r="H87" s="227">
        <v>2919100</v>
      </c>
      <c r="I87" s="227">
        <v>269800</v>
      </c>
      <c r="J87" s="227">
        <v>2919800</v>
      </c>
      <c r="K87" s="232">
        <v>-700</v>
      </c>
      <c r="L87" s="77" t="s">
        <v>1792</v>
      </c>
    </row>
    <row r="88" spans="2:12" ht="20.100000000000001" customHeight="1">
      <c r="B88" s="80" t="s">
        <v>1649</v>
      </c>
      <c r="C88" s="81" t="s">
        <v>1568</v>
      </c>
      <c r="D88" s="226">
        <v>1459600</v>
      </c>
      <c r="E88" s="226">
        <v>31000</v>
      </c>
      <c r="F88" s="231"/>
      <c r="G88" s="226">
        <v>789100</v>
      </c>
      <c r="H88" s="226">
        <v>3735100</v>
      </c>
      <c r="I88" s="226">
        <v>328500</v>
      </c>
      <c r="J88" s="226">
        <v>3732300</v>
      </c>
      <c r="K88" s="232">
        <v>2800</v>
      </c>
      <c r="L88" s="81" t="s">
        <v>1793</v>
      </c>
    </row>
    <row r="89" spans="2:12" ht="20.100000000000001" customHeight="1">
      <c r="B89" s="76" t="s">
        <v>1670</v>
      </c>
      <c r="C89" s="77" t="s">
        <v>1671</v>
      </c>
      <c r="D89" s="227">
        <v>979700</v>
      </c>
      <c r="E89" s="227">
        <v>114000</v>
      </c>
      <c r="F89" s="225"/>
      <c r="G89" s="227">
        <v>997200</v>
      </c>
      <c r="H89" s="227">
        <v>2909600</v>
      </c>
      <c r="I89" s="227">
        <v>824700</v>
      </c>
      <c r="J89" s="227">
        <v>2897600</v>
      </c>
      <c r="K89" s="230">
        <v>12000</v>
      </c>
      <c r="L89" s="77" t="s">
        <v>1794</v>
      </c>
    </row>
    <row r="90" spans="2:12" ht="20.100000000000001" customHeight="1">
      <c r="B90" s="80" t="s">
        <v>1696</v>
      </c>
      <c r="C90" s="81" t="s">
        <v>1568</v>
      </c>
      <c r="D90" s="226">
        <v>1520700</v>
      </c>
      <c r="E90" s="226">
        <v>0</v>
      </c>
      <c r="F90" s="231"/>
      <c r="G90" s="226">
        <v>837000</v>
      </c>
      <c r="H90" s="226">
        <v>3615200</v>
      </c>
      <c r="I90" s="226">
        <v>1258100</v>
      </c>
      <c r="J90" s="226">
        <v>3618900</v>
      </c>
      <c r="K90" s="232">
        <v>-3700</v>
      </c>
      <c r="L90" s="81" t="s">
        <v>1795</v>
      </c>
    </row>
    <row r="91" spans="2:12" ht="20.100000000000001" customHeight="1">
      <c r="B91" s="76" t="s">
        <v>1722</v>
      </c>
      <c r="C91" s="77" t="s">
        <v>1637</v>
      </c>
      <c r="D91" s="227">
        <v>1076900</v>
      </c>
      <c r="E91" s="227">
        <v>201000</v>
      </c>
      <c r="F91" s="225"/>
      <c r="G91" s="227">
        <v>816500</v>
      </c>
      <c r="H91" s="227">
        <v>2992200</v>
      </c>
      <c r="I91" s="227">
        <v>677500</v>
      </c>
      <c r="J91" s="227">
        <v>2991300</v>
      </c>
      <c r="K91" s="232">
        <v>900</v>
      </c>
      <c r="L91" s="77" t="s">
        <v>1796</v>
      </c>
    </row>
    <row r="92" spans="2:12" ht="20.100000000000001" customHeight="1">
      <c r="B92" s="80" t="s">
        <v>1750</v>
      </c>
      <c r="C92" s="81" t="s">
        <v>1751</v>
      </c>
      <c r="D92" s="226">
        <v>2027100</v>
      </c>
      <c r="E92" s="226">
        <v>70900</v>
      </c>
      <c r="F92" s="231"/>
      <c r="G92" s="226">
        <v>833000</v>
      </c>
      <c r="H92" s="226">
        <v>3774300</v>
      </c>
      <c r="I92" s="226">
        <v>822300</v>
      </c>
      <c r="J92" s="226">
        <v>3775700</v>
      </c>
      <c r="K92" s="232">
        <v>-1400</v>
      </c>
      <c r="L92" s="81" t="s">
        <v>1797</v>
      </c>
    </row>
    <row r="93" spans="2:12" ht="21.95" customHeight="1">
      <c r="B93" s="87" t="s">
        <v>1513</v>
      </c>
      <c r="C93" s="87" t="s">
        <v>1798</v>
      </c>
      <c r="D93" s="228">
        <f>SUM(D85:D92)</f>
        <v>10076300</v>
      </c>
      <c r="E93" s="228">
        <f>SUM(E85:E92)</f>
        <v>685400</v>
      </c>
      <c r="F93" s="229"/>
      <c r="G93" s="228">
        <f>SUM(G85:G92)</f>
        <v>7638200</v>
      </c>
      <c r="H93" s="228">
        <f>SUM(H85:H92)</f>
        <v>25175286</v>
      </c>
      <c r="I93" s="228">
        <f>SUM(I85:I92)</f>
        <v>5514386</v>
      </c>
      <c r="J93" s="228">
        <f>SUM(J85:J92)</f>
        <v>25174200</v>
      </c>
      <c r="K93" s="228">
        <f>SUM(K85:K92)</f>
        <v>1086</v>
      </c>
      <c r="L93" s="87" t="s">
        <v>1799</v>
      </c>
    </row>
    <row r="96" spans="2:12" ht="21.95" customHeight="1">
      <c r="B96" s="387" t="s">
        <v>1800</v>
      </c>
      <c r="C96" s="339"/>
      <c r="D96" s="339"/>
      <c r="E96" s="339"/>
      <c r="F96" s="383"/>
      <c r="G96" s="339"/>
      <c r="H96" s="339"/>
      <c r="I96" s="339"/>
      <c r="J96" s="339"/>
      <c r="K96" s="339"/>
      <c r="L96" s="339"/>
    </row>
    <row r="97" spans="2:12" ht="42" customHeight="1">
      <c r="B97" s="378" t="s">
        <v>1801</v>
      </c>
      <c r="C97" s="379"/>
      <c r="D97" s="385" t="s">
        <v>1802</v>
      </c>
      <c r="E97" s="386"/>
      <c r="F97" s="386"/>
      <c r="G97" s="386"/>
      <c r="H97" s="386"/>
      <c r="I97" s="386"/>
      <c r="J97" s="386"/>
      <c r="K97" s="386"/>
      <c r="L97" s="379"/>
    </row>
    <row r="98" spans="2:12" ht="42" customHeight="1">
      <c r="B98" s="378" t="s">
        <v>1803</v>
      </c>
      <c r="C98" s="379"/>
      <c r="D98" s="385" t="s">
        <v>1804</v>
      </c>
      <c r="E98" s="386"/>
      <c r="F98" s="386"/>
      <c r="G98" s="386"/>
      <c r="H98" s="386"/>
      <c r="I98" s="386"/>
      <c r="J98" s="386"/>
      <c r="K98" s="386"/>
      <c r="L98" s="379"/>
    </row>
    <row r="99" spans="2:12" ht="42" customHeight="1">
      <c r="B99" s="378" t="s">
        <v>1805</v>
      </c>
      <c r="C99" s="379"/>
      <c r="D99" s="385" t="s">
        <v>1806</v>
      </c>
      <c r="E99" s="386"/>
      <c r="F99" s="386"/>
      <c r="G99" s="386"/>
      <c r="H99" s="386"/>
      <c r="I99" s="386"/>
      <c r="J99" s="386"/>
      <c r="K99" s="386"/>
      <c r="L99" s="379"/>
    </row>
    <row r="100" spans="2:12" ht="42" customHeight="1">
      <c r="B100" s="378" t="s">
        <v>1807</v>
      </c>
      <c r="C100" s="379"/>
      <c r="D100" s="385" t="s">
        <v>1808</v>
      </c>
      <c r="E100" s="386"/>
      <c r="F100" s="386"/>
      <c r="G100" s="386"/>
      <c r="H100" s="386"/>
      <c r="I100" s="386"/>
      <c r="J100" s="386"/>
      <c r="K100" s="386"/>
      <c r="L100" s="379"/>
    </row>
  </sheetData>
  <autoFilter ref="B10:L80" xr:uid="{00000000-0009-0000-0000-000007000000}"/>
  <mergeCells count="28">
    <mergeCell ref="B2:L2"/>
    <mergeCell ref="G6:H6"/>
    <mergeCell ref="D98:L98"/>
    <mergeCell ref="D7:E7"/>
    <mergeCell ref="G5:H5"/>
    <mergeCell ref="I5:J5"/>
    <mergeCell ref="B9:L9"/>
    <mergeCell ref="B83:L83"/>
    <mergeCell ref="B6:C6"/>
    <mergeCell ref="K7:L7"/>
    <mergeCell ref="B5:C5"/>
    <mergeCell ref="D5:E5"/>
    <mergeCell ref="K6:L6"/>
    <mergeCell ref="B97:C97"/>
    <mergeCell ref="B100:C100"/>
    <mergeCell ref="I6:J6"/>
    <mergeCell ref="B7:C7"/>
    <mergeCell ref="B3:L3"/>
    <mergeCell ref="K5:L5"/>
    <mergeCell ref="D97:L97"/>
    <mergeCell ref="D6:E6"/>
    <mergeCell ref="B96:L96"/>
    <mergeCell ref="G7:H7"/>
    <mergeCell ref="I7:J7"/>
    <mergeCell ref="B98:C98"/>
    <mergeCell ref="B99:C99"/>
    <mergeCell ref="D100:L100"/>
    <mergeCell ref="D99:L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08"/>
  <sheetViews>
    <sheetView topLeftCell="A72" workbookViewId="0">
      <selection activeCell="A107" sqref="A107"/>
    </sheetView>
  </sheetViews>
  <sheetFormatPr baseColWidth="10" defaultRowHeight="15"/>
  <cols>
    <col min="1" max="1" width="35.85546875" style="236" bestFit="1" customWidth="1"/>
    <col min="3" max="3" width="19.28515625" style="303" bestFit="1" customWidth="1"/>
  </cols>
  <sheetData>
    <row r="1" spans="1:3">
      <c r="A1" s="93" t="s">
        <v>180</v>
      </c>
      <c r="B1" t="s">
        <v>1809</v>
      </c>
      <c r="C1" s="303" t="s">
        <v>1810</v>
      </c>
    </row>
    <row r="2" spans="1:3">
      <c r="A2" s="44" t="s">
        <v>186</v>
      </c>
      <c r="B2">
        <f>_xlfn.XLOOKUP(A2,'Detalle Compras Septiembre 2026'!$H:$H,'Detalle Compras Septiembre 2026'!$A:$A)</f>
        <v>1</v>
      </c>
      <c r="C2" s="303">
        <f>SUMIF('Detalle Compras Septiembre 2026'!$H:$H,Hoja1!A2,'Detalle Compras Septiembre 2026'!$G:$G)</f>
        <v>82465</v>
      </c>
    </row>
    <row r="3" spans="1:3">
      <c r="A3" s="44" t="s">
        <v>769</v>
      </c>
      <c r="B3">
        <f>_xlfn.XLOOKUP(A3,'Detalle Compras Septiembre 2026'!$H:$H,'Detalle Compras Septiembre 2026'!$A:$A)</f>
        <v>1</v>
      </c>
      <c r="C3" s="303">
        <f>SUMIF('Detalle Compras Septiembre 2026'!$H:$H,Hoja1!A3,'Detalle Compras Septiembre 2026'!$G:$G)</f>
        <v>54400</v>
      </c>
    </row>
    <row r="4" spans="1:3">
      <c r="A4" s="44" t="s">
        <v>773</v>
      </c>
      <c r="B4">
        <f>_xlfn.XLOOKUP(A4,'Detalle Compras Septiembre 2026'!$H:$H,'Detalle Compras Septiembre 2026'!$A:$A)</f>
        <v>1</v>
      </c>
      <c r="C4" s="303">
        <f>SUMIF('Detalle Compras Septiembre 2026'!$H:$H,Hoja1!A4,'Detalle Compras Septiembre 2026'!$G:$G)</f>
        <v>15000</v>
      </c>
    </row>
    <row r="5" spans="1:3">
      <c r="A5" s="44" t="s">
        <v>189</v>
      </c>
      <c r="B5">
        <f>_xlfn.XLOOKUP(A5,'Detalle Compras Septiembre 2026'!$H:$H,'Detalle Compras Septiembre 2026'!$A:$A)</f>
        <v>1</v>
      </c>
      <c r="C5" s="303">
        <f>SUMIF('Detalle Compras Septiembre 2026'!$H:$H,Hoja1!A5,'Detalle Compras Septiembre 2026'!$G:$G)</f>
        <v>330000</v>
      </c>
    </row>
    <row r="6" spans="1:3">
      <c r="A6" s="44" t="s">
        <v>192</v>
      </c>
      <c r="B6">
        <f>_xlfn.XLOOKUP(A6,'Detalle Compras Septiembre 2026'!$H:$H,'Detalle Compras Septiembre 2026'!$A:$A)</f>
        <v>1</v>
      </c>
      <c r="C6" s="303">
        <f>SUMIF('Detalle Compras Septiembre 2026'!$H:$H,Hoja1!A6,'Detalle Compras Septiembre 2026'!$G:$G)</f>
        <v>364080</v>
      </c>
    </row>
    <row r="7" spans="1:3">
      <c r="A7" s="44" t="s">
        <v>197</v>
      </c>
      <c r="B7">
        <f>_xlfn.XLOOKUP(A7,'Detalle Compras Septiembre 2026'!$H:$H,'Detalle Compras Septiembre 2026'!$A:$A)</f>
        <v>1</v>
      </c>
      <c r="C7" s="303">
        <f>SUMIF('Detalle Compras Septiembre 2026'!$H:$H,Hoja1!A7,'Detalle Compras Septiembre 2026'!$G:$G)</f>
        <v>899430</v>
      </c>
    </row>
    <row r="8" spans="1:3">
      <c r="A8" s="104" t="s">
        <v>775</v>
      </c>
      <c r="B8">
        <f>_xlfn.XLOOKUP(A8,'Detalle Compras Septiembre 2026'!$H:$H,'Detalle Compras Septiembre 2026'!$A:$A)</f>
        <v>1</v>
      </c>
      <c r="C8" s="303">
        <f>SUMIF('Detalle Compras Septiembre 2026'!$H:$H,Hoja1!A8,'Detalle Compras Septiembre 2026'!$G:$G)</f>
        <v>12243950</v>
      </c>
    </row>
    <row r="9" spans="1:3">
      <c r="A9" s="44" t="s">
        <v>777</v>
      </c>
      <c r="B9">
        <f>_xlfn.XLOOKUP(A9,'Detalle Compras Septiembre 2026'!$H:$H,'Detalle Compras Septiembre 2026'!$A:$A)</f>
        <v>1</v>
      </c>
      <c r="C9" s="303">
        <f>SUMIF('Detalle Compras Septiembre 2026'!$H:$H,Hoja1!A9,'Detalle Compras Septiembre 2026'!$G:$G)</f>
        <v>34000</v>
      </c>
    </row>
    <row r="10" spans="1:3">
      <c r="A10" s="44" t="s">
        <v>202</v>
      </c>
      <c r="B10">
        <f>_xlfn.XLOOKUP(A10,'Detalle Compras Septiembre 2026'!$H:$H,'Detalle Compras Septiembre 2026'!$A:$A)</f>
        <v>1</v>
      </c>
      <c r="C10" s="303">
        <f>SUMIF('Detalle Compras Septiembre 2026'!$H:$H,Hoja1!A10,'Detalle Compras Septiembre 2026'!$G:$G)</f>
        <v>152000</v>
      </c>
    </row>
    <row r="11" spans="1:3">
      <c r="A11" s="44" t="s">
        <v>428</v>
      </c>
      <c r="B11">
        <f>_xlfn.XLOOKUP(A11,'Detalle Compras Septiembre 2026'!$H:$H,'Detalle Compras Septiembre 2026'!$A:$A)</f>
        <v>1</v>
      </c>
      <c r="C11" s="303">
        <f>SUMIF('Detalle Compras Septiembre 2026'!$H:$H,Hoja1!A11,'Detalle Compras Septiembre 2026'!$G:$G)</f>
        <v>411700</v>
      </c>
    </row>
    <row r="12" spans="1:3">
      <c r="A12" s="44" t="s">
        <v>204</v>
      </c>
      <c r="B12">
        <f>_xlfn.XLOOKUP(A12,'Detalle Compras Septiembre 2026'!$H:$H,'Detalle Compras Septiembre 2026'!$A:$A)</f>
        <v>1</v>
      </c>
      <c r="C12" s="303">
        <f>SUMIF('Detalle Compras Septiembre 2026'!$H:$H,Hoja1!A12,'Detalle Compras Septiembre 2026'!$G:$G)</f>
        <v>2546555</v>
      </c>
    </row>
    <row r="13" spans="1:3">
      <c r="A13" s="44" t="s">
        <v>213</v>
      </c>
      <c r="B13">
        <f>_xlfn.XLOOKUP(A13,'Detalle Compras Septiembre 2026'!$H:$H,'Detalle Compras Septiembre 2026'!$A:$A)</f>
        <v>1</v>
      </c>
      <c r="C13" s="303">
        <f>SUMIF('Detalle Compras Septiembre 2026'!$H:$H,Hoja1!A13,'Detalle Compras Septiembre 2026'!$G:$G)</f>
        <v>1978665</v>
      </c>
    </row>
    <row r="14" spans="1:3">
      <c r="A14" s="44" t="s">
        <v>223</v>
      </c>
      <c r="B14">
        <f>_xlfn.XLOOKUP(A14,'Detalle Compras Septiembre 2026'!$H:$H,'Detalle Compras Septiembre 2026'!$A:$A)</f>
        <v>2</v>
      </c>
      <c r="C14" s="303">
        <f>SUMIF('Detalle Compras Septiembre 2026'!$H:$H,Hoja1!A24,'Detalle Compras Septiembre 2026'!$G:$G)</f>
        <v>162100</v>
      </c>
    </row>
    <row r="15" spans="1:3">
      <c r="A15" s="44" t="s">
        <v>818</v>
      </c>
      <c r="B15">
        <f>_xlfn.XLOOKUP(A15,'Detalle Compras Septiembre 2026'!$H:$H,'Detalle Compras Septiembre 2026'!$A:$A)</f>
        <v>2</v>
      </c>
      <c r="C15" s="303">
        <f>SUMIF('Detalle Compras Septiembre 2026'!$H:$H,Hoja1!A23,'Detalle Compras Septiembre 2026'!$G:$G)</f>
        <v>19000</v>
      </c>
    </row>
    <row r="16" spans="1:3">
      <c r="A16" s="44" t="s">
        <v>816</v>
      </c>
      <c r="B16">
        <f>_xlfn.XLOOKUP(A16,'Detalle Compras Septiembre 2026'!$H:$H,'Detalle Compras Septiembre 2026'!$A:$A)</f>
        <v>2</v>
      </c>
      <c r="C16" s="303">
        <f>SUMIF('Detalle Compras Septiembre 2026'!$H:$H,Hoja1!A22,'Detalle Compras Septiembre 2026'!$G:$G)</f>
        <v>155000</v>
      </c>
    </row>
    <row r="17" spans="1:3">
      <c r="A17" s="44" t="s">
        <v>813</v>
      </c>
      <c r="B17">
        <f>_xlfn.XLOOKUP(A17,'Detalle Compras Septiembre 2026'!$H:$H,'Detalle Compras Septiembre 2026'!$A:$A)</f>
        <v>2</v>
      </c>
      <c r="C17" s="303">
        <f>SUMIF('Detalle Compras Septiembre 2026'!$H:$H,Hoja1!A21,'Detalle Compras Septiembre 2026'!$G:$G)</f>
        <v>29000</v>
      </c>
    </row>
    <row r="18" spans="1:3">
      <c r="A18" s="44" t="s">
        <v>220</v>
      </c>
      <c r="B18">
        <f>_xlfn.XLOOKUP(A18,'Detalle Compras Septiembre 2026'!$H:$H,'Detalle Compras Septiembre 2026'!$A:$A)</f>
        <v>2</v>
      </c>
      <c r="C18" s="303">
        <f>SUMIF('Detalle Compras Septiembre 2026'!$H:$H,Hoja1!A20,'Detalle Compras Septiembre 2026'!$G:$G)</f>
        <v>438415</v>
      </c>
    </row>
    <row r="19" spans="1:3">
      <c r="A19" s="44" t="s">
        <v>217</v>
      </c>
      <c r="B19">
        <f>_xlfn.XLOOKUP(A19,'Detalle Compras Septiembre 2026'!$H:$H,'Detalle Compras Septiembre 2026'!$A:$A)</f>
        <v>2</v>
      </c>
      <c r="C19" s="303">
        <f>SUMIF('Detalle Compras Septiembre 2026'!$H:$H,Hoja1!A19,'Detalle Compras Septiembre 2026'!$G:$G)</f>
        <v>260250</v>
      </c>
    </row>
    <row r="20" spans="1:3">
      <c r="A20" s="44" t="s">
        <v>802</v>
      </c>
      <c r="B20">
        <f>_xlfn.XLOOKUP(A20,'Detalle Compras Septiembre 2026'!$H:$H,'Detalle Compras Septiembre 2026'!$A:$A)</f>
        <v>2</v>
      </c>
      <c r="C20" s="303">
        <f>SUMIF('Detalle Compras Septiembre 2026'!$H:$H,Hoja1!A18,'Detalle Compras Septiembre 2026'!$G:$G)</f>
        <v>107500</v>
      </c>
    </row>
    <row r="21" spans="1:3">
      <c r="A21" s="44" t="s">
        <v>798</v>
      </c>
      <c r="B21">
        <f>_xlfn.XLOOKUP(A21,'Detalle Compras Septiembre 2026'!$H:$H,'Detalle Compras Septiembre 2026'!$A:$A)</f>
        <v>2</v>
      </c>
      <c r="C21" s="303">
        <f>SUMIF('Detalle Compras Septiembre 2026'!$H:$H,Hoja1!A17,'Detalle Compras Septiembre 2026'!$G:$G)</f>
        <v>22500</v>
      </c>
    </row>
    <row r="22" spans="1:3">
      <c r="A22" s="44" t="s">
        <v>794</v>
      </c>
      <c r="B22">
        <f>_xlfn.XLOOKUP(A22,'Detalle Compras Septiembre 2026'!$H:$H,'Detalle Compras Septiembre 2026'!$A:$A)</f>
        <v>2</v>
      </c>
      <c r="C22" s="303">
        <f>SUMIF('Detalle Compras Septiembre 2026'!$H:$H,Hoja1!A16,'Detalle Compras Septiembre 2026'!$G:$G)</f>
        <v>9920</v>
      </c>
    </row>
    <row r="23" spans="1:3">
      <c r="A23" s="44" t="s">
        <v>792</v>
      </c>
      <c r="B23">
        <f>_xlfn.XLOOKUP(A23,'Detalle Compras Septiembre 2026'!$H:$H,'Detalle Compras Septiembre 2026'!$A:$A)</f>
        <v>2</v>
      </c>
      <c r="C23" s="303">
        <f>SUMIF('Detalle Compras Septiembre 2026'!$H:$H,Hoja1!A15,'Detalle Compras Septiembre 2026'!$G:$G)</f>
        <v>16320</v>
      </c>
    </row>
    <row r="24" spans="1:3">
      <c r="A24" s="44" t="s">
        <v>438</v>
      </c>
      <c r="B24">
        <f>_xlfn.XLOOKUP(A24,'Detalle Compras Septiembre 2026'!$H:$H,'Detalle Compras Septiembre 2026'!$A:$A)</f>
        <v>2</v>
      </c>
      <c r="C24" s="303">
        <f>SUMIF('Detalle Compras Septiembre 2026'!$H:$H,Hoja1!A14,'Detalle Compras Septiembre 2026'!$G:$G)</f>
        <v>165346</v>
      </c>
    </row>
    <row r="25" spans="1:3">
      <c r="A25" s="44" t="s">
        <v>240</v>
      </c>
      <c r="B25">
        <f>_xlfn.XLOOKUP(A25,'Detalle Compras Septiembre 2026'!$H:$H,'Detalle Compras Septiembre 2026'!$A:$A)</f>
        <v>3</v>
      </c>
      <c r="C25" s="303">
        <f>SUMIF('Detalle Compras Septiembre 2026'!$H:$H,Hoja1!A39,'Detalle Compras Septiembre 2026'!$G:$G)</f>
        <v>4500</v>
      </c>
    </row>
    <row r="26" spans="1:3">
      <c r="A26" s="44" t="s">
        <v>871</v>
      </c>
      <c r="B26">
        <f>_xlfn.XLOOKUP(A26,'Detalle Compras Septiembre 2026'!$H:$H,'Detalle Compras Septiembre 2026'!$A:$A)</f>
        <v>3</v>
      </c>
      <c r="C26" s="303">
        <f>SUMIF('Detalle Compras Septiembre 2026'!$H:$H,Hoja1!A38,'Detalle Compras Septiembre 2026'!$G:$G)</f>
        <v>19000</v>
      </c>
    </row>
    <row r="27" spans="1:3">
      <c r="A27" s="44" t="s">
        <v>866</v>
      </c>
      <c r="B27">
        <f>_xlfn.XLOOKUP(A27,'Detalle Compras Septiembre 2026'!$H:$H,'Detalle Compras Septiembre 2026'!$A:$A)</f>
        <v>3</v>
      </c>
      <c r="C27" s="303">
        <f>SUMIF('Detalle Compras Septiembre 2026'!$H:$H,Hoja1!A37,'Detalle Compras Septiembre 2026'!$G:$G)</f>
        <v>312000</v>
      </c>
    </row>
    <row r="28" spans="1:3">
      <c r="A28" s="44" t="s">
        <v>861</v>
      </c>
      <c r="B28">
        <f>_xlfn.XLOOKUP(A28,'Detalle Compras Septiembre 2026'!$H:$H,'Detalle Compras Septiembre 2026'!$A:$A)</f>
        <v>3</v>
      </c>
      <c r="C28" s="303">
        <f>SUMIF('Detalle Compras Septiembre 2026'!$H:$H,Hoja1!A36,'Detalle Compras Septiembre 2026'!$G:$G)</f>
        <v>19000</v>
      </c>
    </row>
    <row r="29" spans="1:3">
      <c r="A29" s="44" t="s">
        <v>236</v>
      </c>
      <c r="B29">
        <f>_xlfn.XLOOKUP(A29,'Detalle Compras Septiembre 2026'!$H:$H,'Detalle Compras Septiembre 2026'!$A:$A)</f>
        <v>3</v>
      </c>
      <c r="C29" s="303">
        <f>SUMIF('Detalle Compras Septiembre 2026'!$H:$H,Hoja1!A35,'Detalle Compras Septiembre 2026'!$G:$G)</f>
        <v>91950</v>
      </c>
    </row>
    <row r="30" spans="1:3">
      <c r="A30" s="44" t="s">
        <v>232</v>
      </c>
      <c r="B30">
        <f>_xlfn.XLOOKUP(A30,'Detalle Compras Septiembre 2026'!$H:$H,'Detalle Compras Septiembre 2026'!$A:$A)</f>
        <v>3</v>
      </c>
      <c r="C30" s="303">
        <f>SUMIF('Detalle Compras Septiembre 2026'!$H:$H,Hoja1!A34,'Detalle Compras Septiembre 2026'!$G:$G)</f>
        <v>820000</v>
      </c>
    </row>
    <row r="31" spans="1:3">
      <c r="A31" s="44" t="s">
        <v>227</v>
      </c>
      <c r="B31">
        <f>_xlfn.XLOOKUP(A31,'Detalle Compras Septiembre 2026'!$H:$H,'Detalle Compras Septiembre 2026'!$A:$A)</f>
        <v>3</v>
      </c>
      <c r="C31" s="303">
        <f>SUMIF('Detalle Compras Septiembre 2026'!$H:$H,Hoja1!A33,'Detalle Compras Septiembre 2026'!$G:$G)</f>
        <v>150600</v>
      </c>
    </row>
    <row r="32" spans="1:3">
      <c r="A32" s="44" t="s">
        <v>858</v>
      </c>
      <c r="B32">
        <f>_xlfn.XLOOKUP(A32,'Detalle Compras Septiembre 2026'!$H:$H,'Detalle Compras Septiembre 2026'!$A:$A)</f>
        <v>3</v>
      </c>
      <c r="C32" s="303">
        <f>SUMIF('Detalle Compras Septiembre 2026'!$H:$H,Hoja1!A32,'Detalle Compras Septiembre 2026'!$G:$G)</f>
        <v>104000</v>
      </c>
    </row>
    <row r="33" spans="1:3">
      <c r="A33" s="44" t="s">
        <v>457</v>
      </c>
      <c r="B33">
        <f>_xlfn.XLOOKUP(A33,'Detalle Compras Septiembre 2026'!$H:$H,'Detalle Compras Septiembre 2026'!$A:$A)</f>
        <v>3</v>
      </c>
      <c r="C33" s="303">
        <f>SUMIF('Detalle Compras Septiembre 2026'!$H:$H,Hoja1!A31,'Detalle Compras Septiembre 2026'!$G:$G)</f>
        <v>342640</v>
      </c>
    </row>
    <row r="34" spans="1:3">
      <c r="A34" s="44" t="s">
        <v>446</v>
      </c>
      <c r="B34">
        <f>_xlfn.XLOOKUP(A34,'Detalle Compras Septiembre 2026'!$H:$H,'Detalle Compras Septiembre 2026'!$A:$A)</f>
        <v>3</v>
      </c>
      <c r="C34" s="303">
        <f>SUMIF('Detalle Compras Septiembre 2026'!$H:$H,Hoja1!A30,'Detalle Compras Septiembre 2026'!$G:$G)</f>
        <v>524500</v>
      </c>
    </row>
    <row r="35" spans="1:3">
      <c r="A35" s="44" t="s">
        <v>856</v>
      </c>
      <c r="B35">
        <f>_xlfn.XLOOKUP(A35,'Detalle Compras Septiembre 2026'!$H:$H,'Detalle Compras Septiembre 2026'!$A:$A)</f>
        <v>3</v>
      </c>
      <c r="C35" s="303">
        <f>SUMIF('Detalle Compras Septiembre 2026'!$H:$H,Hoja1!A29,'Detalle Compras Septiembre 2026'!$G:$G)</f>
        <v>339650</v>
      </c>
    </row>
    <row r="36" spans="1:3">
      <c r="A36" s="44" t="s">
        <v>853</v>
      </c>
      <c r="B36">
        <f>_xlfn.XLOOKUP(A36,'Detalle Compras Septiembre 2026'!$H:$H,'Detalle Compras Septiembre 2026'!$A:$A)</f>
        <v>3</v>
      </c>
      <c r="C36" s="303">
        <f>SUMIF('Detalle Compras Septiembre 2026'!$H:$H,Hoja1!A28,'Detalle Compras Septiembre 2026'!$G:$G)</f>
        <v>738000</v>
      </c>
    </row>
    <row r="37" spans="1:3">
      <c r="A37" s="44" t="s">
        <v>829</v>
      </c>
      <c r="B37">
        <f>_xlfn.XLOOKUP(A37,'Detalle Compras Septiembre 2026'!$H:$H,'Detalle Compras Septiembre 2026'!$A:$A)</f>
        <v>3</v>
      </c>
      <c r="C37" s="303">
        <f>SUMIF('Detalle Compras Septiembre 2026'!$H:$H,Hoja1!A27,'Detalle Compras Septiembre 2026'!$G:$G)</f>
        <v>213500</v>
      </c>
    </row>
    <row r="38" spans="1:3">
      <c r="A38" s="44" t="s">
        <v>827</v>
      </c>
      <c r="B38">
        <f>_xlfn.XLOOKUP(A38,'Detalle Compras Septiembre 2026'!$H:$H,'Detalle Compras Septiembre 2026'!$A:$A)</f>
        <v>3</v>
      </c>
      <c r="C38" s="303">
        <f>SUMIF('Detalle Compras Septiembre 2026'!$H:$H,Hoja1!A26,'Detalle Compras Septiembre 2026'!$G:$G)</f>
        <v>18600</v>
      </c>
    </row>
    <row r="39" spans="1:3">
      <c r="A39" s="44" t="s">
        <v>825</v>
      </c>
      <c r="B39">
        <f>_xlfn.XLOOKUP(A39,'Detalle Compras Septiembre 2026'!$H:$H,'Detalle Compras Septiembre 2026'!$A:$A)</f>
        <v>3</v>
      </c>
      <c r="C39" s="303">
        <f>SUMIF('Detalle Compras Septiembre 2026'!$H:$H,Hoja1!A25,'Detalle Compras Septiembre 2026'!$G:$G)</f>
        <v>238000</v>
      </c>
    </row>
    <row r="40" spans="1:3">
      <c r="A40" s="44" t="s">
        <v>256</v>
      </c>
      <c r="B40">
        <f>_xlfn.XLOOKUP(A40,'Detalle Compras Septiembre 2026'!$H:$H,'Detalle Compras Septiembre 2026'!$A:$A)</f>
        <v>4</v>
      </c>
      <c r="C40" s="303">
        <f>SUMIF('Detalle Compras Septiembre 2026'!$H:$H,Hoja1!A48,'Detalle Compras Septiembre 2026'!$G:$G)</f>
        <v>29000</v>
      </c>
    </row>
    <row r="41" spans="1:3">
      <c r="A41" s="44" t="s">
        <v>972</v>
      </c>
      <c r="B41">
        <f>_xlfn.XLOOKUP(A41,'Detalle Compras Septiembre 2026'!$H:$H,'Detalle Compras Septiembre 2026'!$A:$A)</f>
        <v>4</v>
      </c>
      <c r="C41" s="303">
        <f>SUMIF('Detalle Compras Septiembre 2026'!$H:$H,Hoja1!A47,'Detalle Compras Septiembre 2026'!$G:$G)</f>
        <v>1781350</v>
      </c>
    </row>
    <row r="42" spans="1:3">
      <c r="A42" s="44" t="s">
        <v>969</v>
      </c>
      <c r="B42">
        <f>_xlfn.XLOOKUP(A42,'Detalle Compras Septiembre 2026'!$H:$H,'Detalle Compras Septiembre 2026'!$A:$A)</f>
        <v>4</v>
      </c>
      <c r="C42" s="303">
        <f>SUMIF('Detalle Compras Septiembre 2026'!$H:$H,Hoja1!A46,'Detalle Compras Septiembre 2026'!$G:$G)</f>
        <v>293500</v>
      </c>
    </row>
    <row r="43" spans="1:3">
      <c r="A43" s="44" t="s">
        <v>253</v>
      </c>
      <c r="B43">
        <f>_xlfn.XLOOKUP(A43,'Detalle Compras Septiembre 2026'!$H:$H,'Detalle Compras Septiembre 2026'!$A:$A)</f>
        <v>4</v>
      </c>
      <c r="C43" s="303">
        <f>SUMIF('Detalle Compras Septiembre 2026'!$H:$H,Hoja1!A45,'Detalle Compras Septiembre 2026'!$G:$G)</f>
        <v>516750</v>
      </c>
    </row>
    <row r="44" spans="1:3">
      <c r="A44" s="44" t="s">
        <v>251</v>
      </c>
      <c r="B44">
        <f>_xlfn.XLOOKUP(A44,'Detalle Compras Septiembre 2026'!$H:$H,'Detalle Compras Septiembre 2026'!$A:$A)</f>
        <v>4</v>
      </c>
      <c r="C44" s="303">
        <f>SUMIF('Detalle Compras Septiembre 2026'!$H:$H,Hoja1!A44,'Detalle Compras Septiembre 2026'!$G:$G)</f>
        <v>434750</v>
      </c>
    </row>
    <row r="45" spans="1:3">
      <c r="A45" s="44" t="s">
        <v>248</v>
      </c>
      <c r="B45">
        <f>_xlfn.XLOOKUP(A45,'Detalle Compras Septiembre 2026'!$H:$H,'Detalle Compras Septiembre 2026'!$A:$A)</f>
        <v>4</v>
      </c>
      <c r="C45" s="303">
        <f>SUMIF('Detalle Compras Septiembre 2026'!$H:$H,Hoja1!A43,'Detalle Compras Septiembre 2026'!$G:$G)</f>
        <v>100000</v>
      </c>
    </row>
    <row r="46" spans="1:3">
      <c r="A46" s="44" t="s">
        <v>962</v>
      </c>
      <c r="B46">
        <f>_xlfn.XLOOKUP(A46,'Detalle Compras Septiembre 2026'!$H:$H,'Detalle Compras Septiembre 2026'!$A:$A)</f>
        <v>4</v>
      </c>
      <c r="C46" s="303">
        <f>SUMIF('Detalle Compras Septiembre 2026'!$H:$H,Hoja1!A42,'Detalle Compras Septiembre 2026'!$G:$G)</f>
        <v>15000</v>
      </c>
    </row>
    <row r="47" spans="1:3">
      <c r="A47" s="44" t="s">
        <v>877</v>
      </c>
      <c r="B47">
        <f>_xlfn.XLOOKUP(A47,'Detalle Compras Septiembre 2026'!$H:$H,'Detalle Compras Septiembre 2026'!$A:$A)</f>
        <v>4</v>
      </c>
      <c r="C47" s="303">
        <f>SUMIF('Detalle Compras Septiembre 2026'!$H:$H,Hoja1!A41,'Detalle Compras Septiembre 2026'!$G:$G)</f>
        <v>8850</v>
      </c>
    </row>
    <row r="48" spans="1:3">
      <c r="A48" s="44" t="s">
        <v>873</v>
      </c>
      <c r="B48">
        <f>_xlfn.XLOOKUP(A48,'Detalle Compras Septiembre 2026'!$H:$H,'Detalle Compras Septiembre 2026'!$A:$A)</f>
        <v>4</v>
      </c>
      <c r="C48" s="303">
        <f>SUMIF('Detalle Compras Septiembre 2026'!$H:$H,Hoja1!A40,'Detalle Compras Septiembre 2026'!$G:$G)</f>
        <v>43269</v>
      </c>
    </row>
    <row r="49" spans="1:3">
      <c r="A49" s="44" t="s">
        <v>989</v>
      </c>
      <c r="B49">
        <f>_xlfn.XLOOKUP(A49,'Detalle Compras Septiembre 2026'!$H:$H,'Detalle Compras Septiembre 2026'!$A:$A)</f>
        <v>5</v>
      </c>
      <c r="C49" s="303">
        <f>SUMIF('Detalle Compras Septiembre 2026'!$H:$H,Hoja1!A55,'Detalle Compras Septiembre 2026'!$G:$G)</f>
        <v>7583980</v>
      </c>
    </row>
    <row r="50" spans="1:3">
      <c r="A50" s="44" t="s">
        <v>986</v>
      </c>
      <c r="B50">
        <f>_xlfn.XLOOKUP(A50,'Detalle Compras Septiembre 2026'!$H:$H,'Detalle Compras Septiembre 2026'!$A:$A)</f>
        <v>5</v>
      </c>
      <c r="C50" s="303">
        <f>SUMIF('Detalle Compras Septiembre 2026'!$H:$H,Hoja1!A54,'Detalle Compras Septiembre 2026'!$G:$G)</f>
        <v>172500</v>
      </c>
    </row>
    <row r="51" spans="1:3">
      <c r="A51" s="44" t="s">
        <v>984</v>
      </c>
      <c r="B51">
        <f>_xlfn.XLOOKUP(A51,'Detalle Compras Septiembre 2026'!$H:$H,'Detalle Compras Septiembre 2026'!$A:$A)</f>
        <v>5</v>
      </c>
      <c r="C51" s="303">
        <f>SUMIF('Detalle Compras Septiembre 2026'!$H:$H,Hoja1!A53,'Detalle Compras Septiembre 2026'!$G:$G)</f>
        <v>34000</v>
      </c>
    </row>
    <row r="52" spans="1:3">
      <c r="A52" s="44" t="s">
        <v>980</v>
      </c>
      <c r="B52">
        <f>_xlfn.XLOOKUP(A52,'Detalle Compras Septiembre 2026'!$H:$H,'Detalle Compras Septiembre 2026'!$A:$A)</f>
        <v>5</v>
      </c>
      <c r="C52" s="303">
        <f>SUMIF('Detalle Compras Septiembre 2026'!$H:$H,Hoja1!A52,'Detalle Compras Septiembre 2026'!$G:$G)</f>
        <v>29000</v>
      </c>
    </row>
    <row r="53" spans="1:3">
      <c r="A53" s="44" t="s">
        <v>977</v>
      </c>
      <c r="B53">
        <f>_xlfn.XLOOKUP(A53,'Detalle Compras Septiembre 2026'!$H:$H,'Detalle Compras Septiembre 2026'!$A:$A)</f>
        <v>5</v>
      </c>
      <c r="C53" s="303">
        <f>SUMIF('Detalle Compras Septiembre 2026'!$H:$H,Hoja1!A51,'Detalle Compras Septiembre 2026'!$G:$G)</f>
        <v>36000</v>
      </c>
    </row>
    <row r="54" spans="1:3">
      <c r="A54" s="44" t="s">
        <v>975</v>
      </c>
      <c r="B54">
        <f>_xlfn.XLOOKUP(A54,'Detalle Compras Septiembre 2026'!$H:$H,'Detalle Compras Septiembre 2026'!$A:$A)</f>
        <v>5</v>
      </c>
      <c r="C54" s="303">
        <f>SUMIF('Detalle Compras Septiembre 2026'!$H:$H,Hoja1!A50,'Detalle Compras Septiembre 2026'!$G:$G)</f>
        <v>75000</v>
      </c>
    </row>
    <row r="55" spans="1:3">
      <c r="A55" s="44" t="s">
        <v>269</v>
      </c>
      <c r="B55">
        <f>_xlfn.XLOOKUP(A55,'Detalle Compras Septiembre 2026'!$H:$H,'Detalle Compras Septiembre 2026'!$A:$A)</f>
        <v>5</v>
      </c>
      <c r="C55" s="303">
        <f>SUMIF('Detalle Compras Septiembre 2026'!$H:$H,Hoja1!A49,'Detalle Compras Septiembre 2026'!$G:$G)</f>
        <v>254200</v>
      </c>
    </row>
    <row r="56" spans="1:3">
      <c r="A56" s="44" t="s">
        <v>1003</v>
      </c>
      <c r="B56">
        <f>_xlfn.XLOOKUP(A56,'Detalle Compras Septiembre 2026'!$H:$H,'Detalle Compras Septiembre 2026'!$A:$A)</f>
        <v>6</v>
      </c>
      <c r="C56" s="303">
        <f>SUMIF('Detalle Compras Septiembre 2026'!$H:$H,Hoja1!A57,'Detalle Compras Septiembre 2026'!$G:$G)</f>
        <v>39000</v>
      </c>
    </row>
    <row r="57" spans="1:3">
      <c r="A57" s="44" t="s">
        <v>999</v>
      </c>
      <c r="B57">
        <f>_xlfn.XLOOKUP(A57,'Detalle Compras Septiembre 2026'!$H:$H,'Detalle Compras Septiembre 2026'!$A:$A)</f>
        <v>6</v>
      </c>
      <c r="C57" s="303">
        <f>SUMIF('Detalle Compras Septiembre 2026'!$H:$H,Hoja1!A56,'Detalle Compras Septiembre 2026'!$G:$G)</f>
        <v>485000</v>
      </c>
    </row>
    <row r="58" spans="1:3">
      <c r="A58" s="44" t="s">
        <v>300</v>
      </c>
      <c r="B58">
        <f>_xlfn.XLOOKUP(A58,'Detalle Compras Septiembre 2026'!$H:$H,'Detalle Compras Septiembre 2026'!$A:$A)</f>
        <v>7</v>
      </c>
      <c r="C58" s="303">
        <f>SUMIF('Detalle Compras Septiembre 2026'!$H:$H,Hoja1!A69,'Detalle Compras Septiembre 2026'!$G:$G)</f>
        <v>649800</v>
      </c>
    </row>
    <row r="59" spans="1:3">
      <c r="A59" s="44" t="s">
        <v>1030</v>
      </c>
      <c r="B59">
        <f>_xlfn.XLOOKUP(A59,'Detalle Compras Septiembre 2026'!$H:$H,'Detalle Compras Septiembre 2026'!$A:$A)</f>
        <v>7</v>
      </c>
      <c r="C59" s="303">
        <f>SUMIF('Detalle Compras Septiembre 2026'!$H:$H,Hoja1!A68,'Detalle Compras Septiembre 2026'!$G:$G)</f>
        <v>19000</v>
      </c>
    </row>
    <row r="60" spans="1:3">
      <c r="A60" s="94" t="s">
        <v>313</v>
      </c>
      <c r="B60">
        <f>_xlfn.XLOOKUP(A60,'Detalle Compras Septiembre 2026'!$H:$H,'Detalle Compras Septiembre 2026'!$A:$A)</f>
        <v>7</v>
      </c>
      <c r="C60" s="303">
        <f>SUMIF('Detalle Compras Septiembre 2026'!$H:$H,Hoja1!A67,'Detalle Compras Septiembre 2026'!$G:$G)</f>
        <v>10000</v>
      </c>
    </row>
    <row r="61" spans="1:3">
      <c r="A61" s="98" t="s">
        <v>1022</v>
      </c>
      <c r="B61">
        <f>_xlfn.XLOOKUP(A61,'Detalle Compras Septiembre 2026'!$H:$H,'Detalle Compras Septiembre 2026'!$A:$A)</f>
        <v>7</v>
      </c>
      <c r="C61" s="303">
        <f>SUMIF('Detalle Compras Septiembre 2026'!$H:$H,Hoja1!A66,'Detalle Compras Septiembre 2026'!$G:$G)</f>
        <v>61606.04</v>
      </c>
    </row>
    <row r="62" spans="1:3">
      <c r="A62" s="44" t="s">
        <v>295</v>
      </c>
      <c r="B62">
        <f>_xlfn.XLOOKUP(A62,'Detalle Compras Septiembre 2026'!$H:$H,'Detalle Compras Septiembre 2026'!$A:$A)</f>
        <v>7</v>
      </c>
      <c r="C62" s="303">
        <f>SUMIF('Detalle Compras Septiembre 2026'!$H:$H,Hoja1!A65,'Detalle Compras Septiembre 2026'!$G:$G)</f>
        <v>443900</v>
      </c>
    </row>
    <row r="63" spans="1:3">
      <c r="A63" s="44" t="s">
        <v>1017</v>
      </c>
      <c r="B63">
        <f>_xlfn.XLOOKUP(A63,'Detalle Compras Septiembre 2026'!$H:$H,'Detalle Compras Septiembre 2026'!$A:$A)</f>
        <v>7</v>
      </c>
      <c r="C63" s="303">
        <f>SUMIF('Detalle Compras Septiembre 2026'!$H:$H,Hoja1!A64,'Detalle Compras Septiembre 2026'!$G:$G)</f>
        <v>130000</v>
      </c>
    </row>
    <row r="64" spans="1:3">
      <c r="A64" s="44" t="s">
        <v>293</v>
      </c>
      <c r="B64">
        <f>_xlfn.XLOOKUP(A64,'Detalle Compras Septiembre 2026'!$H:$H,'Detalle Compras Septiembre 2026'!$A:$A)</f>
        <v>7</v>
      </c>
      <c r="C64" s="303">
        <f>SUMIF('Detalle Compras Septiembre 2026'!$H:$H,Hoja1!A63,'Detalle Compras Septiembre 2026'!$G:$G)</f>
        <v>104000</v>
      </c>
    </row>
    <row r="65" spans="1:3">
      <c r="A65" s="44" t="s">
        <v>290</v>
      </c>
      <c r="B65">
        <f>_xlfn.XLOOKUP(A65,'Detalle Compras Septiembre 2026'!$H:$H,'Detalle Compras Septiembre 2026'!$A:$A)</f>
        <v>7</v>
      </c>
      <c r="C65" s="303">
        <f>SUMIF('Detalle Compras Septiembre 2026'!$H:$H,Hoja1!A62,'Detalle Compras Septiembre 2026'!$G:$G)</f>
        <v>1528617</v>
      </c>
    </row>
    <row r="66" spans="1:3">
      <c r="A66" s="44" t="s">
        <v>286</v>
      </c>
      <c r="B66">
        <f>_xlfn.XLOOKUP(A66,'Detalle Compras Septiembre 2026'!$H:$H,'Detalle Compras Septiembre 2026'!$A:$A)</f>
        <v>7</v>
      </c>
      <c r="C66" s="303">
        <f>SUMIF('Detalle Compras Septiembre 2026'!$H:$H,Hoja1!A61,'Detalle Compras Septiembre 2026'!$G:$G)</f>
        <v>994000</v>
      </c>
    </row>
    <row r="67" spans="1:3">
      <c r="A67" s="44" t="s">
        <v>1014</v>
      </c>
      <c r="B67">
        <f>_xlfn.XLOOKUP(A67,'Detalle Compras Septiembre 2026'!$H:$H,'Detalle Compras Septiembre 2026'!$A:$A)</f>
        <v>7</v>
      </c>
      <c r="C67" s="303">
        <f>SUMIF('Detalle Compras Septiembre 2026'!$H:$H,Hoja1!A60,'Detalle Compras Septiembre 2026'!$G:$G)</f>
        <v>3070650</v>
      </c>
    </row>
    <row r="68" spans="1:3">
      <c r="A68" s="44" t="s">
        <v>1012</v>
      </c>
      <c r="B68">
        <f>_xlfn.XLOOKUP(A68,'Detalle Compras Septiembre 2026'!$H:$H,'Detalle Compras Septiembre 2026'!$A:$A)</f>
        <v>7</v>
      </c>
      <c r="C68" s="303">
        <f>SUMIF('Detalle Compras Septiembre 2026'!$H:$H,Hoja1!A59,'Detalle Compras Septiembre 2026'!$G:$G)</f>
        <v>5555</v>
      </c>
    </row>
    <row r="69" spans="1:3">
      <c r="A69" s="44" t="s">
        <v>1010</v>
      </c>
      <c r="B69">
        <f>_xlfn.XLOOKUP(A69,'Detalle Compras Septiembre 2026'!$H:$H,'Detalle Compras Septiembre 2026'!$A:$A)</f>
        <v>7</v>
      </c>
      <c r="C69" s="303">
        <f>SUMIF('Detalle Compras Septiembre 2026'!$H:$H,Hoja1!A58,'Detalle Compras Septiembre 2026'!$G:$G)</f>
        <v>90125</v>
      </c>
    </row>
    <row r="70" spans="1:3">
      <c r="A70" s="44" t="s">
        <v>1125</v>
      </c>
      <c r="B70">
        <f>_xlfn.XLOOKUP(A70,'Detalle Compras Septiembre 2026'!$H:$H,'Detalle Compras Septiembre 2026'!$A:$A)</f>
        <v>8</v>
      </c>
      <c r="C70" s="303">
        <f>SUMIF('Detalle Compras Septiembre 2026'!$H:$H,Hoja1!A76,'Detalle Compras Septiembre 2026'!$G:$G)</f>
        <v>10000</v>
      </c>
    </row>
    <row r="71" spans="1:3">
      <c r="A71" s="44" t="s">
        <v>1811</v>
      </c>
      <c r="B71" t="e">
        <f>_xlfn.XLOOKUP(A71,'Detalle Compras Septiembre 2026'!$H:$H,'Detalle Compras Septiembre 2026'!$A:$A)</f>
        <v>#N/A</v>
      </c>
      <c r="C71" s="303">
        <f>SUMIF('Detalle Compras Septiembre 2026'!$H:$H,Hoja1!A75,'Detalle Compras Septiembre 2026'!$G:$G)</f>
        <v>1035990</v>
      </c>
    </row>
    <row r="72" spans="1:3">
      <c r="A72" s="44" t="s">
        <v>1106</v>
      </c>
      <c r="B72">
        <f>_xlfn.XLOOKUP(A72,'Detalle Compras Septiembre 2026'!$H:$H,'Detalle Compras Septiembre 2026'!$A:$A)</f>
        <v>8</v>
      </c>
      <c r="C72" s="303">
        <f>SUMIF('Detalle Compras Septiembre 2026'!$H:$H,Hoja1!A74,'Detalle Compras Septiembre 2026'!$G:$G)</f>
        <v>953150</v>
      </c>
    </row>
    <row r="73" spans="1:3">
      <c r="A73" s="44" t="s">
        <v>305</v>
      </c>
      <c r="B73">
        <f>_xlfn.XLOOKUP(A73,'Detalle Compras Septiembre 2026'!$H:$H,'Detalle Compras Septiembre 2026'!$A:$A)</f>
        <v>8</v>
      </c>
      <c r="C73" s="303">
        <f>SUMIF('Detalle Compras Septiembre 2026'!$H:$H,Hoja1!A73,'Detalle Compras Septiembre 2026'!$G:$G)</f>
        <v>372600</v>
      </c>
    </row>
    <row r="74" spans="1:3">
      <c r="A74" s="44" t="s">
        <v>1072</v>
      </c>
      <c r="B74">
        <f>_xlfn.XLOOKUP(A74,'Detalle Compras Septiembre 2026'!$H:$H,'Detalle Compras Septiembre 2026'!$A:$A)</f>
        <v>8</v>
      </c>
      <c r="C74" s="303">
        <f>SUMIF('Detalle Compras Septiembre 2026'!$H:$H,Hoja1!A72,'Detalle Compras Septiembre 2026'!$G:$G)</f>
        <v>161000</v>
      </c>
    </row>
    <row r="75" spans="1:3">
      <c r="A75" s="44" t="s">
        <v>1039</v>
      </c>
      <c r="B75">
        <f>_xlfn.XLOOKUP(A75,'Detalle Compras Septiembre 2026'!$H:$H,'Detalle Compras Septiembre 2026'!$A:$A)</f>
        <v>8</v>
      </c>
      <c r="C75" s="303">
        <f>SUMIF('Detalle Compras Septiembre 2026'!$H:$H,Hoja1!A71,'Detalle Compras Septiembre 2026'!$G:$G)</f>
        <v>0</v>
      </c>
    </row>
    <row r="76" spans="1:3">
      <c r="A76" s="44" t="s">
        <v>1036</v>
      </c>
      <c r="B76">
        <f>_xlfn.XLOOKUP(A76,'Detalle Compras Septiembre 2026'!$H:$H,'Detalle Compras Septiembre 2026'!$A:$A)</f>
        <v>8</v>
      </c>
      <c r="C76" s="303">
        <f>SUMIF('Detalle Compras Septiembre 2026'!$H:$H,Hoja1!A70,'Detalle Compras Septiembre 2026'!$G:$G)</f>
        <v>227500</v>
      </c>
    </row>
    <row r="77" spans="1:3">
      <c r="A77" s="44" t="s">
        <v>1164</v>
      </c>
      <c r="B77">
        <f>_xlfn.XLOOKUP(A77,'Detalle Compras Septiembre 2026'!$H:$H,'Detalle Compras Septiembre 2026'!$A:$A)</f>
        <v>9</v>
      </c>
      <c r="C77" s="303">
        <f>SUMIF('Detalle Compras Septiembre 2026'!$H:$H,Hoja1!A87,'Detalle Compras Septiembre 2026'!$G:$G)</f>
        <v>4065132</v>
      </c>
    </row>
    <row r="78" spans="1:3">
      <c r="A78" s="44" t="s">
        <v>334</v>
      </c>
      <c r="B78">
        <f>_xlfn.XLOOKUP(A78,'Detalle Compras Septiembre 2026'!$H:$H,'Detalle Compras Septiembre 2026'!$A:$A)</f>
        <v>9</v>
      </c>
      <c r="C78" s="303">
        <f>SUMIF('Detalle Compras Septiembre 2026'!$H:$H,Hoja1!A86,'Detalle Compras Septiembre 2026'!$G:$G)</f>
        <v>2362400</v>
      </c>
    </row>
    <row r="79" spans="1:3">
      <c r="A79" s="44" t="s">
        <v>1812</v>
      </c>
      <c r="B79" t="e">
        <f>_xlfn.XLOOKUP(A79,'Detalle Compras Septiembre 2026'!$H:$H,'Detalle Compras Septiembre 2026'!$A:$A)</f>
        <v>#N/A</v>
      </c>
      <c r="C79" s="303">
        <f>SUMIF('Detalle Compras Septiembre 2026'!$H:$H,Hoja1!A85,'Detalle Compras Septiembre 2026'!$G:$G)</f>
        <v>426900</v>
      </c>
    </row>
    <row r="80" spans="1:3">
      <c r="A80" s="44" t="s">
        <v>1156</v>
      </c>
      <c r="B80">
        <f>_xlfn.XLOOKUP(A80,'Detalle Compras Septiembre 2026'!$H:$H,'Detalle Compras Septiembre 2026'!$A:$A)</f>
        <v>9</v>
      </c>
      <c r="C80" s="303">
        <f>SUMIF('Detalle Compras Septiembre 2026'!$H:$H,Hoja1!A84,'Detalle Compras Septiembre 2026'!$G:$G)</f>
        <v>577100</v>
      </c>
    </row>
    <row r="81" spans="1:3">
      <c r="A81" s="44" t="s">
        <v>1153</v>
      </c>
      <c r="B81">
        <f>_xlfn.XLOOKUP(A81,'Detalle Compras Septiembre 2026'!$H:$H,'Detalle Compras Septiembre 2026'!$A:$A)</f>
        <v>9</v>
      </c>
      <c r="C81" s="303">
        <f>SUMIF('Detalle Compras Septiembre 2026'!$H:$H,Hoja1!A83,'Detalle Compras Septiembre 2026'!$G:$G)</f>
        <v>55000</v>
      </c>
    </row>
    <row r="82" spans="1:3">
      <c r="A82" s="44" t="s">
        <v>515</v>
      </c>
      <c r="B82">
        <f>_xlfn.XLOOKUP(A82,'Detalle Compras Septiembre 2026'!$H:$H,'Detalle Compras Septiembre 2026'!$A:$A)</f>
        <v>9</v>
      </c>
      <c r="C82" s="303">
        <f>SUMIF('Detalle Compras Septiembre 2026'!$H:$H,Hoja1!A82,'Detalle Compras Septiembre 2026'!$G:$G)</f>
        <v>621099.99999999988</v>
      </c>
    </row>
    <row r="83" spans="1:3">
      <c r="A83" s="44" t="s">
        <v>1150</v>
      </c>
      <c r="B83">
        <f>_xlfn.XLOOKUP(A83,'Detalle Compras Septiembre 2026'!$H:$H,'Detalle Compras Septiembre 2026'!$A:$A)</f>
        <v>9</v>
      </c>
      <c r="C83" s="303">
        <f>SUMIF('Detalle Compras Septiembre 2026'!$H:$H,Hoja1!A81,'Detalle Compras Septiembre 2026'!$G:$G)</f>
        <v>47250</v>
      </c>
    </row>
    <row r="84" spans="1:3">
      <c r="A84" s="44" t="s">
        <v>329</v>
      </c>
      <c r="B84">
        <f>_xlfn.XLOOKUP(A84,'Detalle Compras Septiembre 2026'!$H:$H,'Detalle Compras Septiembre 2026'!$A:$A)</f>
        <v>9</v>
      </c>
      <c r="C84" s="303">
        <f>SUMIF('Detalle Compras Septiembre 2026'!$H:$H,Hoja1!A80,'Detalle Compras Septiembre 2026'!$G:$G)</f>
        <v>76860</v>
      </c>
    </row>
    <row r="85" spans="1:3">
      <c r="A85" s="44" t="s">
        <v>327</v>
      </c>
      <c r="B85">
        <f>_xlfn.XLOOKUP(A85,'Detalle Compras Septiembre 2026'!$H:$H,'Detalle Compras Septiembre 2026'!$A:$A)</f>
        <v>9</v>
      </c>
      <c r="C85" s="303">
        <f>SUMIF('Detalle Compras Septiembre 2026'!$H:$H,Hoja1!A79,'Detalle Compras Septiembre 2026'!$G:$G)</f>
        <v>0</v>
      </c>
    </row>
    <row r="86" spans="1:3">
      <c r="A86" s="44" t="s">
        <v>512</v>
      </c>
      <c r="B86">
        <f>_xlfn.XLOOKUP(A86,'Detalle Compras Septiembre 2026'!$H:$H,'Detalle Compras Septiembre 2026'!$A:$A)</f>
        <v>9</v>
      </c>
      <c r="C86" s="303">
        <f>SUMIF('Detalle Compras Septiembre 2026'!$H:$H,Hoja1!A78,'Detalle Compras Septiembre 2026'!$G:$G)</f>
        <v>330000</v>
      </c>
    </row>
    <row r="87" spans="1:3">
      <c r="A87" s="44" t="s">
        <v>319</v>
      </c>
      <c r="B87">
        <f>_xlfn.XLOOKUP(A87,'Detalle Compras Septiembre 2026'!$H:$H,'Detalle Compras Septiembre 2026'!$A:$A)</f>
        <v>9</v>
      </c>
      <c r="C87" s="303">
        <f>SUMIF('Detalle Compras Septiembre 2026'!$H:$H,Hoja1!A77,'Detalle Compras Septiembre 2026'!$G:$G)</f>
        <v>352450</v>
      </c>
    </row>
    <row r="88" spans="1:3">
      <c r="A88" s="44" t="s">
        <v>1231</v>
      </c>
      <c r="B88">
        <f>_xlfn.XLOOKUP(A88,'Detalle Compras Septiembre 2026'!$H:$H,'Detalle Compras Septiembre 2026'!$A:$A)</f>
        <v>10</v>
      </c>
      <c r="C88" s="303">
        <f>SUMIF('Detalle Compras Septiembre 2026'!$H:$H,Hoja1!A103,'Detalle Compras Septiembre 2026'!$G:$G)</f>
        <v>34000</v>
      </c>
    </row>
    <row r="89" spans="1:3">
      <c r="A89" s="44" t="s">
        <v>1813</v>
      </c>
      <c r="B89" t="e">
        <f>_xlfn.XLOOKUP(A89,'Detalle Compras Septiembre 2026'!$H:$H,'Detalle Compras Septiembre 2026'!$A:$A)</f>
        <v>#N/A</v>
      </c>
      <c r="C89" s="303">
        <f>SUMIF('Detalle Compras Septiembre 2026'!$H:$H,Hoja1!A102,'Detalle Compras Septiembre 2026'!$G:$G)</f>
        <v>19000</v>
      </c>
    </row>
    <row r="90" spans="1:3">
      <c r="A90" s="44" t="s">
        <v>344</v>
      </c>
      <c r="B90">
        <f>_xlfn.XLOOKUP(A90,'Detalle Compras Septiembre 2026'!$H:$H,'Detalle Compras Septiembre 2026'!$A:$A)</f>
        <v>10</v>
      </c>
      <c r="C90" s="303">
        <f>SUMIF('Detalle Compras Septiembre 2026'!$H:$H,Hoja1!A101,'Detalle Compras Septiembre 2026'!$G:$G)</f>
        <v>654750</v>
      </c>
    </row>
    <row r="91" spans="1:3">
      <c r="A91" s="44" t="s">
        <v>1226</v>
      </c>
      <c r="B91">
        <f>_xlfn.XLOOKUP(A91,'Detalle Compras Septiembre 2026'!$H:$H,'Detalle Compras Septiembre 2026'!$A:$A)</f>
        <v>10</v>
      </c>
      <c r="C91" s="303">
        <f>SUMIF('Detalle Compras Septiembre 2026'!$H:$H,Hoja1!A100,'Detalle Compras Septiembre 2026'!$G:$G)</f>
        <v>20000</v>
      </c>
    </row>
    <row r="92" spans="1:3">
      <c r="A92" s="44" t="s">
        <v>1218</v>
      </c>
      <c r="B92">
        <f>_xlfn.XLOOKUP(A92,'Detalle Compras Septiembre 2026'!$H:$H,'Detalle Compras Septiembre 2026'!$A:$A)</f>
        <v>10</v>
      </c>
      <c r="C92" s="303">
        <f>SUMIF('Detalle Compras Septiembre 2026'!$H:$H,Hoja1!A99,'Detalle Compras Septiembre 2026'!$G:$G)</f>
        <v>336000</v>
      </c>
    </row>
    <row r="93" spans="1:3">
      <c r="A93" s="44" t="s">
        <v>1211</v>
      </c>
      <c r="B93">
        <f>_xlfn.XLOOKUP(A93,'Detalle Compras Septiembre 2026'!$H:$H,'Detalle Compras Septiembre 2026'!$A:$A)</f>
        <v>10</v>
      </c>
      <c r="C93" s="303">
        <f>SUMIF('Detalle Compras Septiembre 2026'!$H:$H,Hoja1!A98,'Detalle Compras Septiembre 2026'!$G:$G)</f>
        <v>58000</v>
      </c>
    </row>
    <row r="94" spans="1:3">
      <c r="A94" s="44" t="s">
        <v>1208</v>
      </c>
      <c r="B94">
        <f>_xlfn.XLOOKUP(A94,'Detalle Compras Septiembre 2026'!$H:$H,'Detalle Compras Septiembre 2026'!$A:$A)</f>
        <v>10</v>
      </c>
      <c r="C94" s="303">
        <f>SUMIF('Detalle Compras Septiembre 2026'!$H:$H,Hoja1!A97,'Detalle Compras Septiembre 2026'!$G:$G)</f>
        <v>10000</v>
      </c>
    </row>
    <row r="95" spans="1:3">
      <c r="A95" s="44" t="s">
        <v>1206</v>
      </c>
      <c r="B95">
        <f>_xlfn.XLOOKUP(A95,'Detalle Compras Septiembre 2026'!$H:$H,'Detalle Compras Septiembre 2026'!$A:$A)</f>
        <v>10</v>
      </c>
      <c r="C95" s="303">
        <f>SUMIF('Detalle Compras Septiembre 2026'!$H:$H,Hoja1!A96,'Detalle Compras Septiembre 2026'!$G:$G)</f>
        <v>30000</v>
      </c>
    </row>
    <row r="96" spans="1:3">
      <c r="A96" s="44" t="s">
        <v>1204</v>
      </c>
      <c r="B96">
        <f>_xlfn.XLOOKUP(A96,'Detalle Compras Septiembre 2026'!$H:$H,'Detalle Compras Septiembre 2026'!$A:$A)</f>
        <v>10</v>
      </c>
      <c r="C96" s="303">
        <f>SUMIF('Detalle Compras Septiembre 2026'!$H:$H,Hoja1!A95,'Detalle Compras Septiembre 2026'!$G:$G)</f>
        <v>20000</v>
      </c>
    </row>
    <row r="97" spans="1:3">
      <c r="A97" s="44" t="s">
        <v>1202</v>
      </c>
      <c r="B97">
        <f>_xlfn.XLOOKUP(A97,'Detalle Compras Septiembre 2026'!$H:$H,'Detalle Compras Septiembre 2026'!$A:$A)</f>
        <v>10</v>
      </c>
      <c r="C97" s="303">
        <f>SUMIF('Detalle Compras Septiembre 2026'!$H:$H,Hoja1!A94,'Detalle Compras Septiembre 2026'!$G:$G)</f>
        <v>50000</v>
      </c>
    </row>
    <row r="98" spans="1:3">
      <c r="A98" s="44" t="s">
        <v>1199</v>
      </c>
      <c r="B98">
        <f>_xlfn.XLOOKUP(A98,'Detalle Compras Septiembre 2026'!$H:$H,'Detalle Compras Septiembre 2026'!$A:$A)</f>
        <v>10</v>
      </c>
      <c r="C98" s="303">
        <f>SUMIF('Detalle Compras Septiembre 2026'!$H:$H,Hoja1!A93,'Detalle Compras Septiembre 2026'!$G:$G)</f>
        <v>108950</v>
      </c>
    </row>
    <row r="99" spans="1:3">
      <c r="A99" s="44" t="s">
        <v>340</v>
      </c>
      <c r="B99">
        <f>_xlfn.XLOOKUP(A99,'Detalle Compras Septiembre 2026'!$H:$H,'Detalle Compras Septiembre 2026'!$A:$A)</f>
        <v>10</v>
      </c>
      <c r="C99" s="303">
        <f>SUMIF('Detalle Compras Septiembre 2026'!$H:$H,Hoja1!A92,'Detalle Compras Septiembre 2026'!$G:$G)</f>
        <v>184000</v>
      </c>
    </row>
    <row r="100" spans="1:3">
      <c r="A100" s="44" t="s">
        <v>1187</v>
      </c>
      <c r="B100">
        <f>_xlfn.XLOOKUP(A100,'Detalle Compras Septiembre 2026'!$H:$H,'Detalle Compras Septiembre 2026'!$A:$A)</f>
        <v>10</v>
      </c>
      <c r="C100" s="303">
        <f>SUMIF('Detalle Compras Septiembre 2026'!$H:$H,Hoja1!A91,'Detalle Compras Septiembre 2026'!$G:$G)</f>
        <v>17000</v>
      </c>
    </row>
    <row r="101" spans="1:3">
      <c r="A101" s="44" t="s">
        <v>338</v>
      </c>
      <c r="B101">
        <f>_xlfn.XLOOKUP(A101,'Detalle Compras Septiembre 2026'!$H:$H,'Detalle Compras Septiembre 2026'!$A:$A)</f>
        <v>10</v>
      </c>
      <c r="C101" s="303">
        <f>SUMIF('Detalle Compras Septiembre 2026'!$H:$H,Hoja1!A90,'Detalle Compras Septiembre 2026'!$G:$G)</f>
        <v>75350</v>
      </c>
    </row>
    <row r="102" spans="1:3">
      <c r="A102" s="44" t="s">
        <v>1185</v>
      </c>
      <c r="B102">
        <f>_xlfn.XLOOKUP(A102,'Detalle Compras Septiembre 2026'!$H:$H,'Detalle Compras Septiembre 2026'!$A:$A)</f>
        <v>10</v>
      </c>
      <c r="C102" s="303">
        <f>SUMIF('Detalle Compras Septiembre 2026'!$H:$H,Hoja1!A89,'Detalle Compras Septiembre 2026'!$G:$G)</f>
        <v>0</v>
      </c>
    </row>
    <row r="103" spans="1:3">
      <c r="A103" s="44" t="s">
        <v>1180</v>
      </c>
      <c r="B103">
        <f>_xlfn.XLOOKUP(A103,'Detalle Compras Septiembre 2026'!$H:$H,'Detalle Compras Septiembre 2026'!$A:$A)</f>
        <v>10</v>
      </c>
      <c r="C103" s="303">
        <f>SUMIF('Detalle Compras Septiembre 2026'!$H:$H,Hoja1!A88,'Detalle Compras Septiembre 2026'!$G:$G)</f>
        <v>75000</v>
      </c>
    </row>
    <row r="104" spans="1:3">
      <c r="A104" s="109" t="s">
        <v>353</v>
      </c>
      <c r="B104">
        <f>_xlfn.XLOOKUP(A104,'Detalle Compras Septiembre 2026'!$H:$H,'Detalle Compras Septiembre 2026'!$A:$A)</f>
        <v>11</v>
      </c>
      <c r="C104" s="303">
        <f>SUMIF('Detalle Compras Septiembre 2026'!$H:$H,Hoja1!A107,'Detalle Compras Septiembre 2026'!$G:$G)</f>
        <v>5241000</v>
      </c>
    </row>
    <row r="105" spans="1:3">
      <c r="A105" s="44" t="s">
        <v>1240</v>
      </c>
      <c r="B105">
        <f>_xlfn.XLOOKUP(A105,'Detalle Compras Septiembre 2026'!$H:$H,'Detalle Compras Septiembre 2026'!$A:$A)</f>
        <v>11</v>
      </c>
      <c r="C105" s="303">
        <f>SUMIF('Detalle Compras Septiembre 2026'!$H:$H,Hoja1!A106,'Detalle Compras Septiembre 2026'!$G:$G)</f>
        <v>72000</v>
      </c>
    </row>
    <row r="106" spans="1:3">
      <c r="A106" s="44" t="s">
        <v>1237</v>
      </c>
      <c r="B106">
        <f>_xlfn.XLOOKUP(A106,'Detalle Compras Septiembre 2026'!$H:$H,'Detalle Compras Septiembre 2026'!$A:$A)</f>
        <v>11</v>
      </c>
      <c r="C106" s="303">
        <f>SUMIF('Detalle Compras Septiembre 2026'!$H:$H,Hoja1!A105,'Detalle Compras Septiembre 2026'!$G:$G)</f>
        <v>1449000</v>
      </c>
    </row>
    <row r="107" spans="1:3">
      <c r="A107" s="44" t="s">
        <v>1234</v>
      </c>
      <c r="B107">
        <f>_xlfn.XLOOKUP(A107,'Detalle Compras Septiembre 2026'!$H:$H,'Detalle Compras Septiembre 2026'!$A:$A)</f>
        <v>11</v>
      </c>
      <c r="C107" s="303">
        <f>SUMIF('Detalle Compras Septiembre 2026'!$H:$H,Hoja1!A104,'Detalle Compras Septiembre 2026'!$G:$G)</f>
        <v>44460050</v>
      </c>
    </row>
    <row r="108" spans="1:3">
      <c r="A108" s="110"/>
    </row>
  </sheetData>
  <autoFilter ref="A1:C1" xr:uid="{00000000-0009-0000-0000-000008000000}">
    <sortState xmlns:xlrd2="http://schemas.microsoft.com/office/spreadsheetml/2017/richdata2" ref="A2:C107">
      <sortCondition ref="B1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8"/>
  <sheetViews>
    <sheetView workbookViewId="0">
      <selection activeCell="D1" sqref="D1"/>
    </sheetView>
  </sheetViews>
  <sheetFormatPr baseColWidth="10" defaultRowHeight="15"/>
  <cols>
    <col min="4" max="4" width="115.28515625" style="236" bestFit="1" customWidth="1"/>
  </cols>
  <sheetData>
    <row r="1" spans="1:7">
      <c r="A1" s="1" t="s">
        <v>42</v>
      </c>
      <c r="B1" s="1" t="s">
        <v>1814</v>
      </c>
      <c r="C1" s="1" t="s">
        <v>1815</v>
      </c>
      <c r="D1" s="5" t="s">
        <v>421</v>
      </c>
      <c r="E1" s="2" t="s">
        <v>758</v>
      </c>
      <c r="F1" s="1" t="s">
        <v>184</v>
      </c>
      <c r="G1" s="1" t="s">
        <v>1816</v>
      </c>
    </row>
    <row r="2" spans="1:7">
      <c r="A2">
        <v>23</v>
      </c>
      <c r="B2" t="s">
        <v>762</v>
      </c>
      <c r="C2" t="s">
        <v>228</v>
      </c>
      <c r="D2" t="s">
        <v>1817</v>
      </c>
      <c r="E2">
        <v>5.25</v>
      </c>
      <c r="F2">
        <v>33000</v>
      </c>
      <c r="G2">
        <v>173250</v>
      </c>
    </row>
    <row r="3" spans="1:7">
      <c r="A3">
        <v>23</v>
      </c>
      <c r="B3" t="s">
        <v>762</v>
      </c>
      <c r="C3" t="s">
        <v>1818</v>
      </c>
      <c r="D3" t="s">
        <v>1819</v>
      </c>
      <c r="E3">
        <v>5.35</v>
      </c>
      <c r="F3">
        <v>21500</v>
      </c>
      <c r="G3">
        <v>115025</v>
      </c>
    </row>
    <row r="4" spans="1:7">
      <c r="A4">
        <v>14</v>
      </c>
      <c r="B4" t="s">
        <v>762</v>
      </c>
      <c r="C4" t="s">
        <v>234</v>
      </c>
      <c r="D4" t="s">
        <v>1820</v>
      </c>
      <c r="E4">
        <v>10</v>
      </c>
      <c r="F4">
        <v>53000</v>
      </c>
      <c r="G4">
        <v>530000</v>
      </c>
    </row>
    <row r="5" spans="1:7">
      <c r="A5">
        <v>20</v>
      </c>
      <c r="B5" t="s">
        <v>762</v>
      </c>
      <c r="C5" t="s">
        <v>211</v>
      </c>
      <c r="D5" t="s">
        <v>1821</v>
      </c>
      <c r="E5">
        <v>6.1</v>
      </c>
      <c r="F5">
        <v>30000</v>
      </c>
      <c r="G5">
        <v>183000</v>
      </c>
    </row>
    <row r="6" spans="1:7">
      <c r="A6">
        <v>20</v>
      </c>
      <c r="B6" t="s">
        <v>762</v>
      </c>
      <c r="C6" t="s">
        <v>234</v>
      </c>
      <c r="D6" t="s">
        <v>1822</v>
      </c>
      <c r="E6">
        <v>14.05</v>
      </c>
      <c r="F6">
        <v>53000</v>
      </c>
      <c r="G6">
        <v>744650</v>
      </c>
    </row>
    <row r="7" spans="1:7">
      <c r="A7">
        <v>20</v>
      </c>
      <c r="B7" t="s">
        <v>762</v>
      </c>
      <c r="C7" t="s">
        <v>296</v>
      </c>
      <c r="D7" t="s">
        <v>1823</v>
      </c>
      <c r="E7">
        <v>11.375</v>
      </c>
      <c r="F7">
        <v>28000</v>
      </c>
      <c r="G7">
        <v>318500</v>
      </c>
    </row>
    <row r="8" spans="1:7">
      <c r="A8">
        <v>20</v>
      </c>
      <c r="B8" t="s">
        <v>762</v>
      </c>
      <c r="C8" t="s">
        <v>234</v>
      </c>
      <c r="D8" t="s">
        <v>1824</v>
      </c>
      <c r="E8">
        <v>14.05</v>
      </c>
      <c r="F8">
        <v>53000</v>
      </c>
      <c r="G8">
        <v>744650</v>
      </c>
    </row>
    <row r="9" spans="1:7">
      <c r="A9">
        <v>20</v>
      </c>
      <c r="B9" t="s">
        <v>762</v>
      </c>
      <c r="C9" t="s">
        <v>211</v>
      </c>
      <c r="D9" t="s">
        <v>1825</v>
      </c>
      <c r="E9">
        <v>6.1</v>
      </c>
      <c r="F9">
        <v>30000</v>
      </c>
      <c r="G9">
        <v>183000</v>
      </c>
    </row>
    <row r="10" spans="1:7">
      <c r="A10">
        <v>20</v>
      </c>
      <c r="B10" t="s">
        <v>762</v>
      </c>
      <c r="C10" t="s">
        <v>296</v>
      </c>
      <c r="D10" t="s">
        <v>1826</v>
      </c>
      <c r="E10">
        <v>11.38</v>
      </c>
      <c r="F10">
        <v>28000</v>
      </c>
      <c r="G10">
        <v>318500</v>
      </c>
    </row>
    <row r="11" spans="1:7">
      <c r="A11">
        <v>19</v>
      </c>
      <c r="B11" t="s">
        <v>762</v>
      </c>
      <c r="C11" t="s">
        <v>228</v>
      </c>
      <c r="D11" t="s">
        <v>1827</v>
      </c>
      <c r="E11">
        <v>4.3499999999999996</v>
      </c>
      <c r="F11">
        <v>34000</v>
      </c>
      <c r="G11">
        <v>147900</v>
      </c>
    </row>
    <row r="12" spans="1:7">
      <c r="A12">
        <v>19</v>
      </c>
      <c r="B12" t="s">
        <v>762</v>
      </c>
      <c r="C12" t="s">
        <v>272</v>
      </c>
      <c r="D12" t="s">
        <v>1828</v>
      </c>
      <c r="E12">
        <v>7.15</v>
      </c>
      <c r="F12">
        <v>18000</v>
      </c>
      <c r="G12">
        <v>128700</v>
      </c>
    </row>
    <row r="13" spans="1:7">
      <c r="A13">
        <v>19</v>
      </c>
      <c r="B13" t="s">
        <v>762</v>
      </c>
      <c r="C13" t="s">
        <v>211</v>
      </c>
      <c r="D13" t="s">
        <v>1829</v>
      </c>
      <c r="E13">
        <v>10</v>
      </c>
      <c r="F13">
        <v>30000</v>
      </c>
      <c r="G13">
        <v>300000</v>
      </c>
    </row>
    <row r="14" spans="1:7">
      <c r="A14">
        <v>19</v>
      </c>
      <c r="B14" t="s">
        <v>762</v>
      </c>
      <c r="C14" t="s">
        <v>272</v>
      </c>
      <c r="D14" t="s">
        <v>1828</v>
      </c>
      <c r="E14">
        <v>20</v>
      </c>
      <c r="F14">
        <v>20000</v>
      </c>
      <c r="G14">
        <v>400000</v>
      </c>
    </row>
    <row r="15" spans="1:7">
      <c r="A15">
        <v>24</v>
      </c>
      <c r="B15" t="s">
        <v>762</v>
      </c>
      <c r="C15" t="s">
        <v>211</v>
      </c>
      <c r="D15" t="s">
        <v>1830</v>
      </c>
      <c r="E15">
        <v>10.6</v>
      </c>
      <c r="F15">
        <v>30000</v>
      </c>
      <c r="G15">
        <v>318000</v>
      </c>
    </row>
    <row r="16" spans="1:7">
      <c r="A16">
        <v>24</v>
      </c>
      <c r="B16" t="s">
        <v>762</v>
      </c>
      <c r="C16" t="s">
        <v>228</v>
      </c>
      <c r="D16" t="s">
        <v>1831</v>
      </c>
      <c r="E16">
        <v>4.3</v>
      </c>
      <c r="F16">
        <v>33000</v>
      </c>
      <c r="G16">
        <v>141900</v>
      </c>
    </row>
    <row r="17" spans="1:7">
      <c r="A17">
        <v>22</v>
      </c>
      <c r="B17" t="s">
        <v>762</v>
      </c>
      <c r="C17" t="s">
        <v>211</v>
      </c>
      <c r="D17" t="s">
        <v>1832</v>
      </c>
      <c r="E17">
        <v>16.149999999999999</v>
      </c>
      <c r="F17">
        <v>30000</v>
      </c>
      <c r="G17">
        <v>484500</v>
      </c>
    </row>
    <row r="18" spans="1:7">
      <c r="A18">
        <v>31</v>
      </c>
      <c r="B18" t="s">
        <v>770</v>
      </c>
      <c r="C18" t="s">
        <v>771</v>
      </c>
      <c r="D18" t="s">
        <v>1833</v>
      </c>
      <c r="E18">
        <v>200</v>
      </c>
      <c r="F18">
        <v>150</v>
      </c>
      <c r="G18">
        <v>30000</v>
      </c>
    </row>
  </sheetData>
  <autoFilter ref="A1:G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69"/>
  <sheetViews>
    <sheetView workbookViewId="0">
      <selection activeCell="D1" sqref="D1"/>
    </sheetView>
  </sheetViews>
  <sheetFormatPr baseColWidth="10" defaultColWidth="9.140625" defaultRowHeight="15"/>
  <cols>
    <col min="1" max="1" width="8" style="236" customWidth="1"/>
    <col min="2" max="2" width="15" style="236" customWidth="1"/>
    <col min="3" max="3" width="30" style="236" customWidth="1"/>
    <col min="4" max="4" width="55" style="236" customWidth="1"/>
    <col min="5" max="5" width="12" style="236" customWidth="1"/>
    <col min="6" max="6" width="16" style="236" customWidth="1"/>
    <col min="7" max="7" width="18" style="236" customWidth="1"/>
    <col min="8" max="8" width="22" style="236" customWidth="1"/>
  </cols>
  <sheetData>
    <row r="1" spans="1:8">
      <c r="A1" s="34" t="s">
        <v>42</v>
      </c>
      <c r="B1" s="34" t="s">
        <v>105</v>
      </c>
      <c r="C1" s="34" t="s">
        <v>757</v>
      </c>
      <c r="D1" s="34" t="s">
        <v>1834</v>
      </c>
      <c r="E1" s="34" t="s">
        <v>758</v>
      </c>
      <c r="F1" s="34" t="s">
        <v>184</v>
      </c>
      <c r="G1" s="34" t="s">
        <v>759</v>
      </c>
      <c r="H1" s="34" t="s">
        <v>180</v>
      </c>
    </row>
    <row r="2" spans="1:8">
      <c r="A2" s="33">
        <v>1</v>
      </c>
      <c r="B2" s="27" t="s">
        <v>86</v>
      </c>
      <c r="C2" s="28" t="s">
        <v>429</v>
      </c>
      <c r="D2" s="28" t="s">
        <v>1835</v>
      </c>
      <c r="E2" s="31">
        <v>1</v>
      </c>
      <c r="F2" s="233">
        <v>92200</v>
      </c>
      <c r="G2" s="233">
        <v>92200</v>
      </c>
      <c r="H2" s="27" t="s">
        <v>428</v>
      </c>
    </row>
    <row r="3" spans="1:8">
      <c r="A3" s="33">
        <v>1</v>
      </c>
      <c r="B3" s="27" t="s">
        <v>86</v>
      </c>
      <c r="C3" s="28" t="s">
        <v>431</v>
      </c>
      <c r="D3" s="28" t="s">
        <v>1836</v>
      </c>
      <c r="E3" s="31">
        <v>1</v>
      </c>
      <c r="F3" s="233">
        <v>77500</v>
      </c>
      <c r="G3" s="233">
        <v>77500</v>
      </c>
      <c r="H3" s="27" t="s">
        <v>428</v>
      </c>
    </row>
    <row r="4" spans="1:8">
      <c r="A4" s="33">
        <v>1</v>
      </c>
      <c r="B4" s="27" t="s">
        <v>86</v>
      </c>
      <c r="C4" s="28" t="s">
        <v>433</v>
      </c>
      <c r="D4" s="28" t="s">
        <v>1837</v>
      </c>
      <c r="E4" s="31">
        <v>1</v>
      </c>
      <c r="F4" s="233">
        <v>93000</v>
      </c>
      <c r="G4" s="233">
        <v>93000</v>
      </c>
      <c r="H4" s="27" t="s">
        <v>428</v>
      </c>
    </row>
    <row r="5" spans="1:8">
      <c r="A5" s="33">
        <v>1</v>
      </c>
      <c r="B5" s="27" t="s">
        <v>86</v>
      </c>
      <c r="C5" s="28" t="s">
        <v>435</v>
      </c>
      <c r="D5" s="28" t="s">
        <v>1838</v>
      </c>
      <c r="E5" s="31">
        <v>2</v>
      </c>
      <c r="F5" s="233">
        <v>74500</v>
      </c>
      <c r="G5" s="233">
        <v>149000</v>
      </c>
      <c r="H5" s="27" t="s">
        <v>428</v>
      </c>
    </row>
    <row r="6" spans="1:8">
      <c r="A6" s="33">
        <v>1</v>
      </c>
      <c r="B6" s="27" t="s">
        <v>762</v>
      </c>
      <c r="C6" s="28" t="s">
        <v>190</v>
      </c>
      <c r="D6" s="28" t="s">
        <v>1839</v>
      </c>
      <c r="E6" s="31">
        <v>20</v>
      </c>
      <c r="F6" s="233">
        <v>16500</v>
      </c>
      <c r="G6" s="233">
        <v>330000</v>
      </c>
      <c r="H6" s="27" t="s">
        <v>189</v>
      </c>
    </row>
    <row r="7" spans="1:8">
      <c r="A7" s="33">
        <v>2</v>
      </c>
      <c r="B7" s="27" t="s">
        <v>86</v>
      </c>
      <c r="C7" s="28" t="s">
        <v>439</v>
      </c>
      <c r="D7" s="28" t="s">
        <v>1840</v>
      </c>
      <c r="E7" s="31">
        <v>2</v>
      </c>
      <c r="F7" s="233">
        <v>39000</v>
      </c>
      <c r="G7" s="233">
        <v>78000</v>
      </c>
      <c r="H7" s="27" t="s">
        <v>438</v>
      </c>
    </row>
    <row r="8" spans="1:8">
      <c r="A8" s="33">
        <v>2</v>
      </c>
      <c r="B8" s="27" t="s">
        <v>86</v>
      </c>
      <c r="C8" s="28" t="s">
        <v>441</v>
      </c>
      <c r="D8" s="28" t="s">
        <v>1841</v>
      </c>
      <c r="E8" s="31">
        <v>2</v>
      </c>
      <c r="F8" s="233">
        <v>32500</v>
      </c>
      <c r="G8" s="233">
        <v>65000</v>
      </c>
      <c r="H8" s="27" t="s">
        <v>438</v>
      </c>
    </row>
    <row r="9" spans="1:8">
      <c r="A9" s="33">
        <v>2</v>
      </c>
      <c r="B9" s="27" t="s">
        <v>86</v>
      </c>
      <c r="C9" s="28" t="s">
        <v>443</v>
      </c>
      <c r="D9" s="28" t="s">
        <v>1842</v>
      </c>
      <c r="E9" s="31">
        <v>1</v>
      </c>
      <c r="F9" s="233">
        <v>51600</v>
      </c>
      <c r="G9" s="233">
        <v>51600</v>
      </c>
      <c r="H9" s="27" t="s">
        <v>438</v>
      </c>
    </row>
    <row r="10" spans="1:8">
      <c r="A10" s="33">
        <v>2</v>
      </c>
      <c r="B10" s="27" t="s">
        <v>635</v>
      </c>
      <c r="C10" s="28" t="s">
        <v>810</v>
      </c>
      <c r="D10" s="28" t="s">
        <v>1843</v>
      </c>
      <c r="E10" s="31">
        <v>4</v>
      </c>
      <c r="F10" s="233">
        <v>18200</v>
      </c>
      <c r="G10" s="233">
        <v>72800</v>
      </c>
      <c r="H10" s="27" t="s">
        <v>802</v>
      </c>
    </row>
    <row r="11" spans="1:8">
      <c r="A11" s="33">
        <v>2</v>
      </c>
      <c r="B11" s="27" t="s">
        <v>770</v>
      </c>
      <c r="C11" s="28" t="s">
        <v>800</v>
      </c>
      <c r="D11" s="28" t="s">
        <v>1844</v>
      </c>
      <c r="E11" s="31">
        <v>5</v>
      </c>
      <c r="F11" s="233">
        <v>3105.6</v>
      </c>
      <c r="G11" s="233">
        <v>15528</v>
      </c>
      <c r="H11" s="27" t="s">
        <v>802</v>
      </c>
    </row>
    <row r="12" spans="1:8">
      <c r="A12" s="33">
        <v>2</v>
      </c>
      <c r="B12" s="27" t="s">
        <v>770</v>
      </c>
      <c r="C12" s="28" t="s">
        <v>800</v>
      </c>
      <c r="D12" s="28" t="s">
        <v>1845</v>
      </c>
      <c r="E12" s="31">
        <v>5</v>
      </c>
      <c r="F12" s="233">
        <v>3105.6</v>
      </c>
      <c r="G12" s="233">
        <v>15528</v>
      </c>
      <c r="H12" s="27" t="s">
        <v>802</v>
      </c>
    </row>
    <row r="13" spans="1:8">
      <c r="A13" s="33">
        <v>2</v>
      </c>
      <c r="B13" s="27" t="s">
        <v>770</v>
      </c>
      <c r="C13" s="28" t="s">
        <v>800</v>
      </c>
      <c r="D13" s="28" t="s">
        <v>1846</v>
      </c>
      <c r="E13" s="31">
        <v>5</v>
      </c>
      <c r="F13" s="233">
        <v>1309</v>
      </c>
      <c r="G13" s="233">
        <v>6545</v>
      </c>
      <c r="H13" s="27" t="s">
        <v>802</v>
      </c>
    </row>
    <row r="14" spans="1:8">
      <c r="A14" s="33">
        <v>2</v>
      </c>
      <c r="B14" s="27" t="s">
        <v>770</v>
      </c>
      <c r="C14" s="28" t="s">
        <v>800</v>
      </c>
      <c r="D14" s="28" t="s">
        <v>1847</v>
      </c>
      <c r="E14" s="31">
        <v>5</v>
      </c>
      <c r="F14" s="233">
        <v>2570.4</v>
      </c>
      <c r="G14" s="233">
        <v>12852</v>
      </c>
      <c r="H14" s="27" t="s">
        <v>802</v>
      </c>
    </row>
    <row r="15" spans="1:8">
      <c r="A15" s="33">
        <v>2</v>
      </c>
      <c r="B15" s="27" t="s">
        <v>770</v>
      </c>
      <c r="C15" s="28" t="s">
        <v>800</v>
      </c>
      <c r="D15" s="28" t="s">
        <v>1848</v>
      </c>
      <c r="E15" s="31">
        <v>3</v>
      </c>
      <c r="F15" s="233">
        <v>3760.33</v>
      </c>
      <c r="G15" s="233">
        <v>11281</v>
      </c>
      <c r="H15" s="27" t="s">
        <v>802</v>
      </c>
    </row>
    <row r="16" spans="1:8">
      <c r="A16" s="33">
        <v>2</v>
      </c>
      <c r="B16" s="27" t="s">
        <v>770</v>
      </c>
      <c r="C16" s="28" t="s">
        <v>800</v>
      </c>
      <c r="D16" s="28" t="s">
        <v>1849</v>
      </c>
      <c r="E16" s="31">
        <v>3</v>
      </c>
      <c r="F16" s="233">
        <v>3760.33</v>
      </c>
      <c r="G16" s="233">
        <v>11281</v>
      </c>
      <c r="H16" s="27" t="s">
        <v>802</v>
      </c>
    </row>
    <row r="17" spans="1:8">
      <c r="A17" s="33">
        <v>2</v>
      </c>
      <c r="B17" s="27" t="s">
        <v>770</v>
      </c>
      <c r="C17" s="28" t="s">
        <v>808</v>
      </c>
      <c r="D17" s="28" t="s">
        <v>1850</v>
      </c>
      <c r="E17" s="31">
        <v>70</v>
      </c>
      <c r="F17" s="233">
        <v>4180</v>
      </c>
      <c r="G17" s="233">
        <v>292600</v>
      </c>
      <c r="H17" s="27" t="s">
        <v>802</v>
      </c>
    </row>
    <row r="18" spans="1:8">
      <c r="A18" s="33">
        <v>3</v>
      </c>
      <c r="B18" s="27" t="s">
        <v>86</v>
      </c>
      <c r="C18" s="28" t="s">
        <v>447</v>
      </c>
      <c r="D18" s="28" t="s">
        <v>1851</v>
      </c>
      <c r="E18" s="31">
        <v>1</v>
      </c>
      <c r="F18" s="233">
        <v>32000</v>
      </c>
      <c r="G18" s="233">
        <v>32000</v>
      </c>
      <c r="H18" s="27" t="s">
        <v>1852</v>
      </c>
    </row>
    <row r="19" spans="1:8">
      <c r="A19" s="33">
        <v>3</v>
      </c>
      <c r="B19" s="27" t="s">
        <v>86</v>
      </c>
      <c r="C19" s="28" t="s">
        <v>449</v>
      </c>
      <c r="D19" s="28" t="s">
        <v>1853</v>
      </c>
      <c r="E19" s="31">
        <v>2</v>
      </c>
      <c r="F19" s="233">
        <v>65000</v>
      </c>
      <c r="G19" s="233">
        <v>130000</v>
      </c>
      <c r="H19" s="27" t="s">
        <v>1852</v>
      </c>
    </row>
    <row r="20" spans="1:8">
      <c r="A20" s="33">
        <v>3</v>
      </c>
      <c r="B20" s="27" t="s">
        <v>86</v>
      </c>
      <c r="C20" s="28" t="s">
        <v>451</v>
      </c>
      <c r="D20" s="28" t="s">
        <v>1854</v>
      </c>
      <c r="E20" s="31">
        <v>2</v>
      </c>
      <c r="F20" s="233">
        <v>65000</v>
      </c>
      <c r="G20" s="233">
        <v>130000</v>
      </c>
      <c r="H20" s="27" t="s">
        <v>1852</v>
      </c>
    </row>
    <row r="21" spans="1:8">
      <c r="A21" s="33">
        <v>3</v>
      </c>
      <c r="B21" s="27" t="s">
        <v>86</v>
      </c>
      <c r="C21" s="28" t="s">
        <v>453</v>
      </c>
      <c r="D21" s="28" t="s">
        <v>1855</v>
      </c>
      <c r="E21" s="31">
        <v>10</v>
      </c>
      <c r="F21" s="233">
        <v>28800</v>
      </c>
      <c r="G21" s="233">
        <v>288000</v>
      </c>
      <c r="H21" s="27" t="s">
        <v>1852</v>
      </c>
    </row>
    <row r="22" spans="1:8">
      <c r="A22" s="33">
        <v>3</v>
      </c>
      <c r="B22" s="27" t="s">
        <v>86</v>
      </c>
      <c r="C22" s="28" t="s">
        <v>455</v>
      </c>
      <c r="D22" s="28" t="s">
        <v>1856</v>
      </c>
      <c r="E22" s="31">
        <v>8</v>
      </c>
      <c r="F22" s="233">
        <v>30000</v>
      </c>
      <c r="G22" s="233">
        <v>240000</v>
      </c>
      <c r="H22" s="27" t="s">
        <v>1852</v>
      </c>
    </row>
    <row r="23" spans="1:8">
      <c r="A23" s="33">
        <v>3</v>
      </c>
      <c r="B23" s="27" t="s">
        <v>86</v>
      </c>
      <c r="C23" s="28" t="s">
        <v>458</v>
      </c>
      <c r="D23" s="28" t="s">
        <v>1857</v>
      </c>
      <c r="E23" s="31">
        <v>2</v>
      </c>
      <c r="F23" s="233">
        <v>25100</v>
      </c>
      <c r="G23" s="233">
        <v>50200</v>
      </c>
      <c r="H23" s="27" t="s">
        <v>1852</v>
      </c>
    </row>
    <row r="24" spans="1:8">
      <c r="A24" s="33">
        <v>3</v>
      </c>
      <c r="B24" s="27" t="s">
        <v>86</v>
      </c>
      <c r="C24" s="28" t="s">
        <v>458</v>
      </c>
      <c r="D24" s="28" t="s">
        <v>1858</v>
      </c>
      <c r="E24" s="31">
        <v>2</v>
      </c>
      <c r="F24" s="233">
        <v>25100</v>
      </c>
      <c r="G24" s="233">
        <v>50200</v>
      </c>
      <c r="H24" s="27" t="s">
        <v>1852</v>
      </c>
    </row>
    <row r="25" spans="1:8">
      <c r="A25" s="33">
        <v>3</v>
      </c>
      <c r="B25" s="27" t="s">
        <v>86</v>
      </c>
      <c r="C25" s="28" t="s">
        <v>458</v>
      </c>
      <c r="D25" s="28" t="s">
        <v>1859</v>
      </c>
      <c r="E25" s="31">
        <v>2</v>
      </c>
      <c r="F25" s="233">
        <v>25100</v>
      </c>
      <c r="G25" s="233">
        <v>50200</v>
      </c>
      <c r="H25" s="27" t="s">
        <v>1852</v>
      </c>
    </row>
    <row r="26" spans="1:8">
      <c r="A26" s="33">
        <v>3</v>
      </c>
      <c r="B26" s="27" t="s">
        <v>766</v>
      </c>
      <c r="C26" s="28" t="s">
        <v>648</v>
      </c>
      <c r="D26" s="28" t="s">
        <v>1860</v>
      </c>
      <c r="E26" s="31">
        <v>4</v>
      </c>
      <c r="F26" s="233">
        <v>26000</v>
      </c>
      <c r="G26" s="233">
        <v>104000</v>
      </c>
      <c r="H26" s="27" t="s">
        <v>858</v>
      </c>
    </row>
    <row r="27" spans="1:8">
      <c r="A27" s="33">
        <v>4</v>
      </c>
      <c r="B27" s="27" t="s">
        <v>762</v>
      </c>
      <c r="C27" s="28" t="s">
        <v>249</v>
      </c>
      <c r="D27" s="28" t="s">
        <v>1861</v>
      </c>
      <c r="E27" s="29">
        <v>26.5</v>
      </c>
      <c r="F27" s="233">
        <v>19500</v>
      </c>
      <c r="G27" s="233">
        <v>516750</v>
      </c>
      <c r="H27" s="27" t="s">
        <v>248</v>
      </c>
    </row>
    <row r="28" spans="1:8">
      <c r="A28" s="33">
        <v>5</v>
      </c>
      <c r="B28" s="27" t="s">
        <v>762</v>
      </c>
      <c r="C28" s="28" t="s">
        <v>270</v>
      </c>
      <c r="D28" s="28" t="s">
        <v>1862</v>
      </c>
      <c r="E28" s="29">
        <v>19.7</v>
      </c>
      <c r="F28" s="233">
        <v>22900</v>
      </c>
      <c r="G28" s="233">
        <v>451130</v>
      </c>
      <c r="H28" s="27" t="s">
        <v>269</v>
      </c>
    </row>
    <row r="29" spans="1:8">
      <c r="A29" s="33">
        <v>5</v>
      </c>
      <c r="B29" s="27" t="s">
        <v>762</v>
      </c>
      <c r="C29" s="28" t="s">
        <v>272</v>
      </c>
      <c r="D29" s="28" t="s">
        <v>1863</v>
      </c>
      <c r="E29" s="29">
        <v>26.1</v>
      </c>
      <c r="F29" s="233">
        <v>18500</v>
      </c>
      <c r="G29" s="233">
        <v>482850</v>
      </c>
      <c r="H29" s="27" t="s">
        <v>269</v>
      </c>
    </row>
    <row r="30" spans="1:8">
      <c r="A30" s="33">
        <v>5</v>
      </c>
      <c r="B30" s="27" t="s">
        <v>762</v>
      </c>
      <c r="C30" s="28" t="s">
        <v>274</v>
      </c>
      <c r="D30" s="28" t="s">
        <v>1864</v>
      </c>
      <c r="E30" s="29">
        <v>30.66</v>
      </c>
      <c r="F30" s="233">
        <v>18900</v>
      </c>
      <c r="G30" s="233">
        <v>579474</v>
      </c>
      <c r="H30" s="27" t="s">
        <v>269</v>
      </c>
    </row>
    <row r="31" spans="1:8">
      <c r="A31" s="33">
        <v>5</v>
      </c>
      <c r="B31" s="27" t="s">
        <v>762</v>
      </c>
      <c r="C31" s="28" t="s">
        <v>276</v>
      </c>
      <c r="D31" s="28" t="s">
        <v>1865</v>
      </c>
      <c r="E31" s="29">
        <v>21.55</v>
      </c>
      <c r="F31" s="233">
        <v>42000</v>
      </c>
      <c r="G31" s="233">
        <v>905100</v>
      </c>
      <c r="H31" s="27" t="s">
        <v>269</v>
      </c>
    </row>
    <row r="32" spans="1:8">
      <c r="A32" s="33">
        <v>5</v>
      </c>
      <c r="B32" s="27" t="s">
        <v>762</v>
      </c>
      <c r="C32" s="28" t="s">
        <v>278</v>
      </c>
      <c r="D32" s="28" t="s">
        <v>1866</v>
      </c>
      <c r="E32" s="29">
        <v>18</v>
      </c>
      <c r="F32" s="233">
        <v>44000</v>
      </c>
      <c r="G32" s="233">
        <v>792000</v>
      </c>
      <c r="H32" s="27" t="s">
        <v>269</v>
      </c>
    </row>
    <row r="33" spans="1:8">
      <c r="A33" s="33">
        <v>5</v>
      </c>
      <c r="B33" s="27" t="s">
        <v>762</v>
      </c>
      <c r="C33" s="28" t="s">
        <v>209</v>
      </c>
      <c r="D33" s="28" t="s">
        <v>1867</v>
      </c>
      <c r="E33" s="29">
        <v>20.239999999999998</v>
      </c>
      <c r="F33" s="233">
        <v>25900</v>
      </c>
      <c r="G33" s="233">
        <v>524216</v>
      </c>
      <c r="H33" s="27" t="s">
        <v>269</v>
      </c>
    </row>
    <row r="34" spans="1:8">
      <c r="A34" s="33">
        <v>5</v>
      </c>
      <c r="B34" s="27" t="s">
        <v>762</v>
      </c>
      <c r="C34" s="28" t="s">
        <v>211</v>
      </c>
      <c r="D34" s="28" t="s">
        <v>1868</v>
      </c>
      <c r="E34" s="29">
        <v>9</v>
      </c>
      <c r="F34" s="233">
        <v>34500</v>
      </c>
      <c r="G34" s="233">
        <v>310500</v>
      </c>
      <c r="H34" s="27" t="s">
        <v>269</v>
      </c>
    </row>
    <row r="35" spans="1:8">
      <c r="A35" s="33">
        <v>5</v>
      </c>
      <c r="B35" s="27" t="s">
        <v>762</v>
      </c>
      <c r="C35" s="28" t="s">
        <v>282</v>
      </c>
      <c r="D35" s="28" t="s">
        <v>1869</v>
      </c>
      <c r="E35" s="29">
        <v>150.9</v>
      </c>
      <c r="F35" s="233">
        <v>21900</v>
      </c>
      <c r="G35" s="233">
        <v>3304710</v>
      </c>
      <c r="H35" s="27" t="s">
        <v>269</v>
      </c>
    </row>
    <row r="36" spans="1:8">
      <c r="A36" s="33">
        <v>5</v>
      </c>
      <c r="B36" s="27" t="s">
        <v>766</v>
      </c>
      <c r="C36" s="28" t="s">
        <v>785</v>
      </c>
      <c r="D36" s="28" t="s">
        <v>1870</v>
      </c>
      <c r="E36" s="31">
        <v>12</v>
      </c>
      <c r="F36" s="233">
        <v>19500</v>
      </c>
      <c r="G36" s="233">
        <v>234000</v>
      </c>
      <c r="H36" s="27" t="s">
        <v>269</v>
      </c>
    </row>
    <row r="37" spans="1:8">
      <c r="A37" s="33">
        <v>7</v>
      </c>
      <c r="B37" s="27" t="s">
        <v>762</v>
      </c>
      <c r="C37" s="28" t="s">
        <v>296</v>
      </c>
      <c r="D37" s="28" t="s">
        <v>1871</v>
      </c>
      <c r="E37" s="29">
        <v>5.5919999999999996</v>
      </c>
      <c r="F37" s="233">
        <v>26900</v>
      </c>
      <c r="G37" s="233">
        <v>150425</v>
      </c>
      <c r="H37" s="27" t="s">
        <v>295</v>
      </c>
    </row>
    <row r="38" spans="1:8">
      <c r="A38" s="33">
        <v>7</v>
      </c>
      <c r="B38" s="27" t="s">
        <v>762</v>
      </c>
      <c r="C38" s="28" t="s">
        <v>209</v>
      </c>
      <c r="D38" s="28" t="s">
        <v>1872</v>
      </c>
      <c r="E38" s="29">
        <v>21.61</v>
      </c>
      <c r="F38" s="233">
        <v>25900</v>
      </c>
      <c r="G38" s="233">
        <v>559699</v>
      </c>
      <c r="H38" s="27" t="s">
        <v>295</v>
      </c>
    </row>
    <row r="39" spans="1:8">
      <c r="A39" s="33">
        <v>7</v>
      </c>
      <c r="B39" s="27" t="s">
        <v>762</v>
      </c>
      <c r="C39" s="28" t="s">
        <v>211</v>
      </c>
      <c r="D39" s="28" t="s">
        <v>1873</v>
      </c>
      <c r="E39" s="29">
        <v>20.565000000000001</v>
      </c>
      <c r="F39" s="233">
        <v>34500</v>
      </c>
      <c r="G39" s="233">
        <v>709493</v>
      </c>
      <c r="H39" s="27" t="s">
        <v>295</v>
      </c>
    </row>
    <row r="40" spans="1:8">
      <c r="A40" s="33">
        <v>7</v>
      </c>
      <c r="B40" s="27" t="s">
        <v>766</v>
      </c>
      <c r="C40" s="28" t="s">
        <v>1019</v>
      </c>
      <c r="D40" s="28" t="s">
        <v>1874</v>
      </c>
      <c r="E40" s="31">
        <v>10</v>
      </c>
      <c r="F40" s="233">
        <v>10900</v>
      </c>
      <c r="G40" s="233">
        <v>109000</v>
      </c>
      <c r="H40" s="27" t="s">
        <v>295</v>
      </c>
    </row>
    <row r="41" spans="1:8">
      <c r="A41" s="33">
        <v>20</v>
      </c>
      <c r="B41" s="27" t="s">
        <v>762</v>
      </c>
      <c r="C41" s="28" t="s">
        <v>234</v>
      </c>
      <c r="D41" s="28" t="s">
        <v>1824</v>
      </c>
      <c r="E41" s="29">
        <v>14.05</v>
      </c>
      <c r="F41" s="233">
        <v>53000</v>
      </c>
      <c r="G41" s="233">
        <v>744650</v>
      </c>
      <c r="H41" s="27" t="s">
        <v>1875</v>
      </c>
    </row>
    <row r="42" spans="1:8">
      <c r="A42" s="33">
        <v>20</v>
      </c>
      <c r="B42" s="27" t="s">
        <v>762</v>
      </c>
      <c r="C42" s="28" t="s">
        <v>296</v>
      </c>
      <c r="D42" s="28" t="s">
        <v>1826</v>
      </c>
      <c r="E42" s="29">
        <v>11.38</v>
      </c>
      <c r="F42" s="233">
        <v>28000</v>
      </c>
      <c r="G42" s="233">
        <v>318500</v>
      </c>
      <c r="H42" s="27" t="s">
        <v>1875</v>
      </c>
    </row>
    <row r="43" spans="1:8">
      <c r="A43" s="33">
        <v>20</v>
      </c>
      <c r="B43" s="27" t="s">
        <v>762</v>
      </c>
      <c r="C43" s="28" t="s">
        <v>211</v>
      </c>
      <c r="D43" s="28" t="s">
        <v>1825</v>
      </c>
      <c r="E43" s="29">
        <v>6.1</v>
      </c>
      <c r="F43" s="233">
        <v>30000</v>
      </c>
      <c r="G43" s="233">
        <v>183000</v>
      </c>
      <c r="H43" s="27" t="s">
        <v>1875</v>
      </c>
    </row>
    <row r="44" spans="1:8">
      <c r="A44" s="33">
        <v>22</v>
      </c>
      <c r="B44" s="27" t="s">
        <v>762</v>
      </c>
      <c r="C44" s="28" t="s">
        <v>211</v>
      </c>
      <c r="D44" s="28" t="s">
        <v>1832</v>
      </c>
      <c r="E44" s="29">
        <v>16.149999999999999</v>
      </c>
      <c r="F44" s="233">
        <v>30000</v>
      </c>
      <c r="G44" s="233">
        <v>484500</v>
      </c>
      <c r="H44" s="27" t="s">
        <v>1876</v>
      </c>
    </row>
    <row r="45" spans="1:8">
      <c r="A45" s="33">
        <v>23</v>
      </c>
      <c r="B45" s="27" t="s">
        <v>762</v>
      </c>
      <c r="C45" s="28" t="s">
        <v>228</v>
      </c>
      <c r="D45" s="28" t="s">
        <v>1817</v>
      </c>
      <c r="E45" s="29">
        <v>5.25</v>
      </c>
      <c r="F45" s="233">
        <v>33000</v>
      </c>
      <c r="G45" s="233">
        <v>173250</v>
      </c>
      <c r="H45" s="27" t="s">
        <v>1877</v>
      </c>
    </row>
    <row r="46" spans="1:8">
      <c r="A46" s="33">
        <v>23</v>
      </c>
      <c r="B46" s="27" t="s">
        <v>762</v>
      </c>
      <c r="C46" s="28" t="s">
        <v>1818</v>
      </c>
      <c r="D46" s="28" t="s">
        <v>1819</v>
      </c>
      <c r="E46" s="29">
        <v>5.35</v>
      </c>
      <c r="F46" s="233">
        <v>21500</v>
      </c>
      <c r="G46" s="233">
        <v>115025</v>
      </c>
      <c r="H46" s="27" t="s">
        <v>1877</v>
      </c>
    </row>
    <row r="47" spans="1:8">
      <c r="A47" s="33">
        <v>24</v>
      </c>
      <c r="B47" s="27" t="s">
        <v>762</v>
      </c>
      <c r="C47" s="28" t="s">
        <v>228</v>
      </c>
      <c r="D47" s="28" t="s">
        <v>1831</v>
      </c>
      <c r="E47" s="29">
        <v>4.3</v>
      </c>
      <c r="F47" s="233">
        <v>33000</v>
      </c>
      <c r="G47" s="233">
        <v>141900</v>
      </c>
      <c r="H47" s="27" t="s">
        <v>1878</v>
      </c>
    </row>
    <row r="48" spans="1:8">
      <c r="A48" s="33">
        <v>24</v>
      </c>
      <c r="B48" s="27" t="s">
        <v>762</v>
      </c>
      <c r="C48" s="28" t="s">
        <v>211</v>
      </c>
      <c r="D48" s="28" t="s">
        <v>1830</v>
      </c>
      <c r="E48" s="29">
        <v>10.6</v>
      </c>
      <c r="F48" s="233">
        <v>30000</v>
      </c>
      <c r="G48" s="233">
        <v>318000</v>
      </c>
      <c r="H48" s="27" t="s">
        <v>1878</v>
      </c>
    </row>
    <row r="49" spans="1:8">
      <c r="A49" s="43">
        <v>4</v>
      </c>
      <c r="B49" s="47" t="s">
        <v>780</v>
      </c>
      <c r="C49" s="47" t="s">
        <v>781</v>
      </c>
      <c r="D49" s="47" t="s">
        <v>1879</v>
      </c>
      <c r="E49" s="45">
        <v>1</v>
      </c>
      <c r="F49" s="276">
        <v>30000</v>
      </c>
      <c r="G49" s="276">
        <v>30000</v>
      </c>
      <c r="H49" s="47" t="s">
        <v>962</v>
      </c>
    </row>
    <row r="50" spans="1:8">
      <c r="A50" s="51">
        <v>3</v>
      </c>
      <c r="B50" s="52" t="s">
        <v>762</v>
      </c>
      <c r="C50" s="53" t="s">
        <v>241</v>
      </c>
      <c r="D50" s="53" t="s">
        <v>1880</v>
      </c>
      <c r="E50" s="54">
        <v>5</v>
      </c>
      <c r="F50" s="234">
        <v>47600</v>
      </c>
      <c r="G50" s="234">
        <v>238000</v>
      </c>
      <c r="H50" s="52" t="s">
        <v>240</v>
      </c>
    </row>
    <row r="51" spans="1:8">
      <c r="A51" s="51">
        <v>6</v>
      </c>
      <c r="B51" s="52" t="s">
        <v>766</v>
      </c>
      <c r="C51" s="53" t="s">
        <v>767</v>
      </c>
      <c r="D51" s="53" t="s">
        <v>1881</v>
      </c>
      <c r="E51" s="54">
        <v>1</v>
      </c>
      <c r="F51" s="234">
        <v>200000</v>
      </c>
      <c r="G51" s="234">
        <v>200000</v>
      </c>
      <c r="H51" s="52" t="s">
        <v>1882</v>
      </c>
    </row>
    <row r="52" spans="1:8">
      <c r="A52" s="115">
        <v>8</v>
      </c>
      <c r="B52" s="115" t="s">
        <v>762</v>
      </c>
      <c r="C52" s="116" t="s">
        <v>403</v>
      </c>
      <c r="D52" s="116" t="s">
        <v>1883</v>
      </c>
      <c r="E52" s="117">
        <v>14.1</v>
      </c>
      <c r="F52" s="235">
        <v>18500</v>
      </c>
      <c r="G52" s="235">
        <v>260850</v>
      </c>
      <c r="H52" s="115" t="s">
        <v>1884</v>
      </c>
    </row>
    <row r="53" spans="1:8">
      <c r="A53" s="115">
        <v>8</v>
      </c>
      <c r="B53" s="115" t="s">
        <v>762</v>
      </c>
      <c r="C53" s="116" t="s">
        <v>218</v>
      </c>
      <c r="D53" s="116" t="s">
        <v>1885</v>
      </c>
      <c r="E53" s="117">
        <v>14.9</v>
      </c>
      <c r="F53" s="235">
        <v>7500</v>
      </c>
      <c r="G53" s="235">
        <v>111750</v>
      </c>
      <c r="H53" s="115" t="s">
        <v>1884</v>
      </c>
    </row>
    <row r="54" spans="1:8">
      <c r="A54" s="115">
        <v>9</v>
      </c>
      <c r="B54" s="115" t="s">
        <v>762</v>
      </c>
      <c r="C54" s="116" t="s">
        <v>403</v>
      </c>
      <c r="D54" s="116" t="s">
        <v>1886</v>
      </c>
      <c r="E54" s="117">
        <v>13.6</v>
      </c>
      <c r="F54" s="235">
        <v>18500</v>
      </c>
      <c r="G54" s="235">
        <v>251600</v>
      </c>
      <c r="H54" s="115" t="s">
        <v>1887</v>
      </c>
    </row>
    <row r="55" spans="1:8">
      <c r="A55" s="115">
        <v>9</v>
      </c>
      <c r="B55" s="115" t="s">
        <v>762</v>
      </c>
      <c r="C55" s="116" t="s">
        <v>218</v>
      </c>
      <c r="D55" s="116" t="s">
        <v>1888</v>
      </c>
      <c r="E55" s="117">
        <v>43.4</v>
      </c>
      <c r="F55" s="235">
        <v>7500</v>
      </c>
      <c r="G55" s="235">
        <v>325500</v>
      </c>
      <c r="H55" s="115" t="s">
        <v>1887</v>
      </c>
    </row>
    <row r="56" spans="1:8">
      <c r="A56" s="115">
        <v>10</v>
      </c>
      <c r="B56" s="115" t="s">
        <v>762</v>
      </c>
      <c r="C56" s="116" t="s">
        <v>218</v>
      </c>
      <c r="D56" s="116" t="s">
        <v>1889</v>
      </c>
      <c r="E56" s="117">
        <v>87.3</v>
      </c>
      <c r="F56" s="235">
        <v>7500</v>
      </c>
      <c r="G56" s="235">
        <v>654750</v>
      </c>
      <c r="H56" s="115" t="s">
        <v>1890</v>
      </c>
    </row>
    <row r="57" spans="1:8">
      <c r="A57" s="115">
        <v>14</v>
      </c>
      <c r="B57" s="115" t="s">
        <v>762</v>
      </c>
      <c r="C57" s="116" t="s">
        <v>1891</v>
      </c>
      <c r="D57" s="116" t="s">
        <v>1892</v>
      </c>
      <c r="E57" s="117">
        <v>19.422000000000001</v>
      </c>
      <c r="F57" s="235">
        <v>25900</v>
      </c>
      <c r="G57" s="235">
        <v>503030</v>
      </c>
      <c r="H57" s="115" t="s">
        <v>396</v>
      </c>
    </row>
    <row r="58" spans="1:8">
      <c r="A58" s="115">
        <v>14</v>
      </c>
      <c r="B58" s="115" t="s">
        <v>762</v>
      </c>
      <c r="C58" s="116" t="s">
        <v>1891</v>
      </c>
      <c r="D58" s="116" t="s">
        <v>1893</v>
      </c>
      <c r="E58" s="117">
        <v>5.3220000000000001</v>
      </c>
      <c r="F58" s="235">
        <v>29500</v>
      </c>
      <c r="G58" s="235">
        <v>156999</v>
      </c>
      <c r="H58" s="115" t="s">
        <v>396</v>
      </c>
    </row>
    <row r="59" spans="1:8">
      <c r="A59" s="115">
        <v>14</v>
      </c>
      <c r="B59" s="115" t="s">
        <v>1033</v>
      </c>
      <c r="C59" s="116" t="s">
        <v>1346</v>
      </c>
      <c r="D59" s="116" t="s">
        <v>1894</v>
      </c>
      <c r="E59" s="117">
        <v>9</v>
      </c>
      <c r="F59" s="235">
        <v>15300</v>
      </c>
      <c r="G59" s="235">
        <v>137700</v>
      </c>
      <c r="H59" s="115" t="s">
        <v>1348</v>
      </c>
    </row>
    <row r="60" spans="1:8">
      <c r="A60" s="115">
        <v>14</v>
      </c>
      <c r="B60" s="115" t="s">
        <v>635</v>
      </c>
      <c r="C60" s="116" t="s">
        <v>1895</v>
      </c>
      <c r="D60" s="116" t="s">
        <v>1896</v>
      </c>
      <c r="E60" s="117">
        <v>1</v>
      </c>
      <c r="F60" s="235">
        <v>300</v>
      </c>
      <c r="G60" s="235">
        <v>300</v>
      </c>
      <c r="H60" s="115" t="s">
        <v>1348</v>
      </c>
    </row>
    <row r="61" spans="1:8">
      <c r="A61" s="115">
        <v>14</v>
      </c>
      <c r="B61" s="115" t="s">
        <v>1033</v>
      </c>
      <c r="C61" s="116" t="s">
        <v>1574</v>
      </c>
      <c r="D61" s="116" t="s">
        <v>1897</v>
      </c>
      <c r="E61" s="117">
        <v>2</v>
      </c>
      <c r="F61" s="235">
        <v>9500</v>
      </c>
      <c r="G61" s="235">
        <v>19000</v>
      </c>
      <c r="H61" s="115" t="s">
        <v>1898</v>
      </c>
    </row>
    <row r="62" spans="1:8">
      <c r="A62" s="115">
        <v>14</v>
      </c>
      <c r="B62" s="115" t="s">
        <v>1033</v>
      </c>
      <c r="C62" s="116" t="s">
        <v>1574</v>
      </c>
      <c r="D62" s="116" t="s">
        <v>1899</v>
      </c>
      <c r="E62" s="117">
        <v>3</v>
      </c>
      <c r="F62" s="235">
        <v>5000</v>
      </c>
      <c r="G62" s="235">
        <v>15000</v>
      </c>
      <c r="H62" s="115" t="s">
        <v>1898</v>
      </c>
    </row>
    <row r="63" spans="1:8">
      <c r="A63" s="115">
        <v>14</v>
      </c>
      <c r="B63" s="115" t="s">
        <v>1033</v>
      </c>
      <c r="C63" s="116" t="s">
        <v>1574</v>
      </c>
      <c r="D63" s="116" t="s">
        <v>1900</v>
      </c>
      <c r="E63" s="117">
        <v>4</v>
      </c>
      <c r="F63" s="235">
        <v>5000</v>
      </c>
      <c r="G63" s="235">
        <v>20000</v>
      </c>
      <c r="H63" s="115" t="s">
        <v>1901</v>
      </c>
    </row>
    <row r="64" spans="1:8">
      <c r="A64" s="115">
        <v>15</v>
      </c>
      <c r="B64" s="115" t="s">
        <v>762</v>
      </c>
      <c r="C64" s="116" t="s">
        <v>370</v>
      </c>
      <c r="D64" s="116" t="s">
        <v>1902</v>
      </c>
      <c r="E64" s="117">
        <v>39.75</v>
      </c>
      <c r="F64" s="235">
        <v>30000</v>
      </c>
      <c r="G64" s="235">
        <v>1192500</v>
      </c>
      <c r="H64" s="115" t="s">
        <v>1903</v>
      </c>
    </row>
    <row r="65" spans="1:8">
      <c r="A65" s="115">
        <v>15</v>
      </c>
      <c r="B65" s="115" t="s">
        <v>762</v>
      </c>
      <c r="C65" s="116" t="s">
        <v>377</v>
      </c>
      <c r="D65" s="116" t="s">
        <v>1904</v>
      </c>
      <c r="E65" s="117">
        <v>4.6500000000000004</v>
      </c>
      <c r="F65" s="235">
        <v>18600</v>
      </c>
      <c r="G65" s="235">
        <v>86490</v>
      </c>
      <c r="H65" s="115" t="s">
        <v>1903</v>
      </c>
    </row>
    <row r="66" spans="1:8">
      <c r="A66" s="115">
        <v>15</v>
      </c>
      <c r="B66" s="115" t="s">
        <v>762</v>
      </c>
      <c r="C66" s="116" t="s">
        <v>377</v>
      </c>
      <c r="D66" s="116" t="s">
        <v>1905</v>
      </c>
      <c r="E66" s="117">
        <v>9.19</v>
      </c>
      <c r="F66" s="235">
        <v>20400</v>
      </c>
      <c r="G66" s="235">
        <v>187476</v>
      </c>
      <c r="H66" s="115" t="s">
        <v>1906</v>
      </c>
    </row>
    <row r="67" spans="1:8">
      <c r="A67" s="115">
        <v>15</v>
      </c>
      <c r="B67" s="115" t="s">
        <v>762</v>
      </c>
      <c r="C67" s="116" t="s">
        <v>1907</v>
      </c>
      <c r="D67" s="116" t="s">
        <v>1908</v>
      </c>
      <c r="E67" s="117">
        <v>4.0999999999999996</v>
      </c>
      <c r="F67" s="235">
        <v>34000</v>
      </c>
      <c r="G67" s="235">
        <v>139400</v>
      </c>
      <c r="H67" s="115" t="s">
        <v>1909</v>
      </c>
    </row>
    <row r="68" spans="1:8">
      <c r="A68" s="115">
        <v>15</v>
      </c>
      <c r="B68" s="115" t="s">
        <v>762</v>
      </c>
      <c r="C68" s="116" t="s">
        <v>1910</v>
      </c>
      <c r="D68" s="116" t="s">
        <v>1911</v>
      </c>
      <c r="E68" s="117">
        <v>20.399999999999999</v>
      </c>
      <c r="F68" s="235">
        <v>20000</v>
      </c>
      <c r="G68" s="235">
        <v>408000</v>
      </c>
      <c r="H68" s="115" t="s">
        <v>1909</v>
      </c>
    </row>
    <row r="69" spans="1:8">
      <c r="A69" s="115">
        <v>11</v>
      </c>
      <c r="B69" s="115" t="s">
        <v>762</v>
      </c>
      <c r="C69" s="116" t="s">
        <v>400</v>
      </c>
      <c r="D69" s="116" t="s">
        <v>1912</v>
      </c>
      <c r="E69" s="117">
        <v>18.649999999999999</v>
      </c>
      <c r="F69" s="235">
        <v>19500</v>
      </c>
      <c r="G69" s="235">
        <v>363675</v>
      </c>
      <c r="H69" s="115" t="s">
        <v>1913</v>
      </c>
    </row>
  </sheetData>
  <autoFilter ref="A1:H1" xr:uid="{00000000-0009-0000-0000-00000A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Dashboard</vt:lpstr>
      <vt:lpstr>Dashboard Ventas</vt:lpstr>
      <vt:lpstr>Dashboard Carnes</vt:lpstr>
      <vt:lpstr>Dashboard Bebidas</vt:lpstr>
      <vt:lpstr>Detalle Ventas Septiembre 2026</vt:lpstr>
      <vt:lpstr>Detalle Compras Septiembre 2026</vt:lpstr>
      <vt:lpstr>Auditoría Cuaderno vs Excel</vt:lpstr>
      <vt:lpstr>Auditoria libro de Caja</vt:lpstr>
      <vt:lpstr>Hoja1</vt:lpstr>
      <vt:lpstr>Agosto 2026</vt:lpstr>
      <vt:lpstr>Transacciones Repetidas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2026-09-18T23:12:50Z</cp:lastPrinted>
  <dcterms:created xsi:type="dcterms:W3CDTF">2026-09-04T03:02:21Z</dcterms:created>
  <dcterms:modified xsi:type="dcterms:W3CDTF">2026-09-18T23:12:50Z</dcterms:modified>
</cp:coreProperties>
</file>