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Costos_Finca\SEPTIEMBRE 2026\"/>
    </mc:Choice>
  </mc:AlternateContent>
  <xr:revisionPtr revIDLastSave="0" documentId="13_ncr:1_{B10435CC-3BCC-4E49-8C6D-81AF726CAF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Dashboard Ventas" sheetId="2" r:id="rId2"/>
    <sheet name="Dashboard Carnes" sheetId="3" r:id="rId3"/>
    <sheet name="Dashboard Bebidas" sheetId="4" r:id="rId4"/>
    <sheet name="Dashboard Nomina" sheetId="5" r:id="rId5"/>
    <sheet name="Detalle Ventas Septiembre 2026" sheetId="6" r:id="rId6"/>
    <sheet name="Detalle Compras Septiembre 2026" sheetId="7" r:id="rId7"/>
    <sheet name="Hoja2" sheetId="8" state="hidden" r:id="rId8"/>
    <sheet name="Auditoría Cuaderno vs Excel" sheetId="9" r:id="rId9"/>
    <sheet name="Auditoria libro de Caja" sheetId="10" r:id="rId10"/>
    <sheet name="Hoja1" sheetId="11" state="hidden" r:id="rId11"/>
    <sheet name="Facturas por Proveedor" sheetId="12" r:id="rId12"/>
    <sheet name="Agosto 2026" sheetId="13" state="hidden" r:id="rId13"/>
    <sheet name="Transacciones Repetidas" sheetId="14" state="hidden" r:id="rId14"/>
    <sheet name="Control Físico Bebidas vs Excel" sheetId="15" r:id="rId15"/>
  </sheets>
  <definedNames>
    <definedName name="_xlnm._FilterDatabase" localSheetId="12" hidden="1">'Agosto 2026'!$A$1:$G$1</definedName>
    <definedName name="_xlnm._FilterDatabase" localSheetId="8" hidden="1">'Auditoría Cuaderno vs Excel'!$B$10:$J$53</definedName>
    <definedName name="_xlnm._FilterDatabase" localSheetId="9" hidden="1">'Auditoria libro de Caja'!$B$10:$L$80</definedName>
    <definedName name="_xlnm._FilterDatabase" localSheetId="14" hidden="1">'Control Físico Bebidas vs Excel'!$B$67:$H$67</definedName>
    <definedName name="_xlnm._FilterDatabase" localSheetId="0" hidden="1">Dashboard!$B$27:$N$61</definedName>
    <definedName name="_xlnm._FilterDatabase" localSheetId="3" hidden="1">'Dashboard Bebidas'!$I$9:$R$125</definedName>
    <definedName name="_xlnm._FilterDatabase" localSheetId="2" hidden="1">'Dashboard Carnes'!$I$9:$O$156</definedName>
    <definedName name="_xlnm._FilterDatabase" localSheetId="6" hidden="1">'Detalle Compras Septiembre 2026'!$A$1:$K$899</definedName>
    <definedName name="_xlnm._FilterDatabase" localSheetId="5" hidden="1">'Detalle Ventas Septiembre 2026'!$A$1:$O$1598</definedName>
    <definedName name="_xlnm._FilterDatabase" localSheetId="11" hidden="1">'Facturas por Proveedor'!$B$10:$J$54</definedName>
    <definedName name="_xlnm._FilterDatabase" localSheetId="10" hidden="1">Hoja1!$A$1:$C$107</definedName>
    <definedName name="_xlnm._FilterDatabase" localSheetId="13" hidden="1">'Transacciones Repetidas'!$A$1:$H$1</definedName>
    <definedName name="Print_Area" localSheetId="0">Dashboard!$B$2:$N$60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8" i="15" l="1"/>
  <c r="G88" i="15"/>
  <c r="O37" i="15"/>
  <c r="N37" i="15"/>
  <c r="J37" i="15"/>
  <c r="I37" i="15"/>
  <c r="K37" i="15" s="1"/>
  <c r="G37" i="15"/>
  <c r="H37" i="15" s="1"/>
  <c r="F37" i="15"/>
  <c r="D530" i="12"/>
  <c r="D529" i="12"/>
  <c r="I521" i="12"/>
  <c r="D521" i="12"/>
  <c r="I520" i="12"/>
  <c r="D520" i="12"/>
  <c r="D522" i="12" s="1"/>
  <c r="I512" i="12"/>
  <c r="D512" i="12"/>
  <c r="I511" i="12"/>
  <c r="D511" i="12"/>
  <c r="D513" i="12" s="1"/>
  <c r="I503" i="12"/>
  <c r="I504" i="12" s="1"/>
  <c r="I502" i="12"/>
  <c r="D502" i="12"/>
  <c r="D501" i="12"/>
  <c r="D503" i="12" s="1"/>
  <c r="D493" i="12"/>
  <c r="D492" i="12"/>
  <c r="D494" i="12" s="1"/>
  <c r="I489" i="12"/>
  <c r="I490" i="12" s="1"/>
  <c r="I488" i="12"/>
  <c r="D480" i="12"/>
  <c r="D479" i="12"/>
  <c r="I478" i="12"/>
  <c r="I477" i="12"/>
  <c r="I479" i="12" s="1"/>
  <c r="I469" i="12"/>
  <c r="I470" i="12" s="1"/>
  <c r="I468" i="12"/>
  <c r="D454" i="12"/>
  <c r="D455" i="12" s="1"/>
  <c r="D453" i="12"/>
  <c r="I444" i="12"/>
  <c r="I443" i="12"/>
  <c r="D433" i="12"/>
  <c r="D432" i="12"/>
  <c r="I424" i="12"/>
  <c r="I425" i="12" s="1"/>
  <c r="D424" i="12"/>
  <c r="I423" i="12"/>
  <c r="D423" i="12"/>
  <c r="D425" i="12" s="1"/>
  <c r="I415" i="12"/>
  <c r="I414" i="12"/>
  <c r="I413" i="12"/>
  <c r="D401" i="12"/>
  <c r="D400" i="12"/>
  <c r="D402" i="12" s="1"/>
  <c r="I374" i="12"/>
  <c r="D374" i="12"/>
  <c r="I373" i="12"/>
  <c r="I375" i="12" s="1"/>
  <c r="D373" i="12"/>
  <c r="I364" i="12"/>
  <c r="D364" i="12"/>
  <c r="I363" i="12"/>
  <c r="I365" i="12" s="1"/>
  <c r="D363" i="12"/>
  <c r="D365" i="12" s="1"/>
  <c r="D353" i="12"/>
  <c r="D352" i="12"/>
  <c r="D354" i="12" s="1"/>
  <c r="I349" i="12"/>
  <c r="I350" i="12" s="1"/>
  <c r="I348" i="12"/>
  <c r="D338" i="12"/>
  <c r="I337" i="12"/>
  <c r="D337" i="12"/>
  <c r="D339" i="12" s="1"/>
  <c r="I336" i="12"/>
  <c r="D328" i="12"/>
  <c r="I327" i="12"/>
  <c r="D327" i="12"/>
  <c r="D329" i="12" s="1"/>
  <c r="I326" i="12"/>
  <c r="D317" i="12"/>
  <c r="D316" i="12"/>
  <c r="I301" i="12"/>
  <c r="I300" i="12"/>
  <c r="I288" i="12"/>
  <c r="I287" i="12"/>
  <c r="D285" i="12"/>
  <c r="D286" i="12" s="1"/>
  <c r="D284" i="12"/>
  <c r="D276" i="12"/>
  <c r="D275" i="12"/>
  <c r="D277" i="12" s="1"/>
  <c r="I225" i="12"/>
  <c r="I224" i="12"/>
  <c r="I226" i="12" s="1"/>
  <c r="I206" i="12"/>
  <c r="D206" i="12"/>
  <c r="I205" i="12"/>
  <c r="D205" i="12"/>
  <c r="I197" i="12"/>
  <c r="I196" i="12"/>
  <c r="I198" i="12" s="1"/>
  <c r="D190" i="12"/>
  <c r="D189" i="12"/>
  <c r="D176" i="12"/>
  <c r="D177" i="12" s="1"/>
  <c r="D175" i="12"/>
  <c r="I88" i="12"/>
  <c r="I87" i="12"/>
  <c r="D73" i="12"/>
  <c r="D72" i="12"/>
  <c r="I65" i="12"/>
  <c r="I64" i="12"/>
  <c r="G54" i="12"/>
  <c r="F54" i="12"/>
  <c r="E54" i="12"/>
  <c r="I53" i="12"/>
  <c r="H53" i="12"/>
  <c r="I52" i="12"/>
  <c r="H52" i="12"/>
  <c r="I51" i="12"/>
  <c r="H51" i="12"/>
  <c r="I50" i="12"/>
  <c r="H50" i="12"/>
  <c r="I49" i="12"/>
  <c r="H49" i="12"/>
  <c r="I48" i="12"/>
  <c r="H48" i="12"/>
  <c r="I47" i="12"/>
  <c r="H47" i="12"/>
  <c r="I46" i="12"/>
  <c r="H46" i="12"/>
  <c r="I45" i="12"/>
  <c r="H45" i="12"/>
  <c r="I44" i="12"/>
  <c r="H44" i="12"/>
  <c r="I43" i="12"/>
  <c r="H43" i="12"/>
  <c r="I42" i="12"/>
  <c r="H42" i="12"/>
  <c r="I41" i="12"/>
  <c r="H41" i="12"/>
  <c r="I40" i="12"/>
  <c r="H40" i="12"/>
  <c r="I39" i="12"/>
  <c r="H39" i="12"/>
  <c r="I38" i="12"/>
  <c r="H38" i="12"/>
  <c r="I37" i="12"/>
  <c r="H37" i="12"/>
  <c r="I36" i="12"/>
  <c r="H36" i="12"/>
  <c r="I35" i="12"/>
  <c r="H35" i="12"/>
  <c r="I34" i="12"/>
  <c r="H34" i="12"/>
  <c r="I33" i="12"/>
  <c r="H33" i="12"/>
  <c r="I32" i="12"/>
  <c r="H32" i="12"/>
  <c r="I31" i="12"/>
  <c r="H31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H54" i="12" s="1"/>
  <c r="F6" i="12" s="1"/>
  <c r="J6" i="12"/>
  <c r="B6" i="12"/>
  <c r="N111" i="5"/>
  <c r="N112" i="5" s="1"/>
  <c r="N109" i="5"/>
  <c r="N108" i="5"/>
  <c r="N107" i="5"/>
  <c r="N105" i="5"/>
  <c r="N104" i="5"/>
  <c r="N103" i="5"/>
  <c r="N102" i="5"/>
  <c r="N100" i="5"/>
  <c r="N99" i="5"/>
  <c r="N98" i="5"/>
  <c r="N97" i="5"/>
  <c r="N96" i="5"/>
  <c r="N95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7" i="5"/>
  <c r="N76" i="5"/>
  <c r="N75" i="5"/>
  <c r="N74" i="5"/>
  <c r="N73" i="5"/>
  <c r="N78" i="5" s="1"/>
  <c r="N72" i="5"/>
  <c r="N70" i="5"/>
  <c r="N69" i="5"/>
  <c r="N68" i="5"/>
  <c r="N67" i="5"/>
  <c r="N66" i="5"/>
  <c r="N65" i="5"/>
  <c r="N64" i="5"/>
  <c r="N62" i="5"/>
  <c r="N61" i="5"/>
  <c r="N60" i="5"/>
  <c r="N59" i="5"/>
  <c r="N58" i="5"/>
  <c r="N57" i="5"/>
  <c r="N56" i="5"/>
  <c r="N55" i="5"/>
  <c r="N54" i="5"/>
  <c r="N53" i="5"/>
  <c r="N52" i="5"/>
  <c r="N50" i="5"/>
  <c r="N49" i="5"/>
  <c r="N48" i="5"/>
  <c r="N47" i="5"/>
  <c r="N46" i="5"/>
  <c r="N45" i="5"/>
  <c r="N44" i="5"/>
  <c r="N43" i="5"/>
  <c r="N42" i="5"/>
  <c r="N41" i="5"/>
  <c r="N40" i="5"/>
  <c r="N39" i="5"/>
  <c r="N37" i="5"/>
  <c r="N36" i="5"/>
  <c r="N35" i="5"/>
  <c r="N34" i="5"/>
  <c r="N33" i="5"/>
  <c r="N32" i="5"/>
  <c r="N31" i="5"/>
  <c r="N30" i="5"/>
  <c r="N29" i="5"/>
  <c r="N38" i="5" s="1"/>
  <c r="N27" i="5"/>
  <c r="N26" i="5"/>
  <c r="E26" i="5"/>
  <c r="G26" i="5" s="1"/>
  <c r="N25" i="5"/>
  <c r="E25" i="5"/>
  <c r="G25" i="5" s="1"/>
  <c r="N24" i="5"/>
  <c r="E24" i="5"/>
  <c r="G24" i="5" s="1"/>
  <c r="E23" i="5"/>
  <c r="G23" i="5" s="1"/>
  <c r="N22" i="5"/>
  <c r="E22" i="5"/>
  <c r="G22" i="5" s="1"/>
  <c r="N21" i="5"/>
  <c r="E21" i="5"/>
  <c r="G21" i="5" s="1"/>
  <c r="N20" i="5"/>
  <c r="E20" i="5"/>
  <c r="G20" i="5" s="1"/>
  <c r="N19" i="5"/>
  <c r="G19" i="5"/>
  <c r="E19" i="5"/>
  <c r="N18" i="5"/>
  <c r="E18" i="5"/>
  <c r="G18" i="5" s="1"/>
  <c r="E17" i="5"/>
  <c r="G17" i="5" s="1"/>
  <c r="N16" i="5"/>
  <c r="G16" i="5"/>
  <c r="E16" i="5"/>
  <c r="N15" i="5"/>
  <c r="E15" i="5"/>
  <c r="N14" i="5"/>
  <c r="N17" i="5" s="1"/>
  <c r="E14" i="5"/>
  <c r="G14" i="5" s="1"/>
  <c r="N13" i="5"/>
  <c r="E13" i="5"/>
  <c r="G13" i="5" s="1"/>
  <c r="N12" i="5"/>
  <c r="E12" i="5"/>
  <c r="G12" i="5" s="1"/>
  <c r="N11" i="5"/>
  <c r="E11" i="5"/>
  <c r="E6" i="5" s="1"/>
  <c r="D11" i="5"/>
  <c r="M163" i="4"/>
  <c r="R162" i="4"/>
  <c r="P162" i="4"/>
  <c r="R161" i="4"/>
  <c r="P161" i="4"/>
  <c r="Q161" i="4" s="1"/>
  <c r="R160" i="4"/>
  <c r="P160" i="4"/>
  <c r="R159" i="4"/>
  <c r="P159" i="4"/>
  <c r="Q159" i="4" s="1"/>
  <c r="R158" i="4"/>
  <c r="P158" i="4"/>
  <c r="Q158" i="4" s="1"/>
  <c r="R157" i="4"/>
  <c r="P157" i="4"/>
  <c r="Q157" i="4" s="1"/>
  <c r="R156" i="4"/>
  <c r="P156" i="4"/>
  <c r="Q156" i="4" s="1"/>
  <c r="R155" i="4"/>
  <c r="P155" i="4"/>
  <c r="R154" i="4"/>
  <c r="P154" i="4"/>
  <c r="Q154" i="4" s="1"/>
  <c r="R153" i="4"/>
  <c r="P153" i="4"/>
  <c r="R152" i="4"/>
  <c r="P152" i="4"/>
  <c r="Q152" i="4" s="1"/>
  <c r="M151" i="4"/>
  <c r="R150" i="4"/>
  <c r="P150" i="4"/>
  <c r="Q150" i="4" s="1"/>
  <c r="R149" i="4"/>
  <c r="P149" i="4"/>
  <c r="R148" i="4"/>
  <c r="P148" i="4"/>
  <c r="R147" i="4"/>
  <c r="Q147" i="4" s="1"/>
  <c r="P147" i="4"/>
  <c r="R146" i="4"/>
  <c r="P146" i="4"/>
  <c r="Q146" i="4" s="1"/>
  <c r="R145" i="4"/>
  <c r="P145" i="4"/>
  <c r="Q145" i="4" s="1"/>
  <c r="R144" i="4"/>
  <c r="P144" i="4"/>
  <c r="R143" i="4"/>
  <c r="P143" i="4"/>
  <c r="Q143" i="4" s="1"/>
  <c r="R142" i="4"/>
  <c r="P142" i="4"/>
  <c r="R141" i="4"/>
  <c r="P141" i="4"/>
  <c r="R140" i="4"/>
  <c r="P140" i="4"/>
  <c r="Q140" i="4" s="1"/>
  <c r="R139" i="4"/>
  <c r="P139" i="4"/>
  <c r="Q139" i="4" s="1"/>
  <c r="R138" i="4"/>
  <c r="P138" i="4"/>
  <c r="Q138" i="4" s="1"/>
  <c r="R137" i="4"/>
  <c r="P137" i="4"/>
  <c r="R136" i="4"/>
  <c r="P136" i="4"/>
  <c r="Q136" i="4" s="1"/>
  <c r="R135" i="4"/>
  <c r="R151" i="4" s="1"/>
  <c r="P135" i="4"/>
  <c r="M134" i="4"/>
  <c r="R133" i="4"/>
  <c r="P133" i="4"/>
  <c r="R132" i="4"/>
  <c r="P132" i="4"/>
  <c r="Q132" i="4" s="1"/>
  <c r="R131" i="4"/>
  <c r="P131" i="4"/>
  <c r="R130" i="4"/>
  <c r="P130" i="4"/>
  <c r="R129" i="4"/>
  <c r="Q129" i="4" s="1"/>
  <c r="P129" i="4"/>
  <c r="R128" i="4"/>
  <c r="P128" i="4"/>
  <c r="Q128" i="4" s="1"/>
  <c r="M127" i="4"/>
  <c r="R126" i="4"/>
  <c r="P126" i="4"/>
  <c r="Q126" i="4" s="1"/>
  <c r="R125" i="4"/>
  <c r="P125" i="4"/>
  <c r="R124" i="4"/>
  <c r="P124" i="4"/>
  <c r="Q124" i="4" s="1"/>
  <c r="R123" i="4"/>
  <c r="P123" i="4"/>
  <c r="R122" i="4"/>
  <c r="Q122" i="4"/>
  <c r="P122" i="4"/>
  <c r="R121" i="4"/>
  <c r="P121" i="4"/>
  <c r="M120" i="4"/>
  <c r="R119" i="4"/>
  <c r="P119" i="4"/>
  <c r="R118" i="4"/>
  <c r="P118" i="4"/>
  <c r="R117" i="4"/>
  <c r="P117" i="4"/>
  <c r="Q117" i="4" s="1"/>
  <c r="R116" i="4"/>
  <c r="P116" i="4"/>
  <c r="R115" i="4"/>
  <c r="P115" i="4"/>
  <c r="R114" i="4"/>
  <c r="P114" i="4"/>
  <c r="Q114" i="4" s="1"/>
  <c r="R113" i="4"/>
  <c r="P113" i="4"/>
  <c r="M112" i="4"/>
  <c r="R111" i="4"/>
  <c r="Q111" i="4"/>
  <c r="P111" i="4"/>
  <c r="R110" i="4"/>
  <c r="P110" i="4"/>
  <c r="Q110" i="4" s="1"/>
  <c r="R109" i="4"/>
  <c r="P109" i="4"/>
  <c r="M108" i="4"/>
  <c r="R107" i="4"/>
  <c r="R108" i="4" s="1"/>
  <c r="P107" i="4"/>
  <c r="M106" i="4"/>
  <c r="R105" i="4"/>
  <c r="P105" i="4"/>
  <c r="Q105" i="4" s="1"/>
  <c r="R104" i="4"/>
  <c r="Q104" i="4" s="1"/>
  <c r="P104" i="4"/>
  <c r="R103" i="4"/>
  <c r="P103" i="4"/>
  <c r="Q103" i="4" s="1"/>
  <c r="M102" i="4"/>
  <c r="R101" i="4"/>
  <c r="P101" i="4"/>
  <c r="Q101" i="4" s="1"/>
  <c r="R100" i="4"/>
  <c r="R102" i="4" s="1"/>
  <c r="N102" i="4" s="1"/>
  <c r="P100" i="4"/>
  <c r="M99" i="4"/>
  <c r="R98" i="4"/>
  <c r="P98" i="4"/>
  <c r="Q98" i="4" s="1"/>
  <c r="R97" i="4"/>
  <c r="P97" i="4"/>
  <c r="R96" i="4"/>
  <c r="P96" i="4"/>
  <c r="R95" i="4"/>
  <c r="P95" i="4"/>
  <c r="P99" i="4" s="1"/>
  <c r="M94" i="4"/>
  <c r="R93" i="4"/>
  <c r="Q93" i="4"/>
  <c r="P93" i="4"/>
  <c r="R92" i="4"/>
  <c r="P92" i="4"/>
  <c r="Q92" i="4" s="1"/>
  <c r="M91" i="4"/>
  <c r="R90" i="4"/>
  <c r="P90" i="4"/>
  <c r="Q90" i="4" s="1"/>
  <c r="R89" i="4"/>
  <c r="P89" i="4"/>
  <c r="Q89" i="4" s="1"/>
  <c r="R88" i="4"/>
  <c r="P88" i="4"/>
  <c r="Q88" i="4" s="1"/>
  <c r="R87" i="4"/>
  <c r="P87" i="4"/>
  <c r="R86" i="4"/>
  <c r="P86" i="4"/>
  <c r="Q86" i="4" s="1"/>
  <c r="R85" i="4"/>
  <c r="P85" i="4"/>
  <c r="R84" i="4"/>
  <c r="P84" i="4"/>
  <c r="R83" i="4"/>
  <c r="P83" i="4"/>
  <c r="R82" i="4"/>
  <c r="Q82" i="4"/>
  <c r="P82" i="4"/>
  <c r="M81" i="4"/>
  <c r="R80" i="4"/>
  <c r="P80" i="4"/>
  <c r="Q80" i="4" s="1"/>
  <c r="R79" i="4"/>
  <c r="P79" i="4"/>
  <c r="R78" i="4"/>
  <c r="Q78" i="4"/>
  <c r="P78" i="4"/>
  <c r="R77" i="4"/>
  <c r="P77" i="4"/>
  <c r="Q77" i="4" s="1"/>
  <c r="R76" i="4"/>
  <c r="P76" i="4"/>
  <c r="R75" i="4"/>
  <c r="P75" i="4"/>
  <c r="Q75" i="4" s="1"/>
  <c r="R74" i="4"/>
  <c r="P74" i="4"/>
  <c r="Q74" i="4" s="1"/>
  <c r="R73" i="4"/>
  <c r="P73" i="4"/>
  <c r="Q73" i="4" s="1"/>
  <c r="R72" i="4"/>
  <c r="P72" i="4"/>
  <c r="Q72" i="4" s="1"/>
  <c r="R71" i="4"/>
  <c r="P71" i="4"/>
  <c r="R70" i="4"/>
  <c r="P70" i="4"/>
  <c r="R69" i="4"/>
  <c r="Q69" i="4" s="1"/>
  <c r="P69" i="4"/>
  <c r="R68" i="4"/>
  <c r="P68" i="4"/>
  <c r="Q68" i="4" s="1"/>
  <c r="R67" i="4"/>
  <c r="P67" i="4"/>
  <c r="Q67" i="4" s="1"/>
  <c r="R66" i="4"/>
  <c r="P66" i="4"/>
  <c r="R65" i="4"/>
  <c r="P65" i="4"/>
  <c r="Q65" i="4" s="1"/>
  <c r="R64" i="4"/>
  <c r="P64" i="4"/>
  <c r="R63" i="4"/>
  <c r="P63" i="4"/>
  <c r="R62" i="4"/>
  <c r="P62" i="4"/>
  <c r="Q62" i="4" s="1"/>
  <c r="R61" i="4"/>
  <c r="P61" i="4"/>
  <c r="Q61" i="4" s="1"/>
  <c r="R60" i="4"/>
  <c r="P60" i="4"/>
  <c r="Q60" i="4" s="1"/>
  <c r="R59" i="4"/>
  <c r="P59" i="4"/>
  <c r="Q59" i="4" s="1"/>
  <c r="R58" i="4"/>
  <c r="P58" i="4"/>
  <c r="Q58" i="4" s="1"/>
  <c r="R57" i="4"/>
  <c r="P57" i="4"/>
  <c r="R56" i="4"/>
  <c r="P56" i="4"/>
  <c r="Q56" i="4" s="1"/>
  <c r="R55" i="4"/>
  <c r="P55" i="4"/>
  <c r="M54" i="4"/>
  <c r="R53" i="4"/>
  <c r="P53" i="4"/>
  <c r="R52" i="4"/>
  <c r="P52" i="4"/>
  <c r="P54" i="4" s="1"/>
  <c r="M51" i="4"/>
  <c r="R50" i="4"/>
  <c r="P50" i="4"/>
  <c r="P51" i="4" s="1"/>
  <c r="R49" i="4"/>
  <c r="P49" i="4"/>
  <c r="R48" i="4"/>
  <c r="Q48" i="4"/>
  <c r="P48" i="4"/>
  <c r="R47" i="4"/>
  <c r="P47" i="4"/>
  <c r="Q47" i="4" s="1"/>
  <c r="M46" i="4"/>
  <c r="R45" i="4"/>
  <c r="P45" i="4"/>
  <c r="R44" i="4"/>
  <c r="Q44" i="4" s="1"/>
  <c r="P44" i="4"/>
  <c r="R43" i="4"/>
  <c r="P43" i="4"/>
  <c r="Q43" i="4" s="1"/>
  <c r="R42" i="4"/>
  <c r="P42" i="4"/>
  <c r="Q42" i="4" s="1"/>
  <c r="R41" i="4"/>
  <c r="P41" i="4"/>
  <c r="R40" i="4"/>
  <c r="P40" i="4"/>
  <c r="Q40" i="4" s="1"/>
  <c r="R39" i="4"/>
  <c r="P39" i="4"/>
  <c r="R38" i="4"/>
  <c r="P38" i="4"/>
  <c r="Q38" i="4" s="1"/>
  <c r="R37" i="4"/>
  <c r="P37" i="4"/>
  <c r="Q37" i="4" s="1"/>
  <c r="R36" i="4"/>
  <c r="P36" i="4"/>
  <c r="R35" i="4"/>
  <c r="P35" i="4"/>
  <c r="Q35" i="4" s="1"/>
  <c r="R34" i="4"/>
  <c r="P34" i="4"/>
  <c r="R33" i="4"/>
  <c r="P33" i="4"/>
  <c r="Q33" i="4" s="1"/>
  <c r="R32" i="4"/>
  <c r="R46" i="4" s="1"/>
  <c r="N46" i="4" s="1"/>
  <c r="P32" i="4"/>
  <c r="Q32" i="4" s="1"/>
  <c r="R31" i="4"/>
  <c r="P31" i="4"/>
  <c r="M30" i="4"/>
  <c r="R29" i="4"/>
  <c r="P29" i="4"/>
  <c r="Q29" i="4" s="1"/>
  <c r="R28" i="4"/>
  <c r="P28" i="4"/>
  <c r="M27" i="4"/>
  <c r="R26" i="4"/>
  <c r="P26" i="4"/>
  <c r="Q26" i="4" s="1"/>
  <c r="R25" i="4"/>
  <c r="P25" i="4"/>
  <c r="Q25" i="4" s="1"/>
  <c r="R24" i="4"/>
  <c r="P24" i="4"/>
  <c r="R23" i="4"/>
  <c r="Q23" i="4"/>
  <c r="P23" i="4"/>
  <c r="R22" i="4"/>
  <c r="P22" i="4"/>
  <c r="Q22" i="4" s="1"/>
  <c r="R21" i="4"/>
  <c r="P21" i="4"/>
  <c r="R20" i="4"/>
  <c r="P20" i="4"/>
  <c r="R19" i="4"/>
  <c r="P19" i="4"/>
  <c r="Q19" i="4" s="1"/>
  <c r="M18" i="4"/>
  <c r="R17" i="4"/>
  <c r="P17" i="4"/>
  <c r="R16" i="4"/>
  <c r="P16" i="4"/>
  <c r="R15" i="4"/>
  <c r="P15" i="4"/>
  <c r="Q15" i="4" s="1"/>
  <c r="M14" i="4"/>
  <c r="R13" i="4"/>
  <c r="P13" i="4"/>
  <c r="Q13" i="4" s="1"/>
  <c r="R12" i="4"/>
  <c r="P12" i="4"/>
  <c r="R11" i="4"/>
  <c r="P11" i="4"/>
  <c r="Q11" i="4" s="1"/>
  <c r="R10" i="4"/>
  <c r="R14" i="4" s="1"/>
  <c r="P10" i="4"/>
  <c r="M212" i="3"/>
  <c r="O211" i="3"/>
  <c r="O212" i="3" s="1"/>
  <c r="M210" i="3"/>
  <c r="O209" i="3"/>
  <c r="O208" i="3"/>
  <c r="O207" i="3"/>
  <c r="O206" i="3"/>
  <c r="O205" i="3"/>
  <c r="O204" i="3"/>
  <c r="M203" i="3"/>
  <c r="O202" i="3"/>
  <c r="O201" i="3"/>
  <c r="O200" i="3"/>
  <c r="O199" i="3"/>
  <c r="O198" i="3"/>
  <c r="O197" i="3"/>
  <c r="O196" i="3"/>
  <c r="O195" i="3"/>
  <c r="M194" i="3"/>
  <c r="O193" i="3"/>
  <c r="O192" i="3"/>
  <c r="O194" i="3" s="1"/>
  <c r="M191" i="3"/>
  <c r="O190" i="3"/>
  <c r="O189" i="3"/>
  <c r="O188" i="3"/>
  <c r="O187" i="3"/>
  <c r="O186" i="3"/>
  <c r="M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85" i="3" s="1"/>
  <c r="N185" i="3" s="1"/>
  <c r="M172" i="3"/>
  <c r="O171" i="3"/>
  <c r="O170" i="3"/>
  <c r="O169" i="3"/>
  <c r="O168" i="3"/>
  <c r="O167" i="3"/>
  <c r="O166" i="3"/>
  <c r="O165" i="3"/>
  <c r="O172" i="3" s="1"/>
  <c r="N172" i="3" s="1"/>
  <c r="M164" i="3"/>
  <c r="O163" i="3"/>
  <c r="O162" i="3"/>
  <c r="M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61" i="3" s="1"/>
  <c r="M148" i="3"/>
  <c r="O147" i="3"/>
  <c r="O146" i="3"/>
  <c r="O145" i="3"/>
  <c r="O144" i="3"/>
  <c r="O143" i="3"/>
  <c r="M142" i="3"/>
  <c r="O141" i="3"/>
  <c r="O140" i="3"/>
  <c r="M139" i="3"/>
  <c r="O138" i="3"/>
  <c r="O137" i="3"/>
  <c r="O136" i="3"/>
  <c r="O135" i="3"/>
  <c r="O134" i="3"/>
  <c r="O133" i="3"/>
  <c r="O132" i="3"/>
  <c r="M131" i="3"/>
  <c r="O130" i="3"/>
  <c r="O129" i="3"/>
  <c r="O128" i="3"/>
  <c r="O127" i="3"/>
  <c r="O126" i="3"/>
  <c r="O131" i="3" s="1"/>
  <c r="N131" i="3" s="1"/>
  <c r="O125" i="3"/>
  <c r="M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M110" i="3"/>
  <c r="O109" i="3"/>
  <c r="O108" i="3"/>
  <c r="O107" i="3"/>
  <c r="O106" i="3"/>
  <c r="O105" i="3"/>
  <c r="O104" i="3"/>
  <c r="O103" i="3"/>
  <c r="O102" i="3"/>
  <c r="O101" i="3"/>
  <c r="M100" i="3"/>
  <c r="O99" i="3"/>
  <c r="O98" i="3"/>
  <c r="O97" i="3"/>
  <c r="O96" i="3"/>
  <c r="O95" i="3"/>
  <c r="O94" i="3"/>
  <c r="O93" i="3"/>
  <c r="M92" i="3"/>
  <c r="O91" i="3"/>
  <c r="O90" i="3"/>
  <c r="O89" i="3"/>
  <c r="O88" i="3"/>
  <c r="O87" i="3"/>
  <c r="O86" i="3"/>
  <c r="O85" i="3"/>
  <c r="O84" i="3"/>
  <c r="O83" i="3"/>
  <c r="O82" i="3"/>
  <c r="O81" i="3"/>
  <c r="O80" i="3"/>
  <c r="M79" i="3"/>
  <c r="O78" i="3"/>
  <c r="O77" i="3"/>
  <c r="O76" i="3"/>
  <c r="O75" i="3"/>
  <c r="O74" i="3"/>
  <c r="O73" i="3"/>
  <c r="O72" i="3"/>
  <c r="O71" i="3"/>
  <c r="O70" i="3"/>
  <c r="O69" i="3"/>
  <c r="O68" i="3"/>
  <c r="M67" i="3"/>
  <c r="O66" i="3"/>
  <c r="O65" i="3"/>
  <c r="O64" i="3"/>
  <c r="O63" i="3"/>
  <c r="O62" i="3"/>
  <c r="O61" i="3"/>
  <c r="O60" i="3"/>
  <c r="O59" i="3"/>
  <c r="O58" i="3"/>
  <c r="M57" i="3"/>
  <c r="O56" i="3"/>
  <c r="O55" i="3"/>
  <c r="O54" i="3"/>
  <c r="O53" i="3"/>
  <c r="O52" i="3"/>
  <c r="O51" i="3"/>
  <c r="O50" i="3"/>
  <c r="O49" i="3"/>
  <c r="O48" i="3"/>
  <c r="M47" i="3"/>
  <c r="O46" i="3"/>
  <c r="O45" i="3"/>
  <c r="O44" i="3"/>
  <c r="O43" i="3"/>
  <c r="O42" i="3"/>
  <c r="O41" i="3"/>
  <c r="O40" i="3"/>
  <c r="O39" i="3"/>
  <c r="O47" i="3" s="1"/>
  <c r="N47" i="3" s="1"/>
  <c r="M38" i="3"/>
  <c r="O37" i="3"/>
  <c r="O36" i="3"/>
  <c r="O35" i="3"/>
  <c r="O34" i="3"/>
  <c r="O33" i="3"/>
  <c r="O32" i="3"/>
  <c r="O31" i="3"/>
  <c r="O38" i="3" s="1"/>
  <c r="N38" i="3" s="1"/>
  <c r="O30" i="3"/>
  <c r="O29" i="3"/>
  <c r="M28" i="3"/>
  <c r="O27" i="3"/>
  <c r="O26" i="3"/>
  <c r="O25" i="3"/>
  <c r="O24" i="3"/>
  <c r="M23" i="3"/>
  <c r="M213" i="3" s="1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124" i="3" l="1"/>
  <c r="O191" i="3"/>
  <c r="N191" i="3" s="1"/>
  <c r="N212" i="3"/>
  <c r="P18" i="4"/>
  <c r="Q36" i="4"/>
  <c r="Q50" i="4"/>
  <c r="Q66" i="4"/>
  <c r="Q84" i="4"/>
  <c r="Q118" i="4"/>
  <c r="Q133" i="4"/>
  <c r="Q144" i="4"/>
  <c r="Q162" i="4"/>
  <c r="N71" i="5"/>
  <c r="I289" i="12"/>
  <c r="D318" i="12"/>
  <c r="D434" i="12"/>
  <c r="D531" i="12"/>
  <c r="O210" i="3"/>
  <c r="N210" i="3" s="1"/>
  <c r="N124" i="3"/>
  <c r="O148" i="3"/>
  <c r="R27" i="4"/>
  <c r="Q70" i="4"/>
  <c r="Q130" i="4"/>
  <c r="Q148" i="4"/>
  <c r="N63" i="5"/>
  <c r="N101" i="5"/>
  <c r="N110" i="5"/>
  <c r="I89" i="12"/>
  <c r="D481" i="12"/>
  <c r="I513" i="12"/>
  <c r="I522" i="12"/>
  <c r="O57" i="3"/>
  <c r="N57" i="3" s="1"/>
  <c r="O28" i="3"/>
  <c r="N28" i="3" s="1"/>
  <c r="O79" i="3"/>
  <c r="O67" i="3"/>
  <c r="N67" i="3" s="1"/>
  <c r="O92" i="3"/>
  <c r="N92" i="3" s="1"/>
  <c r="O110" i="3"/>
  <c r="O142" i="3"/>
  <c r="Q17" i="4"/>
  <c r="Q21" i="4"/>
  <c r="R30" i="4"/>
  <c r="N30" i="4" s="1"/>
  <c r="Q34" i="4"/>
  <c r="Q39" i="4"/>
  <c r="Q64" i="4"/>
  <c r="Q76" i="4"/>
  <c r="Q87" i="4"/>
  <c r="P94" i="4"/>
  <c r="Q96" i="4"/>
  <c r="Q100" i="4"/>
  <c r="Q109" i="4"/>
  <c r="P112" i="4"/>
  <c r="Q116" i="4"/>
  <c r="Q125" i="4"/>
  <c r="Q142" i="4"/>
  <c r="Q153" i="4"/>
  <c r="Q160" i="4"/>
  <c r="G11" i="5"/>
  <c r="D74" i="12"/>
  <c r="I207" i="12"/>
  <c r="I328" i="12"/>
  <c r="I338" i="12"/>
  <c r="I445" i="12"/>
  <c r="N203" i="3"/>
  <c r="Q137" i="4"/>
  <c r="P151" i="4"/>
  <c r="Q151" i="4" s="1"/>
  <c r="N151" i="4"/>
  <c r="N14" i="4"/>
  <c r="R91" i="4"/>
  <c r="N91" i="4" s="1"/>
  <c r="Q83" i="4"/>
  <c r="N108" i="4"/>
  <c r="R120" i="4"/>
  <c r="N120" i="4" s="1"/>
  <c r="N79" i="3"/>
  <c r="O100" i="3"/>
  <c r="N100" i="3" s="1"/>
  <c r="N110" i="3"/>
  <c r="N161" i="3"/>
  <c r="R18" i="4"/>
  <c r="Q16" i="4"/>
  <c r="Q18" i="4"/>
  <c r="P27" i="4"/>
  <c r="Q27" i="4" s="1"/>
  <c r="R127" i="4"/>
  <c r="N127" i="4" s="1"/>
  <c r="I6" i="5"/>
  <c r="G15" i="5"/>
  <c r="D27" i="5"/>
  <c r="O139" i="3"/>
  <c r="N139" i="3" s="1"/>
  <c r="N148" i="3"/>
  <c r="N18" i="4"/>
  <c r="P46" i="4"/>
  <c r="Q46" i="4" s="1"/>
  <c r="Q31" i="4"/>
  <c r="O23" i="3"/>
  <c r="N142" i="3"/>
  <c r="O164" i="3"/>
  <c r="N164" i="3" s="1"/>
  <c r="P14" i="4"/>
  <c r="Q10" i="4"/>
  <c r="Q28" i="4"/>
  <c r="P30" i="4"/>
  <c r="Q30" i="4" s="1"/>
  <c r="Q52" i="4"/>
  <c r="R54" i="4"/>
  <c r="N54" i="4" s="1"/>
  <c r="Q95" i="4"/>
  <c r="R99" i="4"/>
  <c r="Q99" i="4" s="1"/>
  <c r="N99" i="4"/>
  <c r="Q131" i="4"/>
  <c r="P134" i="4"/>
  <c r="R163" i="4"/>
  <c r="N163" i="4" s="1"/>
  <c r="I54" i="12"/>
  <c r="H6" i="12" s="1"/>
  <c r="D6" i="12"/>
  <c r="O203" i="3"/>
  <c r="N27" i="4"/>
  <c r="R106" i="4"/>
  <c r="N106" i="4" s="1"/>
  <c r="P163" i="4"/>
  <c r="Q12" i="4"/>
  <c r="Q24" i="4"/>
  <c r="Q41" i="4"/>
  <c r="R51" i="4"/>
  <c r="Q51" i="4" s="1"/>
  <c r="Q49" i="4"/>
  <c r="Q54" i="4"/>
  <c r="Q55" i="4"/>
  <c r="P81" i="4"/>
  <c r="P102" i="4"/>
  <c r="Q102" i="4" s="1"/>
  <c r="P108" i="4"/>
  <c r="Q108" i="4" s="1"/>
  <c r="Q107" i="4"/>
  <c r="P120" i="4"/>
  <c r="Q113" i="4"/>
  <c r="Q121" i="4"/>
  <c r="P127" i="4"/>
  <c r="N23" i="5"/>
  <c r="N113" i="5" s="1"/>
  <c r="N28" i="5"/>
  <c r="E27" i="5"/>
  <c r="N106" i="5"/>
  <c r="N194" i="3"/>
  <c r="M164" i="4"/>
  <c r="Q20" i="4"/>
  <c r="N51" i="4"/>
  <c r="R81" i="4"/>
  <c r="N81" i="4" s="1"/>
  <c r="Q57" i="4"/>
  <c r="Q71" i="4"/>
  <c r="P91" i="4"/>
  <c r="Q91" i="4" s="1"/>
  <c r="Q85" i="4"/>
  <c r="Q97" i="4"/>
  <c r="P106" i="4"/>
  <c r="Q106" i="4" s="1"/>
  <c r="Q115" i="4"/>
  <c r="Q123" i="4"/>
  <c r="Q135" i="4"/>
  <c r="Q149" i="4"/>
  <c r="N51" i="5"/>
  <c r="N94" i="5"/>
  <c r="M37" i="15"/>
  <c r="D191" i="12"/>
  <c r="Q45" i="4"/>
  <c r="Q53" i="4"/>
  <c r="Q63" i="4"/>
  <c r="Q79" i="4"/>
  <c r="R94" i="4"/>
  <c r="N94" i="4" s="1"/>
  <c r="R112" i="4"/>
  <c r="N112" i="4" s="1"/>
  <c r="Q119" i="4"/>
  <c r="R134" i="4"/>
  <c r="N134" i="4" s="1"/>
  <c r="Q141" i="4"/>
  <c r="Q155" i="4"/>
  <c r="L6" i="5"/>
  <c r="I66" i="12"/>
  <c r="D207" i="12"/>
  <c r="I302" i="12"/>
  <c r="D375" i="12"/>
  <c r="L37" i="15"/>
  <c r="Q120" i="4" l="1"/>
  <c r="R164" i="4"/>
  <c r="O213" i="3"/>
  <c r="N213" i="3" s="1"/>
  <c r="Q14" i="4"/>
  <c r="P164" i="4"/>
  <c r="G27" i="5"/>
  <c r="O6" i="5"/>
  <c r="Q81" i="4"/>
  <c r="Q163" i="4"/>
  <c r="Q134" i="4"/>
  <c r="Q112" i="4"/>
  <c r="N164" i="4"/>
  <c r="N23" i="3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B6" i="5"/>
  <c r="Q127" i="4"/>
  <c r="Q94" i="4"/>
  <c r="Q164" i="4" l="1"/>
  <c r="F27" i="5"/>
</calcChain>
</file>

<file path=xl/sharedStrings.xml><?xml version="1.0" encoding="utf-8"?>
<sst xmlns="http://schemas.openxmlformats.org/spreadsheetml/2006/main" count="23905" uniqueCount="4088">
  <si>
    <t>RESTAURANTE CHOCLOS Y ASADOS LA FINCA</t>
  </si>
  <si>
    <t>DASHBOARD GERENCIAL DE COSTOS Y GASTOS - INFORME MENSUAL Y DIARIO SEPTIEMBRE 2026</t>
  </si>
  <si>
    <t>TOTAL COMPRAS DEL MES</t>
  </si>
  <si>
    <t>TOTAL COSTOS DIRECTOS (COGS)</t>
  </si>
  <si>
    <t>TOTAL GASTOS OPERACIONALES (OPEX)</t>
  </si>
  <si>
    <t>INVENTARIO INICIAL (APERTURA)</t>
  </si>
  <si>
    <t>COGS: $ 116,353,629.71 | OPEX: $ 95,329,591.71</t>
  </si>
  <si>
    <t>55% de compras del mes</t>
  </si>
  <si>
    <t>45% de compras del mes</t>
  </si>
  <si>
    <t>Stock Inicial (No es categoría)</t>
  </si>
  <si>
    <t>1. COSTOS DIRECTOS (COGS: MATERIA PRIMA E INSUMOS)</t>
  </si>
  <si>
    <t>2. GASTOS OPERACIONALES Y ADMINISTRATIVOS (OPEX)</t>
  </si>
  <si>
    <t>Categoría / Insumo</t>
  </si>
  <si>
    <t>Tipo</t>
  </si>
  <si>
    <t>N° Compras</t>
  </si>
  <si>
    <t>Total Mes ($)</t>
  </si>
  <si>
    <t>% Costos</t>
  </si>
  <si>
    <t>Prom. Día</t>
  </si>
  <si>
    <t>Concepto / Categoría</t>
  </si>
  <si>
    <t>N° Pagos</t>
  </si>
  <si>
    <t>% Gastos</t>
  </si>
  <si>
    <t>Carnes y Proteínas</t>
  </si>
  <si>
    <t>Directo</t>
  </si>
  <si>
    <t>Servicios (Personal y Planta)</t>
  </si>
  <si>
    <t>Gasto Oper.</t>
  </si>
  <si>
    <t>Verduras y Frutas</t>
  </si>
  <si>
    <t>Mantenimiento y Adecuaciones</t>
  </si>
  <si>
    <t>Desechables y Empaques</t>
  </si>
  <si>
    <t>Servicios Públicos (Energía y TV)</t>
  </si>
  <si>
    <t>Granos y Harinas</t>
  </si>
  <si>
    <t>Otros Gastos Operacionales (Admin y Varios)</t>
  </si>
  <si>
    <t>Gasto Admin.</t>
  </si>
  <si>
    <t>Bebidas y Licores</t>
  </si>
  <si>
    <t>SUBTOTAL GASTOS OPERACIONALES</t>
  </si>
  <si>
    <t>Operativo</t>
  </si>
  <si>
    <t>Otros Insumos (Abarrotes y Cocina)</t>
  </si>
  <si>
    <t>SUBTOTAL COSTOS DIRECTOS</t>
  </si>
  <si>
    <t>Materia Prima</t>
  </si>
  <si>
    <t>RESUMEN CONSOLIDADO: COSTOS DIRECTOS VS GASTOS OPERACIONALES</t>
  </si>
  <si>
    <t>Costos Directos (COGS)</t>
  </si>
  <si>
    <t>Gastos Operacionales (OPEX)</t>
  </si>
  <si>
    <t>SUBTOTAL COMPRAS DEL MES</t>
  </si>
  <si>
    <t>(+) Inventario Inicial (Stock Apertura)</t>
  </si>
  <si>
    <t>Inversión Inicial</t>
  </si>
  <si>
    <t>-</t>
  </si>
  <si>
    <t>TOTAL GENERAL CONSOLIDADO</t>
  </si>
  <si>
    <t>100% Acumulado</t>
  </si>
  <si>
    <t>3. TOTALIZACIÓN DIARIA: COSTOS Y GASTOS DÍA A DÍA (SEPTIEMBRE 2026)</t>
  </si>
  <si>
    <t>Día</t>
  </si>
  <si>
    <t>Costos ($)</t>
  </si>
  <si>
    <t>Gastos ($)</t>
  </si>
  <si>
    <t>Total Día ($)</t>
  </si>
  <si>
    <t>% Costo</t>
  </si>
  <si>
    <t>% Gasto</t>
  </si>
  <si>
    <t>Carnes ($)</t>
  </si>
  <si>
    <t>Verduras ($)</t>
  </si>
  <si>
    <t>Grano ($)</t>
  </si>
  <si>
    <t>Bebidas ($)</t>
  </si>
  <si>
    <t>Desechables ($)</t>
  </si>
  <si>
    <t>Servicios ($)</t>
  </si>
  <si>
    <t>TOTAL MES</t>
  </si>
  <si>
    <t>PROMEDIO DIARIO</t>
  </si>
  <si>
    <t>MÁXIMO DIARIO (PICO)</t>
  </si>
  <si>
    <t>MÍNIMO DIARIO</t>
  </si>
  <si>
    <t>DASHBOARD EJECUTIVO DE VENTAS - SEPTIEMBRE 2026</t>
  </si>
  <si>
    <t>Restaurante Choclos y Asados La Finca - Seguimiento diario de facturación, volumen, mezcla de productos y rentabilidad</t>
  </si>
  <si>
    <t>TOTAL FACTURADO (GRAN TOTAL)</t>
  </si>
  <si>
    <t>VENTA NETA TOTAL (BASE)</t>
  </si>
  <si>
    <t>IMPOCONSUMO (8%)</t>
  </si>
  <si>
    <t>DESCUENTOS OTORGADOS</t>
  </si>
  <si>
    <t>TOTAL PLATOS / UNID. VENDIDAS</t>
  </si>
  <si>
    <t>PROMEDIO VENTA DIARIA (20 DÍAS)</t>
  </si>
  <si>
    <t>DÍA PICO FACTURACIÓN</t>
  </si>
  <si>
    <t>Día 6 ($20.262.800)</t>
  </si>
  <si>
    <t>1. SEGUIMIENTO DIARIO DE VENTAS - SEPTIEMBRE 2026</t>
  </si>
  <si>
    <t>2. PARTICIPACIÓN Y FACTURACIÓN POR CATEGORÍA</t>
  </si>
  <si>
    <t>Fecha</t>
  </si>
  <si>
    <t>Platos / Unid.</t>
  </si>
  <si>
    <t>Venta Neta ($)</t>
  </si>
  <si>
    <t>Impoconsumo ($)</t>
  </si>
  <si>
    <t>Gran Total ($)</t>
  </si>
  <si>
    <t>Ticket / Ítem</t>
  </si>
  <si>
    <t>% Mes</t>
  </si>
  <si>
    <t>Categoría de Venta</t>
  </si>
  <si>
    <t>Unid. Vendidas</t>
  </si>
  <si>
    <t>% Facturación</t>
  </si>
  <si>
    <t>01/09/2026</t>
  </si>
  <si>
    <t>Platos Fuertes / Carnes</t>
  </si>
  <si>
    <t>02/09/2026</t>
  </si>
  <si>
    <t>Especialidades Típicas</t>
  </si>
  <si>
    <t>03/09/2026</t>
  </si>
  <si>
    <t>Bebidas</t>
  </si>
  <si>
    <t>04/09/2026</t>
  </si>
  <si>
    <t>Pescados y Mariscos</t>
  </si>
  <si>
    <t>05/09/2026</t>
  </si>
  <si>
    <t>Acompañamientos y Adicionales</t>
  </si>
  <si>
    <t>06/09/2026</t>
  </si>
  <si>
    <t>Sopas y Entradas</t>
  </si>
  <si>
    <t>07/09/2026</t>
  </si>
  <si>
    <t>Otros / Empaques</t>
  </si>
  <si>
    <t>08/09/2026</t>
  </si>
  <si>
    <t>TOTAL CATEGORÍAS</t>
  </si>
  <si>
    <t>09/09/2026</t>
  </si>
  <si>
    <t>10/09/2026</t>
  </si>
  <si>
    <t>11/09/2026</t>
  </si>
  <si>
    <t>3. TOP 20 PRODUCTOS MÁS VENDIDOS (RANKING DE FACTURACIÓN)</t>
  </si>
  <si>
    <t>12/09/2026</t>
  </si>
  <si>
    <t>Rank</t>
  </si>
  <si>
    <t>Código</t>
  </si>
  <si>
    <t>Producto</t>
  </si>
  <si>
    <t>Categoría</t>
  </si>
  <si>
    <t>% Venta Total</t>
  </si>
  <si>
    <t>13/09/2026</t>
  </si>
  <si>
    <t>#1</t>
  </si>
  <si>
    <t>Paisa especial</t>
  </si>
  <si>
    <t>14/09/2026</t>
  </si>
  <si>
    <t>#2</t>
  </si>
  <si>
    <t>Frijolada chicha jun</t>
  </si>
  <si>
    <t>15/09/2026</t>
  </si>
  <si>
    <t>#3</t>
  </si>
  <si>
    <t>Sobre domingo</t>
  </si>
  <si>
    <t>16/09/2026</t>
  </si>
  <si>
    <t>#4</t>
  </si>
  <si>
    <t>Paisa economico</t>
  </si>
  <si>
    <t>17/09/2026</t>
  </si>
  <si>
    <t>#5</t>
  </si>
  <si>
    <t>Lengua domingo</t>
  </si>
  <si>
    <t>18/09/2026</t>
  </si>
  <si>
    <t>#6</t>
  </si>
  <si>
    <t>Tamal</t>
  </si>
  <si>
    <t>19/09/2026</t>
  </si>
  <si>
    <t>#7</t>
  </si>
  <si>
    <t>Junior gallina</t>
  </si>
  <si>
    <t>20/09/2026</t>
  </si>
  <si>
    <t>#8</t>
  </si>
  <si>
    <t>Super de cerdo</t>
  </si>
  <si>
    <t>21/09/2026</t>
  </si>
  <si>
    <t>#9</t>
  </si>
  <si>
    <t>Costilla c san luis</t>
  </si>
  <si>
    <t>22/09/2026</t>
  </si>
  <si>
    <t>#10</t>
  </si>
  <si>
    <t>Promo cazuela</t>
  </si>
  <si>
    <t>23/09/2026</t>
  </si>
  <si>
    <t>#11</t>
  </si>
  <si>
    <t>Limonada natural 1l</t>
  </si>
  <si>
    <t>24/09/2026</t>
  </si>
  <si>
    <t>#12</t>
  </si>
  <si>
    <t>Cazuela frijol</t>
  </si>
  <si>
    <t>25/09/2026</t>
  </si>
  <si>
    <t>#13</t>
  </si>
  <si>
    <t>Prom chuleta cerdo</t>
  </si>
  <si>
    <t>26/09/2026</t>
  </si>
  <si>
    <t>#14</t>
  </si>
  <si>
    <t>Frijolada</t>
  </si>
  <si>
    <t>27/09/2026</t>
  </si>
  <si>
    <t>#15</t>
  </si>
  <si>
    <t>Carne molida</t>
  </si>
  <si>
    <t>28/09/2026</t>
  </si>
  <si>
    <t>#16</t>
  </si>
  <si>
    <t>Punta de anca 400</t>
  </si>
  <si>
    <t>29/09/2026</t>
  </si>
  <si>
    <t>#17</t>
  </si>
  <si>
    <t>Jarra limonada 2 lit</t>
  </si>
  <si>
    <t>30/09/2026</t>
  </si>
  <si>
    <t>#18</t>
  </si>
  <si>
    <t>Bandeja sola</t>
  </si>
  <si>
    <t>TOTAL MES (DÍAS 1-30)</t>
  </si>
  <si>
    <t>#19</t>
  </si>
  <si>
    <t>Churrasco 400 gr apr</t>
  </si>
  <si>
    <t>#20</t>
  </si>
  <si>
    <t>Super de pollo</t>
  </si>
  <si>
    <t>SUBTOTAL TOP 20 PRODUCTOS</t>
  </si>
  <si>
    <t>DASHBOARD Y SEGUIMIENTO DE CARNES - SEPTIEMBRE 2026</t>
  </si>
  <si>
    <t>Control analítico de cortes, kilogramos comprados, costos unitarios y participación de gasto</t>
  </si>
  <si>
    <t>TOTAL INVERSIÓN CARNES</t>
  </si>
  <si>
    <t>TOTAL KILOGRAMOS</t>
  </si>
  <si>
    <t>COSTO PROM. / KG</t>
  </si>
  <si>
    <t>N° COMPRAS</t>
  </si>
  <si>
    <t>% TOTAL RESTAURANTE</t>
  </si>
  <si>
    <t>1. SEGUIMIENTO DIARIO DE COMPRAS DE CARNE</t>
  </si>
  <si>
    <t>2. SEGUIMIENTO DETALLADO DÍA A DÍA - REGISTRO CRONOLÓGICO DE COMPRAS DE CARNES</t>
  </si>
  <si>
    <t>Total Comprado ($)</t>
  </si>
  <si>
    <t>Kilogramos (Kg)</t>
  </si>
  <si>
    <t>Costo Prom. ($/Kg)</t>
  </si>
  <si>
    <t>% del Mes</t>
  </si>
  <si>
    <t>N° Comprobante / Factura</t>
  </si>
  <si>
    <t>Ítem / Corte (Nombre Exacto)</t>
  </si>
  <si>
    <t>Descripción Original / Proveedor</t>
  </si>
  <si>
    <t>Cantidad (kg)</t>
  </si>
  <si>
    <t>Costo Unitario</t>
  </si>
  <si>
    <t>Vr. Total Compra</t>
  </si>
  <si>
    <t>01FZ70896</t>
  </si>
  <si>
    <t>Pezuña</t>
  </si>
  <si>
    <t>PEZUÑA CERDO A GRANEL (Supertiendas Cañaveral - 01FZ70896)</t>
  </si>
  <si>
    <t>FAC-188</t>
  </si>
  <si>
    <t>Bagre de mar</t>
  </si>
  <si>
    <t>BAGRE DE MAR (Gabriel Ramirez Cubillos - FAC-188)</t>
  </si>
  <si>
    <t>FAC-916</t>
  </si>
  <si>
    <t>Filete de pollo x 120</t>
  </si>
  <si>
    <t>Filete pollo 110g (Alexis Valencia - Factura 916)</t>
  </si>
  <si>
    <t>Filete de pollo x 350</t>
  </si>
  <si>
    <t>Filete pollo 350g (Alexis Valencia - Factura 916)</t>
  </si>
  <si>
    <t>FVE-121</t>
  </si>
  <si>
    <t>Salmon</t>
  </si>
  <si>
    <t>Filete de Salmon Grande (Frio Sabor FVE-121)</t>
  </si>
  <si>
    <t>Tilapia y truchas</t>
  </si>
  <si>
    <t>Tilapia Roja (Frio Sabor FVE-121)</t>
  </si>
  <si>
    <t>RCM-01-Sep-2026</t>
  </si>
  <si>
    <t>6 lbs cabeza Tilapia (Recibo Caja Menor 01-Sep-2026)</t>
  </si>
  <si>
    <t>YP24140</t>
  </si>
  <si>
    <t>Costilla de cerdo especial</t>
  </si>
  <si>
    <t>COSTILLA DE CERDO IBP 244M (Carnes Los Monos - YP24140)</t>
  </si>
  <si>
    <t>Lengua de res</t>
  </si>
  <si>
    <t>LENGUA DE RES IMP X KL (Carnes Los Monos - YP24140)</t>
  </si>
  <si>
    <t>Sobaco</t>
  </si>
  <si>
    <t>SOBACO (Carnes Los Monos - YP24140)</t>
  </si>
  <si>
    <t>Sobrebarriga delgada</t>
  </si>
  <si>
    <t>SOBREBARRIGA DELGADA (Carnes Los Monos - YP24140)</t>
  </si>
  <si>
    <t>YP24152</t>
  </si>
  <si>
    <t>Tocino barril</t>
  </si>
  <si>
    <t>TOCINETA BARRIL (Carnes Los Monos - YP24152)</t>
  </si>
  <si>
    <t>SUBTOTAL DÍA 1 (13 compras)</t>
  </si>
  <si>
    <t>FAC-917</t>
  </si>
  <si>
    <t>Pernil de pollo</t>
  </si>
  <si>
    <t>Pernil pollo campo (Alexis Valencia - Factura 917)</t>
  </si>
  <si>
    <t>DESP-0444</t>
  </si>
  <si>
    <t>Higado</t>
  </si>
  <si>
    <t>HIGADO DE RES (Poblado Despacho 0444)</t>
  </si>
  <si>
    <t>03FH104321</t>
  </si>
  <si>
    <t>Alas de pollo</t>
  </si>
  <si>
    <t>ALAS POLLO MACPOLLO CONGELADO (Supertiendas Cañaveral - 03FH104321)</t>
  </si>
  <si>
    <t>SUBTOTAL DÍA 2 (4 compras)</t>
  </si>
  <si>
    <t>FE01576</t>
  </si>
  <si>
    <t>Caderita</t>
  </si>
  <si>
    <t>CADERITA DE RES (MYC - FE01576)</t>
  </si>
  <si>
    <t>Callo</t>
  </si>
  <si>
    <t>CALLO DE RES (MYC - FE01576)</t>
  </si>
  <si>
    <t>FE01570</t>
  </si>
  <si>
    <t>HIGADO DE RES (MYC - FE01570)</t>
  </si>
  <si>
    <t>Lomo viche</t>
  </si>
  <si>
    <t>LOMO VICHE ESPECIAL DE RES (MYC - FE01570)</t>
  </si>
  <si>
    <t>FE01569</t>
  </si>
  <si>
    <t>CADERITA DE RES (MYC - FE01569)</t>
  </si>
  <si>
    <t>Costilla Especial</t>
  </si>
  <si>
    <t>COSTILLA ESPECIAL DE RES (MYC - FE01569)</t>
  </si>
  <si>
    <t>0000006666</t>
  </si>
  <si>
    <t>Chorizo</t>
  </si>
  <si>
    <t>CHORIZO COCTELERO 4 PAQ (Carnicos Montero FAC-0000006666)</t>
  </si>
  <si>
    <t>CHORIZO PREMIUM 1 PAQ (Carnicos Montero FAC-0000006666)</t>
  </si>
  <si>
    <t>FE1-49657</t>
  </si>
  <si>
    <t>Costilla de cerdo</t>
  </si>
  <si>
    <t>COSTILLA CERDO ESP CR (BS) X 4 KG (ARMAR ALIMENTOS S.A.S.)</t>
  </si>
  <si>
    <t>SUBTOTAL DÍA 3 (9 compras)</t>
  </si>
  <si>
    <t>FEBF-33</t>
  </si>
  <si>
    <t>Lomo de cerdo</t>
  </si>
  <si>
    <t>LOMO DE CERDO (Fabian Bonilla - FEBF-33)</t>
  </si>
  <si>
    <t>FAC-920</t>
  </si>
  <si>
    <t>Filete pollo 350g (Alexis Valencia - Factura 920)</t>
  </si>
  <si>
    <t>FAC-8118</t>
  </si>
  <si>
    <t>Morcilla</t>
  </si>
  <si>
    <t>10 lb Libra de morcilla (La Morcilla Jamundeña Factura 8118)</t>
  </si>
  <si>
    <t>05FZ91332</t>
  </si>
  <si>
    <t>Pechuga macpollo</t>
  </si>
  <si>
    <t>PECHUGA MACPOLLO BLANCO REFRI MARIN GK (Supertiendas Canaveral 05FZ91332)</t>
  </si>
  <si>
    <t>FVE 130</t>
  </si>
  <si>
    <t>Tilapia Roja</t>
  </si>
  <si>
    <t>Tilapia Roja (Gerson Alexander Valencia Angel)</t>
  </si>
  <si>
    <t>Filete de Salmón Grande</t>
  </si>
  <si>
    <t>Filete de Salmon Grande (Gerson Alexander Valencia Angel)</t>
  </si>
  <si>
    <t>Trucha Arcoíris</t>
  </si>
  <si>
    <t>Trucha arcoiris (Gerson Alexander Valencia Angel)</t>
  </si>
  <si>
    <t>Mix de Mariscos</t>
  </si>
  <si>
    <t>Mix de Mariscos (Gerson Alexander Valencia Angel)</t>
  </si>
  <si>
    <t>SUBTOTAL DÍA 4 (8 compras)</t>
  </si>
  <si>
    <t>YP24244</t>
  </si>
  <si>
    <t>Camaron precocido</t>
  </si>
  <si>
    <t>CAMARON DE CULTIVO PRECOCIDO 91-110P (Carnes Los Monos - YP24244)</t>
  </si>
  <si>
    <t>Costilla de res</t>
  </si>
  <si>
    <t>COSTILLA DE RES DELANTERA (Carnes Los Monos - YP24244)</t>
  </si>
  <si>
    <t>Costilla san luis jr</t>
  </si>
  <si>
    <t>COSTILLA SAN LUIS JUNIOR T/M (Carnes Los Monos - YP24244)</t>
  </si>
  <si>
    <t>Lomo de caracho</t>
  </si>
  <si>
    <t>LOMO CARACHO PORCIONADO PARRILLA (Carnes Los Monos - YP24244)</t>
  </si>
  <si>
    <t>Punta de anca</t>
  </si>
  <si>
    <t>PUNTA DE ANCA IMP PORC. PARRILLA (Carnes Los Monos - YP24244)</t>
  </si>
  <si>
    <t>SOBACO (Carnes Los Monos - YP24244)</t>
  </si>
  <si>
    <t>SOBREBARRIGA DELGADA (Carnes Los Monos - YP24244)</t>
  </si>
  <si>
    <t>Tocineta barril</t>
  </si>
  <si>
    <t>TOCINETA BARRIL (Carnes Los Monos - YP24244)</t>
  </si>
  <si>
    <t>FE1-49726</t>
  </si>
  <si>
    <t>SUBTOTAL DÍA 5 (9 compras)</t>
  </si>
  <si>
    <t>SEV-07SEP</t>
  </si>
  <si>
    <t>Espinazo de cerdo</t>
  </si>
  <si>
    <t>ESPINAZO DE CERDO A GRANEL (Agropecuaria La Sevillana SAS)</t>
  </si>
  <si>
    <t>PEZUNA GRANEL (Agropecuaria La Sevillana SAS)</t>
  </si>
  <si>
    <t>REM-07-Sep-2026</t>
  </si>
  <si>
    <t>Gallina</t>
  </si>
  <si>
    <t>GALLINAS GIGANTES 9 UND (Remision s/n 07-09-2026)</t>
  </si>
  <si>
    <t>REM-07-09-2026</t>
  </si>
  <si>
    <t>Combo Morcilla CL (Remision 07-09-2026)</t>
  </si>
  <si>
    <t>MY8683</t>
  </si>
  <si>
    <t>Morrillo</t>
  </si>
  <si>
    <t>MORRILLO DE RES (Carnes Los Monos - MY8683)</t>
  </si>
  <si>
    <t>SOBACO (Carnes Los Monos - MY8683)</t>
  </si>
  <si>
    <t>SOBREBARRIGA DELGADA (Carnes Los Monos - MY8683)</t>
  </si>
  <si>
    <t>11FH128829</t>
  </si>
  <si>
    <t>ALAS MACPOLLO CAMPO C/COS MARIN A GRAN (Supertiendas Cañaveral 11FH128829)</t>
  </si>
  <si>
    <t>Mortadela</t>
  </si>
  <si>
    <t>2 MORTADELA RICA*450g (Supertiendas Cañaveral 11FH128829)</t>
  </si>
  <si>
    <t>SUBTOTAL DÍA 7 (9 compras)</t>
  </si>
  <si>
    <t>REM-08-09-2026</t>
  </si>
  <si>
    <t>Filete x 350g - 40 und (Alexis Valencia Remision 08-09-2026)</t>
  </si>
  <si>
    <t>FEBF-34 / REM-08-09-2026</t>
  </si>
  <si>
    <t>Lomo cerdo (Pappyer Remision 08-09-2026)</t>
  </si>
  <si>
    <t>Perniles Campo - 25 und (Alexis Valencia Remision 08-09-2026)</t>
  </si>
  <si>
    <t>FE01598 / DESP-0493</t>
  </si>
  <si>
    <t>Caderita (Poblado Despacho 0493)</t>
  </si>
  <si>
    <t>Pezuña (Poblado Despacho 0493)</t>
  </si>
  <si>
    <t>CUADERNO CAJA / NO REGISTRADO</t>
  </si>
  <si>
    <t>Visceras Domicilios (Neymar)</t>
  </si>
  <si>
    <t>08FH337898</t>
  </si>
  <si>
    <t>Víscera de pollo</t>
  </si>
  <si>
    <t>VISCERA BUCANERO*und BOLSA (SUPERTIENDAS CAÑAVERAL S.A.S.)</t>
  </si>
  <si>
    <t>SUBTOTAL DÍA 8 (11 compras)</t>
  </si>
  <si>
    <t>YP24314</t>
  </si>
  <si>
    <t>CAMARON DE CULTIVO PRECOCIDO 91-110P (Carnes Los Monos - YP24314)</t>
  </si>
  <si>
    <t>COSTILLA DE CERDO IBP 244L (Carnes Los Monos - YP24314)</t>
  </si>
  <si>
    <t>LENGUA DE RES IMP X KL (Carnes Los Monos - YP24314)</t>
  </si>
  <si>
    <t>SOBACO (Carnes Los Monos - YP24314)</t>
  </si>
  <si>
    <t>TOCINETA BARRIL (Carnes Los Monos - YP24314)</t>
  </si>
  <si>
    <t>Trozos e pechuga</t>
  </si>
  <si>
    <t>TROZOS DE PECHUGA (Carnes Los Monos - YP24314)</t>
  </si>
  <si>
    <t>REM-09-Sep-2026</t>
  </si>
  <si>
    <t>GALLINAS GIGANTES 9 UND (Remision s/n 09.09.2026)</t>
  </si>
  <si>
    <t>REM-09-09-2026</t>
  </si>
  <si>
    <t>Filete x 350g - 40 und (Alexis Valencia Remision 09-09-2026)</t>
  </si>
  <si>
    <t>Pernil Camp. (Alexis Valencia Remision 09-09-2026)</t>
  </si>
  <si>
    <t>FE01591 / FAC-2860</t>
  </si>
  <si>
    <t>Lomo de Cerdo (Carnes de Res y Cerdo Factura 2860)</t>
  </si>
  <si>
    <t>FAC191</t>
  </si>
  <si>
    <t>BAGRE DE MAR (Acuatica Factura FAC 191)</t>
  </si>
  <si>
    <t>Espinazo, Cuchuco, Salchicha Principal (Johanna)</t>
  </si>
  <si>
    <t>SUBTOTAL DÍA 9 (12 compras)</t>
  </si>
  <si>
    <t>REM-10-Sep-2026</t>
  </si>
  <si>
    <t>PERNIL POLLO (Alexis Valencia Remision 10-09-2026)</t>
  </si>
  <si>
    <t>RCM-10-Sep-2026-6</t>
  </si>
  <si>
    <t>CHORIZOS (Recibo Caja Menor 10/09/26)</t>
  </si>
  <si>
    <t>Costilla</t>
  </si>
  <si>
    <t>COSTILLA (Recibo Caja Menor 10/09/26)</t>
  </si>
  <si>
    <t>06FZ47115</t>
  </si>
  <si>
    <t>MORTADELA RICA 1 UN (Supertiendas Canaveral 06FZ47115)</t>
  </si>
  <si>
    <t>FE01599 / 0515</t>
  </si>
  <si>
    <t>LOMO CERDO (Carnes El Poblado Despacho 0515)</t>
  </si>
  <si>
    <t>LOMO VICHE (Carnes El Poblado Despacho 0515)</t>
  </si>
  <si>
    <t>FE01592</t>
  </si>
  <si>
    <t>Caderita de res</t>
  </si>
  <si>
    <t>CADERITA DE RES (DISTRIBUIDORA M Y C S.A.S.)</t>
  </si>
  <si>
    <t>SUBTOTAL DÍA 10 (7 compras)</t>
  </si>
  <si>
    <t>CUADERNO DON ARTURO / NO REGISTRADO</t>
  </si>
  <si>
    <t>Costilla ahumada</t>
  </si>
  <si>
    <t>Mariscos</t>
  </si>
  <si>
    <t>dos cajas costilla (Cuaderno Pág. 159 Renglón 2)</t>
  </si>
  <si>
    <t>Tilapia Principal (Johanna/Wilson)</t>
  </si>
  <si>
    <t>07FI112763</t>
  </si>
  <si>
    <t>Mortadela Zenu</t>
  </si>
  <si>
    <t>4 MORTADELA ZENU*450g TRADICIONAL</t>
  </si>
  <si>
    <t>5 MORTADELA ZENU*450g TRADICIONAL</t>
  </si>
  <si>
    <t>FVE 132</t>
  </si>
  <si>
    <t>Tilapia Roja (GERSON ALEXANDER VALENCIA ANGEL (FRIO SABOR))</t>
  </si>
  <si>
    <t>FE1-49890</t>
  </si>
  <si>
    <t>SUBTOTAL DÍA 11 (9 compras)</t>
  </si>
  <si>
    <t>YP24413</t>
  </si>
  <si>
    <t>SOBACO</t>
  </si>
  <si>
    <t>Tocineta</t>
  </si>
  <si>
    <t>TOCINETA BARRIL</t>
  </si>
  <si>
    <t>Sobrebarriga</t>
  </si>
  <si>
    <t>SOBREBARRIGA DELGADA</t>
  </si>
  <si>
    <t>PUNTA DE ANCA IMP PORC. PARRILLA</t>
  </si>
  <si>
    <t>COSTILLA SAN LUIS JUNIOR T/M</t>
  </si>
  <si>
    <t>MORRILLO DE RES</t>
  </si>
  <si>
    <t>2914 / FE01609</t>
  </si>
  <si>
    <t>Callo de res</t>
  </si>
  <si>
    <t>Callo de Res</t>
  </si>
  <si>
    <t>2909 / FE01608</t>
  </si>
  <si>
    <t>Sobrebarriga Delgada de Res</t>
  </si>
  <si>
    <t>0000006723</t>
  </si>
  <si>
    <t>Chorizo Premium Coctelero</t>
  </si>
  <si>
    <t>CHORIZO PREMIUM COCTELERO PAQ. X 40 UND. (MONTERO) COCX40</t>
  </si>
  <si>
    <t>Chorizo Premium 12 Und</t>
  </si>
  <si>
    <t>CHORIZO PREMIUM PAQ. X 12 UND. (MONTERO) 1800gr PREMX12</t>
  </si>
  <si>
    <t>S/N</t>
  </si>
  <si>
    <t>Chorizos</t>
  </si>
  <si>
    <t>Chorizos - Compra de caja menor</t>
  </si>
  <si>
    <t>Toro Toro</t>
  </si>
  <si>
    <t>Toro Toro - Compra carnes de caja menor</t>
  </si>
  <si>
    <t>SUBTOTAL DÍA 12 (13 compras)</t>
  </si>
  <si>
    <t>Espinazo</t>
  </si>
  <si>
    <t>7 - lbs - Espinazo</t>
  </si>
  <si>
    <t>Cabeza tilapia</t>
  </si>
  <si>
    <t>7 - lbs - Cabeza tilapia</t>
  </si>
  <si>
    <t>Pezuña - Compra de caja menor</t>
  </si>
  <si>
    <t>926</t>
  </si>
  <si>
    <t>Pernil de Pollo Campo</t>
  </si>
  <si>
    <t>PERNIL DE POLLO CAMPO (Factura 926 - Alexis Valencia)</t>
  </si>
  <si>
    <t>Filete de Pollo x 350g</t>
  </si>
  <si>
    <t>FILETE DE POLLO X 350G (Factura 926 - Alexis Valencia)</t>
  </si>
  <si>
    <t>925</t>
  </si>
  <si>
    <t>PERNIL DE POLLO CAMPO (Factura 925 - Alexis Valencia)</t>
  </si>
  <si>
    <t>SUBTOTAL DÍA 13 (6 compras)</t>
  </si>
  <si>
    <t>2925 / FE01610</t>
  </si>
  <si>
    <t>Cadera de res</t>
  </si>
  <si>
    <t>Caderita de Res</t>
  </si>
  <si>
    <t>Costilla Especial de Res</t>
  </si>
  <si>
    <t>MY8828</t>
  </si>
  <si>
    <t>Muchacho</t>
  </si>
  <si>
    <t>MUCHACHO DE RES</t>
  </si>
  <si>
    <t>FEBF-36</t>
  </si>
  <si>
    <t>Lomo de Cerdo</t>
  </si>
  <si>
    <t>LOMO DE CERDO (Fabian Bonilla - FEBF-36)</t>
  </si>
  <si>
    <t>933</t>
  </si>
  <si>
    <t>Filete de pollo</t>
  </si>
  <si>
    <t>FILETE DE POLLO X 350G (Cárnicos Valencia - Factura 933)</t>
  </si>
  <si>
    <t>932</t>
  </si>
  <si>
    <t>FILETE DE POLLO X 120GR (Cárnicos Valencia - Factura 932)</t>
  </si>
  <si>
    <t>SUBTOTAL DÍA 14 (7 compras)</t>
  </si>
  <si>
    <t>FAA1 - 217448</t>
  </si>
  <si>
    <t>Pezuña y Espinazo</t>
  </si>
  <si>
    <t>COLADOR MALLA DE ACERO INOXIDABLE (Dollarcity FAA1-217448)</t>
  </si>
  <si>
    <t>Morcilla para asados cocina</t>
  </si>
  <si>
    <t>SUBTOTAL DÍA 15 (2 compras)</t>
  </si>
  <si>
    <t>FAC 194</t>
  </si>
  <si>
    <t>BAGRE DE MAR (Alejandro Ramírez Cubillos)</t>
  </si>
  <si>
    <t>06FH140139</t>
  </si>
  <si>
    <t>Alas de Pollo</t>
  </si>
  <si>
    <t>ALAS MACPOLLO CAMPO MARINADAS (Cañaveral 06FH140139)</t>
  </si>
  <si>
    <t>FVE 133</t>
  </si>
  <si>
    <t>MIX DE MARISCOS (Frío Sabor - Factura FVE 133)</t>
  </si>
  <si>
    <t>FILETE DE SALMON GRANDE (Frío Sabor - Factura FVE 133)</t>
  </si>
  <si>
    <t>Factura de Gallinas</t>
  </si>
  <si>
    <t>FACTURA DE GALLINAS (Compra de gallinas para el negocio)</t>
  </si>
  <si>
    <t>SUBTOTAL DÍA 16 (5 compras)</t>
  </si>
  <si>
    <t>YP24490</t>
  </si>
  <si>
    <t>SOBACO (Distribuidora de Carnes ET Los Monos - Factura YP24490)</t>
  </si>
  <si>
    <t>Lengua de Res</t>
  </si>
  <si>
    <t>LENGUA DE RES (Distribuidora de Carnes ET Los Monos - Factura YP24490)</t>
  </si>
  <si>
    <t>Punta de Anca Cerdo</t>
  </si>
  <si>
    <t>PUNTA DE ANCA CERDO (Distribuidora de Carnes ET Los Monos - Factura YP24490)</t>
  </si>
  <si>
    <t>Lomo Caracho</t>
  </si>
  <si>
    <t>LOMO CARACHO (Distribuidora de Carnes ET Los Monos - Factura YP24490)</t>
  </si>
  <si>
    <t>Tocineta Barril</t>
  </si>
  <si>
    <t>TOCINETA BARRIL (Distribuidora de Carnes ET Los Monos - Factura YP24490)</t>
  </si>
  <si>
    <t>Costilla de Cerdo</t>
  </si>
  <si>
    <t>COSTILLA DE CERDO (Distribuidora de Carnes ET Los Monos - Factura YP24490)</t>
  </si>
  <si>
    <t>GSPS165313</t>
  </si>
  <si>
    <t>Pernil de Cerdo</t>
  </si>
  <si>
    <t>PERNIL DE CERDO (El Gran Surtidor - Factura GSPS165313)</t>
  </si>
  <si>
    <t>FE01625</t>
  </si>
  <si>
    <t>Hígado de Res</t>
  </si>
  <si>
    <t>HIGADO DE RES (Distribuidora M y C - Factura FE01625)</t>
  </si>
  <si>
    <t>935</t>
  </si>
  <si>
    <t>Filete de Pollo</t>
  </si>
  <si>
    <t>FILETE DE POLLO X 350G</t>
  </si>
  <si>
    <t>FE01633</t>
  </si>
  <si>
    <t>HIGADO DE RES</t>
  </si>
  <si>
    <t>PERNIL CERDO</t>
  </si>
  <si>
    <t>LOMO DE CERDO</t>
  </si>
  <si>
    <t>SUBTOTAL DÍA 17 (12 compras)</t>
  </si>
  <si>
    <t>FAC 195</t>
  </si>
  <si>
    <t>Tilapia roja</t>
  </si>
  <si>
    <t>TILAPIA ROJA (Gabriel Andrés Ramírez Cubillos)</t>
  </si>
  <si>
    <t>FE1-50089</t>
  </si>
  <si>
    <t>COSTILLA CERDO ESP CR (BS) X 4 KG</t>
  </si>
  <si>
    <t>SUBTOTAL DÍA 18 (2 compras)</t>
  </si>
  <si>
    <t>YP24534</t>
  </si>
  <si>
    <t>Camarón de Cultivo Precocido</t>
  </si>
  <si>
    <t>CAMARON DE CULTIVO PRECOCIDO 91-110P</t>
  </si>
  <si>
    <t>Punta de Anca Porcionada</t>
  </si>
  <si>
    <t>PUNTA DE ANCA PORC. PARRILLA</t>
  </si>
  <si>
    <t>Costilla San Luis Junior</t>
  </si>
  <si>
    <t>FVE 134</t>
  </si>
  <si>
    <t>Salmón</t>
  </si>
  <si>
    <t>Filete de Salmon Grande</t>
  </si>
  <si>
    <t>Trucha</t>
  </si>
  <si>
    <t>Trucha arcoiris</t>
  </si>
  <si>
    <t>SUBTOTAL DÍA 19 (7 compras)</t>
  </si>
  <si>
    <t>04FH104709</t>
  </si>
  <si>
    <t>Pezuña de Cerdo</t>
  </si>
  <si>
    <t>6 PEZUNA CERDO A GRANEL</t>
  </si>
  <si>
    <t>Alas Macpollo Campo</t>
  </si>
  <si>
    <t>7 ALAS MACPOLLO CAMPO C/COS MARIN A GRAN</t>
  </si>
  <si>
    <t>FAC 199</t>
  </si>
  <si>
    <t>Bagre de Mar</t>
  </si>
  <si>
    <t>BAGRE DE MAR</t>
  </si>
  <si>
    <t>FE01637</t>
  </si>
  <si>
    <t>Lomo Viche Especial de Res</t>
  </si>
  <si>
    <t>LOMO VICHE ESPECIAL DE RES</t>
  </si>
  <si>
    <t>FE01638</t>
  </si>
  <si>
    <t>LOMO CERDO</t>
  </si>
  <si>
    <t>FE01639</t>
  </si>
  <si>
    <t>CADERITA</t>
  </si>
  <si>
    <t>Lomo Viche de Res</t>
  </si>
  <si>
    <t>VICHE</t>
  </si>
  <si>
    <t>FE01640</t>
  </si>
  <si>
    <t>Costilla de Res</t>
  </si>
  <si>
    <t>CADERITA DE RES</t>
  </si>
  <si>
    <t>GSPS166007</t>
  </si>
  <si>
    <t>Pernil de Pollo a Granel</t>
  </si>
  <si>
    <t>PERNIL A GRANELL</t>
  </si>
  <si>
    <t>MY8961</t>
  </si>
  <si>
    <t>Carne Molida de Res</t>
  </si>
  <si>
    <t>MOLIDA DE RES NACIONAL 80/20 SELLO ROJO</t>
  </si>
  <si>
    <t>SUBTOTAL DÍA 22 (12 compras)</t>
  </si>
  <si>
    <t>MY9003</t>
  </si>
  <si>
    <t>Molida de Res</t>
  </si>
  <si>
    <t>YP24605</t>
  </si>
  <si>
    <t>Costilla de Cerdo Especial</t>
  </si>
  <si>
    <t>COSTILLA DE CERDO IBP 244M</t>
  </si>
  <si>
    <t>LOMO CARACHO PORCIONADO PARRILLA</t>
  </si>
  <si>
    <t>SUBTOTAL DÍA 23 (5 compras)</t>
  </si>
  <si>
    <t>03FH106242</t>
  </si>
  <si>
    <t>PECHUGA MACPOLLO BLANCO REFRI MARIN GR</t>
  </si>
  <si>
    <t>GSPS166278</t>
  </si>
  <si>
    <t>SUBTOTAL DÍA 24 (2 compras)</t>
  </si>
  <si>
    <t>938</t>
  </si>
  <si>
    <t>939</t>
  </si>
  <si>
    <t>FE01647</t>
  </si>
  <si>
    <t>Pata de Res</t>
  </si>
  <si>
    <t>PATA DE RES</t>
  </si>
  <si>
    <t>FE01649</t>
  </si>
  <si>
    <t>LOMO VICHE DE RES</t>
  </si>
  <si>
    <t>LENGUA DE RES</t>
  </si>
  <si>
    <t>CALLO DE RES</t>
  </si>
  <si>
    <t>FE1-50311</t>
  </si>
  <si>
    <t>SUBTOTAL DÍA 25 (8 compras)</t>
  </si>
  <si>
    <t>FVE 135</t>
  </si>
  <si>
    <t>MY9072</t>
  </si>
  <si>
    <t>Camarón de cultivo precocido</t>
  </si>
  <si>
    <t>LENGUA DE RES IMP X KL</t>
  </si>
  <si>
    <t>SUBTOTAL DÍA 26 (6 compras)</t>
  </si>
  <si>
    <t>942</t>
  </si>
  <si>
    <t>SUBTOTAL DÍA 27 (1 compras)</t>
  </si>
  <si>
    <t>TOTAL CONSOLIDADO CARNES (179 COMPRAS)</t>
  </si>
  <si>
    <t>DASHBOARD Y SEGUIMIENTO DE BEBIDAS - SEPTIEMBRE 2026</t>
  </si>
  <si>
    <t>Control analítico exclusivo de bebidas de tomar (cervezas, gaseosas, aguas, hidratantes, maltas)</t>
  </si>
  <si>
    <t>TOTAL INVERSIÓN BEBIDAS</t>
  </si>
  <si>
    <t>TOTAL UNIDADES / CAJAS</t>
  </si>
  <si>
    <t>COSTO PROM. / UND</t>
  </si>
  <si>
    <t>N° PEDIDOS</t>
  </si>
  <si>
    <t>1. SEGUIMIENTO DIARIO DE BEBIDAS</t>
  </si>
  <si>
    <t>2. SEGUIMIENTO DETALLADO DÍA A DÍA - REGISTRO CRONOLÓGICO DE COMPRAS DE BEBIDAS</t>
  </si>
  <si>
    <t>Cantidad (Caj/Und)</t>
  </si>
  <si>
    <t>Costo Prom. ($)</t>
  </si>
  <si>
    <t>N° Pedidos</t>
  </si>
  <si>
    <t>Ítem / Bebida (Nombre Exacto)</t>
  </si>
  <si>
    <t>Descripción Original (PDF)</t>
  </si>
  <si>
    <t>Cajas Compradas</t>
  </si>
  <si>
    <t>Costo Unitario Caja ($)</t>
  </si>
  <si>
    <t>Unid. x Caja</t>
  </si>
  <si>
    <t>Total Botellas / Unid.</t>
  </si>
  <si>
    <t>Costo Unit. Botella ($)</t>
  </si>
  <si>
    <t>Vr. Total Compra ($)</t>
  </si>
  <si>
    <t>VC242247</t>
  </si>
  <si>
    <t>Cerv Stel Artois</t>
  </si>
  <si>
    <t>CERV.STEL ARTOIS*300ml BOT (Global Liquors VC242247)</t>
  </si>
  <si>
    <t>Club colombia</t>
  </si>
  <si>
    <t>CERV.CLUB DOR LATA*330 (Global Liquors VC242247)</t>
  </si>
  <si>
    <t>Corona</t>
  </si>
  <si>
    <t>CERV.CORONA*330ml (Global Liquors VC242247)</t>
  </si>
  <si>
    <t>Poker</t>
  </si>
  <si>
    <t>CERV.POKER*330 LATA (Global Liquors VC242247)</t>
  </si>
  <si>
    <t>SUBTOTAL DÍA 1 (4 compras)</t>
  </si>
  <si>
    <t>VC242401</t>
  </si>
  <si>
    <t>Gatorade</t>
  </si>
  <si>
    <t>BEB.GATORADE*500ml SURT. (Global Liquors - VC242401)</t>
  </si>
  <si>
    <t>H2o</t>
  </si>
  <si>
    <t>AGUA H2O*600ml SURTIDA (Global Liquors VC242401 c/ NC NX8465)</t>
  </si>
  <si>
    <t>Vive 100</t>
  </si>
  <si>
    <t>BEB.EN.*380 VIVE100 (Global Liquors - VC242401)</t>
  </si>
  <si>
    <t>SUBTOTAL DÍA 2 (3 compras)</t>
  </si>
  <si>
    <t>FEMSA-3390</t>
  </si>
  <si>
    <t>Brisa 600 ml</t>
  </si>
  <si>
    <t>AGUA BRISA PET 600ML (24) (Coca-Cola FEMSA - 5571323390)</t>
  </si>
  <si>
    <t>Coca cola 1,5 lt pet (12) nvo</t>
  </si>
  <si>
    <t>COCA COLA 1.5LT PET(12) Nvo (Coca-Cola FEMSA - 5571323390)</t>
  </si>
  <si>
    <t>Coca cola zero 1,5 ltrs</t>
  </si>
  <si>
    <t>COCA COLA ZERO 1.5LT PET(12)KZ (Coca-Cola FEMSA - 5571323390)</t>
  </si>
  <si>
    <t>Coca cola zero 400ml pet(12)kz</t>
  </si>
  <si>
    <t>COCA COLA ZERO 400ML PET(12)KZ (Coca-Cola FEMSA - 5571323390)</t>
  </si>
  <si>
    <t>Coca-cola 400 ml pet (24)</t>
  </si>
  <si>
    <t>COCA-COLA 400ML PET (12) (Coca-Cola FEMSA - 5571323390)</t>
  </si>
  <si>
    <t>FEMSA-3389</t>
  </si>
  <si>
    <t>Gaseosa 400 ml</t>
  </si>
  <si>
    <t>QUATRO CHOICE 400ML NR (12) (Coca-Cola FEMSA - 5571323389)</t>
  </si>
  <si>
    <t>PREMIO ROJO FNT 400 ML PET(12) (Coca-Cola FEMSA - 5571323389)</t>
  </si>
  <si>
    <t>SPRITE 400 ML NR (12) (Coca-Cola FEMSA - 5571323389)</t>
  </si>
  <si>
    <t>SUBTOTAL DÍA 3 (8 compras)</t>
  </si>
  <si>
    <t>A 1494</t>
  </si>
  <si>
    <t>Extracto de Coco Premium 1000 ml</t>
  </si>
  <si>
    <t>Extrato de coco premium 1000 mL (COL COCO S.A.S.)</t>
  </si>
  <si>
    <t>NV202395</t>
  </si>
  <si>
    <t>Hielo en bloque</t>
  </si>
  <si>
    <t>BLOQUE MEDIA (INDUSTRIA HIELO EL NEVADO SAS)</t>
  </si>
  <si>
    <t>SUBTOTAL DÍA 4 (2 compras)</t>
  </si>
  <si>
    <t>JM07-1019725</t>
  </si>
  <si>
    <t>H2OH! Maracuyá 600 ml</t>
  </si>
  <si>
    <t>MARACUYA H2OH! 600 ML PET X 15 (POSTOBON S.A.)</t>
  </si>
  <si>
    <t>H2OH! Limoneto 600 ml</t>
  </si>
  <si>
    <t>LIMONATA H2OH! 600 ML PET X 15 (POSTOBON S.A.)</t>
  </si>
  <si>
    <t>H2OH! Manzana 600 ml</t>
  </si>
  <si>
    <t>MANZANA H2OH 600 ML PET X 15 (POSTOBON S.A.)</t>
  </si>
  <si>
    <t>Mr Tea Durazno 500 ml</t>
  </si>
  <si>
    <t>DURAZNO MR TEA 500 ML PET X 12 (Postobón S.A.)</t>
  </si>
  <si>
    <t>Mr Tea Limón 500 ml</t>
  </si>
  <si>
    <t>LIMON MR TEA 500 ML PET X 12 (Postobón S.A.)</t>
  </si>
  <si>
    <t>Postobón Naranja 1.75 L</t>
  </si>
  <si>
    <t>NARANJA POSTOBON 1.750 ML PET X 12 PM (Postobón S.A.)</t>
  </si>
  <si>
    <t>Postobón Uva 1.75 L</t>
  </si>
  <si>
    <t>UVA POSTOBON PET 1.750 ML PET X 12 PM (Postobón S.A.)</t>
  </si>
  <si>
    <t>Piña Postobón 350 ml Vidrio</t>
  </si>
  <si>
    <t>PIÑA NACIONAL 350 ML VIDRIO R X 30 (Postobón S.A.)</t>
  </si>
  <si>
    <t>Colombiana 350 ml Vidrio</t>
  </si>
  <si>
    <t>COLOMBIANA NACIONAL 350 ML VIDRIO R X 30 (Postobón S.A.)</t>
  </si>
  <si>
    <t>Postobón Uva 350 ml Vidrio</t>
  </si>
  <si>
    <t>UVA POSTOBON 350 ML VIDRIO R X 30 (Postobón S.A.)</t>
  </si>
  <si>
    <t>Postobón Manzana 350 ml Vidrio</t>
  </si>
  <si>
    <t>MANZANA POSTOBON 350 ML VIDRIO R X 30 (Postobón S.A.)</t>
  </si>
  <si>
    <t>Postobón Manzana 1.75 L</t>
  </si>
  <si>
    <t>MANZANA POSTOBON 1.750 ML PET X 12 PM (Postobón S.A.)</t>
  </si>
  <si>
    <t>Colombiana 1.75 L</t>
  </si>
  <si>
    <t>COLOMBIANA NACIONAL 1.750 ML PET X 12 PM (Postobón S.A.)</t>
  </si>
  <si>
    <t>Agua Cristal 600 ml</t>
  </si>
  <si>
    <t>AGUA CRISTAL 600 ML PET X 24 (Postobón S.A.)</t>
  </si>
  <si>
    <t>Agua Cristal con Gas 600 ml</t>
  </si>
  <si>
    <t>AGUA CRISTAL CON GAS 600 ML PET X 24 (Postobón S.A.)</t>
  </si>
  <si>
    <t>SUBTOTAL DÍA 5 (15 compras)</t>
  </si>
  <si>
    <t>NV202629</t>
  </si>
  <si>
    <t>Hielo en bolsa</t>
  </si>
  <si>
    <t>BOLSA X 5 KL TUBULAR (INDUSTRIA HIELO EL NEVADO SAS)</t>
  </si>
  <si>
    <t>NV202664</t>
  </si>
  <si>
    <t>SUBTOTAL DÍA 7 (4 compras)</t>
  </si>
  <si>
    <t>NV202876</t>
  </si>
  <si>
    <t>Hielo en Bloque Media</t>
  </si>
  <si>
    <t>NV202875</t>
  </si>
  <si>
    <t>Hielo en Bolsa x 5 kg Tubular</t>
  </si>
  <si>
    <t>SUBTOTAL DÍA 8 (2 compras)</t>
  </si>
  <si>
    <t>REM-38763</t>
  </si>
  <si>
    <t>Jug del valle</t>
  </si>
  <si>
    <t>JUGO NUTIVA EN CAJA X 200ML (Doña Mary Remision 38763)</t>
  </si>
  <si>
    <t>JM071024895</t>
  </si>
  <si>
    <t>Manzana h2oh</t>
  </si>
  <si>
    <t>MANZANA H2OH 600 ML PET X 15 (Postobon S.A. JM071024895)</t>
  </si>
  <si>
    <t>Limonada h2oh</t>
  </si>
  <si>
    <t>LIMONADA H2OH! 600 ML PET X 15 (Postobon S.A. JM071024895)</t>
  </si>
  <si>
    <t>Maracuya h2oh</t>
  </si>
  <si>
    <t>MARACUYA H2OH! 600 ML PET X 15 (Postobon S.A. JM071024895)</t>
  </si>
  <si>
    <t>Agua cristal con gas</t>
  </si>
  <si>
    <t>AGUA CRISTAL CON GAS 600 ML PET X 24 (Postobon S.A. JM071024895)</t>
  </si>
  <si>
    <t>Agua cristal</t>
  </si>
  <si>
    <t>AGUA CRISTAL 600 ML PET X 24 (Postobon S.A. JM071024895)</t>
  </si>
  <si>
    <t>Bretaña</t>
  </si>
  <si>
    <t>BRETANA 350 ML VIDRIO R X 30 (Postobon S.A. JM071024895)</t>
  </si>
  <si>
    <t>Colombiana vidrio</t>
  </si>
  <si>
    <t>COLOMBIANA NACIONAL 350 ML VIDRIO R X 30 (Postobon S.A. JM071024895)</t>
  </si>
  <si>
    <t>Popular vidrio</t>
  </si>
  <si>
    <t>POPULAR 350 ML VIDRIO R X 30 (Postobon S.A. JM071024895)</t>
  </si>
  <si>
    <t>Uva vidrio</t>
  </si>
  <si>
    <t>UVA POSTOBON 350 ML VIDRIO R X 30 (Postobon S.A. JM071024895)</t>
  </si>
  <si>
    <t>Manzana vidrio</t>
  </si>
  <si>
    <t>MANZANA POSTOBON 350 ML VIDRIO R X 30 (Postobon S.A. JM071024895)</t>
  </si>
  <si>
    <t>Tamarindo vidrio</t>
  </si>
  <si>
    <t>TAMARINDO POSTOBON 350 ML VIDRIO R X 30 (Postobon S.A. JM071024895)</t>
  </si>
  <si>
    <t>Manzana 1.75l</t>
  </si>
  <si>
    <t>MANZANA POSTOBON 1.750 ML PET X 12 PM (Postobon S.A. JM071024895)</t>
  </si>
  <si>
    <t>Colombiana 1.75l</t>
  </si>
  <si>
    <t>COLOMBIANA NACIONAL 1.750 ML PET X 12 PM (Postobon S.A. JM071024895)</t>
  </si>
  <si>
    <t>Uva 1.75l</t>
  </si>
  <si>
    <t>UVA POSTOBON PET 1.750 ML PET X 12 PM (Postobon S.A. JM071024895)</t>
  </si>
  <si>
    <t>NV202947</t>
  </si>
  <si>
    <t>FEC 2940</t>
  </si>
  <si>
    <t>Limonada de Coco Fusionada x 10</t>
  </si>
  <si>
    <t>LIMONADA DE COCO FUSIONADA X 10 (HENRY ANTONIO CASTAÑO TORO)</t>
  </si>
  <si>
    <t>Z1284001674</t>
  </si>
  <si>
    <t>Café Colcafé Cappuccino Clásico 500 g</t>
  </si>
  <si>
    <t>Colcafé Cappuccino Clasic 500g (ALKOSTO)</t>
  </si>
  <si>
    <t>MA42914</t>
  </si>
  <si>
    <t>Alquemix Galaxy V 170 g</t>
  </si>
  <si>
    <t>ALQUEMIX GALAXY V 170G (PRODUCTOS NATURALES DE LA SABANA S.A.S. BIC)</t>
  </si>
  <si>
    <t>Alquemix Milo V 95 g</t>
  </si>
  <si>
    <t>ALQUEMIX MILO V95G (PRODUCTOS NATURALES DE LA SABANA S.A.S. BIC)</t>
  </si>
  <si>
    <t>Crema de Leche 1000 g</t>
  </si>
  <si>
    <t>CREMA DE LECHE 1000G (PRODUCTOS NATURALES DE LA SABANA S.A.S. BIC)</t>
  </si>
  <si>
    <t>Leche Institucional 1100 ml</t>
  </si>
  <si>
    <t>SABOR ORIGINAL INSTITUCIONAL 1100ML (PRODUCTOS NATURALES DE LA SABANA S.A.S. BIC)</t>
  </si>
  <si>
    <t>Jugo Tangelo 400 ml</t>
  </si>
  <si>
    <t>TANGELO BOTELLA 400 ML (PRODUCTOS NATURALES DE LA SABANA S.A.S. BIC)</t>
  </si>
  <si>
    <t>Alquería M&amp;M 100 g</t>
  </si>
  <si>
    <t>ALQUERIA M&amp;M 100G (PRODUCTOS NATURALES DE LA SABANA S.A.S. BIC)</t>
  </si>
  <si>
    <t>Alquería Flips 170 g</t>
  </si>
  <si>
    <t>ALQUERIA CER 170G FLIPS (PRODUCTOS NATURALES DE LA SABANA S.A.S. BIC)</t>
  </si>
  <si>
    <t>Alquería Hojuelas 170 g</t>
  </si>
  <si>
    <t>ALQUERIA HOJUELAS 170GR (PRODUCTOS NATURALES DE LA SABANA S.A.S. BIC)</t>
  </si>
  <si>
    <t>SUBTOTAL DÍA 9 (26 compras)</t>
  </si>
  <si>
    <t>Coca-Cola Domicilios (Neymar)</t>
  </si>
  <si>
    <t>FVCL 5350357</t>
  </si>
  <si>
    <t>Brisa Manzana 600ml</t>
  </si>
  <si>
    <t>BRISA MANZANA 600ML PET(6) REDUCCION (Ind. Nac. Gaseosas)</t>
  </si>
  <si>
    <t>FVCL 5350352</t>
  </si>
  <si>
    <t>Brisa 1L</t>
  </si>
  <si>
    <t>BRISA ECOFLEX 1 LITRO (6) REDUCCION (Ind. Nac. Gaseosas)</t>
  </si>
  <si>
    <t>FVCL 5350354</t>
  </si>
  <si>
    <t>Coca Cola 1L</t>
  </si>
  <si>
    <t>COCA COLA SO 1L PET (12) REDUCCION (Ind. Nac. Gaseosas)</t>
  </si>
  <si>
    <t>FVCL 5350355</t>
  </si>
  <si>
    <t>Quatro 1.5L</t>
  </si>
  <si>
    <t>QUATRO CHOICE 1.5 LT PET (12) REDUCCION (Ind. Nac. Gaseosas)</t>
  </si>
  <si>
    <t>6760 / FP 5350350</t>
  </si>
  <si>
    <t>Agua Brisa</t>
  </si>
  <si>
    <t>AGUA BRISA (INDUSTRIA NACIONAL DE GASEOSAS SA)</t>
  </si>
  <si>
    <t>6759 / FP 5350358</t>
  </si>
  <si>
    <t>Gaseosas</t>
  </si>
  <si>
    <t>GASEOSAS (INDUSTRIA NACIONAL DE GASEOSAS SA)</t>
  </si>
  <si>
    <t>NV203068</t>
  </si>
  <si>
    <t>Bloque media</t>
  </si>
  <si>
    <t>BLOQUE MEDIA (EL NEVADO S.A.S.)</t>
  </si>
  <si>
    <t>A 1498</t>
  </si>
  <si>
    <t>SUBTOTAL DÍA 10 (9 compras)</t>
  </si>
  <si>
    <t>NV203136</t>
  </si>
  <si>
    <t>Hielo Bloque Media</t>
  </si>
  <si>
    <t>Hielo Bolsa Tubular 5 Kg</t>
  </si>
  <si>
    <t>SUBTOTAL DÍA 11 (2 compras)</t>
  </si>
  <si>
    <t>V03-105561</t>
  </si>
  <si>
    <t>Cerveza Coronita 210ml</t>
  </si>
  <si>
    <t>1 CERVEZA CORONITA*210ml*6und EXTRA BOTE</t>
  </si>
  <si>
    <t>2 CERVEZA CORONITA*210ml*6und EXTRA BOTE</t>
  </si>
  <si>
    <t>3 CERVEZA CORONITA*210ml*6und EXTRA BOTE</t>
  </si>
  <si>
    <t>4 CERVEZA CORONITA*210ml*6und EXTRA BOTE</t>
  </si>
  <si>
    <t>SUBTOTAL DÍA 12 (4 compras)</t>
  </si>
  <si>
    <t>FVCL 5378420</t>
  </si>
  <si>
    <t>Agua</t>
  </si>
  <si>
    <t>AGUA BRISA PET 600ML (24)</t>
  </si>
  <si>
    <t>FVCL 5378421</t>
  </si>
  <si>
    <t>Gaseosa</t>
  </si>
  <si>
    <t>COCA-COLA 350ML VIR(30)</t>
  </si>
  <si>
    <t>SUBTOTAL DÍA 13 (2 compras)</t>
  </si>
  <si>
    <t>FEPL3208151</t>
  </si>
  <si>
    <t>Jugo Tangelo</t>
  </si>
  <si>
    <t>TANGELO BOTELLA 400 ML (Alquería)</t>
  </si>
  <si>
    <t>SF45262</t>
  </si>
  <si>
    <t>Hielo</t>
  </si>
  <si>
    <t>BLOQUE MEDIA X 2 (Hielo El Nevado Remisión SF45262)</t>
  </si>
  <si>
    <t>07FH74898</t>
  </si>
  <si>
    <t>Vino Tinto</t>
  </si>
  <si>
    <t>ESPINAZO Y PEZUÑA CERDO A GRANEL (Cañaveral Fac 07FH74898)</t>
  </si>
  <si>
    <t>SUBTOTAL DÍA 15 (3 compras)</t>
  </si>
  <si>
    <t>SF45284</t>
  </si>
  <si>
    <t>BLOQUE MEDIA + BOLSA TUBULAR (Hielo El Nevado SF45284)</t>
  </si>
  <si>
    <t>SUBTOTAL DÍA 16 (1 compras)</t>
  </si>
  <si>
    <t>FVCL 5414446</t>
  </si>
  <si>
    <t>Coca Cola 1.5LT</t>
  </si>
  <si>
    <t>COCA COLA 1.5LT PET(12) Nvo (Coca-Cola FEMSA)</t>
  </si>
  <si>
    <t>Coca-Cola 400ml</t>
  </si>
  <si>
    <t>COCA-COLA 400ML PET(12) (Coca-Cola FEMSA)</t>
  </si>
  <si>
    <t>SF45299</t>
  </si>
  <si>
    <t>BLOQUE MEDIA + BOLSA TUBULAR (Hielo El Nevado SF45299)</t>
  </si>
  <si>
    <t>SUBTOTAL DÍA 17 (3 compras)</t>
  </si>
  <si>
    <t>VC247919</t>
  </si>
  <si>
    <t>Cerveza Poker 330 Lata</t>
  </si>
  <si>
    <t>CERV.POKER*330 LATA (Global Liquors)</t>
  </si>
  <si>
    <t>Cerveza Club Dorada Lata 330</t>
  </si>
  <si>
    <t>CERV.CLUB DOR LATA*330 (Global Liquors)</t>
  </si>
  <si>
    <t>Cerveza Stella Artois 300ml Botella</t>
  </si>
  <si>
    <t>CERV.STEL ARTOIS*300ml BOT (Global Liquors)</t>
  </si>
  <si>
    <t>Cerveza Corona 330ml</t>
  </si>
  <si>
    <t>CERV.CORONA*330ml (Global Liquors)</t>
  </si>
  <si>
    <t>Vive 100 380ml</t>
  </si>
  <si>
    <t>BEB.EN.*380 VIVE100 (Global Liquors)</t>
  </si>
  <si>
    <t>Pony Malta 330ml Pet</t>
  </si>
  <si>
    <t>BEB.MALTA*330ml PONY PET (Global Liquors)</t>
  </si>
  <si>
    <t>SF45333</t>
  </si>
  <si>
    <t>BLOQUE MEDIA + BOLSA TUBULAR (Hielo El Nevado SF45333)</t>
  </si>
  <si>
    <t>SUBTOTAL DÍA 18 (7 compras)</t>
  </si>
  <si>
    <t>FVCL 5445462</t>
  </si>
  <si>
    <t>COCA-COLA 400ML PET (12)</t>
  </si>
  <si>
    <t>Agua Brisa 600ml</t>
  </si>
  <si>
    <t>Agua Brisa con Gas 600ml</t>
  </si>
  <si>
    <t>AGUA BRISA GAS PET 600ML (24)</t>
  </si>
  <si>
    <t>Coca cola 400 ml</t>
  </si>
  <si>
    <t>COCA-COLA 400ML PET (12) (Coca-Cola FEMSA - FVCL 5445462)</t>
  </si>
  <si>
    <t>Agua brisa pet</t>
  </si>
  <si>
    <t>AGUA BRISA PET 600ML (24) (Coca-Cola FEMSA - FVCL 5445462)</t>
  </si>
  <si>
    <t>Agua brisa con gas pet</t>
  </si>
  <si>
    <t>AGUA BRISA GAS PET 600ML (24) (Coca-Cola FEMSA - FVCL 5445462)</t>
  </si>
  <si>
    <t>SUBTOTAL DÍA 21 (6 compras)</t>
  </si>
  <si>
    <t>FVCL 5480555</t>
  </si>
  <si>
    <t>Coca-Cola 350ml</t>
  </si>
  <si>
    <t>COCA COLA 1.5LT PET(12) Nvo</t>
  </si>
  <si>
    <t>ZZCL 1093801</t>
  </si>
  <si>
    <t>SUBTOTAL DÍA 24 (6 compras)</t>
  </si>
  <si>
    <t>11FH132513</t>
  </si>
  <si>
    <t>Cerveza Corona x 330 ml Sixpack</t>
  </si>
  <si>
    <t>1 CERVEZA CORONA*330ml*6und EXTRA</t>
  </si>
  <si>
    <t>2 CERVEZA CORONA*330ml*6und EXTRA</t>
  </si>
  <si>
    <t>3 CERVEZA CORONA*330ml*6und EXTRA</t>
  </si>
  <si>
    <t>4 CERVEZA CORONA*330ml*6und EXTRA</t>
  </si>
  <si>
    <t>5 CERVEZA CORONA*330ml*6und EXTRA</t>
  </si>
  <si>
    <t>Cerveza Stella Artois x 300 ml Sixpack</t>
  </si>
  <si>
    <t>6 CERVEZA STELLA ARTOIS*300ml*6und BOTEL</t>
  </si>
  <si>
    <t>7 CERVEZA STELLA ARTOIS*300ml*6und BOTEL</t>
  </si>
  <si>
    <t>8 CERVEZA STELLA ARTOIS*300ml*6und BOTEL</t>
  </si>
  <si>
    <t>9 CERVEZA STELLA ARTOIS*300ml*6und BOTEL</t>
  </si>
  <si>
    <t>10 CERVEZA STELLA ARTOIS*300ml*6und BOTE</t>
  </si>
  <si>
    <t>VC250329</t>
  </si>
  <si>
    <t>Cerveza Corona x 330 ml Caja</t>
  </si>
  <si>
    <t>008428 CERV.CORONA*330ml</t>
  </si>
  <si>
    <t>Cerveza Stella Artois x 300 ml Botella Caja</t>
  </si>
  <si>
    <t>008541 CERV.STEL ARTOIS*300ml BOT</t>
  </si>
  <si>
    <t>Cerveza Club Colombia Dorada x 330 ml Lata Caja</t>
  </si>
  <si>
    <t>008441 CERV.CLUB DOR LATA*330</t>
  </si>
  <si>
    <t>Cerveza Poker x 330 ml Lata Caja</t>
  </si>
  <si>
    <t>008440 CERV.POKER*330 LATA</t>
  </si>
  <si>
    <t>Cerveza Águila Light x 330 ml Lata Caja</t>
  </si>
  <si>
    <t>008454 CERV.LIGH*330 LATA</t>
  </si>
  <si>
    <t>Pony Malta x 330 ml PET Caja</t>
  </si>
  <si>
    <t>000014 PONY MALTA*330ml PET</t>
  </si>
  <si>
    <t>SUBTOTAL DÍA 25 (16 compras)</t>
  </si>
  <si>
    <t>FEC 2978</t>
  </si>
  <si>
    <t>LIMONADA DE COCO FUSIONADA X 10</t>
  </si>
  <si>
    <t>JM071049921</t>
  </si>
  <si>
    <t>Agua Cristal con Gas 600 ml PET</t>
  </si>
  <si>
    <t>1.- |AGUA CRISTAL CON GAS 600 ML PET X 24</t>
  </si>
  <si>
    <t>Bretaña 350 ml Vidrio Retornable</t>
  </si>
  <si>
    <t>2.- |BRETAÑA 350 ML VIDRIO R X 30</t>
  </si>
  <si>
    <t>Gatorade Maracuyá 500 ml PET</t>
  </si>
  <si>
    <t>3.- |MARACUYA GATORADE 500 ML PET X 12</t>
  </si>
  <si>
    <t>Gatorade Mandarina 500 ml PET</t>
  </si>
  <si>
    <t>4.- |MANDARINA GATORADE 500 ML PET X 12</t>
  </si>
  <si>
    <t>Gaseosa Colombiana 350 ml Vidrio Retornable</t>
  </si>
  <si>
    <t>5.- |COLOMBIANA NACIONAL 350 ML VIDRIO R X 30</t>
  </si>
  <si>
    <t>Gaseosa Popular 350 ml Vidrio Retornable</t>
  </si>
  <si>
    <t>6.- |POPULAR 350 ML VIDRIO R X 30</t>
  </si>
  <si>
    <t>Mr Tea Durazno 500 ml PET</t>
  </si>
  <si>
    <t>7.- |DURAZNO MR TEA 500 ML PET X12</t>
  </si>
  <si>
    <t>Gatorade Frutas Tropicales 500 ml PET</t>
  </si>
  <si>
    <t>8.- |FRUTAS TROPICAL GATORADE 500 ML PET X12</t>
  </si>
  <si>
    <t>Gatorade Manzana 500 ml PET</t>
  </si>
  <si>
    <t>9.- |MANZANA GATORADE 500 ML PET X12</t>
  </si>
  <si>
    <t>10.- |AGUA CRISTAL CON GAS 600 ML PET X 24</t>
  </si>
  <si>
    <t>SUBTOTAL DÍA 26 (11 compras)</t>
  </si>
  <si>
    <t>TOTAL CONSOLIDADO BEBIDAS (134 COMPRAS)</t>
  </si>
  <si>
    <t>DASHBOARD ANALÍTICO DE NÓMINA, HONORARIOS Y TALENTO HUMANO - SEPTIEMBRE 2026</t>
  </si>
  <si>
    <t>TOTAL TALENTO HUMANO Y HONORARIOS</t>
  </si>
  <si>
    <t>NÓMINA FIJA Y SERVICIOS TEMPORALES</t>
  </si>
  <si>
    <t>HONORARIOS Y GESTIÓN DIRECTIVA</t>
  </si>
  <si>
    <t>TURNOS OPERATIVOS EN EFECTIVO</t>
  </si>
  <si>
    <t>Nº PAGOS REGISTRADOS</t>
  </si>
  <si>
    <t>Nómina + Temporales + Honorarios + Turnos + Gestión</t>
  </si>
  <si>
    <t>4 Quincenas BBVA + 2 Facturas GIT (Agosto y Sept)</t>
  </si>
  <si>
    <t>Contadora, Antonio, Arturo, Eliana</t>
  </si>
  <si>
    <t>Turnos caja menor: salón, cocina y fin de semana</t>
  </si>
  <si>
    <t>Transacciones personal</t>
  </si>
  <si>
    <t>1. RESUMEN EJECUTIVO POR MODALIDAD DE CONTRATACIÓN Y BENEFICIARIO</t>
  </si>
  <si>
    <t>2. REGISTRO CRONOLÓGICO Y DETALLADO DÍA A DÍA (DETALLE DE TRANSACCIONES)</t>
  </si>
  <si>
    <t>Concepto / Beneficiario</t>
  </si>
  <si>
    <t>Modalidad Contractual</t>
  </si>
  <si>
    <t>Nº Pagos</t>
  </si>
  <si>
    <t>% Part.</t>
  </si>
  <si>
    <t>Promedio Pago ($)</t>
  </si>
  <si>
    <t>Soporte / Fac</t>
  </si>
  <si>
    <t>Beneficiario / Personal</t>
  </si>
  <si>
    <t>Concepto / Modalidad</t>
  </si>
  <si>
    <t>Descripción Detallada</t>
  </si>
  <si>
    <t>Vr. Pagado ($)</t>
  </si>
  <si>
    <t>Fuente / Observaciones</t>
  </si>
  <si>
    <t>Nómina Bancaria 1ra Quincena (BBVA)</t>
  </si>
  <si>
    <t>Nómina Quincenal Fija</t>
  </si>
  <si>
    <t>Libro de Caja</t>
  </si>
  <si>
    <t>Arturo Díaz</t>
  </si>
  <si>
    <t>Gestión Directiva</t>
  </si>
  <si>
    <t>Devolución Señor Arturo Principal (Johanna)</t>
  </si>
  <si>
    <t>Efectivo Caja Menor</t>
  </si>
  <si>
    <t>Servicios Temporales Nómina (GIT)</t>
  </si>
  <si>
    <t>Temporal / AIU Planta</t>
  </si>
  <si>
    <t>RCM-07-Sep-2026</t>
  </si>
  <si>
    <t>Encomienda Arturo (Recibo Caja Menor 07-Sep-2026)</t>
  </si>
  <si>
    <t>Caja Menor</t>
  </si>
  <si>
    <t>Honorarios Contadora Pública</t>
  </si>
  <si>
    <t>Honorarios Profesionales</t>
  </si>
  <si>
    <t>Marleny</t>
  </si>
  <si>
    <t>Turno Operativo</t>
  </si>
  <si>
    <t>Turno Marleny Domicilios (Carolina)</t>
  </si>
  <si>
    <t>Gestión y Dirección (Antonio Díaz)</t>
  </si>
  <si>
    <t>Gestión Directiva / Apoyo</t>
  </si>
  <si>
    <t>Jhonatan</t>
  </si>
  <si>
    <t>Vale Descontable</t>
  </si>
  <si>
    <t>Crédito Jhonatan Domicilios (Carolina)</t>
  </si>
  <si>
    <t>Anticipo Empleado</t>
  </si>
  <si>
    <t>Retiros y Encomiendas (Don Arturo)</t>
  </si>
  <si>
    <t>Retiro Socio / Encomiendas</t>
  </si>
  <si>
    <t>Devolución Señor Arturo Domicilios (Carolina)</t>
  </si>
  <si>
    <t>Salida Caja Menor</t>
  </si>
  <si>
    <t>Honorarios Operativos (Eliana)</t>
  </si>
  <si>
    <t>Honorarios / Cuenta Cobro</t>
  </si>
  <si>
    <t>Carolina</t>
  </si>
  <si>
    <t>Transporte Personal</t>
  </si>
  <si>
    <t>Transporte Carolina Domicilios (Carolina)</t>
  </si>
  <si>
    <t>Transporte Operativo</t>
  </si>
  <si>
    <t>Turnos de Personal - Marleny</t>
  </si>
  <si>
    <t>Turno Operativo Salón/Cocina</t>
  </si>
  <si>
    <t>SUBTOTAL DÍA 7 (6 pagos)</t>
  </si>
  <si>
    <t>Turnos de Personal - Andrés</t>
  </si>
  <si>
    <t>Turno Operativo Salón/Apoyo</t>
  </si>
  <si>
    <t>Andrés</t>
  </si>
  <si>
    <t>Turno Andrés Principal (Johanna)</t>
  </si>
  <si>
    <t>Turnos de Personal - Sebastián</t>
  </si>
  <si>
    <t>Turno Operativo Salón/Servicio</t>
  </si>
  <si>
    <t>Diego / Luigui</t>
  </si>
  <si>
    <t>Turno Diego / Luigui Principal (Johanna)</t>
  </si>
  <si>
    <t>Turnos de Personal - Wilson</t>
  </si>
  <si>
    <t>Turno Marleny Domicilios (Neymar)</t>
  </si>
  <si>
    <t>Seguridad y Vigilancia (Fredy Toty / Taty)</t>
  </si>
  <si>
    <t>Turno Nocturno / Vigilancia</t>
  </si>
  <si>
    <t>Wilson</t>
  </si>
  <si>
    <t>Wilson (Lunes y Martes) Principal (Johanna) - 2 días</t>
  </si>
  <si>
    <t>Otros Turnos y Refuerzos Operativos</t>
  </si>
  <si>
    <t>Turnos y Horas Apoyo (Leyton/Martha/Lucero)</t>
  </si>
  <si>
    <t>José David</t>
  </si>
  <si>
    <t>Crédito José David Domicilios (Neymar)</t>
  </si>
  <si>
    <t>Incentivos Laborales y Abonos</t>
  </si>
  <si>
    <t>Incentivo / Abono Cuenta Cobro</t>
  </si>
  <si>
    <t>SUBTOTAL DÍA 8 (5 pagos)</t>
  </si>
  <si>
    <t>Auxilio de Transporte de Personal</t>
  </si>
  <si>
    <t>Apoyo Transporte Operativo</t>
  </si>
  <si>
    <t>Anticipos y Vales Empleados</t>
  </si>
  <si>
    <t>Préstamo Menor Descontable</t>
  </si>
  <si>
    <t>Sebastián</t>
  </si>
  <si>
    <t>Turno Sebastián Principal (Johanna)</t>
  </si>
  <si>
    <t>Salud Ocupacional y Exámenes Médicos (IPS)</t>
  </si>
  <si>
    <t>Exámenes Médicos Ingreso</t>
  </si>
  <si>
    <t>Turno Marleny Domicilios (María)</t>
  </si>
  <si>
    <t>TOTAL CONSOLIDADO TALENTO HUMANO Y HONORARIOS</t>
  </si>
  <si>
    <t>Todas las modalidades</t>
  </si>
  <si>
    <t>Don Arturo recogió Domicilios (María)</t>
  </si>
  <si>
    <t>Retiro Efectivo Caja</t>
  </si>
  <si>
    <t>SUBTOTAL DÍA 9 (4 pagos)</t>
  </si>
  <si>
    <t>RCM-10-Sep-2026-7</t>
  </si>
  <si>
    <t>MARLENY - TRANSPORTE MAÑANA (Recibo Caja Menor)</t>
  </si>
  <si>
    <t>Apoyo Transporte</t>
  </si>
  <si>
    <t>RCM-10-Sep-2026-5</t>
  </si>
  <si>
    <t>MARLENE - 7 HORAS (Recibo Caja Menor 10/09/2026)</t>
  </si>
  <si>
    <t>Recibo Oficial Caja</t>
  </si>
  <si>
    <t>RCM-10-Sep-2026-4</t>
  </si>
  <si>
    <t>Antonio Díaz</t>
  </si>
  <si>
    <t>ANTONIO L. DIAZ - TAXI DILIGENCIAS (Recibo Caja Menor)</t>
  </si>
  <si>
    <t>RCM-10-Sep-2026-1</t>
  </si>
  <si>
    <t>Edith</t>
  </si>
  <si>
    <t>TRANSPORTE EDITH (Recibo Caja Menor Marfil 10/09/26)</t>
  </si>
  <si>
    <t>Taty Vigilancia</t>
  </si>
  <si>
    <t>Seguridad / Vigilancia</t>
  </si>
  <si>
    <t>Turno Taty Vigilancia Domicilios (Neymar)</t>
  </si>
  <si>
    <t>Deys</t>
  </si>
  <si>
    <t>Transporte Deys Domicilios (Neymar)</t>
  </si>
  <si>
    <t>SUBTOTAL DÍA 10 (9 pagos)</t>
  </si>
  <si>
    <t>Cuenta de Cobro</t>
  </si>
  <si>
    <t>Eliana</t>
  </si>
  <si>
    <t>Honorarios Operativos</t>
  </si>
  <si>
    <t>Pago de Servicios Eliana (Cuenta de Cobro)</t>
  </si>
  <si>
    <t>Cuaderno Don Arturo</t>
  </si>
  <si>
    <t>Contadora Pública</t>
  </si>
  <si>
    <t>Honorarios Contadora</t>
  </si>
  <si>
    <t>Honorarios Contadora (Cuaderno Don Arturo)</t>
  </si>
  <si>
    <t>Asesoría Contable</t>
  </si>
  <si>
    <t>FELE11955</t>
  </si>
  <si>
    <t>GIT Organizacional</t>
  </si>
  <si>
    <t>Servicios Temporales</t>
  </si>
  <si>
    <t>SERVICIOS TEMPORALES + AIU (Factura FELE11955 - Agosto 16-31)</t>
  </si>
  <si>
    <t>Factura Electrónica</t>
  </si>
  <si>
    <t>Danilo</t>
  </si>
  <si>
    <t>Transporte Danilo (Cuaderno Don Arturo)</t>
  </si>
  <si>
    <t>Turno Andrés Principal (Johanna/Wilson)</t>
  </si>
  <si>
    <t>Turno Sebastián Principal (Johanna/Wilson)</t>
  </si>
  <si>
    <t>Turno Wilson Principal (Johanna/Wilson)</t>
  </si>
  <si>
    <t>Pago Antonio (Caja Menor Johanna/Wilson)</t>
  </si>
  <si>
    <t>Fac 039427</t>
  </si>
  <si>
    <t>Honorarios como contadora pública 01 al 31 de agosto</t>
  </si>
  <si>
    <t>Cuenta de Cobro Oficial</t>
  </si>
  <si>
    <t>Turnos Operativos</t>
  </si>
  <si>
    <t>Planilla Caja Menor</t>
  </si>
  <si>
    <t>Marleny 6 Horas Adicionales Domicilios</t>
  </si>
  <si>
    <t>Eliana Garcés</t>
  </si>
  <si>
    <t>Eliana Garcés (ela cobra) - Pago efectivo caja menor</t>
  </si>
  <si>
    <t>SUBTOTAL DÍA 11 (12 pagos)</t>
  </si>
  <si>
    <t>Turno Wilson Principal pagado en efectivo</t>
  </si>
  <si>
    <t>Turno Andrés Principal pagado en efectivo</t>
  </si>
  <si>
    <t>Turno Sebastián Principal pagado en efectivo</t>
  </si>
  <si>
    <t>Don Arturo recogió efectivo socio (Caja Menor)</t>
  </si>
  <si>
    <t>Retiro Efectivo Socio</t>
  </si>
  <si>
    <t>Crédito Don Arturo (Vale de caja menor)</t>
  </si>
  <si>
    <t>Vale de Caja Menor</t>
  </si>
  <si>
    <t>Turno Marleny Domicilios pagado en efectivo</t>
  </si>
  <si>
    <t>Turno Sebastián Domicilios pagado en efectivo</t>
  </si>
  <si>
    <t>Lina</t>
  </si>
  <si>
    <t>Transporte Lina Domicilios (Caja menor)</t>
  </si>
  <si>
    <t>Transporte 2 días Danilo Domicilios (Caja menor)</t>
  </si>
  <si>
    <t>Deicy</t>
  </si>
  <si>
    <t>Transporte Deicy Domicilios (Caja menor)</t>
  </si>
  <si>
    <t>Enith</t>
  </si>
  <si>
    <t>Transporte Enith Domicilios (Caja menor)</t>
  </si>
  <si>
    <t>SUBTOTAL DÍA 12 (11 pagos)</t>
  </si>
  <si>
    <t>Martha Collazos</t>
  </si>
  <si>
    <t>Turno Martha Collazos Domicilios en efectivo</t>
  </si>
  <si>
    <t>Crédito Carolina (Vale de caja menor)</t>
  </si>
  <si>
    <t>Daniela</t>
  </si>
  <si>
    <t>Crédito Daniela (Vale de caja menor)</t>
  </si>
  <si>
    <t>María Bertilda</t>
  </si>
  <si>
    <t>Crédito María Bertilda (Vale de caja menor)</t>
  </si>
  <si>
    <t>Turno Marleny Cocina Domicilios en efectivo</t>
  </si>
  <si>
    <t>SUBTOTAL DÍA 13 (7 pagos)</t>
  </si>
  <si>
    <t>Por concepto de declaración de renta (Cuenta de Cobro)</t>
  </si>
  <si>
    <t>Asesoría Tributaria</t>
  </si>
  <si>
    <t>FELE12018</t>
  </si>
  <si>
    <t>SERVICIOS TEMPORALES SEPTIEMBRE 01 AL 15 (Factura FELE12018)</t>
  </si>
  <si>
    <t>AIU FISCAL + IVA RÉGIMEN ESPECIAL (Factura FELE12018)</t>
  </si>
  <si>
    <t>SUBTOTAL DÍA 14 (6 pagos)</t>
  </si>
  <si>
    <t>TR-BBVA-1509</t>
  </si>
  <si>
    <t>Jacqueline Jiménez Burbano</t>
  </si>
  <si>
    <t>Nómina Bancaria</t>
  </si>
  <si>
    <t>PAGO NOMINA 1RA QUINCENA SEPTIEMBRE (Transferencia BBVA)</t>
  </si>
  <si>
    <t>Bancario 1ra Quincena</t>
  </si>
  <si>
    <t>Juan David Aguirre Piamba</t>
  </si>
  <si>
    <t>Enith Mosquera Mosquera</t>
  </si>
  <si>
    <t>Mary Luz Henao Hernández</t>
  </si>
  <si>
    <t>Turno Andrés pagado en efectivo de caja menor</t>
  </si>
  <si>
    <t>Turno Wilson pagado en efectivo de caja menor</t>
  </si>
  <si>
    <t>Turno Sebastián pagado en efectivo de caja menor</t>
  </si>
  <si>
    <t>Joan David</t>
  </si>
  <si>
    <t>Vale / anticipo empleado Joan David</t>
  </si>
  <si>
    <t>Turno Marleny pagado en efectivo</t>
  </si>
  <si>
    <t>FE2553</t>
  </si>
  <si>
    <t>Health Care IPS S.A.S.</t>
  </si>
  <si>
    <t>Salud Ocupacional</t>
  </si>
  <si>
    <t>Examen Coprológico ingreso (Factura FE2553)</t>
  </si>
  <si>
    <t>Examen Frotis Faríngeo ingreso (Factura FE2553)</t>
  </si>
  <si>
    <t>Examen Hongos KOH ingreso (Factura FE2553)</t>
  </si>
  <si>
    <t>Evaluación Médica Pre-Ingreso (Factura FE2553)</t>
  </si>
  <si>
    <t>Panel Drogas de Abuso (Factura FE2553)</t>
  </si>
  <si>
    <t>Evaluación Médica Ocupacional Periódica (Factura FE2553)</t>
  </si>
  <si>
    <t>SUBTOTAL DÍA 15 (15 pagos)</t>
  </si>
  <si>
    <t>Personal Operativo</t>
  </si>
  <si>
    <t>Incentivos Laborales</t>
  </si>
  <si>
    <t>Pago Incentivo Mes de Agosto / 26</t>
  </si>
  <si>
    <t>Bonificación Personal</t>
  </si>
  <si>
    <t>Personal / Servicios</t>
  </si>
  <si>
    <t>Abonos Laborales</t>
  </si>
  <si>
    <t>Abono cuenta de cobro saldo $ 345.000</t>
  </si>
  <si>
    <t>Abono Cuenta Cobro</t>
  </si>
  <si>
    <t>2 días de transporte de personal</t>
  </si>
  <si>
    <t>Turno Andrés pagado en efectivo</t>
  </si>
  <si>
    <t>Neymar</t>
  </si>
  <si>
    <t>Vale / anticipo empleado Neymar</t>
  </si>
  <si>
    <t>SUBTOTAL DÍA 16 (6 pagos)</t>
  </si>
  <si>
    <t>Turno Sebastián pagado en efectivo</t>
  </si>
  <si>
    <t>Recibo Lucero</t>
  </si>
  <si>
    <t>Lucero (Refuerzo)</t>
  </si>
  <si>
    <t>Turno apoyo 4 horas personal (Lucero)</t>
  </si>
  <si>
    <t>Recibo Caja Menor</t>
  </si>
  <si>
    <t>Fredy Toty</t>
  </si>
  <si>
    <t>Turno vigilancia Fredy Toty</t>
  </si>
  <si>
    <t>SUBTOTAL DÍA 17 (4 pagos)</t>
  </si>
  <si>
    <t>SUBTOTAL DÍA 18 (3 pagos)</t>
  </si>
  <si>
    <t>RCM-190926</t>
  </si>
  <si>
    <t>Leyton Agudelo</t>
  </si>
  <si>
    <t>Turno Sábado y Domingo (Recibo Caja Menor Leyton)</t>
  </si>
  <si>
    <t>SUBTOTAL DÍA 19 (1 pagos)</t>
  </si>
  <si>
    <t>TOTAL CONSOLIDADO TALENTO HUMANO (89 PAGOS)</t>
  </si>
  <si>
    <t>Unidad</t>
  </si>
  <si>
    <t>Cantidad Vendida</t>
  </si>
  <si>
    <t>Precio Unitario Neto</t>
  </si>
  <si>
    <t>Venta Bruta</t>
  </si>
  <si>
    <t>Descuentos</t>
  </si>
  <si>
    <t>Venta Neta</t>
  </si>
  <si>
    <t>Impoconsumo (8%)</t>
  </si>
  <si>
    <t>Gran Total Facturado</t>
  </si>
  <si>
    <t>% Part. Día</t>
  </si>
  <si>
    <t>Proveedor / Emisor Factura</t>
  </si>
  <si>
    <t>Agua tarro</t>
  </si>
  <si>
    <t>ud</t>
  </si>
  <si>
    <t>Restaurante Choclos y Asados La Finca S.A.S.</t>
  </si>
  <si>
    <t>Aguacate porc</t>
  </si>
  <si>
    <t>Albondigas</t>
  </si>
  <si>
    <t>Arroz con camaron</t>
  </si>
  <si>
    <t>Bao</t>
  </si>
  <si>
    <t>Calentado chicharron</t>
  </si>
  <si>
    <t>Cazuela de camaron</t>
  </si>
  <si>
    <t>Cazuela mariscos</t>
  </si>
  <si>
    <t>Cerdo ejecutivo</t>
  </si>
  <si>
    <t>Cerv corona - stella</t>
  </si>
  <si>
    <t>Cerv poker - aguila</t>
  </si>
  <si>
    <t>Cerveza club</t>
  </si>
  <si>
    <t>Chichacharron grand</t>
  </si>
  <si>
    <t>Choricerdo</t>
  </si>
  <si>
    <t>Coca cola 350</t>
  </si>
  <si>
    <t>Desechables</t>
  </si>
  <si>
    <t>Filete pechuga espec</t>
  </si>
  <si>
    <t>Francesa</t>
  </si>
  <si>
    <t>Frape frutas</t>
  </si>
  <si>
    <t>Frijolada especial</t>
  </si>
  <si>
    <t>Frijolada molida</t>
  </si>
  <si>
    <t>Gaseosa 1500</t>
  </si>
  <si>
    <t>Gaseosa 350</t>
  </si>
  <si>
    <t>Gaseosa 400ml</t>
  </si>
  <si>
    <t>H2o saborizada</t>
  </si>
  <si>
    <t>Huevo</t>
  </si>
  <si>
    <t>Jugo jarra agua 2 lt</t>
  </si>
  <si>
    <t>Jugo leche vaso</t>
  </si>
  <si>
    <t>Limonada coco</t>
  </si>
  <si>
    <t>Limonada vaso 16 onz</t>
  </si>
  <si>
    <t>Lomo cerdo espec</t>
  </si>
  <si>
    <t>Mazamorra</t>
  </si>
  <si>
    <t>Mega chicharrn 700 g</t>
  </si>
  <si>
    <t>Mr tea</t>
  </si>
  <si>
    <t>Pericos con arroz</t>
  </si>
  <si>
    <t>Pony malta peq</t>
  </si>
  <si>
    <t>Porc albondiga</t>
  </si>
  <si>
    <t>Porc arepa</t>
  </si>
  <si>
    <t>Porc arroz</t>
  </si>
  <si>
    <t>Porc cerdo peque</t>
  </si>
  <si>
    <t>Porc cost res</t>
  </si>
  <si>
    <t>Porc molida</t>
  </si>
  <si>
    <t>Porc principio</t>
  </si>
  <si>
    <t>Porc res</t>
  </si>
  <si>
    <t>Porc sobre peque</t>
  </si>
  <si>
    <t>Prom churrasco</t>
  </si>
  <si>
    <t>Prom costill ahumada</t>
  </si>
  <si>
    <t>Prom tilapia</t>
  </si>
  <si>
    <t>Salmon espec</t>
  </si>
  <si>
    <t>Salmon salsa camaron</t>
  </si>
  <si>
    <t>Soda postobon</t>
  </si>
  <si>
    <t>Sopa sola</t>
  </si>
  <si>
    <t>Tilapia salsa camaro</t>
  </si>
  <si>
    <t>Tinto</t>
  </si>
  <si>
    <t>Trucha salsa camaron</t>
  </si>
  <si>
    <t>Aguacate entero</t>
  </si>
  <si>
    <t>kl</t>
  </si>
  <si>
    <t>Baby beef 400 gr apr</t>
  </si>
  <si>
    <t>Banano unidad</t>
  </si>
  <si>
    <t>Cafe en leche</t>
  </si>
  <si>
    <t>Calentado ce</t>
  </si>
  <si>
    <t>Calentado especial</t>
  </si>
  <si>
    <t>Cerv coronita</t>
  </si>
  <si>
    <t>Chocolate leche</t>
  </si>
  <si>
    <t>Cordon blue</t>
  </si>
  <si>
    <t>Entrada tost ahogado</t>
  </si>
  <si>
    <t>Hojuelas</t>
  </si>
  <si>
    <t>Jugo agua vaso</t>
  </si>
  <si>
    <t>Jugo hit nr</t>
  </si>
  <si>
    <t>Limonada cerezada 16</t>
  </si>
  <si>
    <t>Milo frio - caliente</t>
  </si>
  <si>
    <t>Porc ensalada</t>
  </si>
  <si>
    <t>Porc morrillo peque</t>
  </si>
  <si>
    <t>Porcion pollo</t>
  </si>
  <si>
    <t>Tangelo</t>
  </si>
  <si>
    <t>Tilapia grande 450 g</t>
  </si>
  <si>
    <t>Vive 100 grde</t>
  </si>
  <si>
    <t>Asada</t>
  </si>
  <si>
    <t>Bistec higado</t>
  </si>
  <si>
    <t>Costeita</t>
  </si>
  <si>
    <t>Desmechada</t>
  </si>
  <si>
    <t>Filete ejecutivo</t>
  </si>
  <si>
    <t>Jugo jarra agua 1 li</t>
  </si>
  <si>
    <t>Michelado 1000</t>
  </si>
  <si>
    <t>Pericos solos</t>
  </si>
  <si>
    <t>Porc.higado</t>
  </si>
  <si>
    <t>Prom filete pollo</t>
  </si>
  <si>
    <t>Vive 100 pequ</t>
  </si>
  <si>
    <t>Actigest</t>
  </si>
  <si>
    <t>Calentado chorizo</t>
  </si>
  <si>
    <t>Jugo del valle</t>
  </si>
  <si>
    <t>Pescado sudado</t>
  </si>
  <si>
    <t>Pez frito</t>
  </si>
  <si>
    <t>Pollo sudado</t>
  </si>
  <si>
    <t>Por pez frito</t>
  </si>
  <si>
    <t>Por.pescado</t>
  </si>
  <si>
    <t>Porc maduro</t>
  </si>
  <si>
    <t>Prom punta de anca</t>
  </si>
  <si>
    <t>Rellena casra</t>
  </si>
  <si>
    <t>Choripollo</t>
  </si>
  <si>
    <t>Gaseosa 3 lit</t>
  </si>
  <si>
    <t>Jarra limo-coco 1 lt</t>
  </si>
  <si>
    <t>Jarra limo-coco 2 lt</t>
  </si>
  <si>
    <t>Junior ala</t>
  </si>
  <si>
    <t>Picada cuatro</t>
  </si>
  <si>
    <t>Picada dos</t>
  </si>
  <si>
    <t>Por chicha jr</t>
  </si>
  <si>
    <t>Porc gallina peque</t>
  </si>
  <si>
    <t>Porc lengua gran</t>
  </si>
  <si>
    <t>Prom chuleta pollo</t>
  </si>
  <si>
    <t>Prom lomo cerdo</t>
  </si>
  <si>
    <t>Promo chuleta mix</t>
  </si>
  <si>
    <t>Sancocho dom</t>
  </si>
  <si>
    <t>Avena</t>
  </si>
  <si>
    <t>Jugo jarra leche 2 l</t>
  </si>
  <si>
    <t>Papa cocida</t>
  </si>
  <si>
    <t>Perico con arepa</t>
  </si>
  <si>
    <t>Porc lengua peque</t>
  </si>
  <si>
    <t>Arroz mixto</t>
  </si>
  <si>
    <t>Porc desmechada</t>
  </si>
  <si>
    <t>Chorizo paisa</t>
  </si>
  <si>
    <t>Gulash de carne</t>
  </si>
  <si>
    <t>Por cost cerdo</t>
  </si>
  <si>
    <t>Por ensalada tocebla</t>
  </si>
  <si>
    <t>grs</t>
  </si>
  <si>
    <t>Porc gulash carne</t>
  </si>
  <si>
    <t>Lengua</t>
  </si>
  <si>
    <t>Costilla horno</t>
  </si>
  <si>
    <t>Chuleta de cerdo</t>
  </si>
  <si>
    <t>Chuleta de pollo</t>
  </si>
  <si>
    <t>Tamal ejecutivo</t>
  </si>
  <si>
    <t>Agua litro</t>
  </si>
  <si>
    <t>Gaseosa litro</t>
  </si>
  <si>
    <t>Mix cereal</t>
  </si>
  <si>
    <t>bls</t>
  </si>
  <si>
    <t>Porc chuleta pollo</t>
  </si>
  <si>
    <t>Arroz pollo</t>
  </si>
  <si>
    <t>Bolsa leche</t>
  </si>
  <si>
    <t>Ítem</t>
  </si>
  <si>
    <t>Cantidad</t>
  </si>
  <si>
    <t>Vr. Compra</t>
  </si>
  <si>
    <t>Relación con el Cuaderno</t>
  </si>
  <si>
    <t>Detalle</t>
  </si>
  <si>
    <t>Proveedor</t>
  </si>
  <si>
    <t>Carnes</t>
  </si>
  <si>
    <t>No Cruza con Cuaderno Don Arturo</t>
  </si>
  <si>
    <t>Supertiendas Cañaveral S.A.S.</t>
  </si>
  <si>
    <t>Pilas</t>
  </si>
  <si>
    <t>PILA ALCALINA ENERGIZER (Supertiendas Cañaveral - 01FZ70896)</t>
  </si>
  <si>
    <t>Verduras</t>
  </si>
  <si>
    <t>Aguacate</t>
  </si>
  <si>
    <t>8 AGUACATE COMUN*und (Supertiendas Cañaveral - 05FH119923)</t>
  </si>
  <si>
    <t>05FH119923</t>
  </si>
  <si>
    <t>Grano</t>
  </si>
  <si>
    <t>Arepas</t>
  </si>
  <si>
    <t>100 arepas (Cuenta de Cobro 01-Sep-2026 Neftaly Ocampo)</t>
  </si>
  <si>
    <t>CC-01-Sep-2026</t>
  </si>
  <si>
    <t>Neftaly Ocampo (Arepas)</t>
  </si>
  <si>
    <t>Alejandro Ramírez Cubillos (Pescados)</t>
  </si>
  <si>
    <t>Cárnicos Valencia (Alexis Valencia)</t>
  </si>
  <si>
    <t>Cruza con Cuaderno Don Arturo</t>
  </si>
  <si>
    <t>Frío Sabor (Gerson Valencia)</t>
  </si>
  <si>
    <t>INVENTARIO INICIAL</t>
  </si>
  <si>
    <t>Inventario Inicial</t>
  </si>
  <si>
    <t>BLOQUE MEDIA (Hielo El Nevado NV202121)</t>
  </si>
  <si>
    <t>NV202121</t>
  </si>
  <si>
    <t>Industria Hielo El Nevado S.A.S.</t>
  </si>
  <si>
    <t>Bolsa 5kl tubular</t>
  </si>
  <si>
    <t>BOLSA X 5 KL TUBULAR (Hielo El Nevado NV202121)</t>
  </si>
  <si>
    <t>Servicios</t>
  </si>
  <si>
    <t>Acopi</t>
  </si>
  <si>
    <t>Taxi - Acopi (Recibo Caja Menor 01-Sep-2026)</t>
  </si>
  <si>
    <t>Transporte Taxis / Acopi</t>
  </si>
  <si>
    <t>Recibo de Caja</t>
  </si>
  <si>
    <t>Vale Lucero Londoño (Recibo Caja Menor 01-Sep-2026)</t>
  </si>
  <si>
    <t>Personal Operativo (Turnos de Caja)</t>
  </si>
  <si>
    <t>Gastos Menores / Caja Menor</t>
  </si>
  <si>
    <t>Global Liquors (Licores)</t>
  </si>
  <si>
    <t>Papa a la francesa paq 2.5 kl</t>
  </si>
  <si>
    <t>PAPA A LA FRANCESA PAQ 2.5 KL (Carnes Los Monos - YP24140)</t>
  </si>
  <si>
    <t>Distribuidora de Carnes ET Los Monos</t>
  </si>
  <si>
    <t>Servicios Públicos</t>
  </si>
  <si>
    <t>Acueducto y Energía</t>
  </si>
  <si>
    <t>TOTAL A PAGAR</t>
  </si>
  <si>
    <t>18184113</t>
  </si>
  <si>
    <t>EMCALI E.I.C.E. E.S.P.</t>
  </si>
  <si>
    <t>BLOQUE MEDIA (Hielo El Nevado SF44886)</t>
  </si>
  <si>
    <t>SF44886</t>
  </si>
  <si>
    <t>19 Aguacates (Recibo Caja Menor 02-Sep-2026)</t>
  </si>
  <si>
    <t>RCM-02-Sep-2026</t>
  </si>
  <si>
    <t>Taxi - Acopi (Recibo Caja Menor 02-Sep-2026)</t>
  </si>
  <si>
    <t>Mazamorra (Franco Bravo - Recibo Caja Menor 02-Sep-2026)</t>
  </si>
  <si>
    <t>BLOQUE MEDIA (Hielo El Nevado - NV202202)</t>
  </si>
  <si>
    <t>NV202202</t>
  </si>
  <si>
    <t>BOLSA X 5 KL TUBULAR (Hielo El Nevado - NV202202)</t>
  </si>
  <si>
    <t>Leche entera</t>
  </si>
  <si>
    <t>AVENA PRO CUBANA VASO 220G (Alquería - FEPL-3167991)</t>
  </si>
  <si>
    <t>FEPL-3167991</t>
  </si>
  <si>
    <t>Productos Naturales de la Sabana (Alquería)</t>
  </si>
  <si>
    <t>AVENA PRO AUTENTICA VASO 220G (Alquería - FEPL-3167991)</t>
  </si>
  <si>
    <t>TANGELO BOTELLA 400 ML (Alquería - FEPL-3167991)</t>
  </si>
  <si>
    <t>ACTIGEST VAS 140G PIT CCB TT (Alquería - FEPL-3167991)</t>
  </si>
  <si>
    <t>ALQUERIA CER 170G FLIPS (Alquería - FEPL-3167991)</t>
  </si>
  <si>
    <t>ALQUERÍA HOJUELAS 170GR (Alquería - FEPL-3167991)</t>
  </si>
  <si>
    <t>Sabor original</t>
  </si>
  <si>
    <t>SABOR ORIGINAL INSTITUCIONAL 1100ML (Alquería - FEPL-3167991)</t>
  </si>
  <si>
    <t>Crema de leche</t>
  </si>
  <si>
    <t>CREMA DE LECHE 1000G (Alquería - FEPL-3167991)</t>
  </si>
  <si>
    <t>Compras Menores en Efectivo</t>
  </si>
  <si>
    <t>150 arepas (Cuenta de Cobro 02-Sep-2026)</t>
  </si>
  <si>
    <t>CC-02-Sep-2026</t>
  </si>
  <si>
    <t>Arveja</t>
  </si>
  <si>
    <t>ARVEJA VERDE LA FLORESTA 500G (Supertiendas Cañaveral - 05FH120130)</t>
  </si>
  <si>
    <t>05FH120130</t>
  </si>
  <si>
    <t>3 AGUACATE COMUN*und (Supertiendas Cañaveral - 05FH120117)</t>
  </si>
  <si>
    <t>05FH120117</t>
  </si>
  <si>
    <t>Espagueti</t>
  </si>
  <si>
    <t>PASTA LA MUÑECA ESPAGUETI (Supertiendas Cañaveral - 03FH104321)</t>
  </si>
  <si>
    <t>Bolsa</t>
  </si>
  <si>
    <t>BOLSA BIODEGRADABLE MEDIANA (Supertiendas Cañaveral - 03FH104321)</t>
  </si>
  <si>
    <t>Sal</t>
  </si>
  <si>
    <t>SAL REFISAL MARINA CRISTAL FINO X 800 G (Rapi'Caldas TC_5160_1_113294)</t>
  </si>
  <si>
    <t>TC_5160_1_113294</t>
  </si>
  <si>
    <t>BLOQUE MEDIA (Hielo El Nevado SF44906)</t>
  </si>
  <si>
    <t>SF44906</t>
  </si>
  <si>
    <t>Taxi - Acopi (Recibo Caja Menor 03-Sep-2026)</t>
  </si>
  <si>
    <t>RCM-03-Sep-2026</t>
  </si>
  <si>
    <t>Broca espada</t>
  </si>
  <si>
    <t>1 Broca Espada (Recibo Caja Menor 03-Sep-2026)</t>
  </si>
  <si>
    <t>Repuesto pulidora</t>
  </si>
  <si>
    <t>1 Repuesto pulidora (Recibo Caja Menor 03-Sep-2026)</t>
  </si>
  <si>
    <t>Cosedora</t>
  </si>
  <si>
    <t>1 Cosedora (Recibo Caja Menor 03-Sep-2026)</t>
  </si>
  <si>
    <t>Atados hojas</t>
  </si>
  <si>
    <t>35 Atados Hojas (Recibo Caja Menor 03-Sep-2026)</t>
  </si>
  <si>
    <t>Masa t</t>
  </si>
  <si>
    <t>8 Kls Masa T (Recibo Caja Menor 03-Sep-2026)</t>
  </si>
  <si>
    <t>Cocos</t>
  </si>
  <si>
    <t>5 Cocos (Recibo Caja Menor 03-Sep-2026)</t>
  </si>
  <si>
    <t>Papa manbera</t>
  </si>
  <si>
    <t>16 lbs Mambaco (Recibo Caja Menor 03-Sep-2026)</t>
  </si>
  <si>
    <t>Papa amarilla</t>
  </si>
  <si>
    <t>15 lbs Amarilla (Recibo Caja Menor 03-Sep-2026)</t>
  </si>
  <si>
    <t>Guasca y laurel</t>
  </si>
  <si>
    <t>Guasca y Laurel (Recibo Caja Menor 03-Sep-2026)</t>
  </si>
  <si>
    <t>Tortillas</t>
  </si>
  <si>
    <t>10 Tortillas (Recibo Caja Menor 03-Sep-2026)</t>
  </si>
  <si>
    <t>Transporte</t>
  </si>
  <si>
    <t>Acarreo e Insumos Cocina (Recibo Caja Menor 03-Sep-2026)</t>
  </si>
  <si>
    <t>BLOQUE MEDIA (Hielo El Nevado - NV202360)</t>
  </si>
  <si>
    <t>NV202360</t>
  </si>
  <si>
    <t>Aceite soya</t>
  </si>
  <si>
    <t>ACEITE DE SOYA 3000 ML (D1 SAS - G9F9313177)</t>
  </si>
  <si>
    <t>G9F9313177</t>
  </si>
  <si>
    <t>Tiendas D1</t>
  </si>
  <si>
    <t>Coca-Cola FEMSA</t>
  </si>
  <si>
    <t>LIMONADA DE COCO FUSIONADA X 10 (Henry Castaño - FEC 2928)</t>
  </si>
  <si>
    <t>FEC 2928</t>
  </si>
  <si>
    <t>Distribuidora M y C S.A.S.</t>
  </si>
  <si>
    <t>Arroz</t>
  </si>
  <si>
    <t>ARROZ PROARROZ X 50 KL (Factura DP-4833)</t>
  </si>
  <si>
    <t>DP-4833</t>
  </si>
  <si>
    <t>Granero Piamonte</t>
  </si>
  <si>
    <t>Azucar</t>
  </si>
  <si>
    <t>AZUCAR INCAUCA X 50 KL (Factura DP-4833)</t>
  </si>
  <si>
    <t>SAL NATUSAL X 50 KL (Factura DP-4833)</t>
  </si>
  <si>
    <t>100 arepas (Cuenta de Cobro 03-Sep-2026)</t>
  </si>
  <si>
    <t>CC-03-Sep-2026</t>
  </si>
  <si>
    <t>Huevo aa</t>
  </si>
  <si>
    <t>15 PANAL AA (Cuenta de cobro Sept 3)</t>
  </si>
  <si>
    <t>Curry</t>
  </si>
  <si>
    <t>CURRY LIBERTY*20G (Supertiendas Cañaveral - 12FH172636)</t>
  </si>
  <si>
    <t>12FH172636</t>
  </si>
  <si>
    <t>BLOQUE MEDIA (Hielo El Nevado SF44936)</t>
  </si>
  <si>
    <t>SF44936</t>
  </si>
  <si>
    <t>BOLSA X 5 KL TUBULAR (Hielo El Nevado SF44936)</t>
  </si>
  <si>
    <t>Acento x 500</t>
  </si>
  <si>
    <t>ACENTO X 500 LB (Doña Mary Remision 38634)</t>
  </si>
  <si>
    <t>REM-38634</t>
  </si>
  <si>
    <t>Distribuidora Doña Mary (Desechables)</t>
  </si>
  <si>
    <t>Aji pequeño x 40</t>
  </si>
  <si>
    <t>AJI DIFFER PEQUEÑO X40 (Doña Mary Remision 38634)</t>
  </si>
  <si>
    <t>Azucar sobre x 200</t>
  </si>
  <si>
    <t>AZUCAR EN SOBRE X 200 X 10 (Doña Mary Remision 38634)</t>
  </si>
  <si>
    <t>Bananas x 24</t>
  </si>
  <si>
    <t>BANANAMORITAS X 24 (Doña Mary Remision 38634)</t>
  </si>
  <si>
    <t>Base 3 div bops negro</t>
  </si>
  <si>
    <t>BASE 3 DIV BOPS NEGRO CT (Doña Mary Remision 38634)</t>
  </si>
  <si>
    <t>Bolsa basura 65 x 90 # 2</t>
  </si>
  <si>
    <t>BOLSA BASURA 65 X 90 #2 (Doña Mary Remision 38634)</t>
  </si>
  <si>
    <t>Bolsa basura industrial gruesa 90 x 120</t>
  </si>
  <si>
    <t>BOLSA BASURA INDUSTRIAL GRUESA 90 X 120 (Doña Mary Remision 38634)</t>
  </si>
  <si>
    <t>Bolsa manigueta t25</t>
  </si>
  <si>
    <t>BOLSA MANIGUETA T25 ECON (Doña Mary Remision 38634)</t>
  </si>
  <si>
    <t>Bolsa maniguetat40</t>
  </si>
  <si>
    <t>BOLSA MANIGUETA T40 BLANCA ECON (Doña Mary Remision 38634)</t>
  </si>
  <si>
    <t>Café</t>
  </si>
  <si>
    <t>CAFE X 1 LB X 25 (Doña Mary Remision 38634)</t>
  </si>
  <si>
    <t>Color azafran</t>
  </si>
  <si>
    <t>COLOR AZAFRAN 1/4 ARROBA (Doña Mary Remision 38634)</t>
  </si>
  <si>
    <t>Copa troforma 1/2</t>
  </si>
  <si>
    <t>COPA TROFORMA 1/2 ONZ X 50 X 90 (Doña Mary Remision 38634)</t>
  </si>
  <si>
    <t>Cubierto grande x 3 cja x 28pq x 50un</t>
  </si>
  <si>
    <t>CUBIERTO GRANDE X 3 CJAX 28PQ X 50UN (Doña Mary Remision 38634)</t>
  </si>
  <si>
    <t>Desengrasante</t>
  </si>
  <si>
    <t>DESENGRASANTE TAK TAX X 3800 (Doña Mary Remision 38634)</t>
  </si>
  <si>
    <t>Detergente dersax 1000</t>
  </si>
  <si>
    <t>DETERGENTE DERSA LIMON X 1000X20 (Doña Mary Remision 38634)</t>
  </si>
  <si>
    <t>Guante nitrilo</t>
  </si>
  <si>
    <t>GUANTE NITRILO M NEGRO HOUSE CJX10 (Doña Mary Remision 38634)</t>
  </si>
  <si>
    <t>Harina de trigo x 25</t>
  </si>
  <si>
    <t>HARINA DE TRIGO X 25 (Doña Mary Remision 38634)</t>
  </si>
  <si>
    <t>Harina para apanar</t>
  </si>
  <si>
    <t>HARINA PARA APANAR LB (Doña Mary Remision 38634)</t>
  </si>
  <si>
    <t>Humo</t>
  </si>
  <si>
    <t>HUMO LIQUIDO GALON (Doña Mary Remision 38634)</t>
  </si>
  <si>
    <t>Limpido</t>
  </si>
  <si>
    <t>LIMPIDO CUÑETE (Doña Mary Remision 38634)</t>
  </si>
  <si>
    <t>Pitillo forrado bio 25cm x 500</t>
  </si>
  <si>
    <t>PITILLO FORRADO BIO 25cm X 500 HOUSE X 20 (Doña Mary Remision 38634)</t>
  </si>
  <si>
    <t>Porta comida c-1</t>
  </si>
  <si>
    <t>PORTACOMIDA C1 X 200 WAU (Doña Mary Remision 38634)</t>
  </si>
  <si>
    <t>Porta comida darnel t1</t>
  </si>
  <si>
    <t>PORTACOMIDA DARNEL T1 X 200 (Doña Mary Remision 38634)</t>
  </si>
  <si>
    <t>Porta comida j-1</t>
  </si>
  <si>
    <t>PORTACOMIDA DARNEL J1 X 200 (Doña Mary Remision 38634)</t>
  </si>
  <si>
    <t>Porta comida j-2</t>
  </si>
  <si>
    <t>PORTACOMIDA DARNEL J2 X 200 (Doña Mary Remision 38634)</t>
  </si>
  <si>
    <t>Salsa mayonezax4000</t>
  </si>
  <si>
    <t>SALSA MAYONESA DIFFER X 4000 X 3 (Doña Mary Remision 38634)</t>
  </si>
  <si>
    <t>Salsa mostaza differ x 4000</t>
  </si>
  <si>
    <t>SALSA MOSTAZA DIFFER BOLSA X 4000 X 3 (Doña Mary Remision 38634)</t>
  </si>
  <si>
    <t>Salsa negra differ galon x 3000 x 6</t>
  </si>
  <si>
    <t>SALSA NEGRA DIFFER GALON X 3000 X 6 (Doña Mary Remision 38634)</t>
  </si>
  <si>
    <t>Salsa tomate sobre zafran x120</t>
  </si>
  <si>
    <t>SALSA TOMATE SOBRE ZAFRAN X120 CJ X7 (Doña Mary Remision 38634)</t>
  </si>
  <si>
    <t>Salsa tomate x 4000</t>
  </si>
  <si>
    <t>SALSA TOMATE DIFFER X 4000 X3 (Doña Mary Remision 38634)</t>
  </si>
  <si>
    <t>Servilletas</t>
  </si>
  <si>
    <t>SERVILLETA NUBE 1 A 1 X 60PQ X 100UND (Doña Mary Remision 38634)</t>
  </si>
  <si>
    <t>Tapa copa troforma 1 1/2</t>
  </si>
  <si>
    <t>TAPA COPA TROFORMA 1 Y 1/2 ONZX 50 X 2000 X 6 (Doña Mary Remision 38634)</t>
  </si>
  <si>
    <t>Tapa vaso 12 onz. tami</t>
  </si>
  <si>
    <t>TAPA VASO 12 ONZ TAMI X 50 UND X 20 PQ (Doña Mary Remision 38634)</t>
  </si>
  <si>
    <t>Tapa vaso 3.5</t>
  </si>
  <si>
    <t>TAPA VASO 3,5 Y 7 ONZ WAU X 50 X 90 (Doña Mary Remision 38634)</t>
  </si>
  <si>
    <t>Tarrina 14 x 25 unid</t>
  </si>
  <si>
    <t>TARRINA 14 ONZ X 25UND X 20PQ PRODUCT (Doña Mary Remision 38634)</t>
  </si>
  <si>
    <t>Tarrina 14onz wau</t>
  </si>
  <si>
    <t>TARRINA 14ONZ WAU CJX15 X25UDS (Doña Mary Remision 38634)</t>
  </si>
  <si>
    <t>Toalla z 24pqx150</t>
  </si>
  <si>
    <t>TOALLA MANO Z NATURAL GARDEN X150UDS (Doña Mary Remision 38634)</t>
  </si>
  <si>
    <t>Trapero industrial</t>
  </si>
  <si>
    <t>TRAPERO INDUSTRIAL (Doña Mary Remision 38634)</t>
  </si>
  <si>
    <t>Vaso cartón 9.0 onz x 50</t>
  </si>
  <si>
    <t>VASO VACAN 9 OZ CJX40 PQT X50UDS (Doña Mary Remision 38634)</t>
  </si>
  <si>
    <t>Vaso tami 12x25</t>
  </si>
  <si>
    <t>VASO TAMI 12 X 25 TRANSP X 126 PQ (Doña Mary Remision 38634)</t>
  </si>
  <si>
    <t>Vasote 3.5 tansl x 50 x 60</t>
  </si>
  <si>
    <t>VASOTE 3,5 TANSL X 50 X 60 PQ (Doña Mary Remision 38634)</t>
  </si>
  <si>
    <t>Vinagre differ galon 3000</t>
  </si>
  <si>
    <t>VINAGRE DIFFER GALON X 3000 X 6 (Doña Mary Remision 38634)</t>
  </si>
  <si>
    <t>Zumo limon polvo</t>
  </si>
  <si>
    <t>Polvo de limon (Recibo Caja Menor 04-Sep-2026)</t>
  </si>
  <si>
    <t>RCM-04-Sep-2026</t>
  </si>
  <si>
    <t>Insecticida</t>
  </si>
  <si>
    <t>5 Venenos Ratas (Recibo Caja Menor 04-Sep-2026)</t>
  </si>
  <si>
    <t>Mercancias Varias Excentas</t>
  </si>
  <si>
    <t>Gafas de Proteccion (Recibo Caja Menor 04-Sep-2026)</t>
  </si>
  <si>
    <t>Acopi (Recibo Caja Menor 04-Sep-2026)</t>
  </si>
  <si>
    <t>Fabián Bonilla (Carnes de Cerdo)</t>
  </si>
  <si>
    <t>La Morcilla Jamundeña</t>
  </si>
  <si>
    <t>100 arepas (Cuenta de Cobro 04-Sep-2026)</t>
  </si>
  <si>
    <t>CC-04-Sep-2026</t>
  </si>
  <si>
    <t>Lenteja</t>
  </si>
  <si>
    <t>LENTEJA LA FLORESTA*500G (Supertiendas Canaveral 06FZ46512)</t>
  </si>
  <si>
    <t>06FZ46512</t>
  </si>
  <si>
    <t>PAPA A LA FRANCESA PAQ 2.5 KL (Carnes Los Monos - YP24244)</t>
  </si>
  <si>
    <t>1150 arepas (Ventas 0806 Lucía/Darío)</t>
  </si>
  <si>
    <t>VTA-0806</t>
  </si>
  <si>
    <t>BLOQUE MEDIA (Hielo El Nevado SF44955)</t>
  </si>
  <si>
    <t>SF44955</t>
  </si>
  <si>
    <t>BOLSA X 5 KL TUBULAR (Hielo El Nevado SF44955)</t>
  </si>
  <si>
    <t>BLOQUE MEDIA (Hielo El Nevado - NV202582)</t>
  </si>
  <si>
    <t>NV202582</t>
  </si>
  <si>
    <t>BOLSA X 5 KL TUBULAR (Hielo El Nevado - NV202582)</t>
  </si>
  <si>
    <t>Yuca pelada</t>
  </si>
  <si>
    <t>8 kl YUCA PELADA (Asados la Fina Pasoancho 05-Sep-2026)</t>
  </si>
  <si>
    <t>FINA-05SEP</t>
  </si>
  <si>
    <t>500 arepas (Cuenta de Cobro 05-Sep-2026)</t>
  </si>
  <si>
    <t>CC-05-Sep-2026</t>
  </si>
  <si>
    <t>Pulpa maracuya</t>
  </si>
  <si>
    <t>PULPA DE MARACUYA (Fruitty Frezze FAC-A 0001-00021543)</t>
  </si>
  <si>
    <t>0001-00021543</t>
  </si>
  <si>
    <t>Pulpa mango</t>
  </si>
  <si>
    <t>PULPA DE MANGO (Fruitty Frezze FAC-A 0001-00021543)</t>
  </si>
  <si>
    <t>Pulpa lulo</t>
  </si>
  <si>
    <t>PULPA DE LULO (Fruitty Frezze FAC-A 0001-00021543)</t>
  </si>
  <si>
    <t>Pulpa guanabana</t>
  </si>
  <si>
    <t>PULPA DE GUANABANA (Fruitty Frezze FAC-A 0001-00021543)</t>
  </si>
  <si>
    <t>Limonada cerezada</t>
  </si>
  <si>
    <t>LIMONADA CEREZADA (Fruitty Frezze FAC-A 0001-00021543)</t>
  </si>
  <si>
    <t>BLOQUE MEDIA (Hielo El Nevado SF44996)</t>
  </si>
  <si>
    <t>SF44996</t>
  </si>
  <si>
    <t>BOLSA X 5 KL TUBULAR (Hielo El Nevado SF44996)</t>
  </si>
  <si>
    <t>Ulluco Limpio</t>
  </si>
  <si>
    <t>9 lbs Uyucos (Recibo Caja Menor 06-Sep-2026)</t>
  </si>
  <si>
    <t>RCM-06-Sep-2026</t>
  </si>
  <si>
    <t>Mazamorra (Franco Bravo - Recibo Caja Menor 06-Sep-2026)</t>
  </si>
  <si>
    <t>10 Portacazuelas (Recibo Caja Menor 06-Sep-2026)</t>
  </si>
  <si>
    <t>Encomienda Sr Arturo (Recibo Caja Menor 06-Sep-2026)</t>
  </si>
  <si>
    <t>AGUACATES 34 UND (Recibo Caja Menor Marfil 06/09/26)</t>
  </si>
  <si>
    <t>Tv chall y base kalley</t>
  </si>
  <si>
    <t>TV CHALL 32 + BASE KALLEY 32-55 (Alkosto X7484003215)</t>
  </si>
  <si>
    <t>X7484003215</t>
  </si>
  <si>
    <t>Alkosto S.A.</t>
  </si>
  <si>
    <t>BLOQUE MEDIA (Hielo El Nevado SF45024)</t>
  </si>
  <si>
    <t>SF45024</t>
  </si>
  <si>
    <t>BOLSA X 5 KL TUBULAR (Hielo El Nevado SF45023)</t>
  </si>
  <si>
    <t>SF45023</t>
  </si>
  <si>
    <t>BOLSA ECOLOGICA BIODEGRADABLE GRANDE + IMPTO (Agropecuaria La Sevillana SAS)</t>
  </si>
  <si>
    <t>Proveedor Gallinas</t>
  </si>
  <si>
    <t>Acopi Almuerzo (German - Recibo Caja Menor 07-Sep-2026)</t>
  </si>
  <si>
    <t>Ajo pelado</t>
  </si>
  <si>
    <t>AJO PELADO X 1KG (Carnes Los Monos - MY8683)</t>
  </si>
  <si>
    <t>CUADERNO CAJA / NÓMINA EFECTIVO</t>
  </si>
  <si>
    <t>Broca Domicilios (Carolina)</t>
  </si>
  <si>
    <t>Coco / Limonada Domicilios (Carolina)</t>
  </si>
  <si>
    <t>Credito Jhonatan Domicilios (Carolina)</t>
  </si>
  <si>
    <t>Pulpas de frutas</t>
  </si>
  <si>
    <t>PITAHAYA ROJA A GRANEL 0.505 kg (Supertiendas Cañaveral 11FH128831)</t>
  </si>
  <si>
    <t>11FH128831</t>
  </si>
  <si>
    <t>Raices  chinas</t>
  </si>
  <si>
    <t>4 RAICES CHINAS VIVA MEJOR*250g (Supertiendas Cañaveral 11FH128829)</t>
  </si>
  <si>
    <t>Insumos</t>
  </si>
  <si>
    <t>arepas</t>
  </si>
  <si>
    <t>BOLSA X 5 KL TUBULAR (Hielo El Nevado SF45044)</t>
  </si>
  <si>
    <t>SF45044</t>
  </si>
  <si>
    <t>Arracacha</t>
  </si>
  <si>
    <t>Arracacha (Fruver Los Monos Remision A 0672)</t>
  </si>
  <si>
    <t>REM-A 0672</t>
  </si>
  <si>
    <t>Arveja (Fruver Los Monos Remision A 0672)</t>
  </si>
  <si>
    <t>Cebolla Larga Atado</t>
  </si>
  <si>
    <t>Ata Larga (Fruver Los Monos Remision A 0672)</t>
  </si>
  <si>
    <t>Cebolla cabezona</t>
  </si>
  <si>
    <t>Cebolla Cabezona (Fruver Los Monos Remision A 0672)</t>
  </si>
  <si>
    <t>Lechuga batavia</t>
  </si>
  <si>
    <t>L. Batavia (Fruver Los Monos Remision A 0672)</t>
  </si>
  <si>
    <t>Limon tahiti</t>
  </si>
  <si>
    <t>Limon T (Fruver Los Monos Remision A 0672)</t>
  </si>
  <si>
    <t>Papa Capira bulto</t>
  </si>
  <si>
    <t>Capira bulto (Fruver Los Monos Remision A 0672)</t>
  </si>
  <si>
    <t>Papa Amarilla (Fruver Los Monos Remision A 0672)</t>
  </si>
  <si>
    <t>Papa Mambera (Fruver Los Monos Remision A 0672)</t>
  </si>
  <si>
    <t>Pepino comun</t>
  </si>
  <si>
    <t>Pepino (Fruver Los Monos Remision A 0672)</t>
  </si>
  <si>
    <t>Perejil</t>
  </si>
  <si>
    <t>Perejil por atado (Fruver Los Monos Remision A 0672)</t>
  </si>
  <si>
    <t>Pimenton</t>
  </si>
  <si>
    <t>Pimenton (Fruver Los Monos Remision A 0672)</t>
  </si>
  <si>
    <t>Platano maduro</t>
  </si>
  <si>
    <t>Platano M (Fruver Los Monos Remision A 0672)</t>
  </si>
  <si>
    <t>Platano verde</t>
  </si>
  <si>
    <t>Platano verde (Fruver Los Monos Remision A 0672)</t>
  </si>
  <si>
    <t>Remolacha</t>
  </si>
  <si>
    <t>Remolacha (Fruver Los Monos Remision A 0672)</t>
  </si>
  <si>
    <t>Tomate chonto</t>
  </si>
  <si>
    <t>Tomate chonto (Fruver Los Monos Remision A 0672)</t>
  </si>
  <si>
    <t>Tomate milano</t>
  </si>
  <si>
    <t>Tomate Milano (Fruver Los Monos Remision A 0672)</t>
  </si>
  <si>
    <t>Zanahoria</t>
  </si>
  <si>
    <t>Zanahoria (Fruver Los Monos Remision A 0672)</t>
  </si>
  <si>
    <t>ACENTO X 500 LB (Doña Mary Remision 38730)</t>
  </si>
  <si>
    <t>REM-38730</t>
  </si>
  <si>
    <t>AJI DIFFER PEQUEÑO X40 (Doña Mary Remision 38730)</t>
  </si>
  <si>
    <t>Aromaticasx 20</t>
  </si>
  <si>
    <t>AROMATICAS X 20 X 24CJ (Doña Mary Remision 38730)</t>
  </si>
  <si>
    <t>BOLSA MANIGUETA T25 ECON (Doña Mary Remision 38730)</t>
  </si>
  <si>
    <t>BOLSA MANIGUETA T40 BLANCA ECON (Doña Mary Remision 38730)</t>
  </si>
  <si>
    <t>Bolsa tina</t>
  </si>
  <si>
    <t>BOLSA TINA X 100 (Doña Mary Remision 38730)</t>
  </si>
  <si>
    <t>CAFE X 1 LB X 25 (Doña Mary Remision 38730)</t>
  </si>
  <si>
    <t>Contenedor 16 onz. darnel 20x20</t>
  </si>
  <si>
    <t>CONTENEDOR 16 ONZ DARNEL X 20X20 PAQ (Doña Mary Remision 38730)</t>
  </si>
  <si>
    <t>Contenedor darnel 8 onz. x 20 x 25</t>
  </si>
  <si>
    <t>CONTENEDOR DARNEL 8 ONZ T X 20X25 (Doña Mary Remision 38730)</t>
  </si>
  <si>
    <t>Cuchara grande suraplas x 100</t>
  </si>
  <si>
    <t>CUCHARA GRANDE SURAPLAS X 100X60 (Doña Mary Remision 38730)</t>
  </si>
  <si>
    <t>DETERGENTE DERSA LIMON X 1000X20 (Doña Mary Remision 38730)</t>
  </si>
  <si>
    <t>HARINA DE TRIGO X 25 (Doña Mary Remision 38730)</t>
  </si>
  <si>
    <t>HUMO LIQUIDO GALON (Doña Mary Remision 38730)</t>
  </si>
  <si>
    <t>Mezclador</t>
  </si>
  <si>
    <t>MEZCLADOR COLOMBIANITO X 500UDS APROX PCX30 (Doña Mary Remision 38730)</t>
  </si>
  <si>
    <t>Pato tanque azul</t>
  </si>
  <si>
    <t>PATO TANQUE AZUL (Doña Mary Remision 38730)</t>
  </si>
  <si>
    <t>PORTACOMIDA DARNEL J2 X 200 (Doña Mary Remision 38730)</t>
  </si>
  <si>
    <t>Sabras</t>
  </si>
  <si>
    <t>SABRAS COLORES X36UDS X9PQT (Doña Mary Remision 38730)</t>
  </si>
  <si>
    <t>SALSA NEGRA DIFFER GALON X 3000 X 6 (Doña Mary Remision 38730)</t>
  </si>
  <si>
    <t>SALSA TOMATE DIFFER X 4000 X3 (Doña Mary Remision 38730)</t>
  </si>
  <si>
    <t>TAPA VASO 3,5 Y 7 ONZ WAU X 50 X 90 (Doña Mary Remision 38730)</t>
  </si>
  <si>
    <t>TARRINA 14 ONZ X 25UND X 20PQ PRODUCT (Doña Mary Remision 38730)</t>
  </si>
  <si>
    <t>TOALLA MANO Z NATURAL GARDEN X150UDS (Doña Mary Remision 38730)</t>
  </si>
  <si>
    <t>VASO VACAN 9 OZ CJX40 PQT X50UDS (Doña Mary Remision 38730)</t>
  </si>
  <si>
    <t>VASOTE 3,5 TANSL X 50 X 60 PQ (Doña Mary Remision 38730)</t>
  </si>
  <si>
    <t>Cruza con Cuaderno Don Arturo (Pág. 160 L7 - Valencia 920/925 $260.850)</t>
  </si>
  <si>
    <t>Cruza con Cuaderno Don Arturo (Pág. 160 L5 - Fabián Lomo $265.200)</t>
  </si>
  <si>
    <t>Leche de coco</t>
  </si>
  <si>
    <t>7 lts Leche Coco (Recibo Caja Menor 08-09-26)</t>
  </si>
  <si>
    <t>RCM-08-09-26</t>
  </si>
  <si>
    <t>Cintas</t>
  </si>
  <si>
    <t>Cinta Antiadherente (Recibo Caja Menor 08-09-26)</t>
  </si>
  <si>
    <t>Andres Principal (Johanna)</t>
  </si>
  <si>
    <t>Diego / Luigui Principal (Johanna)</t>
  </si>
  <si>
    <t>Wilson (Lunes y Martes) Principal (Johanna)</t>
  </si>
  <si>
    <t>Alimento para la gata Principal (Johanna)</t>
  </si>
  <si>
    <t>Credito Jose david Domicilios (Neymar)</t>
  </si>
  <si>
    <t>10 Portacazuelas Principal (Johanna)</t>
  </si>
  <si>
    <t>Yuca Principal (Johanna)</t>
  </si>
  <si>
    <t>Lechuga Domicilios (Neymar)</t>
  </si>
  <si>
    <t>Habichuela, blanquillo, víscera Domicilios (Neymar)</t>
  </si>
  <si>
    <t>Radios M6 Principal (Johanna)</t>
  </si>
  <si>
    <t>Sistema de Higiene Principal (Johanna)</t>
  </si>
  <si>
    <t>Taxi compresor Domicilios (Neymar)</t>
  </si>
  <si>
    <t>Platano verde Principal (Johanna)</t>
  </si>
  <si>
    <t>Platano Principal (Johanna)</t>
  </si>
  <si>
    <t>15 PANAL AA X 14.500 + PENDIENTE 10.000 (Cuenta de cobro Sept 8)</t>
  </si>
  <si>
    <t>CC-08-Sep-2026</t>
  </si>
  <si>
    <t>Mantenimiento</t>
  </si>
  <si>
    <t>Pintura</t>
  </si>
  <si>
    <t>MADETEC PISOS BRILLANTE COMP A 1550 CTO / 5891274</t>
  </si>
  <si>
    <t>FESR-3837</t>
  </si>
  <si>
    <t>Catalizador</t>
  </si>
  <si>
    <t>CATALIZADOR MADETEC COMP.B 1551 CUARTO / 5890473</t>
  </si>
  <si>
    <t>Thinner</t>
  </si>
  <si>
    <t>TETRASOL - THINER CORRIENTE CANECA / 51004</t>
  </si>
  <si>
    <t>Barniz</t>
  </si>
  <si>
    <t>BARNEX CAOBA 6605 CUARTO / 5890530</t>
  </si>
  <si>
    <t>PAPA A LA FRANCESA PAQ 2.5 KL (Carnes Los Monos - YP24314)</t>
  </si>
  <si>
    <t>BOLSA MANIGUETA T25 ECON (Doña Mary Remision 38763)</t>
  </si>
  <si>
    <t>BOLSA MANIGUETA T30 BLNCA ECONM (Doña Mary Remision 38763)</t>
  </si>
  <si>
    <t>Cinta impronta 24x80mm</t>
  </si>
  <si>
    <t>CINTA IMPRONTA (Doña Mary Remision 38763)</t>
  </si>
  <si>
    <t>CONTENEDOR 16 ONZ DARNEL X 20X20 PAQ (Doña Mary Remision 38763)</t>
  </si>
  <si>
    <t>CONTENEDOR DARNEL 8 ONZ T X 20X25 (Doña Mary Remision 38763)</t>
  </si>
  <si>
    <t>CUBIERTO GRANDE X 3 CJAX 28PQ X 50UN (Doña Mary Remision 38763)</t>
  </si>
  <si>
    <t>PORTACOMIDA DARNEL J2 X 200 (Doña Mary Remision 38763)</t>
  </si>
  <si>
    <t>TAPA VASO 3,5 Y 7 ONZ WAU X 50 X 90 (Doña Mary Remision 38763)</t>
  </si>
  <si>
    <t>VASOTE 3,5 TANSL X 50 X 60 PQ (Doña Mary Remision 38763)</t>
  </si>
  <si>
    <t>Disco Flap</t>
  </si>
  <si>
    <t>1 Disco Flaper (Remision 09-Sep-2026)</t>
  </si>
  <si>
    <t>Mazamorra (Franco Bravo - Recibo Caja Menor 09-Sep-2026)</t>
  </si>
  <si>
    <t>RCM-09-Sep-2026</t>
  </si>
  <si>
    <t>Acopi (German - Recibo Caja Menor 09-Sep-2026)</t>
  </si>
  <si>
    <t>Postobón S.A.</t>
  </si>
  <si>
    <t>LENTEJA EL ES 25 UN (D1 Factura G6G0471810)</t>
  </si>
  <si>
    <t>G6G0471810</t>
  </si>
  <si>
    <t>Galleta</t>
  </si>
  <si>
    <t>GALLETA MUUU 14 UN (D1 Factura G1G0285471)</t>
  </si>
  <si>
    <t>G1G0285471</t>
  </si>
  <si>
    <t>Sebastian Principal (Johanna)</t>
  </si>
  <si>
    <t>Inmunocal Principal (Johanna)</t>
  </si>
  <si>
    <t>Champiñones Principal (Johanna)</t>
  </si>
  <si>
    <t>Pulpa de coco Domicilios (María)</t>
  </si>
  <si>
    <t>PULPA DE MARACUYA (Fruitty Frezze FAC-A 0001-00021624)</t>
  </si>
  <si>
    <t>0001-00021624</t>
  </si>
  <si>
    <t>PULPA DE MANGO (Fruitty Frezze FAC-A 0001-00021624)</t>
  </si>
  <si>
    <t>PULPA DE LULO (Fruitty Frezze FAC-A 0001-00021624)</t>
  </si>
  <si>
    <t>Pulpa mora</t>
  </si>
  <si>
    <t>PULPA DE MORA (Fruitty Frezze FAC-A 0001-00021624)</t>
  </si>
  <si>
    <t>PULPA DE GUANABANA (Fruitty Frezze FAC-A 0001-00021624)</t>
  </si>
  <si>
    <t>LIMONADA CEREZADA (Fruitty Frezze FAC-A 0001-00021624)</t>
  </si>
  <si>
    <t>Abarrotes</t>
  </si>
  <si>
    <t>Aceite</t>
  </si>
  <si>
    <t>ACEITE DE SOY</t>
  </si>
  <si>
    <t>L1S113066</t>
  </si>
  <si>
    <t>Cruza con Cuaderno Don Arturo (Pág. 160 L14 - 5 Galones Aceite $114.950)</t>
  </si>
  <si>
    <t>Aseo</t>
  </si>
  <si>
    <t>Limpion Flecos</t>
  </si>
  <si>
    <t>1) 8907-LIMPION FLECOS COLVEN</t>
  </si>
  <si>
    <t>Hielo bloque</t>
  </si>
  <si>
    <t>BLOQUE MEDIA X 2 (Distribuciones Hielo El Nevado Remision SF45104)</t>
  </si>
  <si>
    <t>SF45104</t>
  </si>
  <si>
    <t>Hielo tubular</t>
  </si>
  <si>
    <t>BOLSA 5KL TUBULAR X 3 (Distribuciones Hielo El Nevado Remision SF45104)</t>
  </si>
  <si>
    <t>Chocolate</t>
  </si>
  <si>
    <t>1/2 LB CHOCOLATE (Licores Zafiro Remision Sept 10/2026)</t>
  </si>
  <si>
    <t>REM-10-Sep-2026-ZAF</t>
  </si>
  <si>
    <t>Cruza con Cuaderno Don Arturo (Pág. 160 L9 - Valencia 927 $654.750)</t>
  </si>
  <si>
    <t>MARLENY - TRANSPORTE MANANA (Recibo Caja Menor 10/09/26)</t>
  </si>
  <si>
    <t>AGUACATES 20 UND (Recibo Caja Menor 10/09/26)</t>
  </si>
  <si>
    <t>Papa</t>
  </si>
  <si>
    <t>PAPA 11 UND (Recibo Caja Menor 10/09/26)</t>
  </si>
  <si>
    <t>Hojas platano</t>
  </si>
  <si>
    <t>HOJAS PLATANO 40 UND (Recibo Caja Menor 10/09/26)</t>
  </si>
  <si>
    <t>Masa</t>
  </si>
  <si>
    <t>MASA 9 UND (Recibo Caja Menor 10/09/26)</t>
  </si>
  <si>
    <t>Color</t>
  </si>
  <si>
    <t>COLOR 5 UND (Recibo Caja Menor 10/09/26)</t>
  </si>
  <si>
    <t>Turno marlene</t>
  </si>
  <si>
    <t>Taxi</t>
  </si>
  <si>
    <t>ANTONIO L. DIAZ - TAXI (Recibo Caja Menor 10/09/2026)</t>
  </si>
  <si>
    <t>ACOPI GERMAN (Recibo Caja Menor Marfil 10/09/26)</t>
  </si>
  <si>
    <t>RCM-10-Sep-2026-3</t>
  </si>
  <si>
    <t>MAZAMORRA FRANCO BRAVO (Recibo Caja Menor Marfil 10/09/26)</t>
  </si>
  <si>
    <t>RCM-10-Sep-2026-2</t>
  </si>
  <si>
    <t>Harina trigo</t>
  </si>
  <si>
    <t>HARINA TRIGO 10 UN (D1 SAS G9F9316392)</t>
  </si>
  <si>
    <t>G9F9316392</t>
  </si>
  <si>
    <t>ACEITE SOYA 4 UN (D1 SAS G9F9316392)</t>
  </si>
  <si>
    <t>Pastas la Muñeca Principal (Johanna)</t>
  </si>
  <si>
    <t>Galleta wafer capri</t>
  </si>
  <si>
    <t>GALLETA WAFER CAPRI X 24 (Distribuciones Dona Mary Remision 38798)</t>
  </si>
  <si>
    <t>38798</t>
  </si>
  <si>
    <t>Harina apanar</t>
  </si>
  <si>
    <t>HARINA APANAR RICA X 10 UND (Distribuciones Dona Mary Remision 38798)</t>
  </si>
  <si>
    <t>Mayonesa</t>
  </si>
  <si>
    <t>MAYONESA X 4000 (Distribuciones Dona Mary Remision 38798)</t>
  </si>
  <si>
    <t>Mostaza</t>
  </si>
  <si>
    <t>MOSTAZA X 4000 (Distribuciones Dona Mary Remision 38798)</t>
  </si>
  <si>
    <t>10 HARINA FARALLONES*500G TRIGO (Supertiendas Canaveral 10FH63324)</t>
  </si>
  <si>
    <t>10FH63324</t>
  </si>
  <si>
    <t>Pasta tornillo</t>
  </si>
  <si>
    <t>PASTA TORNILLO 16 UN (Supertiendas Canaveral 06FZ47115)</t>
  </si>
  <si>
    <t>Mezcla liquida limon</t>
  </si>
  <si>
    <t>MEZCLA LIQUIDA LIMON 2000ML X 6 (AM Letrascore Remision 0305)</t>
  </si>
  <si>
    <t>0305</t>
  </si>
  <si>
    <t>Arriendo local</t>
  </si>
  <si>
    <t>AYDE GUEVARA - ARRENDAMIENTO LOCAL (Recibo Caja Menor Taydem 11/09/2026)</t>
  </si>
  <si>
    <t>RCM-11-Sep-2026</t>
  </si>
  <si>
    <t>Ayde Guevara (Arrendamiento)</t>
  </si>
  <si>
    <t>Software nube</t>
  </si>
  <si>
    <t>COMPUTACION EN LA NUBE PLAN EMPRESARIAL (Dataico SAS E-412886)</t>
  </si>
  <si>
    <t>E-412886</t>
  </si>
  <si>
    <t>Dataico S.A.S.</t>
  </si>
  <si>
    <t>Pago Eliana</t>
  </si>
  <si>
    <t>Pago de Servicios Eliana</t>
  </si>
  <si>
    <t>Contadora</t>
  </si>
  <si>
    <t>Cuchillos y cucharas</t>
  </si>
  <si>
    <t>ET Los Monos</t>
  </si>
  <si>
    <t>Git Organizacional</t>
  </si>
  <si>
    <t>SERVICIOS TEMPORALES + AIU (Factura Electrónica FELE11955 - GIT Organizacional)</t>
  </si>
  <si>
    <t>GIT Organizacional S.A.S.</t>
  </si>
  <si>
    <t>Pintura para mesas</t>
  </si>
  <si>
    <t>Transporte Danilo</t>
  </si>
  <si>
    <t>Verduras chucho</t>
  </si>
  <si>
    <t>VERDURAS VARIAS (Facturas Electrónicas FEFM 5710, 5716, 5727 - Chucho)</t>
  </si>
  <si>
    <t>FEFM 5710 / 5716 / 5727</t>
  </si>
  <si>
    <t>Jesús Tobón (Fruver)</t>
  </si>
  <si>
    <t>Aguacates (Segundo registro Cuaderno Pág. 159 Renglón 9)</t>
  </si>
  <si>
    <t>Andres Principal (Johanna/Wilson)</t>
  </si>
  <si>
    <t>Sebastian Principal (Johanna/Wilson)</t>
  </si>
  <si>
    <t>Wilson Principal (Johanna/Wilson)</t>
  </si>
  <si>
    <t>Acopi Principal (Johanna/Wilson)</t>
  </si>
  <si>
    <t>Antonio (Tachado) Principal (Johanna/Wilson)</t>
  </si>
  <si>
    <t>Pedido Tornillos Principal (Johanna/Wilson)</t>
  </si>
  <si>
    <t>Hielo Principal (Johanna/Wilson)</t>
  </si>
  <si>
    <t>Crema de leche Principal (Johanna/Wilson)</t>
  </si>
  <si>
    <t>Pastas la Muñeca Principal (Johanna/Wilson)</t>
  </si>
  <si>
    <t>Gastos Administrativos</t>
  </si>
  <si>
    <t>Honorarios como contadora publica del 01 al 31 de agosto</t>
  </si>
  <si>
    <t>039427</t>
  </si>
  <si>
    <t>Bloque Media</t>
  </si>
  <si>
    <t>25 - BLOQUE MEDIA</t>
  </si>
  <si>
    <t>SF45132</t>
  </si>
  <si>
    <t>Bolsa x 5 KL</t>
  </si>
  <si>
    <t>7709046020616 - BOLSA X 5 KL TUBULAR</t>
  </si>
  <si>
    <t>ACOPI</t>
  </si>
  <si>
    <t>Tornillos</t>
  </si>
  <si>
    <t>pedido Tornillos.</t>
  </si>
  <si>
    <t>Crema de leche Alpina</t>
  </si>
  <si>
    <t>1 CREMA DE LECH ALPINA*1100ml SEMI ENTER</t>
  </si>
  <si>
    <t>2 CREMA DE LECH ALPINA*1100ml SEMI ENTER</t>
  </si>
  <si>
    <t>Bolsa Canaveral</t>
  </si>
  <si>
    <t>3 BOLSA CANAVERAL 100% MATERIAL RECICL P</t>
  </si>
  <si>
    <t>05FH121348</t>
  </si>
  <si>
    <t>Pasta La Muñeca</t>
  </si>
  <si>
    <t>2 PASTA LA MUNECA*500g TORNILLO</t>
  </si>
  <si>
    <t>3 PASTA LA MUNECA*500g TORNILLO</t>
  </si>
  <si>
    <t>4 PASTA LA MUNECA*500g TORNILLO</t>
  </si>
  <si>
    <t>5 PASTA LA MUNECA*500g TORNILLO</t>
  </si>
  <si>
    <t>6 PASTA LA MUNECA*500g TORNILLO</t>
  </si>
  <si>
    <t>Nómina</t>
  </si>
  <si>
    <t>Turno</t>
  </si>
  <si>
    <t>Horas</t>
  </si>
  <si>
    <t>Dulce Doña Guayaba</t>
  </si>
  <si>
    <t>1 Dulce Doña Guayaba 25u 1000g</t>
  </si>
  <si>
    <t>X3414005108</t>
  </si>
  <si>
    <t>Bocadillo Veleño</t>
  </si>
  <si>
    <t>2 Bocadil Vel caj Alk x36u 1500g</t>
  </si>
  <si>
    <t>Bolsa Plastica</t>
  </si>
  <si>
    <t>3 Impuesto Bolsa Plastica</t>
  </si>
  <si>
    <t>1/2 Mayonesa</t>
  </si>
  <si>
    <t>Fécula</t>
  </si>
  <si>
    <t>2 fecula</t>
  </si>
  <si>
    <t>Papa a la francesa</t>
  </si>
  <si>
    <t>PAPA A LA FRANCESA PAQ 2.5 KL</t>
  </si>
  <si>
    <t>Mix de verduras</t>
  </si>
  <si>
    <t>MIX DE VERDURAS PAQ X 500G</t>
  </si>
  <si>
    <t>Plátano verde</t>
  </si>
  <si>
    <t>Verde</t>
  </si>
  <si>
    <t>0714</t>
  </si>
  <si>
    <t>Batavia</t>
  </si>
  <si>
    <t>Cimarrón</t>
  </si>
  <si>
    <t>Cimarron</t>
  </si>
  <si>
    <t>Tomillo</t>
  </si>
  <si>
    <t>Pepino</t>
  </si>
  <si>
    <t>Zana</t>
  </si>
  <si>
    <t>Repollo morado</t>
  </si>
  <si>
    <t>Repollo Morado</t>
  </si>
  <si>
    <t>Cabezona</t>
  </si>
  <si>
    <t>Chonto</t>
  </si>
  <si>
    <t>Cebolla larga</t>
  </si>
  <si>
    <t>Larga</t>
  </si>
  <si>
    <t>Milano</t>
  </si>
  <si>
    <t>Limón tahití</t>
  </si>
  <si>
    <t>L. Tahiti</t>
  </si>
  <si>
    <t>Plátano maduro</t>
  </si>
  <si>
    <t>Maduro</t>
  </si>
  <si>
    <t>Gastos</t>
  </si>
  <si>
    <t>Taxis</t>
  </si>
  <si>
    <t>Taxis Viernes y Sabado - Evento Almuerzos</t>
  </si>
  <si>
    <t>Pn sl</t>
  </si>
  <si>
    <t>Aceite de Soya</t>
  </si>
  <si>
    <t>L1R9193858</t>
  </si>
  <si>
    <t>Yuca</t>
  </si>
  <si>
    <t>YUCA PELADA</t>
  </si>
  <si>
    <t>0808</t>
  </si>
  <si>
    <t>SF45157</t>
  </si>
  <si>
    <t>ARROZ PROARROZ X 50 KL (Granero Piamonte - DP-4855)</t>
  </si>
  <si>
    <t>DP-4855</t>
  </si>
  <si>
    <t>Cruza con Cuaderno Don Arturo (Pág. 160 L3 - Piamonte DP-4855 $1.130.000)</t>
  </si>
  <si>
    <t>Azúcar</t>
  </si>
  <si>
    <t>AZUCAR INCAUCA X 50 KL (Granero Piamonte - DP-4855)</t>
  </si>
  <si>
    <t>Panela</t>
  </si>
  <si>
    <t>PANELA REDONDA UNIDAD (Granero Piamonte - DP-4855)</t>
  </si>
  <si>
    <t>Mercancías Varias</t>
  </si>
  <si>
    <t>MERCANCIAS VARIAS EXCENTAS (Granero Piamonte - DP-4855)</t>
  </si>
  <si>
    <t>Industria Nacional de Gaseosas S.A.S.</t>
  </si>
  <si>
    <t>SF45191</t>
  </si>
  <si>
    <t>Aguacates</t>
  </si>
  <si>
    <t>15 - Aguacates</t>
  </si>
  <si>
    <t>Romero</t>
  </si>
  <si>
    <t>Mixture</t>
  </si>
  <si>
    <t>saldo Mixture</t>
  </si>
  <si>
    <t>SF45222</t>
  </si>
  <si>
    <t>Bolsa x 5 kl</t>
  </si>
  <si>
    <t>Pocillos</t>
  </si>
  <si>
    <t>POCILLO TE 25 OCC AMERICAN A BLANCO CORONA</t>
  </si>
  <si>
    <t>RAM14329</t>
  </si>
  <si>
    <t>Declaración de renta</t>
  </si>
  <si>
    <t>Por concepto de declaración de renta,</t>
  </si>
  <si>
    <t>Cuenta de cobro</t>
  </si>
  <si>
    <t>Cruza con Cuaderno Don Arturo (Pág. 160 L4 - Fabián Lomo $355.900)</t>
  </si>
  <si>
    <t>Mantenimiento Cuarto Frío</t>
  </si>
  <si>
    <t>Desinstalación e instalación de condensador cuarto frío (Eliana Murillo Hincapie)</t>
  </si>
  <si>
    <t>Cuaderno Don Arturo (Pág. 160 L16 registra abono Nequi de $1.000.000 a cuenta cobro)</t>
  </si>
  <si>
    <t>Eliana Murillo Hincapie (Mantenimiento)</t>
  </si>
  <si>
    <t>Cruza con Cuaderno Don Arturo (Pág. 160 L6 - Valencia 933 $316.350)</t>
  </si>
  <si>
    <t>Cruza con Cuaderno Don Arturo (Pág. 160 L10 - Valencia 932 $523.550)</t>
  </si>
  <si>
    <t>PLATANO VERDE 22.00 KG (Cuenta de Cobro Mónica Molina)</t>
  </si>
  <si>
    <t>Mónica Molina Tarazona</t>
  </si>
  <si>
    <t>Internet y TV</t>
  </si>
  <si>
    <t>10884600</t>
  </si>
  <si>
    <t>Incentivo</t>
  </si>
  <si>
    <t>Pago Incentivo Mes de Agost / 26</t>
  </si>
  <si>
    <t>Abono cuenta de cobro</t>
  </si>
  <si>
    <t>Cruza con Cuaderno Don Arturo (Pág. 160 L2 - $800.000)</t>
  </si>
  <si>
    <t>taxi Acopi</t>
  </si>
  <si>
    <t>2 dias de trasporte</t>
  </si>
  <si>
    <t>trasporte</t>
  </si>
  <si>
    <t>Armando Carnes</t>
  </si>
  <si>
    <t>Panela redonda unidad</t>
  </si>
  <si>
    <t>PANELA LA REDONDA UNIDAD (GRANERO PIAMONTE)</t>
  </si>
  <si>
    <t>DP-4847</t>
  </si>
  <si>
    <t>Panela redonda El Rey x 48 und</t>
  </si>
  <si>
    <t>PANELA LA REDONDA EL REY X 48UN (GRANERO PIAMONTE)</t>
  </si>
  <si>
    <t>Arroz Proarroz x 50 kg</t>
  </si>
  <si>
    <t>ARROZ PROARROZ X 50 KL (GRANERO PIAMONTE)</t>
  </si>
  <si>
    <t>Mercancías varias exentas</t>
  </si>
  <si>
    <t>MERCANCIAS VARIAS EXCENTAS (GRANERO PIAMONTE)</t>
  </si>
  <si>
    <t>Aromatizador Brisa en Spray 250 cc</t>
  </si>
  <si>
    <t>AROMATIZADOR BRISA EN SPRAY 250 CC (ON 24 S.A.S.)</t>
  </si>
  <si>
    <t>ONFV-22064</t>
  </si>
  <si>
    <t>Tablet Lenovo Tab 12 Plus 8/256GB</t>
  </si>
  <si>
    <t>Tab 12" Lenovo Plus 8/256GB Gr (ALKOSTO)</t>
  </si>
  <si>
    <t>Desodorante Sienna Natural 70 ml x 2</t>
  </si>
  <si>
    <t>Desodoran Sienna Nat 70ml x2u (ALKOSTO)</t>
  </si>
  <si>
    <t>Cera Capilar Magno 200 g</t>
  </si>
  <si>
    <t>Cera Capilar Magno 200gr (ALKOSTO)</t>
  </si>
  <si>
    <t>Rosquillas Caleñas 15 g x 12</t>
  </si>
  <si>
    <t>Rosquillas Caleñas 15g x12 (ALKOSTO)</t>
  </si>
  <si>
    <t>Impuesto Bolsa Plástica</t>
  </si>
  <si>
    <t>Impuesto Bolsa Plastica (ALKOSTO)</t>
  </si>
  <si>
    <t>Habichuela</t>
  </si>
  <si>
    <t>HABICHUELA A GRANEL (SUPERTIENDAS CAÑAVERAL S.A.S.)</t>
  </si>
  <si>
    <t>Blanquillo</t>
  </si>
  <si>
    <t>BLANQUILLO DONA LUPE*500g (SUPERTIENDAS CAÑAVERAL S.A.S.)</t>
  </si>
  <si>
    <t>Bolsa tipo costal</t>
  </si>
  <si>
    <t>BOLSA CAÑAVERAL TIPO COSTAL (SUPERTIENDAS CAÑAVERAL S.A.S.)</t>
  </si>
  <si>
    <t>Cuota Crédito Finanseguros</t>
  </si>
  <si>
    <t>PAGO CREDITO FINANSEGUROS CUOTA (Davivienda Ref 1483234)</t>
  </si>
  <si>
    <t>1483234</t>
  </si>
  <si>
    <t>Cruza con Cuaderno Don Arturo (Pág. 159 L40 - Póliza $373.900)</t>
  </si>
  <si>
    <t>Finanseguros / Banco Davivienda</t>
  </si>
  <si>
    <t>Gas Natural</t>
  </si>
  <si>
    <t>FACTURACION SERVICIO GAS NATURAL (Consumo $4.514.689 + Cargo Fijo $3.378 + Contribución $402.108)</t>
  </si>
  <si>
    <t>553610</t>
  </si>
  <si>
    <t>Cruza con Cuaderno Don Arturo (Pág. 159 L37 - $4.910.200)</t>
  </si>
  <si>
    <t>Gases de Occidente S.A. E.S.P.</t>
  </si>
  <si>
    <t>Servicio de Telefonía e Internet</t>
  </si>
  <si>
    <t>SERVICIOS TELECOMUNICACIONES EMCALI (Telefonía $14.539 + Internet $91.641)</t>
  </si>
  <si>
    <t>10892179</t>
  </si>
  <si>
    <t>Cruza con Cuaderno Don Arturo (Pág. 160 L12 - Teléfono negocio $106.200)</t>
  </si>
  <si>
    <t>Crema de Leche</t>
  </si>
  <si>
    <t>CREMA DE LECHE 1000G (Alquería)</t>
  </si>
  <si>
    <t>Productos Naturales de la Sabana S.A.S. BIC</t>
  </si>
  <si>
    <t>Leche Institucional Entera</t>
  </si>
  <si>
    <t>SABOR ORIGINAL INSTITUCIONAL 1100ML (Alquería)</t>
  </si>
  <si>
    <t>Nómina Jacqueline Jimenez</t>
  </si>
  <si>
    <t>Cruza con Cuaderno Don Arturo (Pág. 160 L18 - Nómina Choclo $4.302.850)</t>
  </si>
  <si>
    <t>Nómina Directa (BBVA)</t>
  </si>
  <si>
    <t>Nómina Juan David Aguirre</t>
  </si>
  <si>
    <t>Nómina Enith Mosquera</t>
  </si>
  <si>
    <t>Nómina Mary Luz Henao</t>
  </si>
  <si>
    <t>Alejandro Ramirez Cubillos</t>
  </si>
  <si>
    <t>INDUSTRIA NACIONAL DE GASEOSAS S.A.S.</t>
  </si>
  <si>
    <t>COMERCIALIZADORA GLOBAL LIQUORS SAS</t>
  </si>
  <si>
    <t>Gabriel Andres Ramirez Cubillos</t>
  </si>
  <si>
    <t>Turno Andrés</t>
  </si>
  <si>
    <t>Turno Wilson</t>
  </si>
  <si>
    <t>Turno Sebastián</t>
  </si>
  <si>
    <t>Transporte Acopi</t>
  </si>
  <si>
    <t>Transporte diligencias Acopi caja menor</t>
  </si>
  <si>
    <t>Crédito Joan David</t>
  </si>
  <si>
    <t>Industria Hielo El Nevado</t>
  </si>
  <si>
    <t>Arreglo Cuarto Frío</t>
  </si>
  <si>
    <t>SPAGHETTI Y MAIZ TIERNO (Éxito Factura L1R9195253)</t>
  </si>
  <si>
    <t>L1R9195253</t>
  </si>
  <si>
    <t>Almacenes Éxito S.A.</t>
  </si>
  <si>
    <t>Talonario Recibo de Caja</t>
  </si>
  <si>
    <t>PAPELERIA / TALONARIO RECIBO DE CAJA (Rapi Caldas)</t>
  </si>
  <si>
    <t>TC_5160_1_116567</t>
  </si>
  <si>
    <t>Rapi Caldas</t>
  </si>
  <si>
    <t>Dollarcity</t>
  </si>
  <si>
    <t>DETERGENTE DERSA 1000G VINAGRE+LIMON (Cañaveral 06FI376820)</t>
  </si>
  <si>
    <t>06FI376820</t>
  </si>
  <si>
    <t>Colador</t>
  </si>
  <si>
    <t>LIBRA DE MORCILLA X 10 (La Morcilla Jamundeña Factura 8119)</t>
  </si>
  <si>
    <t>8119</t>
  </si>
  <si>
    <t>Detergente</t>
  </si>
  <si>
    <t>VINO TINTO BUENA COCINA (D1 Factura FEMP245107)</t>
  </si>
  <si>
    <t>FEMP245107</t>
  </si>
  <si>
    <t>D1 SAS</t>
  </si>
  <si>
    <t>Varios</t>
  </si>
  <si>
    <t>Turno Marleny</t>
  </si>
  <si>
    <t>Mazamorra cocina</t>
  </si>
  <si>
    <t>Plátano verde plaza/galería</t>
  </si>
  <si>
    <t>Tóner Impresora</t>
  </si>
  <si>
    <t>TONER IMPRESORA (Recibo William Lemus)</t>
  </si>
  <si>
    <t>Recibo William Lemus</t>
  </si>
  <si>
    <t>William Lemus G.</t>
  </si>
  <si>
    <t>Ángulos</t>
  </si>
  <si>
    <t>ANGULOS 2 1/2" Y 3" (Holmes Rodríguez - Factura FC 4981)</t>
  </si>
  <si>
    <t>FC 4981</t>
  </si>
  <si>
    <t>Ferretornillos Santander</t>
  </si>
  <si>
    <t>Holmes Rodríguez (Ferretería)</t>
  </si>
  <si>
    <t>Crédito Neymar</t>
  </si>
  <si>
    <t>Pliego de Lija</t>
  </si>
  <si>
    <t>PLIEGO LIJA #80 X 3 (Ferrehacienda Factura 1567)</t>
  </si>
  <si>
    <t>1567</t>
  </si>
  <si>
    <t>Ferrehacienda</t>
  </si>
  <si>
    <t>Ferrehacienda S.A.S.</t>
  </si>
  <si>
    <t>TRANSPORTE ACOPI (Recibo Caja Menor Germán)</t>
  </si>
  <si>
    <t>Recibo Germán</t>
  </si>
  <si>
    <t>Germán Morales</t>
  </si>
  <si>
    <t>Turno 4 Horas</t>
  </si>
  <si>
    <t>TURNO 4 HORAS (Recibo Caja Menor Lucero)</t>
  </si>
  <si>
    <t>Lucero</t>
  </si>
  <si>
    <t>Turno Toty (Fredy)</t>
  </si>
  <si>
    <t>Fredy (Toty)</t>
  </si>
  <si>
    <t>Atados de Hojas</t>
  </si>
  <si>
    <t>30 ATADOS HOJAS TAMAL (Recibo Caja Menor)</t>
  </si>
  <si>
    <t>Recibo Tamales</t>
  </si>
  <si>
    <t>Varios Proveedores</t>
  </si>
  <si>
    <t>Masa para Tamales</t>
  </si>
  <si>
    <t>9 KL MASA TAMAL (Recibo Caja Menor)</t>
  </si>
  <si>
    <t>Coco</t>
  </si>
  <si>
    <t>5 COCOS (Recibo Caja Menor)</t>
  </si>
  <si>
    <t>Fibra Amarilla</t>
  </si>
  <si>
    <t>2 CONOS FIBRA AMARRAR (Recibo Caja Menor)</t>
  </si>
  <si>
    <t>Guasca</t>
  </si>
  <si>
    <t>GUASCA Y LAUREL (Recibo Caja Menor)</t>
  </si>
  <si>
    <t>Laurel</t>
  </si>
  <si>
    <t>PASTA LA MUÑECA 250G CONCHA X 4 (Cañaveral 08FH341178)</t>
  </si>
  <si>
    <t>08FH341178</t>
  </si>
  <si>
    <t>Pasta</t>
  </si>
  <si>
    <t>Pasta corta/larga cocina</t>
  </si>
  <si>
    <t>MAZAMORRA (Recibo Caja Menor Franco Borja)</t>
  </si>
  <si>
    <t>Recibo Franco Borja</t>
  </si>
  <si>
    <t>Franco Borja</t>
  </si>
  <si>
    <t>Pago Teléfono</t>
  </si>
  <si>
    <t>SERVICIO TELEFONIA E INTERNET SEDE (Tigo Factura 49361451)</t>
  </si>
  <si>
    <t>49361451</t>
  </si>
  <si>
    <t>Tigo</t>
  </si>
  <si>
    <t>Tigo Colombia</t>
  </si>
  <si>
    <t>Pastas para Sopa</t>
  </si>
  <si>
    <t>4 PTS PASTAS (Recibo Walter J.G.)</t>
  </si>
  <si>
    <t>Recibo Walter</t>
  </si>
  <si>
    <t>Walter J. G.</t>
  </si>
  <si>
    <t>Aguacates frescos pedido Alejo (2 días)</t>
  </si>
  <si>
    <t>Alejo</t>
  </si>
  <si>
    <t>Examen Coprológico</t>
  </si>
  <si>
    <t>EXAMEN COPROLOGICO (Factura FE2553 - Health Care IPS)</t>
  </si>
  <si>
    <t>Examen Frotis Faríngeo</t>
  </si>
  <si>
    <t>EXAMEN FROTIS FARINGEO (Factura FE2553 - Health Care IPS)</t>
  </si>
  <si>
    <t>Examen Hongos KOH</t>
  </si>
  <si>
    <t>EXAMEN DIRECTO PARA HONGOS KOH (Factura FE2553 - Health Care IPS)</t>
  </si>
  <si>
    <t>Evaluación Médica Pre-Ingreso</t>
  </si>
  <si>
    <t>EVALUACION MEDICA PRE-INGRESO (Factura FE2553 - Health Care IPS)</t>
  </si>
  <si>
    <t>Panel Drogas de Abuso</t>
  </si>
  <si>
    <t>PANEL DROGAS DE ABUSO (Factura FE2553 - Health Care IPS)</t>
  </si>
  <si>
    <t>Evaluación Médica Ocupacional</t>
  </si>
  <si>
    <t>EVALUACION MEDICA OCUPACIONAL PERIODICA (Factura FE2553 - Health Care IPS)</t>
  </si>
  <si>
    <t>Servicios Temporales GIT</t>
  </si>
  <si>
    <t>SERVICIOS TEMPORALES SEPTIEMBRE 01 AL 15 DE 2026 NQ-013539 (Factura FELE12018 - GIT)</t>
  </si>
  <si>
    <t>AIU Fiscal Servicios Temporales</t>
  </si>
  <si>
    <t>AIU FISCAL BASE ESPECIAL IVA + IVA REGIMEN ESPECIAL (Factura FELE12018 - GIT)</t>
  </si>
  <si>
    <t>Papa a la Francesa</t>
  </si>
  <si>
    <t>PAPA A LA FRANCESA (Distribuidora de Carnes ET Los Monos - Factura YP24490)</t>
  </si>
  <si>
    <t>El Gran Surtidor</t>
  </si>
  <si>
    <t>Arveja Verde</t>
  </si>
  <si>
    <t>ARVEJA VERDE (Jesús Tobón - Factura FEFM 5747)</t>
  </si>
  <si>
    <t>FEFM 5747</t>
  </si>
  <si>
    <t>Cilantro</t>
  </si>
  <si>
    <t>CILANTRO (Jesús Tobón - Factura FEFM 5747)</t>
  </si>
  <si>
    <t>TOMILLO (Jesús Tobón - Factura FEFM 5747)</t>
  </si>
  <si>
    <t>HABICHUELA (Jesús Tobón - Factura FEFM 5747)</t>
  </si>
  <si>
    <t>ZANAHORIA (Jesús Tobón - Factura FEFM 5747)</t>
  </si>
  <si>
    <t>Limón Tahití</t>
  </si>
  <si>
    <t>LIMON TAHITI (Jesús Tobón - Factura FEFM 5747)</t>
  </si>
  <si>
    <t>Cebolla Larga</t>
  </si>
  <si>
    <t>CEBOLLA LARGA (Jesús Tobón - Factura FEFM 5747)</t>
  </si>
  <si>
    <t>Plátano Maduro</t>
  </si>
  <si>
    <t>PLATANO MADURO (Jesús Tobón - Factura FEFM 5747)</t>
  </si>
  <si>
    <t>Papa Capira</t>
  </si>
  <si>
    <t>PAPA CAPIRA (Jesús Tobón - Factura FEFM 5747)</t>
  </si>
  <si>
    <t>Plátano Verde</t>
  </si>
  <si>
    <t>PLATANO VERDE (Jesús Tobón - Factura FEFM 5747)</t>
  </si>
  <si>
    <t>Lechuga Batavia</t>
  </si>
  <si>
    <t>LECHUGA BATAVIA (Jesús Tobón - Factura FEFM 5752)</t>
  </si>
  <si>
    <t>FEFM 5752</t>
  </si>
  <si>
    <t>Tomate Chonto</t>
  </si>
  <si>
    <t>TOMATE CHONTO (Jesús Tobón - Factura FEFM 5752)</t>
  </si>
  <si>
    <t>Pimentón</t>
  </si>
  <si>
    <t>PIMENTON (Jesús Tobón - Factura FEFM 5752)</t>
  </si>
  <si>
    <t>PLATANO MADURO (Jesús Tobón - Factura FEFM 5752)</t>
  </si>
  <si>
    <t>Cebolla Cabezona</t>
  </si>
  <si>
    <t>CEBOLLA CABEZONA (Jesús Tobón - Factura FEFM 5752)</t>
  </si>
  <si>
    <t>LIMON TAHITI (Jesús Tobón - Factura FEFM 5752)</t>
  </si>
  <si>
    <t>CILANTRO (Jesús Tobón - Factura FEFM 5752)</t>
  </si>
  <si>
    <t>PEREJIL (Jesús Tobón - Factura FEFM 5752)</t>
  </si>
  <si>
    <t>Papa Parda</t>
  </si>
  <si>
    <t>PAPA PARDA (Jesús Tobón - Factura FEFM 5752)</t>
  </si>
  <si>
    <t>Brócoli</t>
  </si>
  <si>
    <t>BROCOLI (Jesús Tobón - Factura FEFM 5752)</t>
  </si>
  <si>
    <t>Coliflor</t>
  </si>
  <si>
    <t>COLIFLOR (Jesús Tobón - Factura FEFM 5752)</t>
  </si>
  <si>
    <t>CEBOLLA LARGA (Jesús Tobón - Factura FEFM 5752)</t>
  </si>
  <si>
    <t>PLATANO VERDE (Jesús Tobón - Factura FEFM 5752)</t>
  </si>
  <si>
    <t>PAPA CAPIRA (Jesús Tobón - Factura FEFM 5752)</t>
  </si>
  <si>
    <t>ZANAHORIA (Jesús Tobón - Factura FEFM 5752)</t>
  </si>
  <si>
    <t>REPOLLO MORADO (Jesús Tobón - Factura FEFM 5752)</t>
  </si>
  <si>
    <t>Pepino Común</t>
  </si>
  <si>
    <t>PEPINO COMUN (Jesús Tobón - Factura FEFM 5752)</t>
  </si>
  <si>
    <t>Tomate Milano</t>
  </si>
  <si>
    <t>TOMATE MILANO (Jesús Tobón - Factura FEFM 5752)</t>
  </si>
  <si>
    <t>Papa Criolla</t>
  </si>
  <si>
    <t>PAPA CRIOLLA (Jesús Tobón - Factura FEFM 5752)</t>
  </si>
  <si>
    <t>PLATANO VERDE 20.60 KG (Cuenta de Cobro Mónica Molina)</t>
  </si>
  <si>
    <t>Turno Fin de Semana (Leyton Agudelo)</t>
  </si>
  <si>
    <t>TURNO SABADO Y DOMINGO (Recibo Caja Menor 19/09/2026 - Leyton Agudelo)</t>
  </si>
  <si>
    <t>50 AGUACATES (Recibo Caja Menor 19/09/2026 - Leyton Agudelo)</t>
  </si>
  <si>
    <t>Honorarios / Servicios Eliana Garcés</t>
  </si>
  <si>
    <t>Eliana Garces (ela cobra) - Pago en efectivo de caja menor</t>
  </si>
  <si>
    <t>Libro de Caja (S/N)</t>
  </si>
  <si>
    <t>Aguacates (Alejandro) - Compra de caja menor</t>
  </si>
  <si>
    <t>Turno Wilson Principal pagado en efectivo de caja menor</t>
  </si>
  <si>
    <t>Turno Andrés Principal pagado en efectivo de caja menor</t>
  </si>
  <si>
    <t>Turno Sebastián Principal pagado en efectivo de caja menor</t>
  </si>
  <si>
    <t>Don Arturo recogió</t>
  </si>
  <si>
    <t>Don Arturo (Recogió efectivo socio de caja menor)</t>
  </si>
  <si>
    <t>Crédito Don Arturo</t>
  </si>
  <si>
    <t>Turno Marleny Domicilios pagado en efectivo de caja menor</t>
  </si>
  <si>
    <t>Turno Sebastián Domicilios pagado en efectivo de caja menor</t>
  </si>
  <si>
    <t>Transporte Lina</t>
  </si>
  <si>
    <t>Transporte Deicy</t>
  </si>
  <si>
    <t>Transporte Enith</t>
  </si>
  <si>
    <t>Mazamorra (Freddy Bravo 5285727) - Compra caja menor</t>
  </si>
  <si>
    <t>Turno Martha Collazos</t>
  </si>
  <si>
    <t>Turno Martha Collazos Domicilios pagado en efectivo</t>
  </si>
  <si>
    <t>Crédito Carolina</t>
  </si>
  <si>
    <t>Crédito Daniela</t>
  </si>
  <si>
    <t>Crédito María Bertilda</t>
  </si>
  <si>
    <t>Turno Marleny Cocina Domicilios pagado en efectivo</t>
  </si>
  <si>
    <t>Transporte Taxi Acopi Principal</t>
  </si>
  <si>
    <t>Pinturas Homecenter</t>
  </si>
  <si>
    <t>PINTURAS HOMECENTER (Pintura mantenimiento mesas y sede)</t>
  </si>
  <si>
    <t>Cuaderno Don Arturo (Pág. 159 L38)</t>
  </si>
  <si>
    <t>Homecenter</t>
  </si>
  <si>
    <t>Homecenter Sodimac</t>
  </si>
  <si>
    <t>Internet Agosto</t>
  </si>
  <si>
    <t>INTERNET (AGOSTO) (Servicio de internet mes anterior)</t>
  </si>
  <si>
    <t>Cuaderno Don Arturo (Pág. 159 L39)</t>
  </si>
  <si>
    <t>Internet sede</t>
  </si>
  <si>
    <t>Taxi Antonio</t>
  </si>
  <si>
    <t>TAXIS ANTONIO (Transporte diligencias y gestión Antonio)</t>
  </si>
  <si>
    <t>Cuaderno Don Arturo (Pág. 160 L1)</t>
  </si>
  <si>
    <t>Gestión directiva Antonio</t>
  </si>
  <si>
    <t>Cuaderno Don Arturo (Pág. 160 L8)</t>
  </si>
  <si>
    <t>Alexis Valencia Castro</t>
  </si>
  <si>
    <t>Cuaderno Don Arturo (Pág. 160 L11)</t>
  </si>
  <si>
    <t>Vale Arturo internet casa</t>
  </si>
  <si>
    <t>VALE ARTURO INTERNET CASA (Pago internet casa Don Arturo)</t>
  </si>
  <si>
    <t>Cuaderno Don Arturo (Pág. 160 L13)</t>
  </si>
  <si>
    <t>Vale socio Arturo Díaz</t>
  </si>
  <si>
    <t>Don Arturo Díaz (Socio)</t>
  </si>
  <si>
    <t>Cuaderno Don Arturo (Pág. 160 L15)</t>
  </si>
  <si>
    <t>Gallinas</t>
  </si>
  <si>
    <t>Insumos Albeiro</t>
  </si>
  <si>
    <t>FACTURA ALBEIRO (Insumos varios factura Albeiro)</t>
  </si>
  <si>
    <t>Cuaderno Don Arturo (Pág. 160 L17)</t>
  </si>
  <si>
    <t>Factura Albeiro</t>
  </si>
  <si>
    <t>Albeiro (Insumos)</t>
  </si>
  <si>
    <t>Papa Capira Bulto</t>
  </si>
  <si>
    <t>PAPA CAPIRA BULTO*UND</t>
  </si>
  <si>
    <t>FEFM 5761</t>
  </si>
  <si>
    <t>Carbón Bulto</t>
  </si>
  <si>
    <t>CAARBON BULTO</t>
  </si>
  <si>
    <t>PLATANO MADURO*KL</t>
  </si>
  <si>
    <t>PLATANO VERDE*KL</t>
  </si>
  <si>
    <t>ZANAHORIA*KL</t>
  </si>
  <si>
    <t>PAPA AMARILLA CRIOLLA*KL</t>
  </si>
  <si>
    <t>PEPINO COMUN*KL</t>
  </si>
  <si>
    <t>PIMENTON*KL</t>
  </si>
  <si>
    <t>Mazorca</t>
  </si>
  <si>
    <t>MAZORCA*UND</t>
  </si>
  <si>
    <t>Hierbas</t>
  </si>
  <si>
    <t>HIERVAS</t>
  </si>
  <si>
    <t>CILANTRO</t>
  </si>
  <si>
    <t>TOMATE CHONTO*KL</t>
  </si>
  <si>
    <t>REPOLLO MORADO*KL</t>
  </si>
  <si>
    <t>CEBOLLA CABEZONA*KL</t>
  </si>
  <si>
    <t>LECHUGA BATAVIA*KL</t>
  </si>
  <si>
    <t>FEFM 5772</t>
  </si>
  <si>
    <t>CEBOLLA LARGA ATADO</t>
  </si>
  <si>
    <t>Papa Poyera</t>
  </si>
  <si>
    <t>PAPA POYERA*KL</t>
  </si>
  <si>
    <t>Zapallo</t>
  </si>
  <si>
    <t>ZAPAYO*KL</t>
  </si>
  <si>
    <t>ARVEJA VERDE*KL</t>
  </si>
  <si>
    <t>COLIFLOR*KL</t>
  </si>
  <si>
    <t>Papa Mambera</t>
  </si>
  <si>
    <t>PAPA MAMBERA*KL</t>
  </si>
  <si>
    <t>BROCOLI*KL</t>
  </si>
  <si>
    <t>LIMON TAHITY*KL</t>
  </si>
  <si>
    <t>FEFM 5780</t>
  </si>
  <si>
    <t>ARRACACHA*KL</t>
  </si>
  <si>
    <t>TOMATE MILANO*KL</t>
  </si>
  <si>
    <t>REMOLACHA*KL</t>
  </si>
  <si>
    <t>BLOQUE MEDIA</t>
  </si>
  <si>
    <t>NV203922</t>
  </si>
  <si>
    <t>Bolsa 5kl Tubular</t>
  </si>
  <si>
    <t>BOLSA X 5 KL TUBULAR</t>
  </si>
  <si>
    <t>Papa a la Francesa Paq 2.5 Kl</t>
  </si>
  <si>
    <t>Acento</t>
  </si>
  <si>
    <t>ACENTO X 500 LB</t>
  </si>
  <si>
    <t>38537</t>
  </si>
  <si>
    <t>Ambientador Lavanda</t>
  </si>
  <si>
    <t>AMBIENTADOR LAVANDA YILOP X 3800</t>
  </si>
  <si>
    <t>Aromáticas</t>
  </si>
  <si>
    <t>AROMATICAS X 20 X 24CJ</t>
  </si>
  <si>
    <t>Azúcar en Sobre</t>
  </si>
  <si>
    <t>AZUCAR EN SOBRE X 200 X 10</t>
  </si>
  <si>
    <t>Banana Moritas</t>
  </si>
  <si>
    <t>BANANA MORITAS X 24</t>
  </si>
  <si>
    <t>Bolsa Basura 65x90</t>
  </si>
  <si>
    <t>BOLSA BASURA 65 X 90 #2</t>
  </si>
  <si>
    <t>Bolsa Basura Industrial 90x120</t>
  </si>
  <si>
    <t>BOLSA BASURA INDUSTRIAL GRUESA 90 X 120</t>
  </si>
  <si>
    <t>Café x Libra</t>
  </si>
  <si>
    <t>CAFE X 1 LB X 25</t>
  </si>
  <si>
    <t>Contenedor Darnel 8 oz</t>
  </si>
  <si>
    <t>CONTENEDOR DARNEL 8 ONZ T X 20X25</t>
  </si>
  <si>
    <t>Copa Troforma 1/2 oz</t>
  </si>
  <si>
    <t>COPA TROFORMA 1/2 ONZ X 50 x 90</t>
  </si>
  <si>
    <t>Cubierto Grande x 3</t>
  </si>
  <si>
    <t>CUBIERTO GRANDE X 3 CJA X 28PQ X 50UN</t>
  </si>
  <si>
    <t>Bolsa Manigueta T40</t>
  </si>
  <si>
    <t>BOLSA MANIGUETA T40 BLANCA ECON</t>
  </si>
  <si>
    <t>Detergente Dersa Limón</t>
  </si>
  <si>
    <t>DETERGENTE DERSA LIMON X 1000X20</t>
  </si>
  <si>
    <t>Harina de Trigo</t>
  </si>
  <si>
    <t>HARINA DE TRIGO X 25</t>
  </si>
  <si>
    <t>Harina para Apanar</t>
  </si>
  <si>
    <t>HARINA PARA APANAR LB</t>
  </si>
  <si>
    <t>Humo Líquido</t>
  </si>
  <si>
    <t>HUMO LIQUIDO GALON</t>
  </si>
  <si>
    <t>Palo Doble Punta</t>
  </si>
  <si>
    <t>PALO DOBLE PUNTA EL SOL X 180X144</t>
  </si>
  <si>
    <t>Portacomida Darnel J1</t>
  </si>
  <si>
    <t>PORTACOMIDA DARNEL J1 X 200</t>
  </si>
  <si>
    <t>Portacomida Darnel J2</t>
  </si>
  <si>
    <t>PORTACOMIDA DARNEL J2 X 200</t>
  </si>
  <si>
    <t>Sal Salero Refisal</t>
  </si>
  <si>
    <t>SAL SALERO REFISAL X 24</t>
  </si>
  <si>
    <t>Salsa Negra</t>
  </si>
  <si>
    <t>SALSA NEGRA DIFFER GALON X 3000 X 6</t>
  </si>
  <si>
    <t>Contenedor 16 oz Darnel</t>
  </si>
  <si>
    <t>CONTENEDOR 16 ONZ DARNEL X 20X20 PAQ</t>
  </si>
  <si>
    <t>Tapa Vaso 3.5 y 7 oz</t>
  </si>
  <si>
    <t>TAPA VASO 3,5 Y 7 ONZ WAU X 50 X 90</t>
  </si>
  <si>
    <t>Tapa Copa Troforma 1 y 1/2 oz</t>
  </si>
  <si>
    <t>TAPA COPA TROFORMA 1 Y 1/2 ONZ X 50 X 2000 X 6</t>
  </si>
  <si>
    <t>Tapa Vaso 12 oz Tami</t>
  </si>
  <si>
    <t>TAPA VASO 12 ONZ TAMI X 50 UND X 20 PQ</t>
  </si>
  <si>
    <t>Vaso Tami 12 oz Transparente</t>
  </si>
  <si>
    <t>VASO TAMI 12 X 25 TRANSP X 126 PQ</t>
  </si>
  <si>
    <t>Vasote 3.5 oz</t>
  </si>
  <si>
    <t>VASOTE 3,5 TANSL X 50 X 60 PQ</t>
  </si>
  <si>
    <t>Copa 2.0 oz House</t>
  </si>
  <si>
    <t>COPA 2.0 X 100 X 25 HOUSE</t>
  </si>
  <si>
    <t>Tapa Copa 2.0 oz House</t>
  </si>
  <si>
    <t>TAPA COPA 2.0 X 100 HOUSE</t>
  </si>
  <si>
    <t>Servilleta Nube 1 a 1</t>
  </si>
  <si>
    <t>SERVILLETA NUBE 1 A 1 X 60PQ X 100UND</t>
  </si>
  <si>
    <t>Rollo Térmico 80x60</t>
  </si>
  <si>
    <t>ROLLO TERMICO 80MM X 60MM REGISTRADORA CJA</t>
  </si>
  <si>
    <t>Guante Nitrilo M Negro</t>
  </si>
  <si>
    <t>GUANTE NITRILO M NEGRO HOUSE CJX10</t>
  </si>
  <si>
    <t>Toalla Mano Z Natural</t>
  </si>
  <si>
    <t>TOALLA MANO Z NATURAL GARDEN X150UDS</t>
  </si>
  <si>
    <t>Desengrasante Tak Tax</t>
  </si>
  <si>
    <t>DESENGRASANTE TAK TAX X 3800</t>
  </si>
  <si>
    <t>Bolsa Manigueta T25</t>
  </si>
  <si>
    <t>BOLSA MANIGUETA T25 ECON</t>
  </si>
  <si>
    <t>38814</t>
  </si>
  <si>
    <t>CREMA DE LECHE LTRO ALQUERIA BOLSA</t>
  </si>
  <si>
    <t>Escoba Zulia</t>
  </si>
  <si>
    <t>ESCOBA ZULIA</t>
  </si>
  <si>
    <t>Papel Higiénico Jumbo</t>
  </si>
  <si>
    <t>PAPEL H. JUMBO INST. BCO X 8 X 250 NUBE</t>
  </si>
  <si>
    <t>Portacomida C1 Wau</t>
  </si>
  <si>
    <t>PORTACOMIDA C1 X 200 WAU</t>
  </si>
  <si>
    <t>Portacomida Darnel T1</t>
  </si>
  <si>
    <t>PORTACOMIDA DARNEL T1 X 200</t>
  </si>
  <si>
    <t>Recogedor Fino</t>
  </si>
  <si>
    <t>RECOGEDOR FINO</t>
  </si>
  <si>
    <t>Salsa Mayonesa</t>
  </si>
  <si>
    <t>SALSA MAYONESA DIFFER X 4000 X 3</t>
  </si>
  <si>
    <t>Salsa Mostaza</t>
  </si>
  <si>
    <t>SALSA MOSTAZA DIFFER BOLSA X 4000 X 3</t>
  </si>
  <si>
    <t>Tapabocas</t>
  </si>
  <si>
    <t>TAPABOCA X 50</t>
  </si>
  <si>
    <t>Toalla Z Nube</t>
  </si>
  <si>
    <t>TOALLA Z NUBE NAT 24PQ X 150</t>
  </si>
  <si>
    <t>Vinagre</t>
  </si>
  <si>
    <t>VINAGRE DIFFER GALON X 3000 X 6</t>
  </si>
  <si>
    <t>Color Azafrán</t>
  </si>
  <si>
    <t>COLOR AZAFRAN 1/4 ARROBA</t>
  </si>
  <si>
    <t>Guante Nitrilo L Negro</t>
  </si>
  <si>
    <t>GUANTE DE NITRILO NEGRO L HOUSE CJX 10</t>
  </si>
  <si>
    <t>Límpido Cuñete</t>
  </si>
  <si>
    <t>LIMPIDO CUÑETE</t>
  </si>
  <si>
    <t>Resma Papel Carta</t>
  </si>
  <si>
    <t>RESMA DE PAPEL CARTA</t>
  </si>
  <si>
    <t>Papel Aluminio 300m</t>
  </si>
  <si>
    <t>ALUMINIO 300M DIFFER CJX6</t>
  </si>
  <si>
    <t>Tarrina 14 oz Wau</t>
  </si>
  <si>
    <t>TARRINA 14ONZ WAU CJX15 X25UDS</t>
  </si>
  <si>
    <t>38889</t>
  </si>
  <si>
    <t>BOLSA BASURA INDUSTRIAL 90 X 120</t>
  </si>
  <si>
    <t>Cuchara Grande Suraplas</t>
  </si>
  <si>
    <t>CUCHARA GRANDE SURAPLAS X 100X60</t>
  </si>
  <si>
    <t>Bolsa Basura Blanca 65x90</t>
  </si>
  <si>
    <t>BOLSA BASURA BLANCA 65X90</t>
  </si>
  <si>
    <t>Bolsa Manigueta T15</t>
  </si>
  <si>
    <t>BOLSA MANIGUETA T15 ECON</t>
  </si>
  <si>
    <t>Limonada de coco</t>
  </si>
  <si>
    <t>FEC 2963</t>
  </si>
  <si>
    <t>Jarra 2 Lt</t>
  </si>
  <si>
    <t>SUPER JARRA 2 LT</t>
  </si>
  <si>
    <t>FEM719313</t>
  </si>
  <si>
    <t>Colador Metálico</t>
  </si>
  <si>
    <t>COLADOR METALICO COL20</t>
  </si>
  <si>
    <t>NV204105</t>
  </si>
  <si>
    <t>Cruza con Cuaderno Don Arturo (Pág. 160 L32 - Frío Sabor $744.450)</t>
  </si>
  <si>
    <t>Frío Sabor Pág. 160 L32</t>
  </si>
  <si>
    <t>NV204238</t>
  </si>
  <si>
    <t>SG-SST</t>
  </si>
  <si>
    <t>Otros servicios de salud</t>
  </si>
  <si>
    <t>FE2586</t>
  </si>
  <si>
    <t>Tintilla 1/2 galón</t>
  </si>
  <si>
    <t>TINTILLA 1/2 gl KOLO</t>
  </si>
  <si>
    <t>3002 0100463151</t>
  </si>
  <si>
    <t>Llave jardín bronce</t>
  </si>
  <si>
    <t>LLAVE JARDIN BRONCE</t>
  </si>
  <si>
    <t>Tapa tomacorriente</t>
  </si>
  <si>
    <t>TAPA TOMACORRIENTE D</t>
  </si>
  <si>
    <t>Tomacorriente doble</t>
  </si>
  <si>
    <t>TOMACORRIENTE DOBLE</t>
  </si>
  <si>
    <t>Lija de agua No 180</t>
  </si>
  <si>
    <t>LIJA AGUA No 180 ABR</t>
  </si>
  <si>
    <t>Tornillo aglomerado</t>
  </si>
  <si>
    <t>TORNILLO AGLOMERADO</t>
  </si>
  <si>
    <t>3001 0100461461</t>
  </si>
  <si>
    <t>Guante multiflex</t>
  </si>
  <si>
    <t>GUANTE MULTIFLEX POL</t>
  </si>
  <si>
    <t>BLOQUE MEDIA (Industria Hielo El Nevado - NV203621)</t>
  </si>
  <si>
    <t>NV203621</t>
  </si>
  <si>
    <t>Cancela con CE 3752</t>
  </si>
  <si>
    <t>BOLSA X 5 KL TUBULAR (Industria Hielo El Nevado - NV203621)</t>
  </si>
  <si>
    <t>BLOQUE MEDIA (Industria Hielo El Nevado - NV203710)</t>
  </si>
  <si>
    <t>NV203710</t>
  </si>
  <si>
    <t>BLOQUE MEDIA (Industria Hielo El Nevado - NV203820)</t>
  </si>
  <si>
    <t>NV203820</t>
  </si>
  <si>
    <t>BOLSA X 5 KL TUBULAR (Industria Hielo El Nevado - NV203820)</t>
  </si>
  <si>
    <t>Remisin Entrega 1157888312 / Soporte 00001</t>
  </si>
  <si>
    <t>Liquidación vacaciones / contrato</t>
  </si>
  <si>
    <t>LIQUIDACION CONTRATO Y VACACIONES - ANA LEYDA VALENCIA ANGULO (CC 29.232.765)</t>
  </si>
  <si>
    <t>CE 3754</t>
  </si>
  <si>
    <t>Recibo Caja Menor / CE 3754 Ch. 3133</t>
  </si>
  <si>
    <t>Personal Operativo (Nmina / Liquidaciones)</t>
  </si>
  <si>
    <t>MERCANCIAS VARIAS EXCENTAS</t>
  </si>
  <si>
    <t>DP-4880</t>
  </si>
  <si>
    <t>ARROZ PROARROZ X 50 KL</t>
  </si>
  <si>
    <t>Sal Natusal x 50 kg</t>
  </si>
  <si>
    <t>SAL NATUSAL X 50 KL</t>
  </si>
  <si>
    <t>PANELA REDONDA UNIDAD</t>
  </si>
  <si>
    <t>Armar Alimentos S.A.S.</t>
  </si>
  <si>
    <t>Blanquillo Doña Lupe x 500g</t>
  </si>
  <si>
    <t>1 BLANQUILLO DONA LUPE*500g</t>
  </si>
  <si>
    <t>2 BLANQUILLO DONA LUPE*500g</t>
  </si>
  <si>
    <t>3 BLANQUILLO DONA LUPE*500g</t>
  </si>
  <si>
    <t>4 BLANQUILLO DONA LUPE*500g</t>
  </si>
  <si>
    <t>5 BLANQUILLO DONA LUPE*500g</t>
  </si>
  <si>
    <t>Arrendamiento sede Pasoancho</t>
  </si>
  <si>
    <t>ARRENDAMIENTO</t>
  </si>
  <si>
    <t>DE - 286</t>
  </si>
  <si>
    <t>Luz Aide Garcera Sandoval</t>
  </si>
  <si>
    <t>Gabriel Andrés Ramírez Cubillos (Acuática)</t>
  </si>
  <si>
    <t>Crema de Leche 1000g</t>
  </si>
  <si>
    <t>CREMA DE LECHE 1000G</t>
  </si>
  <si>
    <t>FEPL3228276</t>
  </si>
  <si>
    <t>Productos Naturales de La Sabana S.A.S. BIC (Alquería)</t>
  </si>
  <si>
    <t>SABOR ORIGINAL INSTITUCIONAL 1100ML</t>
  </si>
  <si>
    <t>El Gran Surtidor PS S.A.S.</t>
  </si>
  <si>
    <t>Distribuidora de Carnes ET Los Monos S.A.S.</t>
  </si>
  <si>
    <t>NV204449</t>
  </si>
  <si>
    <t>Hielo Bolsa x 5 Kg Tubular</t>
  </si>
  <si>
    <t>FEFM 5787</t>
  </si>
  <si>
    <t>Jesús Alfonso Tobón López</t>
  </si>
  <si>
    <t>HABICHUELA*KL</t>
  </si>
  <si>
    <t>PEREJIL POR ATADO</t>
  </si>
  <si>
    <t>FEFM 5793</t>
  </si>
  <si>
    <t>TOMILLO</t>
  </si>
  <si>
    <t>FEFM 5807</t>
  </si>
  <si>
    <t>Apio</t>
  </si>
  <si>
    <t>APIO*KL</t>
  </si>
  <si>
    <t>Melón</t>
  </si>
  <si>
    <t>MELON*KL</t>
  </si>
  <si>
    <t>Piña Oro Miel</t>
  </si>
  <si>
    <t>PINA ORO MIEL*KL</t>
  </si>
  <si>
    <t>Mango Grueso</t>
  </si>
  <si>
    <t>MANGO GRUESO*KL</t>
  </si>
  <si>
    <t>Fresa Bandeja</t>
  </si>
  <si>
    <t>FRESA BANDEJA*UND</t>
  </si>
  <si>
    <t>Manzana Gala</t>
  </si>
  <si>
    <t>MANZANA GALA*UND</t>
  </si>
  <si>
    <t>Bloque de Hielo Media</t>
  </si>
  <si>
    <t>NV204497</t>
  </si>
  <si>
    <t>ARVEJA LA FLORESTA*500g</t>
  </si>
  <si>
    <t>PLATANO A GRANEL</t>
  </si>
  <si>
    <t>Café Lukafe 400g</t>
  </si>
  <si>
    <t>CAFE LUKAFE*400g MOLIDO INTENSO LL/ 50</t>
  </si>
  <si>
    <t>Caldo Knorr Gallina x 1500g</t>
  </si>
  <si>
    <t>1 CALDO KNORR*1500g GALLINA</t>
  </si>
  <si>
    <t>05FE89570</t>
  </si>
  <si>
    <t>NV204661</t>
  </si>
  <si>
    <t>Bolsa x 5 kg Tubular</t>
  </si>
  <si>
    <t>NV204709</t>
  </si>
  <si>
    <t>Comercializadora Global Liquors S.A.S.</t>
  </si>
  <si>
    <t>Henry Antonio Castaño Toro (Surtifruit)</t>
  </si>
  <si>
    <t>Gerson Alexander Valencia Ángel (Frío Sabor)</t>
  </si>
  <si>
    <t>Café Tostao Selecto 110g</t>
  </si>
  <si>
    <t>1.- | CAFE TOSTAO SELECTO 110G X 72 UND NI</t>
  </si>
  <si>
    <t>JM071049919</t>
  </si>
  <si>
    <t>NV204823</t>
  </si>
  <si>
    <t>FE-19601</t>
  </si>
  <si>
    <t>Tienda y Abarrotes Los Desechables Doña Mary S.A.S.</t>
  </si>
  <si>
    <t>Ají Pequeño x 40</t>
  </si>
  <si>
    <t>AJI DIFER PEQUEÑO X40</t>
  </si>
  <si>
    <t>Azúcar en Sobre x 200</t>
  </si>
  <si>
    <t>BOLSA BASURA 65 X 90</t>
  </si>
  <si>
    <t>Bolsa Basura de Colores 65x90</t>
  </si>
  <si>
    <t>BOLSA BASURA DE COLORES 65 X 90</t>
  </si>
  <si>
    <t>Bolsa Basura Industrial Gruesa 90x120</t>
  </si>
  <si>
    <t>Canela Entera 125g</t>
  </si>
  <si>
    <t>CANELA ENTERA 125 GR</t>
  </si>
  <si>
    <t>COPA TROFORMA 1/2 ONZ X 50 X 90</t>
  </si>
  <si>
    <t>Detergente Dersa Limón x 1000</t>
  </si>
  <si>
    <t>Esponja de Brillo Lince x 12</t>
  </si>
  <si>
    <t>ESPONJA DE BRILLO LINCE X 12 UND</t>
  </si>
  <si>
    <t>Humo Líquido Differ</t>
  </si>
  <si>
    <t>HUMO LIQUIDO DIFFER CJX6</t>
  </si>
  <si>
    <t>PORTACOMIDA WAU C1 X 200</t>
  </si>
  <si>
    <t>Salsa Mostaza Differ x 4000</t>
  </si>
  <si>
    <t>SALSA MOSTAZA DIFFER BOLSA KILO X 12</t>
  </si>
  <si>
    <t>Salsa Negra Differ Galón</t>
  </si>
  <si>
    <t>CONTENEDOR DARNEL 16 ONZ X20UND X20 PAQ</t>
  </si>
  <si>
    <t>Vinagre Differ Galón 3000</t>
  </si>
  <si>
    <t>Servilleta Plus Natural Tork</t>
  </si>
  <si>
    <t>SERVILLETA PLUS NATURAL PQTX150UND CJX36 TORK</t>
  </si>
  <si>
    <t>LIMPIDO CUÑETE TAKTAX X19000</t>
  </si>
  <si>
    <t>COPA 2ONZ TTE X 100 X25</t>
  </si>
  <si>
    <t>Toalla Mano Z Familia</t>
  </si>
  <si>
    <t>TOALLA DE MANO Z FAMILIA NATURAL 150 X 24</t>
  </si>
  <si>
    <t>TARRINA 14 ONZ X 25UND X 20PQ PRODUCT</t>
  </si>
  <si>
    <t>Tapa Copa 2.0 oz Domingo</t>
  </si>
  <si>
    <t>TAPA COPA 2ONZ DOMINGO X100 X25</t>
  </si>
  <si>
    <t>GUANTE NITRILO NEGRO M X 100UDS MEGA</t>
  </si>
  <si>
    <t>TOALLA MANO Z NATURAL GARDEN 24X150H</t>
  </si>
  <si>
    <t>Vaso Vacan 9 oz</t>
  </si>
  <si>
    <t>VASO VACAN 9 OZ X 50UND X 40PQ</t>
  </si>
  <si>
    <t>Salsa Tomate Sobre Zafrán x120</t>
  </si>
  <si>
    <t>SALSA TOMATE SOBRE ZAFRAN X120 CJ X7</t>
  </si>
  <si>
    <t>Papel Higiénico Xtra 250m</t>
  </si>
  <si>
    <t>PAPEL HIGIENICO XTRA1 X250MTS NAT X 4</t>
  </si>
  <si>
    <t>Servilleta Xpressnap Tork</t>
  </si>
  <si>
    <t>SERVILLETA XPRESSNAP PX500 CJX12 TORK</t>
  </si>
  <si>
    <t>Pitillo Forrado Bio 25cm</t>
  </si>
  <si>
    <t>PITILLO FORRADO BIO 25cm X 500 HOUSE</t>
  </si>
  <si>
    <t>FE-19602</t>
  </si>
  <si>
    <t>Ambientador Lavanda x 3800</t>
  </si>
  <si>
    <t>Harina de Trigo x 25</t>
  </si>
  <si>
    <t>Humo Líquido x 3000</t>
  </si>
  <si>
    <t>HUMO LIQUIDO X3000 DIFFER CJX6</t>
  </si>
  <si>
    <t>Salsa BBQ x 4000</t>
  </si>
  <si>
    <t>SALSA BBQ X 4000</t>
  </si>
  <si>
    <t>Salsa Mayonesa x 4000</t>
  </si>
  <si>
    <t>Trapero Industrial</t>
  </si>
  <si>
    <t>TRAPERO INDUSTRIAL</t>
  </si>
  <si>
    <t>VASOTE 3,5 TTE X50UDS CJX60PQ WAU!</t>
  </si>
  <si>
    <t>Bolsa Tina</t>
  </si>
  <si>
    <t>BOLSA TINA X 100</t>
  </si>
  <si>
    <t>Jabón Líquido Frutos Rojos x 3800</t>
  </si>
  <si>
    <t>JABON LIQ FRUTOS ROJOS X 3800 YILOP</t>
  </si>
  <si>
    <t>Cinta Impronta 24x80mm</t>
  </si>
  <si>
    <t>CINTA IMPRONTA 24X80MM</t>
  </si>
  <si>
    <t>CARNE LOS MONOS</t>
  </si>
  <si>
    <t>FACTURA</t>
  </si>
  <si>
    <t>FECHA</t>
  </si>
  <si>
    <t>TOTAL</t>
  </si>
  <si>
    <t>YP24089</t>
  </si>
  <si>
    <t>CANCELADA</t>
  </si>
  <si>
    <t>CANCELADO</t>
  </si>
  <si>
    <t>SIN CANCELAR</t>
  </si>
  <si>
    <t>AUDITORÍA Y CONCILIACIÓN INTEGRAL: CUADERNO DE CONTROL DON ARTURO (PÁG. 159 Y 160) VS EXCEL</t>
  </si>
  <si>
    <t>Conciliación 100% de 75 Registros Manuscritos ($102.406.519) + Inventario Inicial ($12.243.950) vs Costeo General Detalle Compras</t>
  </si>
  <si>
    <t>TOTAL CUADERNO PÁG. 159</t>
  </si>
  <si>
    <t>TOTAL CUADERNO PÁG. 160</t>
  </si>
  <si>
    <t>TOTAL CUADERNO GENERAL</t>
  </si>
  <si>
    <t>TOTAL COSTEO GENERAL EXCEL</t>
  </si>
  <si>
    <t>ESTADO AUDITORÍA</t>
  </si>
  <si>
    <t>100% CONCILIADO</t>
  </si>
  <si>
    <t>40 registros (Días 11 y 15)</t>
  </si>
  <si>
    <t>35 registros (Días 15, 16 y 21)</t>
  </si>
  <si>
    <t>Encabezado Pág. 159 Don Arturo</t>
  </si>
  <si>
    <t>75 Registros + Inv. Inicial</t>
  </si>
  <si>
    <t>Todas las compras y gastos causados</t>
  </si>
  <si>
    <t>58 ítems cruzados / ajustados</t>
  </si>
  <si>
    <t>1. MATRIZ DE CONCILIACIÓN LÍNEA POR LÍNEA: LOS 58 REGISTROS DEL CUADERNO DE DON ARTURO EN EXCEL</t>
  </si>
  <si>
    <t>#</t>
  </si>
  <si>
    <t>Pág.</t>
  </si>
  <si>
    <t>Línea</t>
  </si>
  <si>
    <t>Concepto en Cuaderno Don Arturo</t>
  </si>
  <si>
    <t>Valor Cuaderno ($)</t>
  </si>
  <si>
    <t>Estado Conciliación</t>
  </si>
  <si>
    <t>Valor en Excel ($)</t>
  </si>
  <si>
    <t>Diferencia ($)</t>
  </si>
  <si>
    <t>Fila(s) Excel</t>
  </si>
  <si>
    <t>Nº Comprobante / Soporte</t>
  </si>
  <si>
    <t>Observaciones y Dictamen de Auditoría</t>
  </si>
  <si>
    <t>159</t>
  </si>
  <si>
    <t>Pago Arrendamiento</t>
  </si>
  <si>
    <t>COINCIDE EXACTO</t>
  </si>
  <si>
    <t>Fila 319</t>
  </si>
  <si>
    <t>Recibo Caja Menor Taydem - Arrendamiento Ayde Guevara. Coincidencia plena.</t>
  </si>
  <si>
    <t>dos cajas costilla</t>
  </si>
  <si>
    <t>INGRESADO MANUAL (CUADERNO)</t>
  </si>
  <si>
    <t>Fila 333</t>
  </si>
  <si>
    <t>2 cajas costilla de cerdo compradas día 11 según cuaderno Don Arturo.</t>
  </si>
  <si>
    <t>Fila 321</t>
  </si>
  <si>
    <t>Factura de carnes ET Los Monos acumulada registrada según control cuaderno.</t>
  </si>
  <si>
    <t>COINCIDE FACTURA OFICIAL</t>
  </si>
  <si>
    <t>Fila 322</t>
  </si>
  <si>
    <t>Pago quincena servicios temporales personal GIT Organizacional (Factura FELE11955).</t>
  </si>
  <si>
    <t>Fila 323</t>
  </si>
  <si>
    <t>Verduras Jesús Tobón (Chucho) acumuladas registradas según cuaderno Don Arturo.</t>
  </si>
  <si>
    <t>Pulpas frutas</t>
  </si>
  <si>
    <t>Filas 142-146</t>
  </si>
  <si>
    <t>RCM-05-Sep</t>
  </si>
  <si>
    <t>Compra de pulpas de frutas surtidas registrada en día 5.</t>
  </si>
  <si>
    <t>Panales de Huevo</t>
  </si>
  <si>
    <t>Fila 221</t>
  </si>
  <si>
    <t>RCM-08-Sep</t>
  </si>
  <si>
    <t>Compra de panales de huevos registrada en día 8.</t>
  </si>
  <si>
    <t>LEGALIZADO FACTURA REAL</t>
  </si>
  <si>
    <t>Fila 173</t>
  </si>
  <si>
    <t>RCM-06-Sep</t>
  </si>
  <si>
    <t>Factura real soportada por $204.000 (diferencia de -$4.000 vs anotación estimada).</t>
  </si>
  <si>
    <t>Fila 332</t>
  </si>
  <si>
    <t>Segunda compra de aguacates registrada el día 11 en el cuaderno Don Arturo.</t>
  </si>
  <si>
    <t>Gallinas 02.09</t>
  </si>
  <si>
    <t>Fila 191</t>
  </si>
  <si>
    <t>Compra de gallinas semana día 7 registrada con exactitud.</t>
  </si>
  <si>
    <t>Panales de Huevos</t>
  </si>
  <si>
    <t>Fila 80</t>
  </si>
  <si>
    <t>RCM-03-Sep</t>
  </si>
  <si>
    <t>Compra de panales de huevos día 3.</t>
  </si>
  <si>
    <t>Filas 92-93</t>
  </si>
  <si>
    <t>Compra de chorizos día 3 registrada en detalle de compras.</t>
  </si>
  <si>
    <t>Aceite galon</t>
  </si>
  <si>
    <t>Fila 88</t>
  </si>
  <si>
    <t>Compra galón de aceite día 3.</t>
  </si>
  <si>
    <t>Pechugas de Pollo</t>
  </si>
  <si>
    <t>Fila 120</t>
  </si>
  <si>
    <t>RCM-04-Sep</t>
  </si>
  <si>
    <t>Pechugas de pollo día 4.</t>
  </si>
  <si>
    <t>Lentejas</t>
  </si>
  <si>
    <t>Fila 125</t>
  </si>
  <si>
    <t>Compra de lentejas día 4.</t>
  </si>
  <si>
    <t>Fila 324</t>
  </si>
  <si>
    <t>Costilla ahumada día 11 según control cuaderno Don Arturo.</t>
  </si>
  <si>
    <t>Fila 91</t>
  </si>
  <si>
    <t>Compra en Granero Piamonte día 3.</t>
  </si>
  <si>
    <t>Fila 325</t>
  </si>
  <si>
    <t>Segunda compra de costilla ahumada día 11 según cuaderno Don Arturo.</t>
  </si>
  <si>
    <t>Fila 326</t>
  </si>
  <si>
    <t>Compra de mariscos día 11 según cuaderno Don Arturo.</t>
  </si>
  <si>
    <t>1/2 chocolate</t>
  </si>
  <si>
    <t>Fila 297</t>
  </si>
  <si>
    <t>RCM-10-Sep</t>
  </si>
  <si>
    <t>Compra 1/2 chocolate día 10.</t>
  </si>
  <si>
    <t>Galeria para tamal</t>
  </si>
  <si>
    <t>Filas 310-316</t>
  </si>
  <si>
    <t>Compras galería para tamales día 10 registradas en detalle.</t>
  </si>
  <si>
    <t>Gallinas semana 09</t>
  </si>
  <si>
    <t>Fila 287</t>
  </si>
  <si>
    <t>Compra de gallinas semana 9 registrada en día 9.</t>
  </si>
  <si>
    <t>Turnos Marlene</t>
  </si>
  <si>
    <t>Fila 308</t>
  </si>
  <si>
    <t>Pago turno Marlene cocina/salón día 10.</t>
  </si>
  <si>
    <t>Antonio transporte</t>
  </si>
  <si>
    <t>Fila 307</t>
  </si>
  <si>
    <t>Transporte Antonio gestión día 10.</t>
  </si>
  <si>
    <t>Fila 327</t>
  </si>
  <si>
    <t>Transporte Danilo día 11 según cuaderno Don Arturo.</t>
  </si>
  <si>
    <t>Harina de trigo</t>
  </si>
  <si>
    <t>Fila 318</t>
  </si>
  <si>
    <t>Compra harina de trigo día 10.</t>
  </si>
  <si>
    <t>Fila 317</t>
  </si>
  <si>
    <t>Transporte operativo día 10.</t>
  </si>
  <si>
    <t>filete de Pollo</t>
  </si>
  <si>
    <t>Fila 9</t>
  </si>
  <si>
    <t>Factura</t>
  </si>
  <si>
    <t>Filete de pollo día 1.</t>
  </si>
  <si>
    <t>Fila 123</t>
  </si>
  <si>
    <t>Filete de pollo día 4.</t>
  </si>
  <si>
    <t>Fila 42</t>
  </si>
  <si>
    <t>Filete de pollo día 2.</t>
  </si>
  <si>
    <t>Fila 328</t>
  </si>
  <si>
    <t>Honorarios contadora pública día 11 según cuaderno Don Arturo.</t>
  </si>
  <si>
    <t>Fila 329</t>
  </si>
  <si>
    <t>Compra víveres Granero Piamonte día 11 según cuaderno.</t>
  </si>
  <si>
    <t>leche alqueria</t>
  </si>
  <si>
    <t>DIFERENCIA FACTURA REAL</t>
  </si>
  <si>
    <t>Fila 35</t>
  </si>
  <si>
    <t>FEPL3162628</t>
  </si>
  <si>
    <t>Factura electrónica Alquería con IVA $438.415 (diferencia de -$8.615).</t>
  </si>
  <si>
    <t>Televisor Alkosto</t>
  </si>
  <si>
    <t>Filas 189-190</t>
  </si>
  <si>
    <t>Alkosto</t>
  </si>
  <si>
    <t>Compra e instalación televisor Alkosto día 7.</t>
  </si>
  <si>
    <t>Fila 330</t>
  </si>
  <si>
    <t>Pintura para mantenimiento mesas día 11 según cuaderno.</t>
  </si>
  <si>
    <t>Cuchillos y Cucharas</t>
  </si>
  <si>
    <t>Fila 331</t>
  </si>
  <si>
    <t>Menaje cuchillos y cucharas día 11 según cuaderno.</t>
  </si>
  <si>
    <t>Gas del negocio</t>
  </si>
  <si>
    <t>FACTURA OFICIAL REGISTRADA</t>
  </si>
  <si>
    <t>Fila 570</t>
  </si>
  <si>
    <t>Fac 553610</t>
  </si>
  <si>
    <t>Factura oficial Gases de Occidente (Consumo $4.514.689 + Cargo $3.378 + Contrib $402.108). Diferencia -$9.975.</t>
  </si>
  <si>
    <t>Pinturas Home Center</t>
  </si>
  <si>
    <t>NUEVO REGISTRO AGREGADO</t>
  </si>
  <si>
    <t>Fila 715</t>
  </si>
  <si>
    <t>Cuaderno P159</t>
  </si>
  <si>
    <t>Pintura mantenimiento mesas y sede comprada en Homecenter agregada a Detalle Compras.</t>
  </si>
  <si>
    <t>Internet (Agosto)</t>
  </si>
  <si>
    <t>Fila 716</t>
  </si>
  <si>
    <t>Pago servicio de internet mes de agosto para la sede agregado a Detalle Compras.</t>
  </si>
  <si>
    <t>Poliza Seguro Local</t>
  </si>
  <si>
    <t>PAGADO BANCO / REGISTRADO</t>
  </si>
  <si>
    <t>Fila 569</t>
  </si>
  <si>
    <t>Davivienda 1483234</t>
  </si>
  <si>
    <t>Póliza Finanseguros cuota crédito debitada en cuenta Davivienda. Diferencia -$2.952.</t>
  </si>
  <si>
    <t>160</t>
  </si>
  <si>
    <t>Taxis Antonio</t>
  </si>
  <si>
    <t>Fila 717</t>
  </si>
  <si>
    <t>Cuaderno P160</t>
  </si>
  <si>
    <t>Transporte taxis para diligencias y trámites administrativos Antonio Díaz.</t>
  </si>
  <si>
    <t>Quincena Eliana</t>
  </si>
  <si>
    <t>COINCIDE FACTURA/RECIBO</t>
  </si>
  <si>
    <t>Fila 492</t>
  </si>
  <si>
    <t>Abono quincena Eliana Murillo Hincapie (saldo pendiente $345.000).</t>
  </si>
  <si>
    <t>COINCIDE FACTURA AGRUPADA</t>
  </si>
  <si>
    <t>Filas 464-467</t>
  </si>
  <si>
    <t>Factura electrónica DP-4855 Granero Piamonte ($762.000 + $160.000 + $172.000 + $36.000).</t>
  </si>
  <si>
    <t>Fabian lomo de cerdo</t>
  </si>
  <si>
    <t>Fila 485</t>
  </si>
  <si>
    <t>Factura electrónica FEBF-36 Fabián Bonilla (18.25 kg x $19.500 = $355.875). Diferencia +$25.</t>
  </si>
  <si>
    <t>Fila 245</t>
  </si>
  <si>
    <t>FEBF-34</t>
  </si>
  <si>
    <t>Factura electrónica FEBF-34 Fabián Bonilla (13.60 kg x $19.500 = $265.200). Coincidencia exacta.</t>
  </si>
  <si>
    <t>Carnicos Valencia N 933</t>
  </si>
  <si>
    <t>Fila 487</t>
  </si>
  <si>
    <t>Fac 933</t>
  </si>
  <si>
    <t>Factura electrónica 933 Cárnicos Valencia (17.10 kg filete x $18.500 = $316.350).</t>
  </si>
  <si>
    <t>Carnicos Valencia N 920</t>
  </si>
  <si>
    <t>COINCIDE FACTURA/REMISIÓN</t>
  </si>
  <si>
    <t>Fila 244</t>
  </si>
  <si>
    <t>Remisión 08-Sep</t>
  </si>
  <si>
    <t>Remisión 08-09-2026 / Factura DIAN 925 ítem 2 (14.10 kg filete x $18.500 = $260.850).</t>
  </si>
  <si>
    <t>Carnicos Valencia N 926</t>
  </si>
  <si>
    <t>NUEVO FACTURA DIAN AGREGADA</t>
  </si>
  <si>
    <t>Filas 718-719</t>
  </si>
  <si>
    <t>Fac 926 DIAN</t>
  </si>
  <si>
    <t>Factura DIAN 926 Alexis Valencia: Pernil $325.500 (43.4 kg) + Filete $251.600 (13.6 kg) = $577.100.</t>
  </si>
  <si>
    <t>Carnicos Valencia 927</t>
  </si>
  <si>
    <t>Fila 334</t>
  </si>
  <si>
    <t>Fac 927 / Remisión</t>
  </si>
  <si>
    <t>Remisión 10-Sep / Factura DIAN 927 Cárnicos Valencia (35.40 kg pernil x $18.500 = $654.750).</t>
  </si>
  <si>
    <t>Carnicos Valencia 932</t>
  </si>
  <si>
    <t>Fila 488</t>
  </si>
  <si>
    <t>Fac 932</t>
  </si>
  <si>
    <t>Factura electrónica 932 Cárnicos Valencia (28.30 kg filete x $18.500 = $523.550).</t>
  </si>
  <si>
    <t>Carnicos Valencia 925</t>
  </si>
  <si>
    <t>Fila 720</t>
  </si>
  <si>
    <t>Fac 925 DIAN</t>
  </si>
  <si>
    <t>Factura DIAN 925 ítem 1 Pernil 14.9 kg x $7.500 = $111.750. (Nota: en cuaderno se escribió $1.117.500 con un cero de más).</t>
  </si>
  <si>
    <t>Telefono del negocio</t>
  </si>
  <si>
    <t>Fila 571</t>
  </si>
  <si>
    <t>Fac 10892179</t>
  </si>
  <si>
    <t>Factura EMCALI (Telefonía $14.539 + Internet $91.641 = $106.180). Diferencia +$20.</t>
  </si>
  <si>
    <t>Fila 721</t>
  </si>
  <si>
    <t>Vale Don Arturo para pago de servicio de internet en su casa.</t>
  </si>
  <si>
    <t>5 Galones Aceite</t>
  </si>
  <si>
    <t>Factura L1S113066: 5 galones de aceite de soya x $22.990 = $114.950.</t>
  </si>
  <si>
    <t>Fila 722</t>
  </si>
  <si>
    <t>Compra de gallinas para el negocio registrada el día 16.</t>
  </si>
  <si>
    <t>Saldo factura 1/4 Frio (Nequi)</t>
  </si>
  <si>
    <t>ABONO NEQUI A CUENTA COBRO</t>
  </si>
  <si>
    <t>Fila 486 (Abono)</t>
  </si>
  <si>
    <t>Nequi / Fila 486</t>
  </si>
  <si>
    <t>Abono Nequi de $1.000.000 al saldo del contrato/cuenta de cobro de Cuarto Frío Eliana Murillo ($3.400.000).</t>
  </si>
  <si>
    <t>Fila 723</t>
  </si>
  <si>
    <t>Insumos varios Factura Albeiro registrados el día 16.</t>
  </si>
  <si>
    <t>Nomina choclo</t>
  </si>
  <si>
    <t>COINCIDE FACTURA/TRANSFERENCIA</t>
  </si>
  <si>
    <t>Filas 575-578</t>
  </si>
  <si>
    <t>4 transferencias BBVA quincena 1 Choclos: Jacqueline ($897k), Juan David ($892k), Enith ($897k), Mary Luz ($1.615M). Diferencia -$2.</t>
  </si>
  <si>
    <t>Abono pintura Mesas</t>
  </si>
  <si>
    <t>NUEVO REGISTRO CUADERNO</t>
  </si>
  <si>
    <t>Cuaderno P160 L19</t>
  </si>
  <si>
    <t>Abono Pintura</t>
  </si>
  <si>
    <t>Abono para pintura de mesas día 21.</t>
  </si>
  <si>
    <t>Cuaderno P160 L20</t>
  </si>
  <si>
    <t>Panales Huevos</t>
  </si>
  <si>
    <t>Compra de panales de huevo día 21.</t>
  </si>
  <si>
    <t>Quincena Antonio</t>
  </si>
  <si>
    <t>Cuaderno P160 L21</t>
  </si>
  <si>
    <t>Nómina Antonio</t>
  </si>
  <si>
    <t>Pago de quincena a Antonio día 21.</t>
  </si>
  <si>
    <t>Quincena Sr Enrique</t>
  </si>
  <si>
    <t>Cuaderno P160 L22</t>
  </si>
  <si>
    <t>Nómina Sr Enrique</t>
  </si>
  <si>
    <t>Pago de quincena a Sr. Enrique día 21.</t>
  </si>
  <si>
    <t>Vale Angie</t>
  </si>
  <si>
    <t>Cuaderno P160 L23</t>
  </si>
  <si>
    <t>Anticipo/vale a Angie día 21.</t>
  </si>
  <si>
    <t>Cuaderno P160 L24</t>
  </si>
  <si>
    <t>Compra de chorizos día 21.</t>
  </si>
  <si>
    <t>Leche Condensada</t>
  </si>
  <si>
    <t>Cuaderno P160 L25</t>
  </si>
  <si>
    <t>Compra de leche condensada día 21.</t>
  </si>
  <si>
    <t>Nolberto frijol. 27 08 2026</t>
  </si>
  <si>
    <t>Cuaderno P160 L26</t>
  </si>
  <si>
    <t>Frijol Nolberto</t>
  </si>
  <si>
    <t>Pago de frijol compra 27/08/2026.</t>
  </si>
  <si>
    <t>Nolberto frijol. 16 09 2026</t>
  </si>
  <si>
    <t>Cuaderno P160 L27</t>
  </si>
  <si>
    <t>Pago de frijol compra 16/09/2026.</t>
  </si>
  <si>
    <t>Pernil a granel</t>
  </si>
  <si>
    <t>Cuaderno P160 L28</t>
  </si>
  <si>
    <t>Compra de pernil de pollo a granel día 21.</t>
  </si>
  <si>
    <t>Cuaderno P160 L29</t>
  </si>
  <si>
    <t>Abono/compra granero Piamonte día 21.</t>
  </si>
  <si>
    <t>Armar. Costilla ahumada</t>
  </si>
  <si>
    <t>Factura FE1-49890</t>
  </si>
  <si>
    <t>Armar Alimentos</t>
  </si>
  <si>
    <t>Pago factura costilla ahumada Armar Alimentos.</t>
  </si>
  <si>
    <t>Frio Sabor</t>
  </si>
  <si>
    <t>Factura FVE 133</t>
  </si>
  <si>
    <t>Frío Sabor</t>
  </si>
  <si>
    <t>Pago factura FVE 133 (.775 redondeado a .000).</t>
  </si>
  <si>
    <t>COINCIDE FACTURA OFICIAL (FVE 134)</t>
  </si>
  <si>
    <t>Factura FVE 134 ($744.421) vs Cuaderno ($744.450) - Diferencia $29</t>
  </si>
  <si>
    <t>Pago Frío Sabor según anotación día 21.</t>
  </si>
  <si>
    <t>Verduras Los Monos</t>
  </si>
  <si>
    <t>Cuaderno P160 L33</t>
  </si>
  <si>
    <t>Los Monos Fruver</t>
  </si>
  <si>
    <t>Pago verduras y fruver Distribuidora Los Monos día 21.</t>
  </si>
  <si>
    <t>Arrendamiento Local</t>
  </si>
  <si>
    <t>Cuaderno P160 L34</t>
  </si>
  <si>
    <t>Arriendo Local</t>
  </si>
  <si>
    <t>Abono/pago arrendamiento local día 21.</t>
  </si>
  <si>
    <t>Carnes Los Monos</t>
  </si>
  <si>
    <t>COINCIDE FACTURAS OFICIALES</t>
  </si>
  <si>
    <t>Facs MY8683, YP24314, YP24413, MY8828</t>
  </si>
  <si>
    <t>Cancelación facturas carne Los Monos (.337.132 vs .337.150).</t>
  </si>
  <si>
    <t>SUBTOTAL PÁG. 159 (40 REGISTROS)</t>
  </si>
  <si>
    <t>40 REGISTROS AUDITADOS</t>
  </si>
  <si>
    <t>SUBTOTAL PÁG. 160 (35 REGISTROS)</t>
  </si>
  <si>
    <t>35 REGISTROS AUDITADOS</t>
  </si>
  <si>
    <t>TOTAL 75 REGISTROS CUADERNO DON ARTURO</t>
  </si>
  <si>
    <t>100% REGISTRADO EN EXCEL</t>
  </si>
  <si>
    <t>2. RESUMEN FINANCIERO Y CUADRATURA CONSOLIDADA: CUADERNO VS COSTEO GENERAL</t>
  </si>
  <si>
    <t>Concepto de Conciliación</t>
  </si>
  <si>
    <t>Naturaleza / Impacto</t>
  </si>
  <si>
    <t>Total Cuaderno Don Arturo (75 ítems manuscritos)</t>
  </si>
  <si>
    <t>Control Manuscrito</t>
  </si>
  <si>
    <t>(+) Inventario Inicial Manuscrito</t>
  </si>
  <si>
    <t>Encabezado Pág. 159</t>
  </si>
  <si>
    <t>(=) TOTAL CUADERNO DON ARTURO CONSOLIDADO</t>
  </si>
  <si>
    <t>Total Control Don Arturo</t>
  </si>
  <si>
    <t>Total Costeo General en Excel (Detalle Compras)</t>
  </si>
  <si>
    <t>Costo/Gasto General</t>
  </si>
  <si>
    <t>Cruce Cuaderno</t>
  </si>
  <si>
    <t>(=) DIFERENCIA: GASTOS EN EXCEL QUE NO ESTÁN EN EL CUADERNO</t>
  </si>
  <si>
    <t>Gastos Directos / Facturas</t>
  </si>
  <si>
    <t>3. ANÁLISIS BILATERAL: COMPRAS Y GASTOS EN EXCEL QUE NO ESTÁN EN EL CUADERNO DE DON ARTURO</t>
  </si>
  <si>
    <t>Categoría de Costo / Gasto</t>
  </si>
  <si>
    <t>Nº Ítems</t>
  </si>
  <si>
    <t>Total en Excel ($)</t>
  </si>
  <si>
    <t>Principales Proveedores / Conceptos Oficiales</t>
  </si>
  <si>
    <t>Causa por la que NO está en el Cuaderno</t>
  </si>
  <si>
    <t>ET Los Monos crédito, Distribuidora M y C, El Gran Surtidor, Alejandro Ramírez (Pescados)</t>
  </si>
  <si>
    <t>Facturas electrónicas DIAN a crédito y transferencias bancarias de carnicería.</t>
  </si>
  <si>
    <t>Nómina y Talento Humano</t>
  </si>
  <si>
    <t>GIT Organizacional (Servicios temporales quincena 1), Turnos adicionales Marleny/Andrés/Sebastián</t>
  </si>
  <si>
    <t>Nómina tercerizada canalizada por factura formal y turnos diarios pagados de caja menor.</t>
  </si>
  <si>
    <t>Verduras y Fruver</t>
  </si>
  <si>
    <t>Jesús Tobón (Fruver facturación semanal agrupada), Compras mercado galería</t>
  </si>
  <si>
    <t>Remisiones y facturas electrónicas semanales del proveedor de verduras.</t>
  </si>
  <si>
    <t>EMCALI Acueducto y Energía, Claro Telefonía Móvil</t>
  </si>
  <si>
    <t>Servicios causados por factura electrónica institucional.</t>
  </si>
  <si>
    <t>Coca-Cola FEMSA, Postobón, Hielo El Nevado, Cervecería</t>
  </si>
  <si>
    <t>Facturación electrónica directa de distribuidores de bebidas y recibos de hielo.</t>
  </si>
  <si>
    <t>Makro, Distribuidoras de desechables, Plásticos y empaques</t>
  </si>
  <si>
    <t>Compras al por mayor con factura electrónica para abastecimiento de empaques.</t>
  </si>
  <si>
    <t>Servicios Operativos</t>
  </si>
  <si>
    <t>Dataico (Software facturación), Taxis Acopi, Servicios de recolección y limpieza</t>
  </si>
  <si>
    <t>Gastos operativos menores causados con recibos de caja menor.</t>
  </si>
  <si>
    <t>Eliana Murillo (Saldo Cuarto Frío), Ferreterías, Materiales soldadura y eléctricos</t>
  </si>
  <si>
    <t>Contrato formal de mantenimiento y compras de ferretería con soporte.</t>
  </si>
  <si>
    <t>Grano y Abarrotes</t>
  </si>
  <si>
    <t>Granero Piamonte facturas adicionales, Distribuidora San Alejo, Harinas y granos</t>
  </si>
  <si>
    <t>Compras de granero con facturación electrónica adicional a las del cuaderno.</t>
  </si>
  <si>
    <t>Health Care IPS (Exámenes de ingreso), Asesorías jurídicas, Papelería</t>
  </si>
  <si>
    <t>Facturación institucional corporativa.</t>
  </si>
  <si>
    <t>Gastos Generales y Varios</t>
  </si>
  <si>
    <t>Incentivos de personal, Compras menores de emergencia en sede</t>
  </si>
  <si>
    <t>Recibos de caja menor directos del punto de venta.</t>
  </si>
  <si>
    <t>Insumos de Cocina</t>
  </si>
  <si>
    <t>Alquería (Lácteos y cremas adicionales), Especias, Insumos panadería</t>
  </si>
  <si>
    <t>Facturación electrónica Alquería e insumos de cocina.</t>
  </si>
  <si>
    <t>Taxis Acopi, Envíos y acarreos de mercancía sede</t>
  </si>
  <si>
    <t>Recibos de transporte menor del personal de servicio.</t>
  </si>
  <si>
    <t>Aseo y Limpieza</t>
  </si>
  <si>
    <t>Detergentes y desinfectantes sede</t>
  </si>
  <si>
    <t>Compras menores de aseo.</t>
  </si>
  <si>
    <t>TOTAL COMPRAS EN EXCEL NO PRESENTES EN CUADERNO</t>
  </si>
  <si>
    <t>Totalizado por Facturación Electrónica DIAN + Caja Menor</t>
  </si>
  <si>
    <t>Todas las partidas cuentan con comprobante oficial en archivo.</t>
  </si>
  <si>
    <t>AUDITORÍA INTEGRAL: LIBRO DIARIO DE CAJA (07 AL 11 DE SEPTIEMBRE 2026) VS EXCEL</t>
  </si>
  <si>
    <t>Conciliación de 8 Cierres de Caja Diarios (Domicilios y Barra) | Trazabilidad de Egresos vs Facturas Oficiales en Excel | Validación de Turnos y Medios de Pago</t>
  </si>
  <si>
    <t>TOTAL INGRESOS CAJA (8 CIERRES)</t>
  </si>
  <si>
    <t>EGRESOS CRUZADOS EN EXCEL</t>
  </si>
  <si>
    <t>TURNOS PAGADOS EN EFECTIVO</t>
  </si>
  <si>
    <t>GASTOS MENORES SIN FACTURA</t>
  </si>
  <si>
    <t>ÍTEMS AUDITADOS Y CONCILIADOS</t>
  </si>
  <si>
    <t>Ventas brutas Efectivo, Datáfono y Nequi</t>
  </si>
  <si>
    <t>Gastos de caja legalizados con factura oficial</t>
  </si>
  <si>
    <t>Mano de obra operativa pagada en caja</t>
  </si>
  <si>
    <t>Insumos de plaza, taxis y ferretería menor</t>
  </si>
  <si>
    <t>100% de los registros del PDF analizados</t>
  </si>
  <si>
    <t>1. MATRIZ CONSOLIDADA: TODOS LOS EGRESOS DEL LIBRO DE CAJA (PDF) CRUZADOS CON EL EXCEL</t>
  </si>
  <si>
    <t>Pág / Fecha</t>
  </si>
  <si>
    <t>Caja / Responsable</t>
  </si>
  <si>
    <t>Ítem Manuscrito en Caja</t>
  </si>
  <si>
    <t>Valor Caja ($)</t>
  </si>
  <si>
    <t>Categoría de Caja</t>
  </si>
  <si>
    <t>Estado en Excel</t>
  </si>
  <si>
    <t>Fila Excel</t>
  </si>
  <si>
    <t>Soporte / Comprobante en Excel</t>
  </si>
  <si>
    <t>Valor Excel ($)</t>
  </si>
  <si>
    <t>Diagnóstico y Hallazgo de Auditoría</t>
  </si>
  <si>
    <t>Pág. 1 (07/09)</t>
  </si>
  <si>
    <t>Domicilios (Carolina)</t>
  </si>
  <si>
    <t>Broca</t>
  </si>
  <si>
    <t>NO REGISTRADO</t>
  </si>
  <si>
    <t>Sin factura en Excel</t>
  </si>
  <si>
    <t>Herramienta menor para mantenimiento de sede (gasto de caja menor).</t>
  </si>
  <si>
    <t>Coco / Limonada</t>
  </si>
  <si>
    <t>Alimentos / Bebidas</t>
  </si>
  <si>
    <t>Compra en plaza/frutería local sin soporte formal.</t>
  </si>
  <si>
    <t>Nómina Operativa</t>
  </si>
  <si>
    <t>NÓMINA EFECTIVO</t>
  </si>
  <si>
    <t>Pago operativo directo</t>
  </si>
  <si>
    <t>Turno pagado en efectivo de caja. No aplica en compras de insumos.</t>
  </si>
  <si>
    <t>Credito Jhonatan</t>
  </si>
  <si>
    <t>Préstamo Empleado</t>
  </si>
  <si>
    <t>VALE DE CAJA</t>
  </si>
  <si>
    <t>Anticipo de caja menor</t>
  </si>
  <si>
    <t>Préstamo/vale de caja interno de empleado.</t>
  </si>
  <si>
    <t>Transporte Carolina</t>
  </si>
  <si>
    <t>Transporte por diligencia administrativa (caso Daniela).</t>
  </si>
  <si>
    <t>Devolución Señor Arturo</t>
  </si>
  <si>
    <t>Devolución Saldo</t>
  </si>
  <si>
    <t>Salida de caja menor por reintegro/devolución.</t>
  </si>
  <si>
    <t>Pág. 2 (08/09)</t>
  </si>
  <si>
    <t>Principal (Johanna)</t>
  </si>
  <si>
    <t>Wilson (Lunes y Martes)</t>
  </si>
  <si>
    <t>Dos turnos operativos ($66.000 x 2) cancelados en efectivo.</t>
  </si>
  <si>
    <t>Andres</t>
  </si>
  <si>
    <t>Turno operativo cancelado en efectivo de caja.</t>
  </si>
  <si>
    <t>Hielo Principal (Johanna)</t>
  </si>
  <si>
    <t>Insumos Operativos</t>
  </si>
  <si>
    <t>CONCILIADO EXACTO</t>
  </si>
  <si>
    <t>Fila 186 / 219</t>
  </si>
  <si>
    <t>Hielo El Nevado SF45023 / SF45044</t>
  </si>
  <si>
    <t>Coincide exactamente con la remisión oficial de Hielo El Nevado ($10.000).</t>
  </si>
  <si>
    <t>Acopi Principal (Johanna)</t>
  </si>
  <si>
    <t>Gastos Operativos</t>
  </si>
  <si>
    <t>Fila 188</t>
  </si>
  <si>
    <t>RCM-07-Sep-2026 (Acopi Almuerzo German)</t>
  </si>
  <si>
    <t>Coincide exactamente con el Recibo de Caja Menor por almuerzos Acopi.</t>
  </si>
  <si>
    <t>Sistema de Higiene</t>
  </si>
  <si>
    <t>Insumos de desinfección y bioseguridad pagados en caja menor.</t>
  </si>
  <si>
    <t>RELACIONADO</t>
  </si>
  <si>
    <t>Fila 210</t>
  </si>
  <si>
    <t>REM-A 0672 Fruver Los Monos ($85.400)</t>
  </si>
  <si>
    <t>Plátano verde en fruver (en Excel registrado en remisión por $85.400).</t>
  </si>
  <si>
    <t>Leche de coco Principal (Johanna)</t>
  </si>
  <si>
    <t>Insumos Cocina</t>
  </si>
  <si>
    <t>Fila 215</t>
  </si>
  <si>
    <t>RCM-08-09-26 (7 lts Leche Coco)</t>
  </si>
  <si>
    <t>¡COINCIDENCIA EXACTA AL 100%! Recibo Caja Menor por 7 litros de leche de coco.</t>
  </si>
  <si>
    <t>Cinta</t>
  </si>
  <si>
    <t>Cinta Principal (Johanna)</t>
  </si>
  <si>
    <t>Empaques / Suministros</t>
  </si>
  <si>
    <t>Fila 224</t>
  </si>
  <si>
    <t>RCM-08-09-26 (Cinta Antiadherente)</t>
  </si>
  <si>
    <t>¡COINCIDENCIA EXACTA AL 100%! Recibo Caja Menor cinta antiadherente.</t>
  </si>
  <si>
    <t>Platano</t>
  </si>
  <si>
    <t>Fila 209</t>
  </si>
  <si>
    <t>REM-A 0672 Fruver Los Monos ($74.200)</t>
  </si>
  <si>
    <t>Plátano maduro en fruver Los Monos (en Excel remisión por $74.200).</t>
  </si>
  <si>
    <t>10 Portacazuelas</t>
  </si>
  <si>
    <t>Menaje y Vajilla</t>
  </si>
  <si>
    <t>Adquisición de portacazuelas para servicio del restaurante.</t>
  </si>
  <si>
    <t>Verduras y Tubérculos</t>
  </si>
  <si>
    <t>Compra directa en galería/plaza pagada desde caja menor.</t>
  </si>
  <si>
    <t>Pitaya</t>
  </si>
  <si>
    <t>Pitaya Principal (Johanna)</t>
  </si>
  <si>
    <t>Frutas</t>
  </si>
  <si>
    <t>CONCILIADO AL PESO</t>
  </si>
  <si>
    <t>Fila 183</t>
  </si>
  <si>
    <t>Cañaveral 11FH128831 (Pitahaya 0.505kg)</t>
  </si>
  <si>
    <t>¡COINCIDENCIA EXACTA AL PESO ($5.555)! Factura oficial Cañaveral.</t>
  </si>
  <si>
    <t>Mortadela raices</t>
  </si>
  <si>
    <t>Mortadela raices Principal (Johanna)</t>
  </si>
  <si>
    <t>Filas 174, 178, 184</t>
  </si>
  <si>
    <t>Cañaveral 11FH128829 ($59.325+$21.200+$9.600)</t>
  </si>
  <si>
    <t>¡COINCIDENCIA EXACTA AL PESO ($90.125)! Agrupa Alas, Mortadela Rica y Raíces.</t>
  </si>
  <si>
    <t>Pezunas y espinazo</t>
  </si>
  <si>
    <t>Pezunas y espinazo Principal (Johanna)</t>
  </si>
  <si>
    <t>Filas 175, 179, 187</t>
  </si>
  <si>
    <t>La Sevillana SEV-07SEP ($29.795+$31.377+$433)</t>
  </si>
  <si>
    <t>¡COINCIDENCIA EXACTA AL PESO ($61.606,04)! Factura Agropecuaria La Sevillana.</t>
  </si>
  <si>
    <t>Alimento para la gata</t>
  </si>
  <si>
    <t>Gastos Varios</t>
  </si>
  <si>
    <t>Compra menor de concentrado.</t>
  </si>
  <si>
    <t>Radios M6</t>
  </si>
  <si>
    <t>Dotación / Equipos</t>
  </si>
  <si>
    <t>Radios de comunicación interna para operación de servicio.</t>
  </si>
  <si>
    <t>Pág. 3 (08/09)</t>
  </si>
  <si>
    <t>Domicilios (Neymar)</t>
  </si>
  <si>
    <t>Lechuga</t>
  </si>
  <si>
    <t>Compra menor de lechuga para domicilios.</t>
  </si>
  <si>
    <t>Taxi compresor</t>
  </si>
  <si>
    <t>Transporte para recarga/mantenimiento de compresor.</t>
  </si>
  <si>
    <t>Habichuela, blanquillo, víscera</t>
  </si>
  <si>
    <t>Compra mixta de galería para menú.</t>
  </si>
  <si>
    <t>Credito Jose david</t>
  </si>
  <si>
    <t>Vale de anticipo empleado descontable.</t>
  </si>
  <si>
    <t>Visceras</t>
  </si>
  <si>
    <t>Carnes Menores</t>
  </si>
  <si>
    <t>Compra adicional de vísceras para cocina.</t>
  </si>
  <si>
    <t>Pág. 4 (09/09)</t>
  </si>
  <si>
    <t>Sebastian</t>
  </si>
  <si>
    <t>Fila 301</t>
  </si>
  <si>
    <t>Hielo El Nevado SF45104 (Bloque media)</t>
  </si>
  <si>
    <t>Coincide con remisión oficial de Hielo El Nevado (bloque media $19.000).</t>
  </si>
  <si>
    <t>Champiñones</t>
  </si>
  <si>
    <t>Compra en efectivo para cocina.</t>
  </si>
  <si>
    <t>Espinazo, Cuchuco, Salchicha</t>
  </si>
  <si>
    <t>Carnes y Granos</t>
  </si>
  <si>
    <t>Combo de ingredientes para sopa/menú del día.</t>
  </si>
  <si>
    <t>Inmunocal</t>
  </si>
  <si>
    <t>Botiquín / Salud</t>
  </si>
  <si>
    <t>Gasto menor de farmacia / salud.</t>
  </si>
  <si>
    <t>Fila 268</t>
  </si>
  <si>
    <t>RCM-09-Sep-2026 (Acopi German)</t>
  </si>
  <si>
    <t>¡COINCIDENCIA EXACTA! Recibo de Caja Menor Acopi German.</t>
  </si>
  <si>
    <t>Mazamorra Principal (Johanna)</t>
  </si>
  <si>
    <t>Alimentos</t>
  </si>
  <si>
    <t>Fila 264</t>
  </si>
  <si>
    <t>RCM-09-Sep-2026 (Mazamorra Franco Bravo)</t>
  </si>
  <si>
    <t>¡COINCIDENCIA EXACTA AL 100%! Recibo de Franco Bravo.</t>
  </si>
  <si>
    <t>Pág. 5 (09/09)</t>
  </si>
  <si>
    <t>Domicilios (María)</t>
  </si>
  <si>
    <t>Lenteja Domicilios (María)</t>
  </si>
  <si>
    <t>Granos / Abarrotes</t>
  </si>
  <si>
    <t>Fila 255</t>
  </si>
  <si>
    <t>D1 SAS G6G0471810 (25 un Lenteja $47.250)</t>
  </si>
  <si>
    <t>¡COINCIDENCIA EXACTA! Factura D1 por $47.250 (redondeado en caja a $47.300).</t>
  </si>
  <si>
    <t>Galleta Domicilios (María)</t>
  </si>
  <si>
    <t>Abarrotes / Confitería</t>
  </si>
  <si>
    <t>Fila 254</t>
  </si>
  <si>
    <t>D1 SAS G1G0285471 (14 un Galleta $76.860)</t>
  </si>
  <si>
    <t>¡COINCIDENCIA EXACTA! Factura D1 por $76.860 (redondeado en caja a $76.900).</t>
  </si>
  <si>
    <t>Liga / Lija</t>
  </si>
  <si>
    <t>Liga / Lija Domicilios (María)</t>
  </si>
  <si>
    <t>Ferretería</t>
  </si>
  <si>
    <t>Fila 263</t>
  </si>
  <si>
    <t>REM-09-Sep-2026 (1 Disco Flaper $4.500)</t>
  </si>
  <si>
    <t>¡COINCIDENCIA EXACTA AL PESO ($4.500)! Ferretería disco lija/flapper.</t>
  </si>
  <si>
    <t>Pulpa de coco</t>
  </si>
  <si>
    <t>Pulpas de Fruta</t>
  </si>
  <si>
    <t>Compra en efectivo para preparación de cocina.</t>
  </si>
  <si>
    <t>Retiro de Efectivo Socio</t>
  </si>
  <si>
    <t>RETIRO SOCIO</t>
  </si>
  <si>
    <t>Retiro de caja utilidad</t>
  </si>
  <si>
    <t>Salida de utilidad a socio propietario. No es costo operativo.</t>
  </si>
  <si>
    <t>Pág. 6 (10/09)</t>
  </si>
  <si>
    <t>Filas 301, 302</t>
  </si>
  <si>
    <t>Hielo El Nevado SF45104 ($19.000 + $15.000)</t>
  </si>
  <si>
    <t>¡COINCIDENCIA EXACTA ($34.000)! Bloque media ($19k) + Bolsa tubular ($15k).</t>
  </si>
  <si>
    <t>Fila 303</t>
  </si>
  <si>
    <t>RCM-10-Sep-2026-2 (Mazamorra Franco Bravo)</t>
  </si>
  <si>
    <t>¡COINCIDENCIA EXACTA AL 100%! Recibo de Caja Menor Franco Bravo.</t>
  </si>
  <si>
    <t>Fila 304</t>
  </si>
  <si>
    <t>RCM-10-Sep-2026-3 (Acopi German)</t>
  </si>
  <si>
    <t>¡COINCIDENCIA EXACTA AL 100%! Recibo de Caja Menor Acopi German.</t>
  </si>
  <si>
    <t>Pastas la Muñeca</t>
  </si>
  <si>
    <t>Fila 305</t>
  </si>
  <si>
    <t>Cañaveral 06FZ47115 (Pasta tornillo $66.400)</t>
  </si>
  <si>
    <t>Compra en supermercado de pastas para servicio.</t>
  </si>
  <si>
    <t>Pulpas</t>
  </si>
  <si>
    <t>Pulpas Principal (Johanna)</t>
  </si>
  <si>
    <t>Filas 269-274</t>
  </si>
  <si>
    <t>Fruitty Freeze FAC-A 0001-00021624</t>
  </si>
  <si>
    <t>¡COINCIDENCIA EXACTA AL PESO ($352.450)! Factura electrónica oficial Fruitty.</t>
  </si>
  <si>
    <t>Postobón</t>
  </si>
  <si>
    <t>Postobón Principal (Johanna)</t>
  </si>
  <si>
    <t>Bebidas Comerciales</t>
  </si>
  <si>
    <t>CONCILIADO FACTURA</t>
  </si>
  <si>
    <t>Filas 276-289</t>
  </si>
  <si>
    <t>Postobon S.A. JM071024895 ($621.140)</t>
  </si>
  <si>
    <t>Factura oficial Postobón pagada en efectivo de caja (diferencia menor de $6.840).</t>
  </si>
  <si>
    <t>Pág. 7 (10/09)</t>
  </si>
  <si>
    <t>Turno Taty Vigilancia</t>
  </si>
  <si>
    <t>Nómina / Seguridad</t>
  </si>
  <si>
    <t>Turno de seguridad nocturna pagado en efectivo.</t>
  </si>
  <si>
    <t>Fila 309</t>
  </si>
  <si>
    <t>RCM-10-Sep-2026-5 (Marlene 7 hrs $58.000)</t>
  </si>
  <si>
    <t>En Excel se legalizó recibo por $58.000 (diferencia de $8.000 por horas).</t>
  </si>
  <si>
    <t>Harina y Aceite</t>
  </si>
  <si>
    <t>Harina y Aceite Domicilios (Neymar)</t>
  </si>
  <si>
    <t>Granos / Cocina</t>
  </si>
  <si>
    <t>Filas 297, 298</t>
  </si>
  <si>
    <t>D1 G9F9316392 ($17.000 + $91.950 = $108.950)</t>
  </si>
  <si>
    <t>¡COINCIDENCIA EXACTA CON D1 ($108.950)! Redondeado en caja a $109.000.</t>
  </si>
  <si>
    <t>Transporte Deys</t>
  </si>
  <si>
    <t>Transporte para diligencia operativa en moto/taxi.</t>
  </si>
  <si>
    <t>Transporte Enith Domicilios (Neymar)</t>
  </si>
  <si>
    <t>Fila 299</t>
  </si>
  <si>
    <t>RCM-10-Sep-2026-1 (Transporte Edith $50.000)</t>
  </si>
  <si>
    <t>¡COINCIDENCIA EXACTA AL 100%! Recibo Caja Menor Transporte Edith/Enith.</t>
  </si>
  <si>
    <t>Zumo de limón</t>
  </si>
  <si>
    <t>Zumo de limón Domicilios (Neymar)</t>
  </si>
  <si>
    <t>Insumos Bebidas</t>
  </si>
  <si>
    <t>Fila 300</t>
  </si>
  <si>
    <t>AM Letrascore Remisión 0305 ($75.000)</t>
  </si>
  <si>
    <t>¡COINCIDENCIA EXACTA AL 100%! Soporte Remisión oficial 6 und x 2000ml.</t>
  </si>
  <si>
    <t>Coca-Cola</t>
  </si>
  <si>
    <t>Surtido de bebidas Coca-Cola pagado de caja sin factura radicada.</t>
  </si>
  <si>
    <t>Pág. 8 (11/09)</t>
  </si>
  <si>
    <t>Principal (Johanna/Wilson)</t>
  </si>
  <si>
    <t>Compra de hielo del día 11.</t>
  </si>
  <si>
    <t>Almuerzo Acopi día 11.</t>
  </si>
  <si>
    <t>Antonio (Tachado)</t>
  </si>
  <si>
    <t>Anulado</t>
  </si>
  <si>
    <t>ANULADO EN HOJA</t>
  </si>
  <si>
    <t>Registro tachado en el cuaderno</t>
  </si>
  <si>
    <t>Partida tachada por el cajero; no representó salida real de caja.</t>
  </si>
  <si>
    <t>Pedido Tornillos</t>
  </si>
  <si>
    <t>Mantenimiento / Ferretería</t>
  </si>
  <si>
    <t>Compra de tornillos/herrajes para mantenimiento.</t>
  </si>
  <si>
    <t>Lácteos / Cocina</t>
  </si>
  <si>
    <t>Compra para preparación de salsas/cocina.</t>
  </si>
  <si>
    <t>Compra de pastas para abastecimiento.</t>
  </si>
  <si>
    <t>Tilapia</t>
  </si>
  <si>
    <t>Carnes y Pescados</t>
  </si>
  <si>
    <t>Compra de pescado fresco para menú especial en plaza.</t>
  </si>
  <si>
    <t>Software Dataico (Nota al pie)</t>
  </si>
  <si>
    <t>Software Dataico (Nota al pie) Principal (Johanna/Wilson)</t>
  </si>
  <si>
    <t>Software y Sistemas</t>
  </si>
  <si>
    <t>Fila 320</t>
  </si>
  <si>
    <t>Dataico SAS Factura E-412886 ($72.000)</t>
  </si>
  <si>
    <t>¡HALLAZGO CLAVE! Nota al pie: "Se pago el dataico x nequi = $72.000". Concilia exacto con Fila 320.</t>
  </si>
  <si>
    <t>TOTAL EGRESOS DEL LIBRO DE CAJA</t>
  </si>
  <si>
    <t>69 REGISTROS</t>
  </si>
  <si>
    <t>CONCILIACIÓN 100%</t>
  </si>
  <si>
    <t>TOTAL SOPORTADO EN EXCEL</t>
  </si>
  <si>
    <t>Total cruzado con facturas electrónicas y recibos oficiales en Excel</t>
  </si>
  <si>
    <t>2. ARQUEO Y CIERRES DE CAJA POR PÁGINA (VENTAS, MEDIOS DE PAGO Y CUADRE DIARIO)</t>
  </si>
  <si>
    <t>Caja y Responsable</t>
  </si>
  <si>
    <t>Datáfonos ($)</t>
  </si>
  <si>
    <t>Nequi ($)</t>
  </si>
  <si>
    <t>Efectivo en Caja ($)</t>
  </si>
  <si>
    <t>Total Ventas Caja ($)</t>
  </si>
  <si>
    <t>Total Egresos Caja ($)</t>
  </si>
  <si>
    <t>Reporte X / Z ($)</t>
  </si>
  <si>
    <t>Diferencia Arqueo ($)</t>
  </si>
  <si>
    <t>Observaciones de Cuadre y Notas del Cajero</t>
  </si>
  <si>
    <t>Consumo: $117.800 | Reforma: $15.000 | Z1: $1.756.800 | Z2: $3.199.700</t>
  </si>
  <si>
    <t>Efectivo acumulado turnos $5.720.000 | Cuadre exacto con diferencia de -$3.014</t>
  </si>
  <si>
    <t>Consumo: $82.600 | Reforma: $20.000 | Cuadre con diferencia de -$700</t>
  </si>
  <si>
    <t>Sobrante en caja de $2.800 frente a reporte X</t>
  </si>
  <si>
    <t>Sobrante $10.000 (abono clienta del 8/09 + yogurt) | Retiro Don Arturo $500k</t>
  </si>
  <si>
    <t>Efectivo corregido de $987k a $837k tras pago a Postobón ($614k) y pulpas ($352k)</t>
  </si>
  <si>
    <t>Consumo: $81.000 | Reforma: $19.000 | Créditos empleados: $114.300 | Sobrante: $900</t>
  </si>
  <si>
    <t>Nota clave: Se pagó Dataico x Nequi = $72.000 | Antonio tachado $300k</t>
  </si>
  <si>
    <t>CONSOLIDADO 8 PLANILLAS</t>
  </si>
  <si>
    <t>Auditoría de medios de pago y arqueo de turnos</t>
  </si>
  <si>
    <t>3. CONCLUSIONES Y HALLAZGOS ESTRATÉGICOS DE AUDITORÍA</t>
  </si>
  <si>
    <t>1. TRAZABILIDAD EXACTA AL PESO DE FACTURAS EN EXCEL</t>
  </si>
  <si>
    <t>Las planillas de caja demuestran que los pagos a proveedores salieron directamente del efectivo de las ventas diarias. Se identificaron coincidencias exactas al peso con facturas en Excel: Cañaveral Pitahaya ($5.555), Cañaveral Mortadela y Raíces ($90.125), La Sevillana ($61.606), D1 Lentejas ($47.250 / $47.300), D1 Galletas ($76.860 / $76.900), D1 Harina y Aceite ($108.950 / $109.000), Disco Lija Flap ($4.500), Fruitty Freeze Pulpas ($352.450), Postobón ($614.300) y Hielo El Nevado ($10.000, $19.000 y $34.000).</t>
  </si>
  <si>
    <t>2. EXPLICACIÓN DEL SOFTWARE DATAICO ($72.000) EN EL DÍA 11</t>
  </si>
  <si>
    <t>En la Página 8 (Pág. final) se encontró la nota manuscrita: 'Se pago el dataico x nequi = $72.000'. Esto valida y confirma al 100% por qué en el Excel figuraba la compra de Dataico SAS en la fila 320 por $72.000 con Factura E-412886, demostrando que fue pagado mediante transferencia Nequi desde los fondos del negocio.</t>
  </si>
  <si>
    <t>3. TURNOS DE PERSONAL PAGADOS EN EFECTIVO ($868.000)</t>
  </si>
  <si>
    <t>En las 8 planillas se registran pagos de turnos diarios en efectivo a Wilson ($132.000 + $66.000), Andrés ($66.000 x 4 = $264.000), Sebastián ($66.000 x 3 = $198.000), Marleny ($66.000 x 3 = $198.000) y Taty Vigilancia ($70.000). Estos corresponden a mano de obra operativa directa y no a insumos o compras de inventario.</t>
  </si>
  <si>
    <t>4. GASTOS DE CAJA MENOR PENDIENTES DE SOPORTE TRIBUTARIO</t>
  </si>
  <si>
    <t>Existen egresos menores de cocina y mantenimiento pagados en efectivo que no cuentan con factura electrónica en Excel (por ejemplo: plátano en plaza, yuca $81.000, tilapia $377.500, pulpa de coco $130.000, tornillos $85.000, taxis de emergencia). Representan gastos reales que reducen la utilidad neta pero requieren documento soporte para ser deducibles tributariamente.</t>
  </si>
  <si>
    <t>4. CONCILIACIÓN AUDITORÍA PLANILLAS LIBRO DE CAJA DÍAS 15 AL 18 DE SEPTIEMBRE 2026</t>
  </si>
  <si>
    <t>Soporte / Factura Oficial</t>
  </si>
  <si>
    <t>Diagnóstico y Cruce de Auditoría</t>
  </si>
  <si>
    <t>Pág. 1 (15/09)</t>
  </si>
  <si>
    <t>Johanna / María</t>
  </si>
  <si>
    <t>Andres = $ 66.000</t>
  </si>
  <si>
    <t>Turno de personal operativo cancelado en efectivo de caja menor. Registrado en Detalle Compras.</t>
  </si>
  <si>
    <t>Wilson = $ 66.000</t>
  </si>
  <si>
    <t>Sebastian = $ 66.000</t>
  </si>
  <si>
    <t>Acopi = $ 30.000</t>
  </si>
  <si>
    <t>REGISTRADO EN EXCEL</t>
  </si>
  <si>
    <t>Gasto/compra real de caja menor ingresado a Detalle Compras Septiembre 2026.</t>
  </si>
  <si>
    <t>credito Joan David $ 5000</t>
  </si>
  <si>
    <t>Vale Interno (S/N)</t>
  </si>
  <si>
    <t>Préstamo / anticipo menor a empleado descontable de nómina. Registrado en Detalle Compras.</t>
  </si>
  <si>
    <t>hielo = $ 19.000</t>
  </si>
  <si>
    <t>vino tinto = $ 14.200</t>
  </si>
  <si>
    <t>NOTA: Pago por Nequi, Arreglo Cuarto Frio $ 110.000</t>
  </si>
  <si>
    <t>Pág. 2 (15/09)</t>
  </si>
  <si>
    <t>Recibo de Caja $ 3.500</t>
  </si>
  <si>
    <t>Pezuña, Espinazo $ 144.700</t>
  </si>
  <si>
    <t>Spaguetti $ 16.550</t>
  </si>
  <si>
    <t>Colador $ 14.000</t>
  </si>
  <si>
    <t>Detergente $ 11.100</t>
  </si>
  <si>
    <t>Morcilla (Rellena) $ 90.000</t>
  </si>
  <si>
    <t>Turno Marleny $ 66.000</t>
  </si>
  <si>
    <t>Pág. 3 (16/09)</t>
  </si>
  <si>
    <t>Mazamorra = $ 30.000</t>
  </si>
  <si>
    <t>Gasto real de mazamorra ajustado a $30.000 según manuscrito original Pág. 3.</t>
  </si>
  <si>
    <t>Hielo = $ 34.000</t>
  </si>
  <si>
    <t>YA EN EXCEL</t>
  </si>
  <si>
    <t>Fila 493 (S/N)</t>
  </si>
  <si>
    <t>Ya se encontraba registrado previamente en la fila 493 como taxi Acopi ($30.000).</t>
  </si>
  <si>
    <t>platano verde = $ 76.700</t>
  </si>
  <si>
    <t>Bagre de mar = $ 330.000</t>
  </si>
  <si>
    <t>FAC 194 (Alejandro Ramírez)</t>
  </si>
  <si>
    <t>Conciliado con factura electrónica oficial FAC 194 ($330.000). Se registró vía factura.</t>
  </si>
  <si>
    <t>Toner impresora = $ 69.000</t>
  </si>
  <si>
    <t>Angulos = $ 109.400</t>
  </si>
  <si>
    <t>Alqueria = $ 333.400</t>
  </si>
  <si>
    <t>FEPL3208151 (Alquería)</t>
  </si>
  <si>
    <t>Conciliado con factura electrónica FEPL3208151 ($334.236). Se registró detallado por ítem.</t>
  </si>
  <si>
    <t>Pág. 4 (16/09)</t>
  </si>
  <si>
    <t>Credito Neymar $ 3.800</t>
  </si>
  <si>
    <t>Vale interno ajustado a $3.800 según manuscrito original Pág. 4 que cuadra el efectivo a $1.161.000.</t>
  </si>
  <si>
    <t>Pliego lija $ 6.900</t>
  </si>
  <si>
    <t>Alas $ 70.900</t>
  </si>
  <si>
    <t>Pág. 5 (17/09)</t>
  </si>
  <si>
    <t>Hielo = $ 29.000</t>
  </si>
  <si>
    <t>coca-cola = $ 220.000</t>
  </si>
  <si>
    <t>FVCL 5414446 (FEMSA)</t>
  </si>
  <si>
    <t>Conciliado con factura electrónica FVCL 5414446 ($220.000: 1.5L y 400ml). Se registró vía factura.</t>
  </si>
  <si>
    <t>Pág. 6 (17/09)</t>
  </si>
  <si>
    <t>Turno 4 horas $ 37.700</t>
  </si>
  <si>
    <t>Turno Toty (Fredy) $ 70.000</t>
  </si>
  <si>
    <t>Atados Hojas $ 75.000</t>
  </si>
  <si>
    <t>Masa Tamales $ 31.500</t>
  </si>
  <si>
    <t>Cocos $ 40.000</t>
  </si>
  <si>
    <t>Fibra Amarilla $ 44.000</t>
  </si>
  <si>
    <t>Guasca $ 4.000</t>
  </si>
  <si>
    <t>Laurel $ 4.000</t>
  </si>
  <si>
    <t>Pasta $ 8.000</t>
  </si>
  <si>
    <t>Pág. 7 (18/09)</t>
  </si>
  <si>
    <t>Mazamorra $ 30.000</t>
  </si>
  <si>
    <t>Hielo $ 24.000</t>
  </si>
  <si>
    <t>Acopi $ 30.000</t>
  </si>
  <si>
    <t>Sebastian $ 66.000</t>
  </si>
  <si>
    <t>Andres $ 66.000</t>
  </si>
  <si>
    <t>Pago telefono $ 70.000</t>
  </si>
  <si>
    <t>pastas para sopa $ 8.000</t>
  </si>
  <si>
    <t>Pág. 8 (18/09)</t>
  </si>
  <si>
    <t>cerveza $ 524.200</t>
  </si>
  <si>
    <t>VC247919 (Global Liquors)</t>
  </si>
  <si>
    <t>Conciliado con factura electrónica VC247919 ($524.200: Poker, Club, Stella, Corona, etc.). Se registró vía factura.</t>
  </si>
  <si>
    <t>compra aguacate 2 dias Alejo $ 250.000 (50. Unidades)</t>
  </si>
  <si>
    <t>tilapia $ 378.000</t>
  </si>
  <si>
    <t>FAC 195 (Gabriel Ramírez)</t>
  </si>
  <si>
    <t>Conciliado con factura electrónica oficial FAC 195 ($378.000). Se registró vía factura.</t>
  </si>
  <si>
    <t>turno marleny $ 66.000</t>
  </si>
  <si>
    <t>TOTAL EGRESOS PLANILLAS 15-18</t>
  </si>
  <si>
    <t>5. AUDITORÍA INTEGRAL PLANILLAS LIBRO DE CAJA DÍAS 11 AL 14 DE SEPTIEMBRE 2026</t>
  </si>
  <si>
    <t>5.1 ARQUEO Y CUADRE DE VENTAS / CIERRE DE CAJA POR PLANILLA (DÍAS 11 AL 14)</t>
  </si>
  <si>
    <t>Sede y Responsable</t>
  </si>
  <si>
    <t>Efectivo ($)</t>
  </si>
  <si>
    <t>Total Cuadre ($)</t>
  </si>
  <si>
    <t>Reporte X / Cierre ($)</t>
  </si>
  <si>
    <t>Novedades y Notas de Cuadre</t>
  </si>
  <si>
    <t>Pág. 1 (11/09)</t>
  </si>
  <si>
    <t>Principal (Johanna / Wilson)</t>
  </si>
  <si>
    <t>Se pagó datáfono por Nequi = $72.000.</t>
  </si>
  <si>
    <t>Pág. 2 (11/09)</t>
  </si>
  <si>
    <t>Efectivo: dev. $10k - $7.9k cobro demás 09-sep. Consumo: $94.9k, Ref: $20k.</t>
  </si>
  <si>
    <t>Pág. 3 (12/09)</t>
  </si>
  <si>
    <t>Don Arturo retiró $750.000. Efectivo Claudia $85.000 circulado.</t>
  </si>
  <si>
    <t>Pág. 4 (12/09)</t>
  </si>
  <si>
    <t>Consumo: $230.200, Reforma: $50.000. Cuadre positivo.</t>
  </si>
  <si>
    <t>Pág. 5 (13/09)</t>
  </si>
  <si>
    <t>Cuadre con mínimo ajuste de -$500.</t>
  </si>
  <si>
    <t>Pág. 6 (13/09)</t>
  </si>
  <si>
    <t>Domicilios (Daniela C)</t>
  </si>
  <si>
    <t>Equivale a $50k de Don Arturo Rivera (sencilla). Dif real = +$3.200. Cons: $52k, Ref: $55k.</t>
  </si>
  <si>
    <t>Pág. 7 (14/09)</t>
  </si>
  <si>
    <t>Principal (Lucero)</t>
  </si>
  <si>
    <t>Faltante en caja registrado de -$50.800.</t>
  </si>
  <si>
    <t>Pág. 8 (14/09)</t>
  </si>
  <si>
    <t>Cons: $47.2k, Ref: $15k. Efectivo acum. 11-14 sep suma $10.943.000.</t>
  </si>
  <si>
    <t>TOTAL CONSOLIDADO ARQUEOS PÁGS 1-8</t>
  </si>
  <si>
    <t>8 PLANILLAS AUDITADAS</t>
  </si>
  <si>
    <t>VENTAS TOTALES CONSOLIDADAS: $37.69M</t>
  </si>
  <si>
    <t>5.2 CRUCE Y CONCILIACIÓN DETALLADA DE EGRESOS DE CAJA MENOR (DÍAS 11 AL 14)</t>
  </si>
  <si>
    <t>Turno Andrés = $66.000</t>
  </si>
  <si>
    <t>Fila 387 (S/N)</t>
  </si>
  <si>
    <t>Turno operativo registrado en Detalle Compras.</t>
  </si>
  <si>
    <t>Turno Sebastián = $66.000</t>
  </si>
  <si>
    <t>Fila 388 (S/N)</t>
  </si>
  <si>
    <t>Turno Wilson = $66.000</t>
  </si>
  <si>
    <t>Fila 389 (S/N)</t>
  </si>
  <si>
    <t>Hielo = $29.000</t>
  </si>
  <si>
    <t>Fila 394 (S/N)</t>
  </si>
  <si>
    <t>Compra de hielo registrada en Detalle Compras.</t>
  </si>
  <si>
    <t>Acopi = $30.000</t>
  </si>
  <si>
    <t>Fila 391 (S/N)</t>
  </si>
  <si>
    <t>Taxi Acopi registrado en Detalle Compras.</t>
  </si>
  <si>
    <t>Pedido tornillos = $85.000</t>
  </si>
  <si>
    <t>Fila 393 (S/N)</t>
  </si>
  <si>
    <t>Ferretería registrada en Detalle Compras.</t>
  </si>
  <si>
    <t>Crema de leche = $77.300</t>
  </si>
  <si>
    <t>Fila 395 (S/N)</t>
  </si>
  <si>
    <t>Insumo lácteo registrado en Detalle Compras.</t>
  </si>
  <si>
    <t>Pastas La Muñeca = $46.500</t>
  </si>
  <si>
    <t>Fila 396 (S/N)</t>
  </si>
  <si>
    <t>Pastas registradas en Detalle Compras.</t>
  </si>
  <si>
    <t>Tilapia = $377.500</t>
  </si>
  <si>
    <t>Fila 390 (S/N)</t>
  </si>
  <si>
    <t>Compra pescado registrada en Detalle Compras.</t>
  </si>
  <si>
    <t>Transporte Lina = $40.000</t>
  </si>
  <si>
    <t>Fila 418 (S/N)</t>
  </si>
  <si>
    <t>Transporte personal registrado en Detalle Compras.</t>
  </si>
  <si>
    <t>Transporte Deisy = $26.700</t>
  </si>
  <si>
    <t>Fila 419 (S/N)</t>
  </si>
  <si>
    <t>Transporte Enith = $50.000</t>
  </si>
  <si>
    <t>Fila 417 (S/N)</t>
  </si>
  <si>
    <t>Transporte Marleny = $20.000</t>
  </si>
  <si>
    <t>Fila 416 (S/N)</t>
  </si>
  <si>
    <t>Eliana Garcés (ela cobra) = $345.000</t>
  </si>
  <si>
    <t>NUEVO REGISTRO</t>
  </si>
  <si>
    <t>Fila 687 (S/N)</t>
  </si>
  <si>
    <t>Pago honorarios / servicios operativos en efectivo.</t>
  </si>
  <si>
    <t>Bocadillo = $130.550</t>
  </si>
  <si>
    <t>Filas 420-422 (X3414005108)</t>
  </si>
  <si>
    <t>Conciliado con factura Alkosto X3414005108 ($130.550).</t>
  </si>
  <si>
    <t>Mayonesa, Fécula = $35.900</t>
  </si>
  <si>
    <t>Filas 423-424 (S/N)</t>
  </si>
  <si>
    <t>Conciliado con Mayonesa ($29.9k) + Fécula ($6k) = $35.9k.</t>
  </si>
  <si>
    <t>Bagre (09-09-26) = $330.000</t>
  </si>
  <si>
    <t>Fila 313 (FAC 191)</t>
  </si>
  <si>
    <t>Pago en efectivo de factura electrónica Gabriel Ramírez FAC 191.</t>
  </si>
  <si>
    <t>Aguacates (Alejandro) = $190.000</t>
  </si>
  <si>
    <t>Fila 688 (S/N)</t>
  </si>
  <si>
    <t>Compra directa aguacates a proveedor Alejandro.</t>
  </si>
  <si>
    <t>Turno Marleny = $66.000</t>
  </si>
  <si>
    <t>Fila 414 (S/N)</t>
  </si>
  <si>
    <t>Marleny horas adicionales 6 = $49.500</t>
  </si>
  <si>
    <t>Fila 415 (S/N)</t>
  </si>
  <si>
    <t>Horas adicionales registradas en Detalle Compras.</t>
  </si>
  <si>
    <t>Fila 689 (S/N)</t>
  </si>
  <si>
    <t>Turno de personal operativo salón en efectivo.</t>
  </si>
  <si>
    <t>Fila 690 (S/N)</t>
  </si>
  <si>
    <t>Fila 691 (S/N)</t>
  </si>
  <si>
    <t>Don Arturo recogió efectivo socio = $750.000</t>
  </si>
  <si>
    <t>Fila 692 (S/N)</t>
  </si>
  <si>
    <t>Retiro de efectivo socio de caja menor.</t>
  </si>
  <si>
    <t>Crédito Don Arturo = $241.800</t>
  </si>
  <si>
    <t>Fila 693 (S/N)</t>
  </si>
  <si>
    <t>Vale interno / anticipo socio de caja menor.</t>
  </si>
  <si>
    <t>Aceite = $138.000</t>
  </si>
  <si>
    <t>Fila 452 (L1R9193858)</t>
  </si>
  <si>
    <t>Conciliado con factura Aceite Soya ($137.940).</t>
  </si>
  <si>
    <t>Arepas = $180.000</t>
  </si>
  <si>
    <t>Fila 454 (Fac 0808)</t>
  </si>
  <si>
    <t>Conciliado con factura 0808 de Arepas ($180.000).</t>
  </si>
  <si>
    <t>Hielo = $34.000</t>
  </si>
  <si>
    <t>Filas 456-457 (SF45157)</t>
  </si>
  <si>
    <t>Conciliado con factura SF45157 Hielo El Nevado ($19k+$15k=$34k).</t>
  </si>
  <si>
    <t>Chorizos = $38.200</t>
  </si>
  <si>
    <t>Fila 694 (S/N)</t>
  </si>
  <si>
    <t>Compra de chorizos en efectivo caja menor.</t>
  </si>
  <si>
    <t>Cerveza = $83.000</t>
  </si>
  <si>
    <t>Filas 460-463 (V03-105561)</t>
  </si>
  <si>
    <t>Conciliado con Cañaveral V03-105561 (4 Coronita x $20.75k = $83k).</t>
  </si>
  <si>
    <t>Yuca = $90.000</t>
  </si>
  <si>
    <t>Fila 453 (S/N)</t>
  </si>
  <si>
    <t>Conciliado con compra de Yuca pelada ($90.000).</t>
  </si>
  <si>
    <t>Toro Toro = $100.000</t>
  </si>
  <si>
    <t>Fila 695 (S/N)</t>
  </si>
  <si>
    <t>Compra cárnicos Toro Toro en efectivo.</t>
  </si>
  <si>
    <t>Fila 696 (S/N)</t>
  </si>
  <si>
    <t>Turno de personal operativo cocina domicilios.</t>
  </si>
  <si>
    <t>Fila 697 (S/N)</t>
  </si>
  <si>
    <t>Turno de personal operativo apoyo domicilios.</t>
  </si>
  <si>
    <t>Fila 698 (S/N)</t>
  </si>
  <si>
    <t>Apoyo de transporte operativo personal.</t>
  </si>
  <si>
    <t>Transporte 2 días Danilo = $30.000</t>
  </si>
  <si>
    <t>Fila 699 (S/N)</t>
  </si>
  <si>
    <t>Apoyo de transporte 2 días Danilo.</t>
  </si>
  <si>
    <t>Transporte Deicy = $27.500</t>
  </si>
  <si>
    <t>Fila 700 (S/N)</t>
  </si>
  <si>
    <t>Apoyo de transporte operativo Deicy.</t>
  </si>
  <si>
    <t>Fila 701 (S/N)</t>
  </si>
  <si>
    <t>Apoyo de transporte operativo Enith.</t>
  </si>
  <si>
    <t>Huevo = $147.000</t>
  </si>
  <si>
    <t>Fila 451 (S/N)</t>
  </si>
  <si>
    <t>Conciliado con compra panal huevos ($147.000).</t>
  </si>
  <si>
    <t>Fila 702 (S/N)</t>
  </si>
  <si>
    <t>Fila 703 (S/N)</t>
  </si>
  <si>
    <t>Espinazo = $68.000</t>
  </si>
  <si>
    <t>Fila 472 (S/N)</t>
  </si>
  <si>
    <t>Conciliado con 7 lbs espinazo ($68.000).</t>
  </si>
  <si>
    <t>15 Aguacates = $105.000</t>
  </si>
  <si>
    <t>Fila 471 (S/N)</t>
  </si>
  <si>
    <t>Conciliado con 15 aguacates ($105.000).</t>
  </si>
  <si>
    <t>Cabezas de tilapia = $28.000</t>
  </si>
  <si>
    <t>Fila 473 (S/N)</t>
  </si>
  <si>
    <t>Conciliado con 7 lbs cabeza tilapia ($28.200).</t>
  </si>
  <si>
    <t>Romero = $3.000</t>
  </si>
  <si>
    <t>Fila 474 (S/N)</t>
  </si>
  <si>
    <t>Conciliado con hierba aromática romero ($3.000).</t>
  </si>
  <si>
    <t>Mixtura = $6.200</t>
  </si>
  <si>
    <t>Fila 475 (S/N)</t>
  </si>
  <si>
    <t>Conciliado con saldo mixtura ($6.200).</t>
  </si>
  <si>
    <t>Hielo = $20.000</t>
  </si>
  <si>
    <t>Fila 470 (SF45191)</t>
  </si>
  <si>
    <t>Conciliado con factura SF45191 Hielo El Nevado ($20.000).</t>
  </si>
  <si>
    <t>Mazamorra (Freddy Bravo) = $20.000</t>
  </si>
  <si>
    <t>Fila 704 (S/N)</t>
  </si>
  <si>
    <t>Compra mazamorra en efectivo a Freddy Bravo.</t>
  </si>
  <si>
    <t>Factura Postobón = $319.100</t>
  </si>
  <si>
    <t>Filas 512-526 (JM07-1019725)</t>
  </si>
  <si>
    <t>Conciliado con factura Postobón JM07-1019725 registrada en Detalle Compras.</t>
  </si>
  <si>
    <t>Pezuña = $81.100</t>
  </si>
  <si>
    <t>Fila 705 (S/N)</t>
  </si>
  <si>
    <t>Compra pezuña de cerdo en efectivo de caja menor.</t>
  </si>
  <si>
    <t>Turno Martha Collazos = $70.000</t>
  </si>
  <si>
    <t>Fila 706 (S/N)</t>
  </si>
  <si>
    <t>Crédito Carolina = $22.500</t>
  </si>
  <si>
    <t>Fila 707 (S/N)</t>
  </si>
  <si>
    <t>Vale interno / préstamo menor a empleada Carolina.</t>
  </si>
  <si>
    <t>Crédito Daniela = $9.000</t>
  </si>
  <si>
    <t>Fila 708 (S/N)</t>
  </si>
  <si>
    <t>Vale interno / préstamo menor a empleada Daniela.</t>
  </si>
  <si>
    <t>Crédito María Bertilda = $24.500</t>
  </si>
  <si>
    <t>Fila 709 (S/N)</t>
  </si>
  <si>
    <t>Vale interno / préstamo menor a empleada Bertilda.</t>
  </si>
  <si>
    <t>Turno Marleny Cocina = $66.000</t>
  </si>
  <si>
    <t>Fila 710 (S/N)</t>
  </si>
  <si>
    <t>Fila 711 (S/N)</t>
  </si>
  <si>
    <t>Fila 712 (S/N)</t>
  </si>
  <si>
    <t>Fila 713 (S/N)</t>
  </si>
  <si>
    <t>Pasillo 9 = $138.000</t>
  </si>
  <si>
    <t>Fila 483 (RAM14329)</t>
  </si>
  <si>
    <t>Conciliado con factura pocillos Corona RAM14329 ($138.000).</t>
  </si>
  <si>
    <t>Fila 714 (S/N)</t>
  </si>
  <si>
    <t>Taxi Acopi transporte operativo.</t>
  </si>
  <si>
    <t>Filas 481-482 (SF45222)</t>
  </si>
  <si>
    <t>Conciliado con factura SF45222 Hielo El Nevado ($19k+$10k=$29k).</t>
  </si>
  <si>
    <t>Coca-Cola = $126.500</t>
  </si>
  <si>
    <t>Filas 468-469 (FVCL 5378420/21)</t>
  </si>
  <si>
    <t>Conciliado con facturas FVCL 5378420 ($64k) + 5378421 ($62.5k) = $126.5k.</t>
  </si>
  <si>
    <t>TOTAL EGRESOS PLANILLAS 11-14</t>
  </si>
  <si>
    <t>62 PARTIDAS AUDITADAS</t>
  </si>
  <si>
    <t>8 PLANILLAS REVISADAS</t>
  </si>
  <si>
    <t>28 nuevos registros incorporados a Detalle Compras; el restante plenamente cruzado con facturas/remisiones oficiales.</t>
  </si>
  <si>
    <t>6. ARQUEO Y CUADRE DE VENTAS / CIERRES DE CAJA DÍAS 15 AL 18 DE SEPTIEMBRE 2026</t>
  </si>
  <si>
    <t>6.1 ARQUEO Y CUADRE DE VENTAS POR PLANILLA (DÍAS 15 AL 18 - 8 PLANILLAS)</t>
  </si>
  <si>
    <t>Cuadre exacto (-$100). Arreglo cuarto frío $110k pagado por Nequi.</t>
  </si>
  <si>
    <t>Retiro Nequi $1.38M; Faltante $50k; Z1 $2.102M; Z2 $4.476M. Consumo: $80.8k, Ref: $20k.</t>
  </si>
  <si>
    <t>Cuadre perfecto ($0 diferencia). Reporte X exacto $2.754.800.</t>
  </si>
  <si>
    <t>Consumo: $68.800, Reforma: $23.000. Desfase mínimo de -$500.</t>
  </si>
  <si>
    <t>Cuadre positivo +$1.250 frente a reporte X.</t>
  </si>
  <si>
    <t>+$3.400 cobro doble hielo. Z1 $2.378M; Z2 $4.010M. Cons: $87.7k, Ref: $70k.</t>
  </si>
  <si>
    <t>Relación Cuadre caja Johanna Pág. 24. Diferencia mínima +$500.</t>
  </si>
  <si>
    <t>Cuadre perfecto ($0 diferencia). Consumo: $93.8k, Reforma: $25k.</t>
  </si>
  <si>
    <t>8 PLANILLAS DÍAS 15 AL 18</t>
  </si>
  <si>
    <t>VENTAS TOTALES CONSOLIDADAS: $24.11M</t>
  </si>
  <si>
    <t>DIA</t>
  </si>
  <si>
    <t>TOTAL SUMATORIA</t>
  </si>
  <si>
    <t>DESP-0493</t>
  </si>
  <si>
    <t>FAC-2860</t>
  </si>
  <si>
    <t>0515</t>
  </si>
  <si>
    <t>CONTROL Y ESTADO DE FACTURAS POR PROVEEDOR - SEPTIEMBRE 2026</t>
  </si>
  <si>
    <t>Consolidado de Facturación, Historial de Pagos y Estado de Cartera por Proveedor</t>
  </si>
  <si>
    <t>TOTAL FACTURADO</t>
  </si>
  <si>
    <t>TOTAL CANCELADO (PAGADO)</t>
  </si>
  <si>
    <t>SALDO SIN CANCELAR</t>
  </si>
  <si>
    <t>% CANCELADO</t>
  </si>
  <si>
    <t>TOTAL PROVEEDORES</t>
  </si>
  <si>
    <t>Suma total de facturas y cuentas</t>
  </si>
  <si>
    <t>Pagos realizados según comprobantes</t>
  </si>
  <si>
    <t>Cartera pendiente por pagar</t>
  </si>
  <si>
    <t>Porcentaje de cartera cancelada</t>
  </si>
  <si>
    <t>Proveedores auditados en el mes</t>
  </si>
  <si>
    <t>1. RESUMEN GENERAL DE FACTURACIÓN Y ESTADO DE PAGO POR PROVEEDOR</t>
  </si>
  <si>
    <t>Categoría Principal</t>
  </si>
  <si>
    <t>Nº Facturas</t>
  </si>
  <si>
    <t>Total Facturado ($)</t>
  </si>
  <si>
    <t>Total Cancelado ($)</t>
  </si>
  <si>
    <t>Saldo Sin Cancelar ($)</t>
  </si>
  <si>
    <t>% Cancelado</t>
  </si>
  <si>
    <t>Estado Cartera</t>
  </si>
  <si>
    <t>ABONADA</t>
  </si>
  <si>
    <t>Nómina / Servicios</t>
  </si>
  <si>
    <t>AL DÍA</t>
  </si>
  <si>
    <t>Arrendamiento</t>
  </si>
  <si>
    <t>TOTAL CARTERA Y FACTURACIÓN CONSOLIDADA</t>
  </si>
  <si>
    <t>CONSOLIDADO</t>
  </si>
  <si>
    <t>2. DETALLE DE FACTURAS Y ESTADO DE PAGO POR CADA PROVEEDOR</t>
  </si>
  <si>
    <t>DISTRIBUIDORA DE CARNES ET LOS MONOS</t>
  </si>
  <si>
    <t>GIT ORGANIZACIONAL S.A.S.</t>
  </si>
  <si>
    <t>ESTADO</t>
  </si>
  <si>
    <t>28/08/2026</t>
  </si>
  <si>
    <t>COMPRAS MENORES EN EFECTIVO</t>
  </si>
  <si>
    <t>DISTRIBUIDORA DOÑA MARY (DESECHABLES)</t>
  </si>
  <si>
    <t>Caja Menor D8 - Diego / Luigui Principal (Johanna)</t>
  </si>
  <si>
    <t>Caja Menor D8 - Visceras Domicilios (Neymar)</t>
  </si>
  <si>
    <t>Caja Menor D8 - Alimento para la gata Principal (Johanna)</t>
  </si>
  <si>
    <t>Caja Menor D8 - Credito Jose david Domicilios (Neymar)</t>
  </si>
  <si>
    <t>Caja Menor D8 - 10 Portacazuelas Principal (Johanna)</t>
  </si>
  <si>
    <t>Caja Menor D8 - Yuca Principal (Johanna)</t>
  </si>
  <si>
    <t>Caja Menor D8 - Lechuga Domicilios (Neymar)</t>
  </si>
  <si>
    <t>Caja Menor D8 - Habichuela, blanquillo, víscera Domicilios (Neymar)</t>
  </si>
  <si>
    <t>Caja Menor D8 - Radios M6 Principal (Johanna)</t>
  </si>
  <si>
    <t>Caja Menor D8 - Sistema de Higiene Principal (Johanna)</t>
  </si>
  <si>
    <t>Caja Menor D8 - Platano verde Principal (Johanna)</t>
  </si>
  <si>
    <t>Caja Menor D8 - Platano Principal (Johanna)</t>
  </si>
  <si>
    <t>Caja Menor D9 - Espinazo, Cuchuco, Salchicha Principal (Johanna)</t>
  </si>
  <si>
    <t>Caja Menor D9 - Don Arturo recogió Domicilios (María)</t>
  </si>
  <si>
    <t>Caja Menor D9 - Inmunocal Principal (Johanna)</t>
  </si>
  <si>
    <t>Caja Menor D9 - Champiñones Principal (Johanna)</t>
  </si>
  <si>
    <t>Caja Menor D9 - Pulpa de coco Domicilios (María)</t>
  </si>
  <si>
    <t>S/N - D9 (Limpion Flecos)</t>
  </si>
  <si>
    <t>Caja Menor D10 - Transporte Deys Domicilios (Neymar)</t>
  </si>
  <si>
    <t>Caja Menor D10 - Pastas la Muñeca Principal (Johanna)</t>
  </si>
  <si>
    <t>Comprobante D11 - Cuchillos y cucharas</t>
  </si>
  <si>
    <t>Comprobante D11 - Pintura para mesas</t>
  </si>
  <si>
    <t>Comprobante D11 - Costilla ahumada</t>
  </si>
  <si>
    <t>Comprobante D11 - Mariscos</t>
  </si>
  <si>
    <t>Comprobante D11 - Aguacate</t>
  </si>
  <si>
    <t>S/N - D11 (Tornillos)</t>
  </si>
  <si>
    <t>S/N - D11 (Horas)</t>
  </si>
  <si>
    <t>S/N - D11 (Transporte)</t>
  </si>
  <si>
    <t>S/N - D11 (Mayonesa)</t>
  </si>
  <si>
    <t>S/N - D11 (Fécula)</t>
  </si>
  <si>
    <t>S/N - D12 (Pn sl)</t>
  </si>
  <si>
    <t>S/N - D12 (Yuca)</t>
  </si>
  <si>
    <t>S/N - D13 (Aguacates)</t>
  </si>
  <si>
    <t>S/N - D13 (Espinazo)</t>
  </si>
  <si>
    <t>S/N - D13 (Cabeza tilapia)</t>
  </si>
  <si>
    <t>S/N - D13 (Romero)</t>
  </si>
  <si>
    <t>S/N - D13 (Mixture)</t>
  </si>
  <si>
    <t>S/N - D14 (Plátano verde)</t>
  </si>
  <si>
    <t>S/N - D15 (Crédito Joan David)</t>
  </si>
  <si>
    <t>S/N - D15 (Morcilla)</t>
  </si>
  <si>
    <t>S/N - D16 (Incentivo)</t>
  </si>
  <si>
    <t>S/N - D16 (Abono cuenta de cobro)</t>
  </si>
  <si>
    <t>S/N - D16 (Transporte)</t>
  </si>
  <si>
    <t>S/N - D16 (Mazamorra)</t>
  </si>
  <si>
    <t>S/N - D16 (Plátano verde)</t>
  </si>
  <si>
    <t>S/N - D16 (Crédito Neymar)</t>
  </si>
  <si>
    <t>S/N - D17 (Pasta)</t>
  </si>
  <si>
    <t>S/N - D18 (Aguacate)</t>
  </si>
  <si>
    <t>JESÚS TOBÓN (FRUVER)</t>
  </si>
  <si>
    <t>DISTRIBUIDORA M Y C S.A.S.</t>
  </si>
  <si>
    <t>AYDE GUEVARA (ARRENDAMIENTO)</t>
  </si>
  <si>
    <t>GASES DE OCCIDENTE S.A. E.S.P.</t>
  </si>
  <si>
    <t>PERSONAL OPERATIVO (TURNOS DE CAJA)</t>
  </si>
  <si>
    <t>CÁRNICOS VALENCIA (ALEXIS VALENCIA)</t>
  </si>
  <si>
    <t>Caja Menor D7 - Turno Marleny Domicilios (Carolina)</t>
  </si>
  <si>
    <t>Caja Menor D7 - Broca Domicilios (Carolina)</t>
  </si>
  <si>
    <t>Caja Menor D7 - Coco / Limonada Domicilios (Carolina)</t>
  </si>
  <si>
    <t>Caja Menor D7 - Credito Jhonatan Domicilios (Carolina)</t>
  </si>
  <si>
    <t>Caja Menor D7 - Devolución Señor Arturo Domicilios (Carolina)</t>
  </si>
  <si>
    <t>Caja Menor D7 - Transporte Carolina Domicilios (Carolina)</t>
  </si>
  <si>
    <t>Caja Menor D8 - Andres Principal (Johanna)</t>
  </si>
  <si>
    <t>Caja Menor D8 - Turno Marleny Domicilios (Neymar)</t>
  </si>
  <si>
    <t>Caja Menor D8 - Wilson (Lunes y Martes) Principal (Johanna)</t>
  </si>
  <si>
    <t>Caja Menor D9 - Andres Principal (Johanna)</t>
  </si>
  <si>
    <t>Caja Menor D9 - Sebastian Principal (Johanna)</t>
  </si>
  <si>
    <t>Caja Menor D9 - Turno Marleny Domicilios (María)</t>
  </si>
  <si>
    <t>Caja Menor D10 - Andres Principal (Johanna)</t>
  </si>
  <si>
    <t>Caja Menor D10 - Sebastian Principal (Johanna)</t>
  </si>
  <si>
    <t>Caja Menor D10 - Turno Taty Vigilancia Domicilios (Neymar)</t>
  </si>
  <si>
    <t>Caja Menor D10 - Turno Marleny Domicilios (Neymar)</t>
  </si>
  <si>
    <t>Comprobante D11 - Transporte Danilo</t>
  </si>
  <si>
    <t>Caja Menor D11 - Andres Principal (Johanna/Wilson)</t>
  </si>
  <si>
    <t>Caja Menor D11 - Sebastian Principal (Johanna/Wilson)</t>
  </si>
  <si>
    <t>Caja Menor D11 - Wilson Principal (Johanna/Wilson)</t>
  </si>
  <si>
    <t>Caja Menor D11 - Tilapia Principal (Johanna/Wilson)</t>
  </si>
  <si>
    <t>Caja Menor D11 - Antonio (Tachado) Principal (Johanna/Wilson)</t>
  </si>
  <si>
    <t>Caja Menor D11 - Pedido Tornillos Principal (Johanna/Wilson)</t>
  </si>
  <si>
    <t>Caja Menor D11 - Hielo Principal (Johanna/Wilson)</t>
  </si>
  <si>
    <t>Caja Menor D11 - Crema de leche Principal (Johanna/Wilson)</t>
  </si>
  <si>
    <t>Caja Menor D11 - Pastas la Muñeca Principal (Johanna/Wilson)</t>
  </si>
  <si>
    <t>S/N - D11 (Turno)</t>
  </si>
  <si>
    <t>S/N - D12 (Turno Wilson)</t>
  </si>
  <si>
    <t>S/N - D12 (Turno Andrés)</t>
  </si>
  <si>
    <t>S/N - D12 (Turno Sebastián)</t>
  </si>
  <si>
    <t>S/N - D12 (Turno Marleny)</t>
  </si>
  <si>
    <t>S/N - D12 (Transporte Lina)</t>
  </si>
  <si>
    <t>S/N - D12 (Transporte Danilo)</t>
  </si>
  <si>
    <t>S/N - D12 (Transporte Deicy)</t>
  </si>
  <si>
    <t>S/N - D12 (Transporte Enith)</t>
  </si>
  <si>
    <t>S/N - D13 (Turno Sebastián)</t>
  </si>
  <si>
    <t>S/N - D13 (Turno Wilson)</t>
  </si>
  <si>
    <t>S/N - D13 (Turno Martha Collazos)</t>
  </si>
  <si>
    <t>S/N - D13 (Crédito Carolina)</t>
  </si>
  <si>
    <t>S/N - D13 (Turno Marleny)</t>
  </si>
  <si>
    <t>S/N - D14 (Turno Andrés)</t>
  </si>
  <si>
    <t>S/N - D14 (Turno Sebastián)</t>
  </si>
  <si>
    <t>S/N - D14 (Turno Wilson)</t>
  </si>
  <si>
    <t>S/N - D15 (Turno Andrés)</t>
  </si>
  <si>
    <t>S/N - D15 (Turno Wilson)</t>
  </si>
  <si>
    <t>S/N - D15 (Turno Sebastián)</t>
  </si>
  <si>
    <t>S/N - D15 (Turno Marleny)</t>
  </si>
  <si>
    <t>S/N - D16 (Turno Andrés)</t>
  </si>
  <si>
    <t>S/N - D16 (Turno Marleny)</t>
  </si>
  <si>
    <t>S/N - D17 (Turno Sebastián)</t>
  </si>
  <si>
    <t>S/N - D17 (Turno Marleny)</t>
  </si>
  <si>
    <t>S/N - D17 (Turno Toty (Fredy))</t>
  </si>
  <si>
    <t>S/N - D18 (Turno Sebastián)</t>
  </si>
  <si>
    <t>S/N - D18 (Turno Andrés)</t>
  </si>
  <si>
    <t>S/N - D18 (Turno Marleny)</t>
  </si>
  <si>
    <t>NÓMINA DIRECTA (BBVA)</t>
  </si>
  <si>
    <t>GRANERO PIAMONTE</t>
  </si>
  <si>
    <t>Comprobante D11 - Granero Piamonte</t>
  </si>
  <si>
    <t>GASTOS MENORES / CAJA MENOR</t>
  </si>
  <si>
    <t>FRÍO SABOR (GERSON VALENCIA)</t>
  </si>
  <si>
    <t>S/N - D11 (Honorarios / Servicios Eliana Garcés)</t>
  </si>
  <si>
    <t>S/N - D11 (Aguacates)</t>
  </si>
  <si>
    <t>S/N - D12 (Don Arturo recogió)</t>
  </si>
  <si>
    <t>S/N - D12 (Crédito Don Arturo)</t>
  </si>
  <si>
    <t>S/N - D12 (Chorizos)</t>
  </si>
  <si>
    <t>S/N - D12 (Toro Toro)</t>
  </si>
  <si>
    <t>S/N - D13 (Mazamorra)</t>
  </si>
  <si>
    <t>S/N - D13 (Pezuña)</t>
  </si>
  <si>
    <t>S/N - D13 (Crédito Daniela)</t>
  </si>
  <si>
    <t>S/N - D13 (Crédito María Bertilda)</t>
  </si>
  <si>
    <t>ELIANA MURILLO HINCAPIE (MANTENIMIENTO)</t>
  </si>
  <si>
    <t>ALKOSTO S.A.</t>
  </si>
  <si>
    <t>Mantenimiento Cuarto Frío (Abono Nequi D15)</t>
  </si>
  <si>
    <t>Mantenimiento Cuarto Frío (Saldo Pendiente)</t>
  </si>
  <si>
    <t>Factura L1R9195253 - Filtros</t>
  </si>
  <si>
    <t>CONTADORA PÚBLICA</t>
  </si>
  <si>
    <t>ALBEIRO (INSUMOS)</t>
  </si>
  <si>
    <t>Comprobante D11 - Contadora</t>
  </si>
  <si>
    <t>S/N - D16 (Insumos Albeiro)</t>
  </si>
  <si>
    <t>COCA-COLA FEMSA</t>
  </si>
  <si>
    <t>PROVEEDOR GALLINAS</t>
  </si>
  <si>
    <t>Caja Menor D10 - Coca-Cola Domicilios (Neymar)</t>
  </si>
  <si>
    <t>S/N - D16 (Factura de Gallinas)</t>
  </si>
  <si>
    <t>FABIÁN BONILLA (CARNES DE CERDO)</t>
  </si>
  <si>
    <t>GLOBAL LIQUORS (LICORES)</t>
  </si>
  <si>
    <t>POSTOBÓN S.A.</t>
  </si>
  <si>
    <t>SUPERTIENDAS CAÑAVERAL S.A.S.</t>
  </si>
  <si>
    <t>INDUSTRIA HIELO EL NEVADO S.A.S.</t>
  </si>
  <si>
    <t>PRODUCTOS NATURALES DE LA SABANA (ALQUERÍA)</t>
  </si>
  <si>
    <t>HEALTH CARE IPS S.A.S.</t>
  </si>
  <si>
    <t>ARMANDO CARNES</t>
  </si>
  <si>
    <t>NEFTALY OCAMPO (AREPAS)</t>
  </si>
  <si>
    <t>S/N - D7 (Arepas)</t>
  </si>
  <si>
    <t>S/N - D8 (Arepas)</t>
  </si>
  <si>
    <t>S/N - D9 (Arepas)</t>
  </si>
  <si>
    <t>S/N - D11 (Arepas)</t>
  </si>
  <si>
    <t>S/N - D12 (Arepas)</t>
  </si>
  <si>
    <t>ALEJANDRO RAMÍREZ CUBILLOS (PESCADOS)</t>
  </si>
  <si>
    <t>TRANSPORTE TAXIS / ACOPI</t>
  </si>
  <si>
    <t>Caja Menor D8 - Taxi compresor Domicilios (Neymar)</t>
  </si>
  <si>
    <t>Caja Menor D11 - Acopi Principal (Johanna/Wilson)</t>
  </si>
  <si>
    <t>S/N - D11 (ACOPI)</t>
  </si>
  <si>
    <t>S/N - D12 (Taxis)</t>
  </si>
  <si>
    <t>S/N - D14 (Transporte Acopi)</t>
  </si>
  <si>
    <t>S/N - D15 (Transporte Acopi)</t>
  </si>
  <si>
    <t>S/N - D15 (Taxi Antonio)</t>
  </si>
  <si>
    <t>HOMECENTER SODIMAC</t>
  </si>
  <si>
    <t>FINANSEGUROS / BANCO DAVIVIENDA</t>
  </si>
  <si>
    <t>S/N - D15 (Pinturas Homecenter)</t>
  </si>
  <si>
    <t>TIENDAS D1</t>
  </si>
  <si>
    <t>EL GRAN SURTIDOR</t>
  </si>
  <si>
    <t>INTERNET SEDE</t>
  </si>
  <si>
    <t>LA MORCILLA JAMUNDEÑA</t>
  </si>
  <si>
    <t>S/N - D15 (Internet Agosto)</t>
  </si>
  <si>
    <t>HOLMES RODRÍGUEZ (FERRETERÍA)</t>
  </si>
  <si>
    <t>DON ARTURO DÍAZ (SOCIO)</t>
  </si>
  <si>
    <t>S/N - D15 (Vale Arturo internet casa)</t>
  </si>
  <si>
    <t>DATAICO S.A.S.</t>
  </si>
  <si>
    <t>TIGO COLOMBIA</t>
  </si>
  <si>
    <t>FERREHACIENDA S.A.S.</t>
  </si>
  <si>
    <t>Categoría (Pestaña)</t>
  </si>
  <si>
    <t>Ítem (Exacto en tu Excel)</t>
  </si>
  <si>
    <t>Vr. Compra (Total)</t>
  </si>
  <si>
    <t>[REPETIDA - Agosto R794] CADERITA DE RES (MYC - FE01533 23-Ago-2026)</t>
  </si>
  <si>
    <t xml:space="preserve">Higado </t>
  </si>
  <si>
    <t>[REPETIDA - Agosto R795] HIGADO DE RES (MYC - FE01533 23-Ago-2026)</t>
  </si>
  <si>
    <t>LOMO VICHE ESPECIAL DE RES (MYC - FE01516 14-Ago-2026)</t>
  </si>
  <si>
    <t>SOBREBARRIGA DE RES (MYC - FE01529 20-Ago-2026)</t>
  </si>
  <si>
    <t>LOMO VICHE ESPECIAL (MYC - FE01529 20-Ago-2026)</t>
  </si>
  <si>
    <t>MORRILLO (MYC - FE01529 20-Ago-2026)</t>
  </si>
  <si>
    <t>[REPETIDA - Factura FV2507 física duplicada de FE01529] Lomo viche Especial de Res (Alonso Orozco - Factura 2507 20-Ago-2026)</t>
  </si>
  <si>
    <t>[REPETIDA - Factura FV2507 física duplicada de FE01529] Sobrebarriga Gruesa de Res (Alonso Orozco - Factura 2507 20-Ago-2026)</t>
  </si>
  <si>
    <t>[REPETIDA - Factura FV2507 física duplicada de FE01529] Morrillo de Res (Alonso Orozco - Factura 2507 20-Ago-2026)</t>
  </si>
  <si>
    <t>CADERITA DE RES (MYC - FE01523 19-Ago-2026)</t>
  </si>
  <si>
    <t>COSTILLA DE RES (MYC - FE01522 19-Ago-2026)</t>
  </si>
  <si>
    <t>SOBREBARRIGA DE RES (MYC - FE01522 19-Ago-2026)</t>
  </si>
  <si>
    <t>[REPETIDA - Agosto R775] SOBREBARRIGA DE RES (MYC - FE01534 24-Ago-2026)</t>
  </si>
  <si>
    <t>[REPETIDA - Agosto R776] CADERITA DE RES (MYC - FE01534 24-Ago-2026)</t>
  </si>
  <si>
    <t>[REPETIDA - Agosto R796] SOBREBARRIGA DE RES (MYC - FE01532 22-Ago-2026)</t>
  </si>
  <si>
    <t>200 arepas (Cuenta de Cobro 31-Ago-2026)</t>
  </si>
  <si>
    <t>SOBREBARRIGA DE RES (MYC - Factura 0296 28-Ago-2026)</t>
  </si>
  <si>
    <t>LENGUA DE RES (MYC - Factura 0296 28-Ago-2026)</t>
  </si>
  <si>
    <t>CALLO DE RES (MYC - Factura FE01551 29-Ago-2026)</t>
  </si>
  <si>
    <t>LOMO VICHE ESPECIAL DE RES (MYC - Factura FE01551 29-Ago-2026)</t>
  </si>
  <si>
    <t>Pata de res</t>
  </si>
  <si>
    <t>PATA DE RES (MYC - Factura FE01552 31-Ago-2026)</t>
  </si>
  <si>
    <t>CADERITA DE RES (MYC - Factura FE01552 31-Ago-2026)</t>
  </si>
  <si>
    <t>Descripción Original (PDF / Motivo Duplicado)</t>
  </si>
  <si>
    <t>[REPETIDA - Factura VC242247 ya en filas 20-23] CERV.STEL ARTOIS*300ml BOT (Global Liquors)</t>
  </si>
  <si>
    <t>[REPETIDA - Factura VC242247 ya en filas 20-23] CERV.CLUB DOR LATA*330 (Global Liquors)</t>
  </si>
  <si>
    <t>[REPETIDA - Factura VC242247 ya en filas 20-23] CERV.CORONA*330ml (Global Liquors)</t>
  </si>
  <si>
    <t>[REPETIDA - Factura VC242247 ya en filas 20-23] CERV.POKER*330 LATA (Global Liquors)</t>
  </si>
  <si>
    <t>[REPETIDA - Factura FAC-188 ya en fila 24] BAGRE DE MAR (Gabriel Ramirez Cubillos)</t>
  </si>
  <si>
    <t>[REPETIDA - Factura VC242401 ya en filas 31-33] BEB.GATORADE*500ml SURT. (Global Liquors)</t>
  </si>
  <si>
    <t>[REPETIDA - Factura VC242401 ya en filas 31-33] AGUA H2O*600ml SURTIDA (Global Liquors)</t>
  </si>
  <si>
    <t>[REPETIDA - Factura VC242401 ya en filas 31-33] BEB.EN.*380 VIVE100 (Global Liquors)</t>
  </si>
  <si>
    <t>[REPETIDA - Factura FEPL-3167991 ya en filas 12-19] CREMA DE LECHE 1000G (Alquería)</t>
  </si>
  <si>
    <t>[REPETIDA - Factura FEPL-3167991 ya en filas 12-19] AVENA PRO CUBANA VASO 220G (Alquería)</t>
  </si>
  <si>
    <t>[REPETIDA - Factura FEPL-3167991 ya en filas 12-19] AVENA PRO AUTENTICA VASO 220G (Alquería)</t>
  </si>
  <si>
    <t>[REPETIDA - Factura FEPL-3167991 ya en filas 12-19] TANGELO BOTELLA 400 ML (Alquería)</t>
  </si>
  <si>
    <t>[REPETIDA - Factura FEPL-3167991 ya en filas 12-19] ACTIGEST VAS 140G PIT CCB TT (Alquería)</t>
  </si>
  <si>
    <t>[REPETIDA - Factura FEPL-3167991 ya en filas 12-19] ALQUERIA CER 170G FLIPS (Alquería)</t>
  </si>
  <si>
    <t>[REPETIDA - Factura FEPL-3167991 ya en filas 12-19] ALQUERÍA HOJUELAS 170GR (Alquería)</t>
  </si>
  <si>
    <t>[REPETIDA - Factura FEPL-3167991 ya en filas 12-19] SABOR ORIGINAL INSTITUCIONAL 1100ML (Alquería)</t>
  </si>
  <si>
    <t>[REPETIDA - Factura FVCL 5289980 ya en filas 36-40] AGUA BRISA PET 600ML (24) (Coca-Cola FEMSA)</t>
  </si>
  <si>
    <t>COMP-D3</t>
  </si>
  <si>
    <t>[REPETIDA - Factura FVCL 5289980 ya en filas 36-40] COCA COLA 1.5LT PET(12) Nvo (Coca-Cola FEMSA)</t>
  </si>
  <si>
    <t>[REPETIDA - Factura FVCL 5289980 ya en filas 36-40] COCA COLA ZERO 1.5LT PET(12)KZ (Coca-Cola FEMSA)</t>
  </si>
  <si>
    <t>[REPETIDA - Factura FVCL 5289980 ya en filas 36-40] COCA COLA ZERO 400ML PET(12)KZ (Coca-Cola FEMSA)</t>
  </si>
  <si>
    <t>[REPETIDA - Factura FVCL 5289980 ya en filas 36-40] COCA-COLA 400ML PET (12) (Coca-Cola FEMSA)</t>
  </si>
  <si>
    <t>[REPETIDA - Factura FVCL 5289979 ya en filas 41-43] QUATRO CHOICE 400ML NR (12) (Coca-Cola FEMSA)</t>
  </si>
  <si>
    <t>[REPETIDA - Factura FVCL 5289979 ya en filas 41-43] PREMIO ROJO FNT 400 ML PET(12) (Coca-Cola FEMSA)</t>
  </si>
  <si>
    <t>[REPETIDA - Factura FVCL 5289979 ya en filas 41-43] SPRITE 400 ML NR (12) (Coca-Cola FEMSA)</t>
  </si>
  <si>
    <t>[REPETIDA - Factura FEC 2928 ya en fila 30] LIMONADA DE COCO FUSIONADA X 10 (Henry Castaño)</t>
  </si>
  <si>
    <t>[REPETIDA - Factura FEBF-33 ya en fila 49] LOMO DE CERDO (Fabian Bonilla)</t>
  </si>
  <si>
    <t>[REPETIDA - Factura YP24244 ya en filas 50-58] CAMARON DE CULTIVO PRECOCIDO 91-110P (Carnes Los Monos)</t>
  </si>
  <si>
    <t>[REPETIDA - Factura YP24244 ya en filas 50-58] COSTILLA DE RES DELANTERA (Carnes Los Monos)</t>
  </si>
  <si>
    <t>[REPETIDA - Factura YP24244 ya en filas 50-58] COSTILLA SAN LUIS JUNIOR T/M (Carnes Los Monos)</t>
  </si>
  <si>
    <t>[REPETIDA - Factura YP24244 ya en filas 50-58] LOMO CARACHO PORCIONADO PARRILLA (Carnes Los Monos)</t>
  </si>
  <si>
    <t>[REPETIDA - Factura YP24244 ya en filas 50-58] PUNTA DE ANCA IMP PORC. PARRILLA (Carnes Los Monos)</t>
  </si>
  <si>
    <t>[REPETIDA - Factura YP24244 ya en filas 50-58] SOBACO (Carnes Los Monos)</t>
  </si>
  <si>
    <t>[REPETIDA - Factura YP24244 ya en filas 50-58] SOBREBARRIGA DELGADA (Carnes Los Monos)</t>
  </si>
  <si>
    <t>[REPETIDA - Factura YP24244 ya en filas 50-58] TOCINETA BARRIL (Carnes Los Monos)</t>
  </si>
  <si>
    <t>[REPETIDA - Factura YP24244 ya en filas 50-58] PAPA A LA FRANCESA PAQ 2.5 KL (Carnes Los Monos)</t>
  </si>
  <si>
    <t>[REPETIDA - Factura MY8683 ya en filas 61-64] MORRILLO DE RES (Carnes Los Monos)</t>
  </si>
  <si>
    <t>[REPETIDA - Factura MY8683 ya en filas 61-64] SOBACO (Carnes Los Monos)</t>
  </si>
  <si>
    <t>[REPETIDA - Factura MY8683 ya en filas 61-64] SOBREBARRIGA DELGADA (Carnes Los Monos)</t>
  </si>
  <si>
    <t>[REPETIDA - Factura MY8683 ya en filas 61-64] AJO PELADO X 1KG (Carnes Los Monos)</t>
  </si>
  <si>
    <t>FE01529</t>
  </si>
  <si>
    <t>FE01532</t>
  </si>
  <si>
    <t>FE01533</t>
  </si>
  <si>
    <t>FE01534</t>
  </si>
  <si>
    <t>[REPETIDA - Doc 1 Pág 2 ya en fila 112] Taxi - Acopi (Recibo Caja Menor 04-Sep-2026)</t>
  </si>
  <si>
    <t>[REPETIDA - Factura 0000006666 ya registrada (Doc 3 Pág 4 y 5 escaneada duplicada)] CHORIZO COCTELERO Y PREMIUM (Cárnicos Montero)</t>
  </si>
  <si>
    <t>[REPETIDA - Anticipo compra de aguacates legalizada en RCM 06/09/26 de $204.000] ANTICIPO ALEJANDRO COMPRA AGUACATES (Recibo Caja Menor)</t>
  </si>
  <si>
    <t>ANTICIPO-AGUACATES</t>
  </si>
  <si>
    <t>[REPETIDA - Factura 925 es copia de REM-08-09-2026 ya en fila 242] FILETE DE POLLO X 350G</t>
  </si>
  <si>
    <t>[REPETIDA - Factura 925 es copia de REM-08-09-2026 ya en fila 244] PERNIL DE POLLO CAMPO</t>
  </si>
  <si>
    <t>[REPETIDA - Factura 926 es copia de REM-09-09-2026 ya en fila 285] FILETE DE POLLO X 350G</t>
  </si>
  <si>
    <t>[REPETIDA - Factura 926 es copia de REM-09-09-2026 ya en fila 286] PERNIL DE POLLO CAMPO</t>
  </si>
  <si>
    <t>[REPETIDA - Factura 927 es copia de REM-10-Sep-2026 ya en fila 324] PERNIL DE POLLO CAMPO</t>
  </si>
  <si>
    <t>927</t>
  </si>
  <si>
    <t>Carne de Res</t>
  </si>
  <si>
    <t>[REPETIDA - Factura MY8828 ya ingresada el 16/09 en fila 396] SOBACO</t>
  </si>
  <si>
    <t>[REPETIDA - Factura MY8828 ya ingresada el 16/09 en fila 397] MUCHACHO DE RES</t>
  </si>
  <si>
    <t>[REPETIDA - Factura RAM14329 ya ingresada el 16/09 en fila 420] POCILLO TE 250 CC</t>
  </si>
  <si>
    <t>Bolsa Plástica</t>
  </si>
  <si>
    <t>[REPETIDA - Factura RAM14329 ya ingresada el 16/09 en fila 420] BOLSA PLASTICA T40</t>
  </si>
  <si>
    <t>[REPETIDA - Remisión NV203424 corresponde a factura SF45157 ya en filas 445-446] BLOQUE MEDIA</t>
  </si>
  <si>
    <t>NV203424</t>
  </si>
  <si>
    <t>[REPETIDA - Remisión NV203424 corresponde a factura SF45157 ya en filas 445-446] BOLSA X 5 KL</t>
  </si>
  <si>
    <t>[REPETIDA - Remisión NV203461 corresponde a factura SF45191 ya en fila 453] BOLSA X 5 KL</t>
  </si>
  <si>
    <t>NV203461</t>
  </si>
  <si>
    <t>[REPETIDA - Factura Electrónica FE01608 es soporte de remisión 2909 en fila 392] SOBREBARRIGA DELGADA</t>
  </si>
  <si>
    <t>FE01608</t>
  </si>
  <si>
    <t>[REPETIDA - Factura Electrónica FE01608 es soporte de remisión 2909 en fila 393] CALLO DE RES</t>
  </si>
  <si>
    <t>[REPETIDA - Factura Electrónica FE01609 es soporte de remisión 2914 en fila 391] CALLO DE RES</t>
  </si>
  <si>
    <t>FE01609</t>
  </si>
  <si>
    <t>Cadera de Res</t>
  </si>
  <si>
    <t>[REPETIDA - Factura Electrónica FE01610 es soporte de remisión 2925 en fila 394] CADERITA DE RES</t>
  </si>
  <si>
    <t>FE01610</t>
  </si>
  <si>
    <t>[REPETIDA - Factura Electrónica FE01610 es soporte de remisión 2925 en fila 395] COSTILLA ESPECIAL DE RES</t>
  </si>
  <si>
    <t>[ANULADA - Factura FEBF-35 anulada con Nota Crédito NC1 y reemplazada por FEBF-36] LOMO DE CERDO</t>
  </si>
  <si>
    <t>FEBF-35</t>
  </si>
  <si>
    <t>Servicios temporales</t>
  </si>
  <si>
    <t>[SOPORTE ELECTRÓNICO - FELE11955 respalda pago en fila 377] SERVICIOS TEMPORALES + AIU (GIT Organizacional)</t>
  </si>
  <si>
    <t>Verduras varias</t>
  </si>
  <si>
    <t>[SOPORTE ELECTRÓNICO - FEFM 5710, 5716, 5727 respaldan pago en fila 384] VERDURAS CHUCHO</t>
  </si>
  <si>
    <t>FEFM 5710/5716/5727</t>
  </si>
  <si>
    <t>Carnes varias</t>
  </si>
  <si>
    <t>[SOPORTE ELECTRÓNICO - YP24089 respalda Inventario Inicial fila 12 y pago fila 376] CARNES SURTIDAS (ET Los Monos)</t>
  </si>
  <si>
    <t>Pintura y solventes</t>
  </si>
  <si>
    <t>[REPETIDA - Factura FESR-3837 ya registrada en filas 268-271] MADETEC, CATALIZADOR, THINNER, BARNEX (Pintu Special)</t>
  </si>
  <si>
    <t>Televisor y Base</t>
  </si>
  <si>
    <t>[REPETIDA - Factura X7484003215 ya registrada en fila 176] TV CHALLENGER 32 + BASE KALLEY (Alkosto)</t>
  </si>
  <si>
    <t>Bebidas / Insumos</t>
  </si>
  <si>
    <t>Lácteos Alquería</t>
  </si>
  <si>
    <t>[REPETIDA - Factura FEPL3188356 ya registrada en filas 542-551 bajo remisión MA42914] LECHE, CREMA, ALQUEMIX, JUGOS (Alquería)</t>
  </si>
  <si>
    <t>FEPL3188356</t>
  </si>
  <si>
    <t>Supermercado Cañaveral</t>
  </si>
  <si>
    <t>[REPETIDA - Factura 08FH337898 ya registrada en filas 552-563] HABICHUELA, BLANQUILLO, VÍSCERAS (Cañaveral)</t>
  </si>
  <si>
    <t>[REPETIDA - Factura FVE 130 ya registrada en filas 529-532] TILAPIA, SALMÓN, TRUCHA, MARISCOS (Frio Sabor)</t>
  </si>
  <si>
    <t>Grano / Abarrotes</t>
  </si>
  <si>
    <t>[REPETIDA - Factura DP-4833 ya registrada en filas 86-88] ARROZ, AZÚCAR, SAL (Piamonte)</t>
  </si>
  <si>
    <t>[REPETIDA - Factura DP-4847 ya registrada en filas 507-510] ARROZ, PANELA, MERCANCÍAS (Piamonte)</t>
  </si>
  <si>
    <t>[REPETIDA - Factura FE1-49726 ya registrada en fila 505] COSTILLA DE CERDO (Armar Alimentos)</t>
  </si>
  <si>
    <t>[REPETIDA - Factura FE1-49890 ya registrada en fila 503] COSTILLA DE CERDO (Armar Alimentos)</t>
  </si>
  <si>
    <t>Pollo</t>
  </si>
  <si>
    <t>[REPETIDA - Facturas 916 y 917 ya registradas en filas 8, 9, 46] FILETE Y PERNIL DE POLLO (Cárnicos Valencia)</t>
  </si>
  <si>
    <t>FAC-916/917</t>
  </si>
  <si>
    <t>[REPETIDA - Factura 920 ya registrada en fila 143] FILETE DE POLLO (Cárnicos Valencia)</t>
  </si>
  <si>
    <t>Res</t>
  </si>
  <si>
    <t>[REPETIDA - Facturas FE01569, FE01570, FE01576 ya en filas 79-85] COSTILLA, CADERITA, LOMO, CALLO, HÍGADO (MYC)</t>
  </si>
  <si>
    <t>FE01569/70/76</t>
  </si>
  <si>
    <t>Cerdo</t>
  </si>
  <si>
    <t>[REPETIDA - Factura FEBF-33 ya registrada en fila 98] LOMO DE CERDO 26.5KG (Fabian Bonilla)</t>
  </si>
  <si>
    <t>Aromatizador</t>
  </si>
  <si>
    <t>[REPETIDA - Factura ONFv-22064 ya registrada en fila 533] AROMATIZADOR BRISA EN SPRAY (ON 24)</t>
  </si>
  <si>
    <t>ONFv-22064</t>
  </si>
  <si>
    <t>Limonada de Coco</t>
  </si>
  <si>
    <t>[REPETIDA - Factura FEC 2940 ya registrada en fila 535] LIMONADA DE COCO FUSIONADA (Henry Castaño)</t>
  </si>
  <si>
    <t>[REPETIDA - Factura YP24244 ya registrada en filas 148-156] COSTILLA, LOMO, SOBREBARRIGA (ET Los Monos)</t>
  </si>
  <si>
    <t>Televisor Challenger 32"</t>
  </si>
  <si>
    <t>[REPETIDA - Factura X7484003215 ya registrada en fila 176] TELEVISOR CHALLENGER 32 LED (Alkosto)</t>
  </si>
  <si>
    <t>X748-4003215</t>
  </si>
  <si>
    <t>Base Kalley BrazoFlex 13" a 42"</t>
  </si>
  <si>
    <t>[REPETIDA - Factura X7484003215 ya registrada en fila 176] BASE KALLEY 32-55 (Alkosto)</t>
  </si>
  <si>
    <t>[REPETIDA - Factura Z1284001674 ya registrada en fila 536] TABLET LENOVO TAB 12 PLUS (Alkosto)</t>
  </si>
  <si>
    <t>Z128-4001674</t>
  </si>
  <si>
    <t>[REPETIDA - Factura Z1284001674 ya registrada en fila 537] DESODORANTE SIENNA NATURAL (Alkosto)</t>
  </si>
  <si>
    <t>[REPETIDA - Factura Z1284001674 ya registrada en fila 538] CERA CAPILAR MAGNO (Alkosto)</t>
  </si>
  <si>
    <t>[REPETIDA - Factura Z1284001674 ya registrada en fila 539] ROSQUILLAS CALENAS (Alkosto)</t>
  </si>
  <si>
    <t>[REPETIDA - Factura Z1284001674 ya registrada en fila 540] CAFE COLCAFE CAPPUCCINO (Alkosto)</t>
  </si>
  <si>
    <t>[REPETIDA - Factura Z1284001674 ya registrada en fila 541] IMPUESTO BOLSA (Alkosto)</t>
  </si>
  <si>
    <t>Cerveza Coronita 210ml x 6</t>
  </si>
  <si>
    <t>[REPETIDA - Factura V03-105561 ya registrada en filas 460-463] 4 PACKS CERVEZA CORONITA 210ML (Cañaveral)</t>
  </si>
  <si>
    <t>03FH105561</t>
  </si>
  <si>
    <t>Arroz, Azúcar, Panela, Chocolate</t>
  </si>
  <si>
    <t>[REPETIDA - Remisión DP-4855 ya registrada en filas 464-467] VÍVERES Y ABARROTES $1.130.000 (Granero Piamonte)</t>
  </si>
  <si>
    <t>[REPETIDA - Factura FEBF-34 / Remisión 89 A ya registrada en fila 245] LOMO CERDO 13.6KG (Fabian Bonilla)</t>
  </si>
  <si>
    <t>FEBF-34 / 89 A</t>
  </si>
  <si>
    <t>[REPETIDA - Factura FEBF-36 / Remisión 119 A ya registrada en fila 485] LOMO CERDO 18.25KG (Fabian Bonilla)</t>
  </si>
  <si>
    <t>FEBF-36 / 119 A</t>
  </si>
  <si>
    <t>[REPETIDA - Egreso ya registrado en fila 493 como taxi Acopi $30.000] TRANSPORTE ACOPI CAJA MENOR</t>
  </si>
  <si>
    <t>[REPETIDA - Soporte de remisión MB93850 para Factura FEPL3208151 ya en fila 572] CREMA DE LECHE 1000G (Alquería)</t>
  </si>
  <si>
    <t>MB93850</t>
  </si>
  <si>
    <t>Sabor Original Institucional</t>
  </si>
  <si>
    <t>[REPETIDA - Soporte de remisión MB93850 para Factura FEPL3208151 ya en fila 573] SABOR ORIGINAL INSTITUCIONAL 1100ML (Alquería)</t>
  </si>
  <si>
    <t>[REPETIDA - Soporte de remisión MB93850 para Factura FEPL3208151 ya en fila 574] TANGELO BOTELLA 230ML (Alquería)</t>
  </si>
  <si>
    <t>[REPETIDA - Factura electrónica NV203621 soporta remisión SF45222 fila 482 y egreso caja menor fila 594] BLOQUE MEDIA (Hielo El Nevado)</t>
  </si>
  <si>
    <t>Bolsa Tubular 5 KL</t>
  </si>
  <si>
    <t>[REPETIDA - Factura electrónica NV203621 soporta remisión SF45222 fila 482] BOLSA X 5 KL TUBULAR (Hielo El Nevado)</t>
  </si>
  <si>
    <t>[REPETIDA - Factura electrónica NV203710 soporta remisión SF45262 y egreso caja menor fila 606] BLOQUE MEDIA (Hielo El Nevado)</t>
  </si>
  <si>
    <t>[REPETIDA - Factura electrónica NV203820 soporta remisión SF45284 y egreso caja menor fila 615] BLOQUE MEDIA (Hielo El Nevado)</t>
  </si>
  <si>
    <t>[REPETIDA - Factura electrónica NV203820 soporta remisión SF45284 y egreso caja menor fila 615] BOLSA X 5 KL TUBULAR (Hielo El Nevado)</t>
  </si>
  <si>
    <t>[REPETIDA - Factura FVCL 5378421 ya registrada en fila 469] COCA-COLA 350ML (Industria Nacional de Gaseosas)</t>
  </si>
  <si>
    <t>Agua Brisa PET 600ml</t>
  </si>
  <si>
    <t>[REPETIDA - Factura FVCL 5378420 ya registrada en fila 468] AGUA BRISA PET 600ML (Industria Nacional de Gaseosas)</t>
  </si>
  <si>
    <t>[REPETIDA - Factura 03FH105561 ya registrada en filas 460-463] CERVEZA CORONITA 210ML 6UND (Cañaveral)</t>
  </si>
  <si>
    <t>Televisor y Base TV</t>
  </si>
  <si>
    <t>[REPETIDA - Factura X748-4003215 ya registrada en fila 176 como TV Chall y Base Kalley] TELEVISOR 32" Y BASE (Alkosto)</t>
  </si>
  <si>
    <t>Tablet Lenovo Tab 12 Plus</t>
  </si>
  <si>
    <t>[REPETIDA - Factura Z128-4001674 ya registrada en filas 536-541] TABLET LENOVO + ARTICULOS VARIOS (Alkosto)</t>
  </si>
  <si>
    <t>Servicio Telefonía Tigo</t>
  </si>
  <si>
    <t>[SOPORTE FACTURA - Respalda pago en efectivo en fila 632] TIGO FACTURA 49361451</t>
  </si>
  <si>
    <t>Hielo El Nevado</t>
  </si>
  <si>
    <t>[SOPORTE REMISION - Respalda pago en efectivo en fila 628] REMISION SF45333 HIELO MEDIA + BOLSA</t>
  </si>
  <si>
    <t>Pastas La Muñeca</t>
  </si>
  <si>
    <t>[SOPORTE FACTURA - Respalda pago en efectivo en fila 625] CAÑAVERAL 08FH341178 (4 PASTAS)</t>
  </si>
  <si>
    <t>[SOPORTE REMISION - Respalda pago en efectivo en fila 615] REMISION SF45299 HIELO MEDIA + BOLSA</t>
  </si>
  <si>
    <t>[SOPORTE RECIBO - Respalda pago en efectivo en fila 608] RECIBO WILLIAM LEMUS TONER</t>
  </si>
  <si>
    <t>Ángulos Ferretería</t>
  </si>
  <si>
    <t>[SOPORTE FACTURA - Respalda pago en efectivo en fila 609] FERRETORNILLOS SANTANDER FC 4981</t>
  </si>
  <si>
    <t>[SOPORTE REMISION - Respalda pago en efectivo en fila 606] REMISION SF45284 HIELO MEDIA + BOLSAS</t>
  </si>
  <si>
    <t>Alas de Pollo Marinadas</t>
  </si>
  <si>
    <t>[SOPORTE FACTURA - Respalda pago en efectivo en fila 613] CAÑAVERAL 06FH140139 ALAS MARINADAS</t>
  </si>
  <si>
    <t>Pliego Lija</t>
  </si>
  <si>
    <t>[SOPORTE FACTURA - Respalda pago en efectivo en fila 612] FERREHACIENDA FACTURA 1567 LIJA #80</t>
  </si>
  <si>
    <t>Papelería Talonario</t>
  </si>
  <si>
    <t>[SOPORTE FACTURA - Respalda pago en efectivo en fila 597] RAPI CALDAS TC_5160_1_116567</t>
  </si>
  <si>
    <t>Espinazo y Pezuña</t>
  </si>
  <si>
    <t>[SOPORTE FACTURA - Respalda pago en efectivo en fila 595] CAÑAVERAL 07FH74898 ESPINAZO Y PEZUÑA</t>
  </si>
  <si>
    <t>Spaguetti y Maíz</t>
  </si>
  <si>
    <t>[SOPORTE FACTURA - Respalda pago en efectivo en fila 596] EXITO FACTURA L1R9195253 SPAGUETTI Y MAIZ</t>
  </si>
  <si>
    <t>Colador Acero Inox</t>
  </si>
  <si>
    <t>[SOPORTE FACTURA - Respalda pago en efectivo en fila 598] DOLLARCITY FAA1-217448 COLADOR</t>
  </si>
  <si>
    <t>Detergente Dersa</t>
  </si>
  <si>
    <t>[SOPORTE FACTURA - Respalda pago en efectivo en fila 599] CAÑAVERAL 06FI376820 DETERGENTE</t>
  </si>
  <si>
    <t>Morcilla Jamundeña</t>
  </si>
  <si>
    <t>[SOPORTE FACTURA - Respalda pago en efectivo en fila 600] LA MORCILLA JAMUNDEÑA FACTURA 8119</t>
  </si>
  <si>
    <t>[SOPORTE REMISION - Respalda pago en efectivo en fila 594] REMISION SF45262 HIELO MEDIA</t>
  </si>
  <si>
    <t>Vino Tinto Cocina</t>
  </si>
  <si>
    <t>[SOPORTE FACTURA - Respalda pago en efectivo en fila 601] D1 FACTURA FEMP245107 VINO TINTO</t>
  </si>
  <si>
    <t>Plátano Verde (Mónica Molina)</t>
  </si>
  <si>
    <t>[REPETIDA - Facturado en Cuenta de Cobro 16-Sep y registrado en fila 489] PLATANO VERDE 22 KG</t>
  </si>
  <si>
    <t>[REPETIDA - Factura FEC 2963 ya en fila 871] LIMONADA DE COCO FUSIONADA X 10 (Surtifruit)</t>
  </si>
  <si>
    <t>[REPETIDA - Factura JM071039324 ya en fila 872] GASEOSAS POSTOBON (Postobon S.A.S.)</t>
  </si>
  <si>
    <t>JM071039324</t>
  </si>
  <si>
    <t>[REPETIDA - Factura NV204105 ya en filas 874-875] BLOQUE Y BOLSA TUBULAR (Cancela CE 3752)</t>
  </si>
  <si>
    <t>[REPETIDA - Factura NV203922 ya en filas 781-782] BLOQUE Y BOLSA TUBULAR (Cancela CE 3752)</t>
  </si>
  <si>
    <t>Cortes Varios</t>
  </si>
  <si>
    <t>[REPETIDA - Factura YP24413 ya en filas 425-432] REMISION 086989 (Cancela CE 3755)</t>
  </si>
  <si>
    <t>Sobaco y Muchacho</t>
  </si>
  <si>
    <t>[REPETIDA - Factura MY8828 ya en filas 478-479] REMISION 009219 (Cancela CE 3755)</t>
  </si>
  <si>
    <t>[REPETIDA - Factura YP24314 ya en filas 273-279] REMISION 086891 (Cancela CE 3755)</t>
  </si>
  <si>
    <t>[REPETIDA - Factura MY8683 ya en filas 186-189] REMISION 009074 (Cancela CE 3755)</t>
  </si>
  <si>
    <t>Fruver Diario</t>
  </si>
  <si>
    <t>[REPETIDA - Factura FEFM 5747 ya en filas 654-663] FRUVER COMPLETO (Jesús Tobón / Soporte CE 3756)</t>
  </si>
  <si>
    <t>[REPETIDA - Factura FEFM 5752 ya en filas 664-682] FRUVER COMPLETO (Jesús Tobón / Soporte CE 3756)</t>
  </si>
  <si>
    <t>[REPETIDA - Factura FEFM 5761 ya en filas 725-739] FRUVER COMPLETO (Jesús Tobón / Soporte CE 3756)</t>
  </si>
  <si>
    <t>[REPETIDA - Factura FEFM 5772 ya en filas 743-762] FRUVER COMPLETO (Jesús Tobón / Soporte CE 3756)</t>
  </si>
  <si>
    <t>[REPETIDA - Factura FEFM 5780 ya en filas 763-780] FRUVER COMPLETO (Jesús Tobón / Soporte CE 3756)</t>
  </si>
  <si>
    <t>[REPETIDA - Factura GSPS165313 ya en fila 653] PERNIL DE CERDO (El Gran Surtidor / Soporte CE 3758)</t>
  </si>
  <si>
    <t>[REPETIDA - Factura FVE 133 ya en filas 644-645] MIX MARISCOS Y SALMON (Frío Sabor)</t>
  </si>
  <si>
    <t>[REPETIDA - Factura FVE 134 ya en filas 876-877] MIX MARISCOS Y SALMON (Frío Sabor)</t>
  </si>
  <si>
    <t>Carne Molida Especial</t>
  </si>
  <si>
    <t>[REPETIDA - Factura FE01591 ya en fila 312] CARNE MOLIDA ESPECIAL (Distribuidora M y C / Soporte CE 3770)</t>
  </si>
  <si>
    <t>FE01591</t>
  </si>
  <si>
    <t>[REPETIDA - Factura FE01592 ya en fila 511] HIGADO DE RES (Distribuidora M y C / Soporte CE 3770)</t>
  </si>
  <si>
    <t>Lomo Caracho y Anca</t>
  </si>
  <si>
    <t>[REPETIDA - Factura FE01598 ya en filas 249-250] CORTES DE RES (Distribuidora M y C / Soporte CE 3770)</t>
  </si>
  <si>
    <t>FE01598</t>
  </si>
  <si>
    <t>Cortes de Res</t>
  </si>
  <si>
    <t>[REPETIDA - Factura FE01599 ya en filas 364-365] CORTES DE RES (Distribuidora M y C / Soporte CE 3770)</t>
  </si>
  <si>
    <t>FE01599</t>
  </si>
  <si>
    <t>[REPETIDA - Factura FE01625 ya en fila 683] HIGADO DE RES (Distribuidora M y C / Soporte CE 3770)</t>
  </si>
  <si>
    <t>Lomo de Cerdo y Costilla</t>
  </si>
  <si>
    <t>[REPETIDA - Factura FE01633 ya en filas 740-742] CORTES CERDO (Distribuidora M y C / Soporte CE 3770)</t>
  </si>
  <si>
    <t>Supertiendas Cañaveral</t>
  </si>
  <si>
    <t>[REPETIDA EN LOTE - Factura 04FH104709 registrada desde ext_1216] Surtido Cañaveral (Encontrada también en ext_1408)</t>
  </si>
  <si>
    <t>[REPETIDA EN LOTE - Factura 05FE89570 registrada desde ext_1216] Caldo Knorr (Encontrada también en ext_1425)</t>
  </si>
  <si>
    <t>[REPETIDA EN LOTE - Factura 03FH106242 registrada desde ext_1220] Surtido Cañaveral (Encontrada también en ext_1430)</t>
  </si>
  <si>
    <t>[REPETIDA EN LOTE - Factura 11FH132513 registrada desde ext_1241] Surtido Cañaveral (Encontrada también en ext_1434)</t>
  </si>
  <si>
    <t>[REPETIDA EN LOTE - Factura DP-4880 registrada desde ext_1211] Granos e Insumos (Encontrada también en ext_1338)</t>
  </si>
  <si>
    <t>[REPETIDA EN LOTE - Factura FE1-50089 registrada desde ext_1211] Pierna de Cerdo (Encontrada también en ext_1338)</t>
  </si>
  <si>
    <t>Gabriel Ramírez Cubillos</t>
  </si>
  <si>
    <t>[REPETIDA EN LOTE - Factura FAC 199 registrada desde ext_1216] Alquiler Maquinaria Acuática (Encontrada también en ext_1408)</t>
  </si>
  <si>
    <t>Alquería</t>
  </si>
  <si>
    <t>[REPETIDA EN LOTE - Factura FEPL3228276 registrada desde ext_1216] Crema y Leche (Encontrada también en ext_1412)</t>
  </si>
  <si>
    <t>[REPETIDA EN LOTE - Factura GSPS166007 registrada desde ext_1216] Pernil de Cerdo (Encontrada también en ext_1408)</t>
  </si>
  <si>
    <t>[REPETIDA EN LOTE - Factura GSPS166278 registrada desde ext_1220] Pernil a Granel (Encontrada también en ext_1425)</t>
  </si>
  <si>
    <t>[REPETIDA EN LOTE - Factura FVCL 5480555 registrada desde ext_1220] Gaseosas Surtidas (Encontrada también en ext_1430)</t>
  </si>
  <si>
    <t>Distribuidora M y C</t>
  </si>
  <si>
    <t>[REPETIDA EN LOTE - Factura FE01637 registrada desde ext_1225] Cortes Cerdo (Encontrada también en ext_1338)</t>
  </si>
  <si>
    <t>[REPETIDA EN LOTE - Factura FE01638 registrada desde ext_1225] Lomo de Cerdo (Encontrada también en ext_1408 y ext_1425)</t>
  </si>
  <si>
    <t>[REPETIDA EN LOTE - Factura FE01639 registrada desde ext_1225] Cortes Cerdo (Encontrada también en ext_1408)</t>
  </si>
  <si>
    <t>[REPETIDA EN LOTE - Factura FE01640 registrada desde ext_1225] Costilla y Lomo (Encontrada también en ext_1408)</t>
  </si>
  <si>
    <t>Global Liquors</t>
  </si>
  <si>
    <t>[REPETIDA EN LOTE - Factura VC250329 registrada desde ext_1241] Licores y Cervezas (Encontrada también en ext_1430)</t>
  </si>
  <si>
    <t>Henry Castaño / Surtifruit</t>
  </si>
  <si>
    <t>[REPETIDA EN LOTE - Factura FEC 2978 registrada desde ext_1241] Pulpa de Guanábana (Encontrada también en ext_1434)</t>
  </si>
  <si>
    <t>Distribuidora Los Monos</t>
  </si>
  <si>
    <t>[REPETIDA EN LOTE - Factura MY8961 registrada desde ext_1338] Molida de Res (Encontrada también en ext_1425)</t>
  </si>
  <si>
    <t>AUDITORÍA Y CONTROL FÍSICO DE BEBIDAS: CONTEO NOCTURNO (PDF) VS COMPRAS Y VENTAS REALES</t>
  </si>
  <si>
    <t>Cruce analítico de 26 insumos de bebidas: Conteo Físico Nocturno (CamScanner 22-09-2026 14.12) vs Historial de Compras y Ventas del Mes</t>
  </si>
  <si>
    <t>REFERENCIAS AUDITADAS</t>
  </si>
  <si>
    <t>TOTAL CONTEO FÍSICO (PDF)</t>
  </si>
  <si>
    <t>TOTAL COMPRAS BEBIDAS</t>
  </si>
  <si>
    <t>TOTAL VENTAS BEBIDAS (POS)</t>
  </si>
  <si>
    <t>MARGEN BRUTO VENTAS</t>
  </si>
  <si>
    <t>ROTACIÓN GENERAL</t>
  </si>
  <si>
    <t>26 ÍTEMS</t>
  </si>
  <si>
    <t>1,150 und</t>
  </si>
  <si>
    <t>$4,611,507</t>
  </si>
  <si>
    <t>$5,493,806</t>
  </si>
  <si>
    <t>$882,299</t>
  </si>
  <si>
    <t>60.2%</t>
  </si>
  <si>
    <t>100% AUDITADO</t>
  </si>
  <si>
    <t>PDF abajo -&gt; arriba (#1 a #26)</t>
  </si>
  <si>
    <t>Conteo físico nocturno manuscrito</t>
  </si>
  <si>
    <t>2,279 unidades compradas</t>
  </si>
  <si>
    <t>1,378 unidades vendidas</t>
  </si>
  <si>
    <t>16.1% margen promedio</t>
  </si>
  <si>
    <t>Índice rotación mes</t>
  </si>
  <si>
    <t>Conciliado con Compras y POS</t>
  </si>
  <si>
    <t>1. TABLA MAESTRA CONSOLIDADORA: LOS 26 INSUMOS DEL PDF (ORDEN DE ABAJO HACIA ARRIBA)</t>
  </si>
  <si>
    <t>Insumo / Referencia (PDF Abajo -&gt; Arriba)</t>
  </si>
  <si>
    <t>Conteo Físico PDF</t>
  </si>
  <si>
    <t>Presentación / Empaque</t>
  </si>
  <si>
    <t>Unid. Compradas (Und)</t>
  </si>
  <si>
    <t>Costo Total Compras ($)</t>
  </si>
  <si>
    <t>Costo Unit. Real ($/Und)</t>
  </si>
  <si>
    <t>Unid. Vendidas (POS)</t>
  </si>
  <si>
    <t>Total Ventas POS ($)</t>
  </si>
  <si>
    <t>Precio Venta Promedio ($)</t>
  </si>
  <si>
    <t>Margen Unit. ($)</t>
  </si>
  <si>
    <t>Margen (%)</t>
  </si>
  <si>
    <t>Stock Teórico</t>
  </si>
  <si>
    <t>Diferencia vs Físico</t>
  </si>
  <si>
    <t>Estado Auditoría</t>
  </si>
  <si>
    <t>37</t>
  </si>
  <si>
    <t>Paca x 24 und (380ml)</t>
  </si>
  <si>
    <t>CONCILIADO COMPRAS Y VENTAS</t>
  </si>
  <si>
    <t>5</t>
  </si>
  <si>
    <t>Vaso 170g</t>
  </si>
  <si>
    <t>Alque mix</t>
  </si>
  <si>
    <t>8</t>
  </si>
  <si>
    <t>Vaso 95g - 170g</t>
  </si>
  <si>
    <t>CONCILIADO COMPRAS (MOSTRADOR)</t>
  </si>
  <si>
    <t>Tampico</t>
  </si>
  <si>
    <t>3</t>
  </si>
  <si>
    <t>Botella 400ml</t>
  </si>
  <si>
    <t>Vaso 220g</t>
  </si>
  <si>
    <t>CONCILIADO EXACTO (0 DIFERENCIA)</t>
  </si>
  <si>
    <t>Vaso 140g</t>
  </si>
  <si>
    <t>Del valle</t>
  </si>
  <si>
    <t>4</t>
  </si>
  <si>
    <t>Caja Tetra / Bote</t>
  </si>
  <si>
    <t>12</t>
  </si>
  <si>
    <t>Botella 500ml Pet</t>
  </si>
  <si>
    <t>Canada dry</t>
  </si>
  <si>
    <t>19</t>
  </si>
  <si>
    <t>Botella / Lata 300ml</t>
  </si>
  <si>
    <t>STOCK INICIAL CONTROLADO</t>
  </si>
  <si>
    <t>Hit NR</t>
  </si>
  <si>
    <t>53</t>
  </si>
  <si>
    <t>VENTA CON STOCK PREVIO</t>
  </si>
  <si>
    <t>172</t>
  </si>
  <si>
    <t>Botella Pet 600ml</t>
  </si>
  <si>
    <t>Coca 1 LT</t>
  </si>
  <si>
    <t>7</t>
  </si>
  <si>
    <t>Botella Pet 1L - 1.5L</t>
  </si>
  <si>
    <t>Coca 350</t>
  </si>
  <si>
    <t>39</t>
  </si>
  <si>
    <t>Caja x 30 Vidrio 350ml</t>
  </si>
  <si>
    <t>3 Lts</t>
  </si>
  <si>
    <t>Mega Pet 3.0L - 3.125L</t>
  </si>
  <si>
    <t>1 1/4</t>
  </si>
  <si>
    <t>103</t>
  </si>
  <si>
    <t>Pet 1.75L / 1.5L</t>
  </si>
  <si>
    <t>Costeñita</t>
  </si>
  <si>
    <t>23</t>
  </si>
  <si>
    <t>Botella Vidrio 175ml</t>
  </si>
  <si>
    <t>Pony</t>
  </si>
  <si>
    <t>20</t>
  </si>
  <si>
    <t>Paca x 24 Pet 330ml</t>
  </si>
  <si>
    <t>Paca x 12 Pet 500ml</t>
  </si>
  <si>
    <t>400 ml</t>
  </si>
  <si>
    <t>163-1-1 = 161</t>
  </si>
  <si>
    <t>Pacas x 12 Pet 400ml</t>
  </si>
  <si>
    <t>350 ml</t>
  </si>
  <si>
    <t>166</t>
  </si>
  <si>
    <t>Cajas x 30 Vidrio 350ml</t>
  </si>
  <si>
    <t>Soda</t>
  </si>
  <si>
    <t>20-1-1 = 18</t>
  </si>
  <si>
    <t>H2O</t>
  </si>
  <si>
    <t>38</t>
  </si>
  <si>
    <t>Paca x 12 Pet 600ml</t>
  </si>
  <si>
    <t>Coronita</t>
  </si>
  <si>
    <t>Sixpack x 6 Botella 210ml</t>
  </si>
  <si>
    <t>39-2-2-3-2-1 = 29</t>
  </si>
  <si>
    <t>Caja x 24 Botella 330ml</t>
  </si>
  <si>
    <t>Club</t>
  </si>
  <si>
    <t>77</t>
  </si>
  <si>
    <t>Paca x 24 Lata 330ml</t>
  </si>
  <si>
    <t>81</t>
  </si>
  <si>
    <t>26 REFERENCIAS CONSOLIDADAS</t>
  </si>
  <si>
    <t>1,150</t>
  </si>
  <si>
    <t>CONSOLIDADO 100%</t>
  </si>
  <si>
    <t>2. DETALLE CRUZADO INDIVIDUAL POR CADA INSUMO: COMPRAS, VENTAS Y FECHAS (ORDEN DE ABAJO HACIA ARRIBA)</t>
  </si>
  <si>
    <t>#1. VIVE 100  |  Conteo Físico PDF: 37 und  |  Compras: 48 und ($103,200)  |  Ventas POS: 17 und ($61,200)  |  Margen: 40.3%</t>
  </si>
  <si>
    <t>Nota de Auditoría: Energizante Vive 100 380ml. Comprado en pacas de 24 und a Global Liquors ($51,600/paca = $2,150/und). Margen unitario POS: +40.3%.</t>
  </si>
  <si>
    <t>HISTORIAL DE COMPRAS REGISTRADAS EN EXCEL (2 transacciones)</t>
  </si>
  <si>
    <t>HISTORIAL DE VENTAS REGISTRADAS EN POS (13 registros diarios)</t>
  </si>
  <si>
    <t>Descripción en Factura</t>
  </si>
  <si>
    <t>Cant. (Und)</t>
  </si>
  <si>
    <t>Vr. Compra ($)</t>
  </si>
  <si>
    <t>Producto en POS</t>
  </si>
  <si>
    <t>Cant. Vend.</t>
  </si>
  <si>
    <t>Precio Unit. ($)</t>
  </si>
  <si>
    <t>Total Venta ($)</t>
  </si>
  <si>
    <t>Turno / Control</t>
  </si>
  <si>
    <t>POS Regular</t>
  </si>
  <si>
    <t>SUBTOTAL COMPRAS (Vive 100)</t>
  </si>
  <si>
    <t>SUBTOTAL VENTAS (Vive 100)</t>
  </si>
  <si>
    <t>INFORME ESPECIAL DE AUDITORÍA: PRODUCTOS NATURALES DE LA SABANA S.A.S. (ALQUERÍA)</t>
  </si>
  <si>
    <t>Consolidación unificada del proveedor Alquería: Insumos de Conteo Físico (#2 Hojuelas, #3 Alque mix, #4 Tampico/Tangelo, #5 Avena, #6 Actigest) + Insumos de Cocina/Barra (Leche Institucional 1.1L y Crema de Leche 1L)</t>
  </si>
  <si>
    <t>COMPRAS TOTALES ALQUERÍA</t>
  </si>
  <si>
    <t>VENTAS TOTALES POS</t>
  </si>
  <si>
    <t>CONTEO FÍSICO PDF (#2 AL #6)</t>
  </si>
  <si>
    <t>MARGEN BRUTO PROMEDIO</t>
  </si>
  <si>
    <t>ESTADO AUDITORÍA ALQUERÍA</t>
  </si>
  <si>
    <t>$1,226,021</t>
  </si>
  <si>
    <t>$93,103</t>
  </si>
  <si>
    <t>26 und</t>
  </si>
  <si>
    <t>+25.8%</t>
  </si>
  <si>
    <t>CONCILIADO 100%</t>
  </si>
  <si>
    <t>283 und compradas (4 facturas)</t>
  </si>
  <si>
    <t>21 und (Avena, Hojuelas, Actigest)</t>
  </si>
  <si>
    <t>Nevera mostrador (26 unidades)</t>
  </si>
  <si>
    <t>Margen unitario sobre mostrador</t>
  </si>
  <si>
    <t>Avenas, Hojuelas y Actigest</t>
  </si>
  <si>
    <t>HISTORIAL COMPLETO DE COMPRAS ALQUERÍA (20 transacciones)</t>
  </si>
  <si>
    <t>HISTORIAL COMPLETO DE VENTAS POS ASOCIADAS A ALQUERÍA (15 transacciones)</t>
  </si>
  <si>
    <t>Clasificación / Uso</t>
  </si>
  <si>
    <t>Mostrador / Empacado</t>
  </si>
  <si>
    <t>TOTAL COMPRAS PRODUCTOS NATURALES DE LA SABANA (ALQUERÍA)</t>
  </si>
  <si>
    <t>TOTAL VENTAS POS ASOCIADAS A ALQUERÍA</t>
  </si>
  <si>
    <t>#7. DEL VALLE  |  Conteo Físico PDF: 4 und  |  Compras: 720 und ($504,000)  |  Ventas POS: 13 und ($32,500)  |  Margen: 72.0%</t>
  </si>
  <si>
    <t>Nota de Auditoría: Jugo Del Valle / Nutiva en caja 200ml (720 unidades compradas para menús infantiles) + unidades embotelladas en nevera.</t>
  </si>
  <si>
    <t>HISTORIAL DE COMPRAS REGISTRADAS EN EXCEL (1 transacciones)</t>
  </si>
  <si>
    <t>HISTORIAL DE VENTAS REGISTRADAS EN POS (8 registros diarios)</t>
  </si>
  <si>
    <t>SUBTOTAL COMPRAS (Del valle)</t>
  </si>
  <si>
    <t>SUBTOTAL VENTAS (Del valle)</t>
  </si>
  <si>
    <t>#8. MR TEA  |  Conteo Físico PDF: 12 und  |  Compras: 12 und ($22,689)  |  Ventas POS: 0 und ($0)  |  Margen: 0.0%</t>
  </si>
  <si>
    <t>Nota de Auditoría: Té Mr Tea 500ml Pet (Durazno y Limón). Comprado a Postobón ($1,891/und). Conciliación perfecta: 12 compradas = 12 en conteo físico.</t>
  </si>
  <si>
    <t>HISTORIAL DE VENTAS REGISTRADAS EN POS (0 registros diarios)</t>
  </si>
  <si>
    <t>Sin ventas directas en POS (Consumo cocina / mostrador / porción)</t>
  </si>
  <si>
    <t>SUBTOTAL COMPRAS (Mr tea)</t>
  </si>
  <si>
    <t>SUBTOTAL VENTAS (Mr tea)</t>
  </si>
  <si>
    <t>#9. CANADA DRY  |  Conteo Físico PDF: 19 und  |  Compras: 0 und ($0)  |  Ventas POS: 0 und ($0)  |  Margen: 0.0%</t>
  </si>
  <si>
    <t>Nota de Auditoría: Canada Dry Ginger Ale (Postobón). Mezclador de coctelería y barra. Stock físico verificado de 19 unidades.</t>
  </si>
  <si>
    <t>HISTORIAL DE COMPRAS REGISTRADAS EN EXCEL (0 transacciones)</t>
  </si>
  <si>
    <t>Sin compras directas registradas en el mes (Stock inicial / consignación)</t>
  </si>
  <si>
    <t>SUBTOTAL COMPRAS (Canada dry)</t>
  </si>
  <si>
    <t>SUBTOTAL VENTAS (Canada dry)</t>
  </si>
  <si>
    <t>#10. HIT NR  |  Conteo Físico PDF: 53 und  |  Compras: 0 und ($0)  |  Ventas POS: 33 und ($122,100)  |  Margen: 0.0%</t>
  </si>
  <si>
    <t>Nota de Auditoría: Jugo Hit No Retornable 500ml (Mango, Lulo, Mora). 33 ventas registradas en POS ($122,100). Stock remanente auditado en 53 unidades.</t>
  </si>
  <si>
    <t>HISTORIAL DE VENTAS REGISTRADAS EN POS (14 registros diarios)</t>
  </si>
  <si>
    <t>SUBTOTAL COMPRAS (Hit NR)</t>
  </si>
  <si>
    <t>SUBTOTAL VENTAS (Hit NR)</t>
  </si>
  <si>
    <t>#11. AGUA  |  Conteo Físico PDF: 172 und  |  Compras: 312 und ($660,500)  |  Ventas POS: 358 und ($1,007,400)  |  Margen: 24.8%</t>
  </si>
  <si>
    <t>Nota de Auditoría: Agua Cristal y Brisa 600ml (con y sin gas). Comprada en pacas de 24 und ($32,000/paca = $1,333/und). 358 ventas en POS ($1,007,400). Margen: +53.2%.</t>
  </si>
  <si>
    <t>HISTORIAL DE COMPRAS REGISTRADAS EN EXCEL (9 transacciones)</t>
  </si>
  <si>
    <t>HISTORIAL DE VENTAS REGISTRADAS EN POS (25 registros diarios)</t>
  </si>
  <si>
    <t>SUBTOTAL COMPRAS (Agua)</t>
  </si>
  <si>
    <t>SUBTOTAL VENTAS (Agua)</t>
  </si>
  <si>
    <t>#12. COCA 1 LT  |  Conteo Físico PDF: 7 und  |  Compras: 84 und ($409,382)  |  Ventas POS: 5 und ($25,000)  |  Margen: 2.5%</t>
  </si>
  <si>
    <t>Nota de Auditoría: Coca-Cola 1.0L / 1.5L Pet (Regular y Zero). Comprada en pacas de 12 und ($33,782 - $65,000/paca = $4,656/und). Margen unitario: +6.9%.</t>
  </si>
  <si>
    <t>HISTORIAL DE COMPRAS REGISTRADAS EN EXCEL (4 transacciones)</t>
  </si>
  <si>
    <t>HISTORIAL DE VENTAS REGISTRADAS EN POS (5 registros diarios)</t>
  </si>
  <si>
    <t>SUBTOTAL COMPRAS (Coca 1 LT)</t>
  </si>
  <si>
    <t>SUBTOTAL VENTAS (Coca 1 LT)</t>
  </si>
  <si>
    <t>#13. COCA 350  |  Conteo Físico PDF: 39 und  |  Compras: 30 und ($62,500)  |  Ventas POS: 51 und ($152,829)  |  Margen: 30.5%</t>
  </si>
  <si>
    <t>Nota de Auditoría: Coca-Cola 350ml Vidrio Retornable. Comprada en caja de 30 und ($62,500/caja = $2,083/und). 51 ventas en POS a $3,000. Margen unitario: +30.5%.</t>
  </si>
  <si>
    <t>HISTORIAL DE VENTAS REGISTRADAS EN POS (18 registros diarios)</t>
  </si>
  <si>
    <t>SUBTOTAL COMPRAS (Coca 350)</t>
  </si>
  <si>
    <t>SUBTOTAL VENTAS (Coca 350)</t>
  </si>
  <si>
    <t>#14. 3 LTS  |  Conteo Físico PDF: 8 und  |  Compras: 0 und ($0)  |  Ventas POS: 4 und ($50,000)  |  Margen: 0.0%</t>
  </si>
  <si>
    <t>Nota de Auditoría: Gaseosa Mega 3.0 Litros / 3.125L (Postobón / Coca-Cola). 4 ventas registradas en POS ($50,000). Stock físico de 8 unidades en bodega.</t>
  </si>
  <si>
    <t>HISTORIAL DE VENTAS REGISTRADAS EN POS (3 registros diarios)</t>
  </si>
  <si>
    <t>SUBTOTAL COMPRAS (3 Lts)</t>
  </si>
  <si>
    <t>SUBTOTAL VENTAS (3 Lts)</t>
  </si>
  <si>
    <t>#15. 1 1/4  |  Conteo Físico PDF: 103 und  |  Compras: 77 und ($357,945)  |  Ventas POS: 94 und ($658,000)  |  Margen: 33.6%</t>
  </si>
  <si>
    <t>Nota de Auditoría: Gaseosa Postobón 1.75L / 1.5L Pet (Manzana, Colombiana, Uva, Naranja). 77 und compradas ($4,649/und), 94 ventas en POS a $7,000. Margen: +33.6%.</t>
  </si>
  <si>
    <t>HISTORIAL DE COMPRAS REGISTRADAS EN EXCEL (8 transacciones)</t>
  </si>
  <si>
    <t>HISTORIAL DE VENTAS REGISTRADAS EN POS (19 registros diarios)</t>
  </si>
  <si>
    <t>SUBTOTAL COMPRAS (1 1/4)</t>
  </si>
  <si>
    <t>SUBTOTAL VENTAS (1 1/4)</t>
  </si>
  <si>
    <t>#16. COSTEÑITA  |  Conteo Físico PDF: 23 und  |  Compras: 0 und ($0)  |  Ventas POS: 0 und ($0)  |  Margen: 0.0%</t>
  </si>
  <si>
    <t>Nota de Auditoría: Cerveza Costeñita 175ml Botella (Bavaria). Inventario físico de 23 botellas en nevera de licores.</t>
  </si>
  <si>
    <t>SUBTOTAL COMPRAS (Costeñita)</t>
  </si>
  <si>
    <t>SUBTOTAL VENTAS (Costeñita)</t>
  </si>
  <si>
    <t>#17. PONY  |  Conteo Físico PDF: 20 und  |  Compras: 24 und ($60,900)  |  Ventas POS: 17 und ($50,069)  |  Margen: 13.8%</t>
  </si>
  <si>
    <t>Nota de Auditoría: Pony Malta 330ml Pet. Comprada en paca de 24 und ($60,900/paca = $2,538/und). 17 ventas registradas en POS ($50,069). Margen: +13.8%.</t>
  </si>
  <si>
    <t>HISTORIAL DE VENTAS REGISTRADAS EN POS (12 registros diarios)</t>
  </si>
  <si>
    <t>SUBTOTAL COMPRAS (Pony)</t>
  </si>
  <si>
    <t>SUBTOTAL VENTAS (Pony)</t>
  </si>
  <si>
    <t>#18. GATORADE  |  Conteo Físico PDF: 19 und  |  Compras: 24 und ($78,000)  |  Ventas POS: 38 und ($174,800)  |  Margen: 29.3%</t>
  </si>
  <si>
    <t>Nota de Auditoría: Bebida isotónica Gatorade 500ml Pet. Comprada en pacas de 12 und ($39,000/paca = $3,250/und). 38 ventas en POS a $4,600. Margen: +29.3%.</t>
  </si>
  <si>
    <t>SUBTOTAL COMPRAS (Gatorade)</t>
  </si>
  <si>
    <t>SUBTOTAL VENTAS (Gatorade)</t>
  </si>
  <si>
    <t>#19. 400 ML  |  Conteo Físico PDF: 163-1-1 = 161 und  |  Compras: 348 und ($843,000)  |  Ventas POS: 258 und ($1,031,805)  |  Margen: 39.4%</t>
  </si>
  <si>
    <t>Nota de Auditoría: Gaseosas Pet 400ml (Coca-Cola, Postobón, Premio, Quatro, Sprite). 348 botellas compradas ($2,422/und), 258 ventas en POS a $4,000. Margen: +39.4%.</t>
  </si>
  <si>
    <t>HISTORIAL DE COMPRAS REGISTRADAS EN EXCEL (7 transacciones)</t>
  </si>
  <si>
    <t>HISTORIAL DE VENTAS REGISTRADAS EN POS (20 registros diarios)</t>
  </si>
  <si>
    <t>SUBTOTAL COMPRAS (400 ml)</t>
  </si>
  <si>
    <t>SUBTOTAL VENTAS (400 ml)</t>
  </si>
  <si>
    <t>#20. 350 ML  |  Conteo Físico PDF: 166 und  |  Compras: 150 und ($235,659)  |  Ventas POS: 138 und ($414,000)  |  Margen: 47.6%</t>
  </si>
  <si>
    <t>Nota de Auditoría: Gaseosas Postobón 350ml Vidrio R (Colombiana, Manzana, Popular, Uva, Piña). 150 und compradas ($1,571/und), 138 ventas en POS a $3,000. Margen: +47.6%.</t>
  </si>
  <si>
    <t>SUBTOTAL COMPRAS (350 ml)</t>
  </si>
  <si>
    <t>SUBTOTAL VENTAS (350 ml)</t>
  </si>
  <si>
    <t>#21. SODA  |  Conteo Físico PDF: 20-1-1 = 18 und  |  Compras: 90 und ($172,500)  |  Ventas POS: 79 und ($316,000)  |  Margen: 52.1%</t>
  </si>
  <si>
    <t>Nota de Auditoría: Soda Bretaña Postobón 350ml Vidrio Retornable. 90 und compradas ($1,917/und), 79 ventas en POS a $4,000. Margen unitario excelente: +52.1%.</t>
  </si>
  <si>
    <t>SUBTOTAL COMPRAS (Soda)</t>
  </si>
  <si>
    <t>SUBTOTAL VENTAS (Soda)</t>
  </si>
  <si>
    <t>#22. H2O  |  Conteo Físico PDF: 38 und  |  Compras: 57 und ($124,811)  |  Ventas POS: 61 und ($183,000)  |  Margen: 27.0%</t>
  </si>
  <si>
    <t>Nota de Auditoría: Agua saborizada H2Oh! 600ml Pet. 57 botellas compradas ($2,190/und), 61 ventas en POS a $3,000. Margen unitario: +27.0%.</t>
  </si>
  <si>
    <t>HISTORIAL DE VENTAS REGISTRADAS EN POS (17 registros diarios)</t>
  </si>
  <si>
    <t>SUBTOTAL COMPRAS (H2O)</t>
  </si>
  <si>
    <t>SUBTOTAL VENTAS (H2O)</t>
  </si>
  <si>
    <t>#23. CORONITA  |  Conteo Físico PDF: 38 und  |  Compras: 24 und ($83,000)  |  Ventas POS: 8 und ($40,000)  |  Margen: 30.8%</t>
  </si>
  <si>
    <t>Nota de Auditoría: Cerveza Coronita Extra 210ml Botella. Comprada en sixpacks de 6 und ($20,750/pack = $3,458/und). 8 ventas en POS a $5,000. Margen: +30.8%.</t>
  </si>
  <si>
    <t>SUBTOTAL COMPRAS (Coronita)</t>
  </si>
  <si>
    <t>SUBTOTAL VENTAS (Coronita)</t>
  </si>
  <si>
    <t>#24. CORONA  |  Conteo Físico PDF: 39-2-2-3-2-1 = 29 und  |  Compras: 72 und ($277,400)  |  Ventas POS: 55 und ($385,000)  |  Margen: 45.0%</t>
  </si>
  <si>
    <t>Nota de Auditoría: Cerveza Corona Extra 330ml &amp; Stella Artois. Comprada en cajas de 24 und a Global Liquors ($93,000/caja = $3,875/und). 55 ventas en POS a $7,000. Margen: +45.0%.</t>
  </si>
  <si>
    <t>HISTORIAL DE COMPRAS REGISTRADAS EN EXCEL (3 transacciones)</t>
  </si>
  <si>
    <t>SUBTOTAL COMPRAS (Corona)</t>
  </si>
  <si>
    <t>SUBTOTAL VENTAS (Corona)</t>
  </si>
  <si>
    <t>#25. CLUB  |  Conteo Físico PDF: 77 und  |  Compras: 48 und ($155,000)  |  Ventas POS: 57 und ($342,000)  |  Margen: 46.2%</t>
  </si>
  <si>
    <t>Nota de Auditoría: Cerveza Club Colombia Dorada 330ml Lata. Comprada en pacas de 24 und a Global Liquors ($77,500/paca = $3,229/und). 57 ventas en POS a $6,000. Margen: +46.2%.</t>
  </si>
  <si>
    <t>SUBTOTAL COMPRAS (Club)</t>
  </si>
  <si>
    <t>SUBTOTAL VENTAS (Club)</t>
  </si>
  <si>
    <t>#26. POKER  |  Conteo Físico PDF: 81 und  |  Compras: 96 und ($298,000)  |  Ventas POS: 71 und ($355,000)  |  Margen: 37.9%</t>
  </si>
  <si>
    <t>Nota de Auditoría: Cerveza Poker 330ml Lata. Comprada en pacas de 24 und a Global Liquors ($74,500/paca = $3,104/und). 71 ventas en POS a $5,000. Margen unitario: +37.9%.</t>
  </si>
  <si>
    <t>HISTORIAL DE VENTAS REGISTRADAS EN POS (15 registros diarios)</t>
  </si>
  <si>
    <t>SUBTOTAL COMPRAS (Poker)</t>
  </si>
  <si>
    <t>SUBTOTAL VENTAS (Poker)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</si>
</sst>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* #,##0_-;\-&quot;$&quot;* #,##0_-;_-&quot;$&quot;* &quot;-&quot;??_-;_-@_-"/>
    <numFmt numFmtId="167" formatCode="#,##0.0"/>
    <numFmt numFmtId="168" formatCode="0\ &quot;Reg&quot;"/>
    <numFmt numFmtId="169" formatCode="#,##0.##"/>
    <numFmt numFmtId="170" formatCode="_-&quot;$&quot;\ * #,##0_-;\-&quot;$&quot;\ * #,##0_-;_-&quot;$&quot;\ * &quot;-&quot;??_-;_-@_-"/>
    <numFmt numFmtId="171" formatCode="\$#,##0;\(\$#,##0\);&quot;-&quot;"/>
    <numFmt numFmtId="172" formatCode="\$#,##0.00"/>
    <numFmt numFmtId="173" formatCode="#,##0.00\ &quot;Kg&quot;"/>
    <numFmt numFmtId="174" formatCode="#,##0\ &quot;Und/Caj&quot;"/>
  </numFmts>
  <fonts count="16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b/>
      <sz val="10"/>
      <color rgb="FF1B365D"/>
      <name val="Calibri"/>
    </font>
    <font>
      <sz val="10"/>
      <name val="Calibri"/>
    </font>
    <font>
      <b/>
      <sz val="10"/>
      <name val="Calibri"/>
    </font>
    <font>
      <b/>
      <sz val="10"/>
      <color rgb="FFC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0"/>
      <color rgb="FFE0E0E0"/>
      <name val="Calibri"/>
    </font>
    <font>
      <b/>
      <sz val="9"/>
      <color rgb="FF922B21"/>
      <name val="Calibri"/>
    </font>
    <font>
      <b/>
      <sz val="14"/>
      <color rgb="FF78281F"/>
      <name val="Calibri"/>
    </font>
    <font>
      <b/>
      <sz val="11"/>
      <color rgb="FF8B0000"/>
      <name val="Calibri"/>
    </font>
    <font>
      <b/>
      <sz val="11"/>
      <color rgb="FFFFFFFF"/>
      <name val="Calibri"/>
    </font>
    <font>
      <b/>
      <sz val="9"/>
      <color rgb="FF5D6D7E"/>
      <name val="Calibri"/>
    </font>
    <font>
      <b/>
      <sz val="14"/>
      <color rgb="FF1B4F72"/>
      <name val="Calibri"/>
    </font>
    <font>
      <b/>
      <sz val="11"/>
      <color rgb="FF1F4E78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sz val="9"/>
      <name val="Calibri"/>
    </font>
    <font>
      <b/>
      <sz val="9"/>
      <color rgb="FFFFFFFF"/>
      <name val="Calibri"/>
    </font>
    <font>
      <b/>
      <sz val="15"/>
      <color rgb="FFFFFFFF"/>
      <name val="Calibri"/>
    </font>
    <font>
      <i/>
      <sz val="10"/>
      <color rgb="FFE0E8F5"/>
      <name val="Calibri"/>
    </font>
    <font>
      <b/>
      <sz val="8"/>
      <color rgb="FF595959"/>
      <name val="Calibri"/>
    </font>
    <font>
      <b/>
      <sz val="13"/>
      <color rgb="FF1B365D"/>
      <name val="Calibri"/>
    </font>
    <font>
      <i/>
      <sz val="9"/>
      <color rgb="FF595959"/>
      <name val="Calibri"/>
    </font>
    <font>
      <b/>
      <sz val="11"/>
      <color rgb="FF1B365D"/>
      <name val="Calibri"/>
    </font>
    <font>
      <b/>
      <sz val="10"/>
      <color rgb="FFFFFFFF"/>
      <name val="Calibri"/>
    </font>
    <font>
      <sz val="9"/>
      <color rgb="FF5F6368"/>
      <name val="Calibri"/>
    </font>
    <font>
      <b/>
      <sz val="9"/>
      <color rgb="FF1967D2"/>
      <name val="Calibri"/>
    </font>
    <font>
      <b/>
      <sz val="9"/>
      <color rgb="FF276A3C"/>
      <name val="Calibri"/>
    </font>
    <font>
      <b/>
      <sz val="9"/>
      <color rgb="FF8C6B00"/>
      <name val="Calibri"/>
    </font>
    <font>
      <b/>
      <sz val="9"/>
      <color rgb="FFC5221F"/>
      <name val="Calibri"/>
    </font>
    <font>
      <b/>
      <sz val="10"/>
      <color rgb="FF1B365D"/>
      <name val="Calibri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9C0006"/>
      <name val="Calibri"/>
      <family val="2"/>
      <scheme val="minor"/>
    </font>
    <font>
      <b/>
      <sz val="10"/>
      <color rgb="FFC65911"/>
      <name val="Calibri"/>
      <family val="2"/>
    </font>
    <font>
      <b/>
      <sz val="10"/>
      <color rgb="FF1967D2"/>
      <name val="Calibri"/>
      <family val="2"/>
    </font>
    <font>
      <sz val="9"/>
      <name val="Calibri"/>
      <family val="2"/>
    </font>
    <font>
      <sz val="10"/>
      <color rgb="FF595959"/>
      <name val="Calibri"/>
    </font>
    <font>
      <b/>
      <sz val="10"/>
      <color rgb="FF276A3C"/>
      <name val="Calibri"/>
    </font>
    <font>
      <b/>
      <u/>
      <sz val="11"/>
      <color rgb="FFFFFFFF"/>
      <name val="Calibri"/>
      <family val="2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1F4E78"/>
      <name val="Calibri"/>
    </font>
    <font>
      <i/>
      <sz val="10"/>
      <color rgb="FF595959"/>
      <name val="Calibri"/>
    </font>
    <font>
      <b/>
      <sz val="9"/>
      <color rgb="FF595959"/>
      <name val="Calibri"/>
    </font>
    <font>
      <b/>
      <sz val="14"/>
      <color rgb="FF1F4E78"/>
      <name val="Calibri"/>
    </font>
    <font>
      <b/>
      <sz val="8"/>
      <color rgb="FF1F497D"/>
      <name val="Segoe UI"/>
    </font>
    <font>
      <b/>
      <sz val="15"/>
      <color rgb="FF1F497D"/>
      <name val="Segoe UI"/>
    </font>
    <font>
      <sz val="7.5"/>
      <color rgb="FF595959"/>
      <name val="Segoe UI"/>
    </font>
    <font>
      <sz val="8"/>
      <name val="Segoe UI"/>
    </font>
    <font>
      <b/>
      <sz val="8"/>
      <color rgb="FF1F497D"/>
      <name val="Segoe UI"/>
    </font>
    <font>
      <b/>
      <sz val="15"/>
      <color rgb="FF1F497D"/>
      <name val="Segoe UI"/>
    </font>
    <font>
      <sz val="7.5"/>
      <color rgb="FF595959"/>
      <name val="Segoe UI"/>
    </font>
    <font>
      <b/>
      <sz val="9"/>
      <color rgb="FFFFFFFF"/>
      <name val="Segoe UI"/>
    </font>
    <font>
      <b/>
      <sz val="8"/>
      <color rgb="FFFFFFFF"/>
      <name val="Segoe UI"/>
    </font>
    <font>
      <b/>
      <sz val="8"/>
      <color rgb="FF000000"/>
      <name val="Segoe UI"/>
    </font>
    <font>
      <sz val="8"/>
      <color rgb="FF000000"/>
      <name val="Segoe UI"/>
    </font>
    <font>
      <b/>
      <sz val="9"/>
      <name val="Calibri"/>
    </font>
    <font>
      <sz val="10"/>
      <name val="Segoe UI"/>
    </font>
    <font>
      <b/>
      <sz val="12"/>
      <color rgb="FF1F4E78"/>
      <name val="Calibri"/>
    </font>
    <font>
      <b/>
      <sz val="10"/>
      <color rgb="FFFFFFFF"/>
      <name val="Calibri"/>
    </font>
    <font>
      <sz val="8"/>
      <color rgb="FF000000"/>
      <name val="Segoe UI"/>
    </font>
    <font>
      <b/>
      <sz val="8"/>
      <color rgb="FF1F497D"/>
      <name val="Segoe UI"/>
    </font>
    <font>
      <b/>
      <sz val="8"/>
      <color rgb="FF000000"/>
      <name val="Segoe UI"/>
    </font>
    <font>
      <b/>
      <sz val="8.5"/>
      <color rgb="FF1F4E78"/>
      <name val="Segoe UI"/>
    </font>
    <font>
      <b/>
      <sz val="8.5"/>
      <color rgb="FFFFFFFF"/>
      <name val="Segoe UI"/>
    </font>
    <font>
      <b/>
      <sz val="15"/>
      <color rgb="FFFFFFFF"/>
      <name val="Segoe UI"/>
    </font>
    <font>
      <sz val="7.5"/>
      <color rgb="FFE0E0E0"/>
      <name val="Segoe UI"/>
    </font>
    <font>
      <sz val="9"/>
      <name val="Segoe UI"/>
    </font>
    <font>
      <b/>
      <sz val="11"/>
      <color rgb="FF1F4E78"/>
      <name val="Segoe UI"/>
    </font>
    <font>
      <b/>
      <sz val="10"/>
      <color rgb="FF2E75B6"/>
      <name val="Segoe UI"/>
    </font>
    <font>
      <b/>
      <sz val="8.5"/>
      <color rgb="FFFFFFFF"/>
      <name val="Segoe UI"/>
    </font>
    <font>
      <sz val="8.5"/>
      <color rgb="FF000000"/>
      <name val="Segoe UI"/>
    </font>
    <font>
      <b/>
      <sz val="8.5"/>
      <color rgb="FF1F497D"/>
      <name val="Segoe UI"/>
    </font>
    <font>
      <b/>
      <sz val="11"/>
      <color rgb="FF1F4E78"/>
      <name val="Segoe UI"/>
    </font>
    <font>
      <b/>
      <sz val="10"/>
      <color rgb="FF2E75B6"/>
      <name val="Segoe UI"/>
    </font>
    <font>
      <b/>
      <sz val="8.5"/>
      <color rgb="FFFFFFFF"/>
      <name val="Segoe UI"/>
    </font>
    <font>
      <sz val="8.5"/>
      <color rgb="FF000000"/>
      <name val="Segoe UI"/>
    </font>
    <font>
      <b/>
      <sz val="8.5"/>
      <color rgb="FF1F497D"/>
      <name val="Segoe UI"/>
    </font>
    <font>
      <sz val="11"/>
      <name val="Calibri"/>
    </font>
    <font>
      <b/>
      <sz val="14"/>
      <color rgb="FFFFFFFF"/>
      <name val="Calibri"/>
    </font>
    <font>
      <i/>
      <sz val="9.5"/>
      <color rgb="FF333333"/>
      <name val="Calibri"/>
    </font>
    <font>
      <b/>
      <sz val="8.5"/>
      <color rgb="FF595959"/>
      <name val="Calibri"/>
    </font>
    <font>
      <b/>
      <sz val="15"/>
      <color rgb="FF1F4E78"/>
      <name val="Calibri"/>
    </font>
    <font>
      <i/>
      <sz val="8"/>
      <color rgb="FF595959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8.5"/>
      <color rgb="FF0E6251"/>
      <name val="Calibri"/>
    </font>
    <font>
      <sz val="9"/>
      <color rgb="FF000000"/>
      <name val="Calibri"/>
    </font>
    <font>
      <b/>
      <sz val="8.5"/>
      <color rgb="FF4A235A"/>
      <name val="Calibri"/>
    </font>
    <font>
      <b/>
      <sz val="8.5"/>
      <color rgb="FF9C640C"/>
      <name val="Calibri"/>
    </font>
    <font>
      <b/>
      <sz val="8.5"/>
      <color rgb="FF1B4F72"/>
      <name val="Calibri"/>
    </font>
    <font>
      <b/>
      <sz val="8.5"/>
      <color rgb="FF512E5F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FFFFFF"/>
      <name val="Calibri"/>
    </font>
    <font>
      <i/>
      <sz val="10"/>
      <name val="Calibri"/>
    </font>
    <font>
      <sz val="9.5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name val="Consolas"/>
    </font>
    <font>
      <b/>
      <sz val="9"/>
      <color rgb="FF004D40"/>
      <name val="Segoe UI"/>
    </font>
    <font>
      <sz val="11"/>
      <name val="Calibri"/>
    </font>
    <font>
      <b/>
      <sz val="14"/>
      <color rgb="FFFFFFFF"/>
      <name val="Calibri"/>
    </font>
    <font>
      <i/>
      <sz val="9.5"/>
      <color rgb="FF333333"/>
      <name val="Calibri"/>
    </font>
    <font>
      <b/>
      <sz val="8.5"/>
      <color rgb="FF595959"/>
      <name val="Calibri"/>
    </font>
    <font>
      <b/>
      <sz val="15"/>
      <color rgb="FF1F4E78"/>
      <name val="Calibri"/>
    </font>
    <font>
      <i/>
      <sz val="8"/>
      <color rgb="FF595959"/>
      <name val="Calibri"/>
    </font>
    <font>
      <b/>
      <sz val="11"/>
      <color rgb="FFFFFFFF"/>
      <name val="Calibri"/>
    </font>
    <font>
      <b/>
      <sz val="9.5"/>
      <color rgb="FFFFFFFF"/>
      <name val="Calibri"/>
    </font>
    <font>
      <b/>
      <sz val="9"/>
      <color rgb="FFB7950B"/>
      <name val="Calibri"/>
    </font>
    <font>
      <sz val="9.5"/>
      <color rgb="FF000000"/>
      <name val="Calibri"/>
    </font>
    <font>
      <b/>
      <sz val="9"/>
      <color rgb="FF0E6251"/>
      <name val="Calibri"/>
    </font>
    <font>
      <b/>
      <sz val="9"/>
      <color rgb="FF900C3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9.5"/>
      <color rgb="FF000000"/>
      <name val="Calibri"/>
    </font>
    <font>
      <sz val="11"/>
      <name val="Calibri"/>
    </font>
    <font>
      <b/>
      <sz val="14"/>
      <color rgb="FFFFFFFF"/>
      <name val="Calibri"/>
    </font>
    <font>
      <i/>
      <sz val="9.5"/>
      <color rgb="FF333333"/>
      <name val="Calibri"/>
    </font>
    <font>
      <b/>
      <sz val="8.5"/>
      <color rgb="FF595959"/>
      <name val="Calibri"/>
    </font>
    <font>
      <b/>
      <sz val="13"/>
      <color rgb="FF1F4E78"/>
      <name val="Calibri"/>
    </font>
    <font>
      <i/>
      <sz val="8"/>
      <color rgb="FF595959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8.5"/>
      <color rgb="FF276A3C"/>
      <name val="Calibri"/>
    </font>
    <font>
      <b/>
      <sz val="8.5"/>
      <color rgb="FF8C6B00"/>
      <name val="Calibri"/>
    </font>
    <font>
      <b/>
      <sz val="8.5"/>
      <color rgb="FF2F5597"/>
      <name val="Calibri"/>
    </font>
    <font>
      <b/>
      <sz val="9.5"/>
      <color rgb="FFFFFFFF"/>
      <name val="Calibri"/>
    </font>
    <font>
      <b/>
      <sz val="10"/>
      <color rgb="FFFFFFFF"/>
      <name val="Calibri"/>
    </font>
    <font>
      <i/>
      <sz val="9"/>
      <color rgb="FF595959"/>
      <name val="Calibri"/>
    </font>
    <font>
      <b/>
      <sz val="9"/>
      <color rgb="FF1F4E78"/>
      <name val="Calibri"/>
    </font>
    <font>
      <b/>
      <sz val="8.5"/>
      <color rgb="FF1F4E78"/>
      <name val="Calibri"/>
    </font>
    <font>
      <i/>
      <sz val="9"/>
      <color rgb="FF333333"/>
      <name val="Calibri"/>
    </font>
    <font>
      <b/>
      <sz val="12"/>
      <color rgb="FF1B365D"/>
      <name val="Calibri"/>
    </font>
    <font>
      <i/>
      <sz val="8.5"/>
      <color rgb="FF7F7F7F"/>
      <name val="Calibri"/>
    </font>
    <font>
      <b/>
      <sz val="11"/>
      <color rgb="FFFFFFFF"/>
      <name val="Calibri"/>
    </font>
    <font>
      <b/>
      <sz val="14"/>
      <color rgb="FFFFFFFF"/>
      <name val="Segoe UI"/>
    </font>
    <font>
      <i/>
      <sz val="9"/>
      <color rgb="FFFFFFFF"/>
      <name val="Segoe UI"/>
    </font>
    <font>
      <b/>
      <sz val="8.5"/>
      <color rgb="FFFFFFFF"/>
      <name val="Segoe UI"/>
    </font>
    <font>
      <b/>
      <sz val="15"/>
      <color rgb="FFFFFFFF"/>
      <name val="Segoe UI"/>
    </font>
    <font>
      <sz val="7.5"/>
      <color rgb="FFE0E0E0"/>
      <name val="Segoe UI"/>
    </font>
    <font>
      <b/>
      <sz val="10"/>
      <color rgb="FFFFFFFF"/>
      <name val="Segoe UI"/>
    </font>
    <font>
      <sz val="8.5"/>
      <color rgb="FF000000"/>
      <name val="Segoe UI"/>
    </font>
    <font>
      <b/>
      <sz val="8.5"/>
      <color rgb="FF1F497D"/>
      <name val="Segoe UI"/>
    </font>
    <font>
      <b/>
      <sz val="8.5"/>
      <color rgb="FF000000"/>
      <name val="Segoe UI"/>
    </font>
    <font>
      <b/>
      <sz val="9"/>
      <color rgb="FFFFFFFF"/>
      <name val="Segoe UI"/>
    </font>
  </fonts>
  <fills count="10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75B6"/>
        <bgColor rgb="FF2E75B6"/>
      </patternFill>
    </fill>
    <fill>
      <patternFill patternType="solid">
        <fgColor rgb="FFF2F4F8"/>
        <bgColor rgb="FFF2F4F8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9FAFB"/>
        <bgColor rgb="FFF9FAFB"/>
      </patternFill>
    </fill>
    <fill>
      <patternFill patternType="solid">
        <fgColor rgb="FF1B365D"/>
        <bgColor rgb="FF1B365D"/>
      </patternFill>
    </fill>
    <fill>
      <patternFill patternType="solid">
        <fgColor rgb="FF8B0000"/>
        <bgColor rgb="FF8B0000"/>
      </patternFill>
    </fill>
    <fill>
      <patternFill patternType="solid">
        <fgColor rgb="FFFDEDEC"/>
        <bgColor rgb="FFFDEDEC"/>
      </patternFill>
    </fill>
    <fill>
      <patternFill patternType="solid">
        <fgColor rgb="FFFAF0F0"/>
        <bgColor rgb="FFFAF0F0"/>
      </patternFill>
    </fill>
    <fill>
      <patternFill patternType="solid">
        <fgColor rgb="FFE6B8B8"/>
        <bgColor rgb="FFE6B8B8"/>
      </patternFill>
    </fill>
    <fill>
      <patternFill patternType="solid">
        <fgColor rgb="FF1F4E78"/>
        <bgColor rgb="FF1F4E78"/>
      </patternFill>
    </fill>
    <fill>
      <patternFill patternType="solid">
        <fgColor rgb="FFEBF5FB"/>
        <bgColor rgb="FFEBF5FB"/>
      </patternFill>
    </fill>
    <fill>
      <patternFill patternType="solid">
        <fgColor rgb="FFF4F8FB"/>
        <bgColor rgb="FFF4F8FB"/>
      </patternFill>
    </fill>
    <fill>
      <patternFill patternType="solid">
        <fgColor rgb="FFBDD7EE"/>
        <bgColor rgb="FFBDD7EE"/>
      </patternFill>
    </fill>
    <fill>
      <patternFill patternType="solid">
        <fgColor rgb="FF1B365D"/>
        <bgColor rgb="FF1B365D"/>
      </patternFill>
    </fill>
    <fill>
      <patternFill patternType="solid">
        <fgColor rgb="FF8B0000"/>
        <bgColor rgb="FF8B0000"/>
      </patternFill>
    </fill>
    <fill>
      <patternFill patternType="solid">
        <fgColor rgb="FF1F4E78"/>
        <bgColor rgb="FF1F4E78"/>
      </patternFill>
    </fill>
    <fill>
      <patternFill patternType="solid">
        <fgColor rgb="FF78281F"/>
        <bgColor rgb="FF78281F"/>
      </patternFill>
    </fill>
    <fill>
      <patternFill patternType="solid">
        <fgColor rgb="FF1B365D"/>
        <bgColor rgb="FF1B365D"/>
      </patternFill>
    </fill>
    <fill>
      <patternFill patternType="solid">
        <fgColor rgb="FF2C4D75"/>
        <bgColor rgb="FF2C4D75"/>
      </patternFill>
    </fill>
    <fill>
      <patternFill patternType="solid">
        <fgColor rgb="FFE9EEF4"/>
        <bgColor rgb="FFE9EEF4"/>
      </patternFill>
    </fill>
    <fill>
      <patternFill patternType="solid">
        <fgColor rgb="FFF8FAFC"/>
        <bgColor rgb="FFF8FAFC"/>
      </patternFill>
    </fill>
    <fill>
      <patternFill patternType="solid">
        <fgColor rgb="FFD9E1F2"/>
        <bgColor rgb="FFD9E1F2"/>
      </patternFill>
    </fill>
    <fill>
      <patternFill patternType="solid">
        <fgColor rgb="FFF1F3F4"/>
        <bgColor rgb="FFF1F3F4"/>
      </patternFill>
    </fill>
    <fill>
      <patternFill patternType="solid">
        <fgColor rgb="FFF2F5F9"/>
        <bgColor rgb="FFF2F5F9"/>
      </patternFill>
    </fill>
    <fill>
      <patternFill patternType="solid">
        <fgColor rgb="FFE8F0FE"/>
        <bgColor rgb="FFE8F0FE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8E6"/>
        <bgColor rgb="FFFCE8E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4F7"/>
        <bgColor rgb="FFF2F4F7"/>
      </patternFill>
    </fill>
    <fill>
      <patternFill patternType="solid">
        <fgColor rgb="FF2E75B6"/>
        <bgColor rgb="FF2E75B6"/>
      </patternFill>
    </fill>
    <fill>
      <patternFill patternType="solid">
        <fgColor rgb="FF418AB3"/>
        <bgColor rgb="FF418AB3"/>
      </patternFill>
    </fill>
    <fill>
      <patternFill patternType="solid">
        <fgColor rgb="FFF9FAFB"/>
        <bgColor rgb="FFF9FAFB"/>
      </patternFill>
    </fill>
    <fill>
      <patternFill patternType="solid">
        <fgColor rgb="FFEAEEF3"/>
        <bgColor rgb="FFEAEEF3"/>
      </patternFill>
    </fill>
    <fill>
      <patternFill patternType="solid">
        <fgColor rgb="FF1F497D"/>
        <bgColor rgb="FF1F497D"/>
      </patternFill>
    </fill>
    <fill>
      <patternFill patternType="solid">
        <fgColor rgb="FFD9E1F2"/>
        <bgColor rgb="FFD9E1F2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EAEEF3"/>
        <bgColor rgb="FFEAEEF3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EAEEF3"/>
        <bgColor rgb="FFEAEEF3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EAEEF3"/>
        <bgColor rgb="FFEAEEF3"/>
      </patternFill>
    </fill>
    <fill>
      <patternFill patternType="solid">
        <fgColor rgb="FF1F4E78"/>
      </patternFill>
    </fill>
    <fill>
      <patternFill patternType="solid">
        <fgColor rgb="FFF9FBFD"/>
      </patternFill>
    </fill>
    <fill>
      <patternFill patternType="solid">
        <fgColor rgb="FF2F5597"/>
      </patternFill>
    </fill>
    <fill>
      <patternFill patternType="solid">
        <fgColor rgb="FF305496"/>
      </patternFill>
    </fill>
    <fill>
      <patternFill patternType="solid">
        <fgColor rgb="FFF2F4F8"/>
      </patternFill>
    </fill>
    <fill>
      <patternFill patternType="solid">
        <fgColor rgb="FFD9E1F2"/>
      </patternFill>
    </fill>
    <fill>
      <patternFill patternType="solid">
        <fgColor rgb="FFB4C6E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F4E78"/>
      </patternFill>
    </fill>
    <fill>
      <patternFill patternType="solid">
        <fgColor rgb="FFFFFF00"/>
        <bgColor rgb="FFF9FAFB"/>
      </patternFill>
    </fill>
    <fill>
      <patternFill patternType="solid">
        <fgColor rgb="FFFFFF00"/>
        <bgColor rgb="FFDDEBF7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F2F4F8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9FBFB"/>
        <bgColor rgb="FFF9FBFB"/>
      </patternFill>
    </fill>
    <fill>
      <patternFill patternType="solid">
        <fgColor rgb="FF1F4E78"/>
      </patternFill>
    </fill>
    <fill>
      <patternFill patternType="solid">
        <fgColor rgb="FFF2F4F8"/>
      </patternFill>
    </fill>
    <fill>
      <patternFill patternType="solid">
        <fgColor rgb="FF2F5597"/>
      </patternFill>
    </fill>
    <fill>
      <patternFill patternType="solid">
        <fgColor rgb="FF305496"/>
      </patternFill>
    </fill>
    <fill>
      <patternFill patternType="solid">
        <fgColor rgb="FFF9FBFD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1F4E78"/>
      </patternFill>
    </fill>
    <fill>
      <patternFill patternType="solid">
        <fgColor rgb="FFF2F4F8"/>
      </patternFill>
    </fill>
    <fill>
      <patternFill patternType="solid">
        <fgColor rgb="FF2F5597"/>
      </patternFill>
    </fill>
    <fill>
      <patternFill patternType="solid">
        <fgColor rgb="FF305496"/>
      </patternFill>
    </fill>
    <fill>
      <patternFill patternType="solid">
        <fgColor rgb="FFF9FBFD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E9EEF4"/>
      </patternFill>
    </fill>
    <fill>
      <patternFill patternType="solid">
        <fgColor rgb="FFEDF5EA"/>
      </patternFill>
    </fill>
    <fill>
      <patternFill patternType="solid">
        <fgColor rgb="FFF2F2F2"/>
      </patternFill>
    </fill>
    <fill>
      <patternFill patternType="solid">
        <fgColor rgb="FF1B365D"/>
      </patternFill>
    </fill>
    <fill>
      <patternFill patternType="solid">
        <fgColor rgb="FFEDF2F8"/>
      </patternFill>
    </fill>
    <fill>
      <patternFill patternType="solid">
        <fgColor rgb="FFF0F4FA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9FAFB"/>
        <bgColor rgb="FFF9FAFB"/>
      </patternFill>
    </fill>
    <fill>
      <patternFill patternType="solid">
        <fgColor rgb="FFEAEEF3"/>
        <bgColor rgb="FFEAEEF3"/>
      </patternFill>
    </fill>
  </fills>
  <borders count="78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 style="thin">
        <color rgb="FF000000"/>
      </top>
      <bottom style="double">
        <color rgb="FF000000"/>
      </bottom>
      <diagonal/>
    </border>
    <border>
      <left/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1B365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1B365D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/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double">
        <color rgb="FF59595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595959"/>
      </top>
      <bottom style="double">
        <color rgb="FF595959"/>
      </bottom>
      <diagonal/>
    </border>
    <border>
      <left/>
      <right style="thin">
        <color rgb="FF595959"/>
      </right>
      <top style="thin">
        <color rgb="FF595959"/>
      </top>
      <bottom style="double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double">
        <color rgb="FF59595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double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595959"/>
      </top>
      <bottom style="double">
        <color rgb="FF595959"/>
      </bottom>
      <diagonal/>
    </border>
    <border>
      <left/>
      <right style="thin">
        <color rgb="FF595959"/>
      </right>
      <top style="thin">
        <color rgb="FF595959"/>
      </top>
      <bottom style="double">
        <color rgb="FF59595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double">
        <color rgb="FF595959"/>
      </bottom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</borders>
  <cellStyleXfs count="4">
    <xf numFmtId="0" fontId="0" fillId="0" borderId="71"/>
    <xf numFmtId="44" fontId="1" fillId="0" borderId="71"/>
    <xf numFmtId="0" fontId="38" fillId="32" borderId="71"/>
    <xf numFmtId="0" fontId="39" fillId="33" borderId="71"/>
  </cellStyleXfs>
  <cellXfs count="769">
    <xf numFmtId="0" fontId="0" fillId="0" borderId="0" xfId="0" applyBorder="1"/>
    <xf numFmtId="0" fontId="9" fillId="8" borderId="0" xfId="0" applyFont="1" applyFill="1" applyBorder="1" applyAlignment="1">
      <alignment horizontal="center" vertical="center"/>
    </xf>
    <xf numFmtId="2" fontId="9" fillId="8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4" fontId="6" fillId="11" borderId="1" xfId="0" applyNumberFormat="1" applyFont="1" applyFill="1" applyBorder="1"/>
    <xf numFmtId="1" fontId="6" fillId="11" borderId="1" xfId="0" applyNumberFormat="1" applyFont="1" applyFill="1" applyBorder="1" applyAlignment="1">
      <alignment horizontal="center"/>
    </xf>
    <xf numFmtId="4" fontId="7" fillId="12" borderId="2" xfId="0" applyNumberFormat="1" applyFont="1" applyFill="1" applyBorder="1"/>
    <xf numFmtId="1" fontId="7" fillId="12" borderId="2" xfId="0" applyNumberFormat="1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3" fontId="6" fillId="15" borderId="1" xfId="0" applyNumberFormat="1" applyFont="1" applyFill="1" applyBorder="1" applyAlignment="1">
      <alignment horizontal="center"/>
    </xf>
    <xf numFmtId="1" fontId="6" fillId="15" borderId="1" xfId="0" applyNumberFormat="1" applyFont="1" applyFill="1" applyBorder="1" applyAlignment="1">
      <alignment horizontal="center"/>
    </xf>
    <xf numFmtId="3" fontId="7" fillId="16" borderId="2" xfId="0" applyNumberFormat="1" applyFont="1" applyFill="1" applyBorder="1" applyAlignment="1">
      <alignment horizontal="center"/>
    </xf>
    <xf numFmtId="1" fontId="7" fillId="16" borderId="2" xfId="0" applyNumberFormat="1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0" fillId="0" borderId="5" xfId="0" applyBorder="1"/>
    <xf numFmtId="0" fontId="21" fillId="0" borderId="5" xfId="0" applyFont="1" applyBorder="1" applyAlignment="1">
      <alignment horizontal="left" vertical="center"/>
    </xf>
    <xf numFmtId="0" fontId="19" fillId="18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4" fontId="6" fillId="0" borderId="4" xfId="0" applyNumberFormat="1" applyFont="1" applyBorder="1" applyAlignment="1">
      <alignment horizontal="right"/>
    </xf>
    <xf numFmtId="0" fontId="19" fillId="19" borderId="4" xfId="0" applyFont="1" applyFill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right"/>
    </xf>
    <xf numFmtId="0" fontId="19" fillId="17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/>
    </xf>
    <xf numFmtId="0" fontId="19" fillId="20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 indent="1"/>
    </xf>
    <xf numFmtId="0" fontId="1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4" fontId="6" fillId="0" borderId="5" xfId="0" applyNumberFormat="1" applyFont="1" applyBorder="1" applyAlignment="1">
      <alignment horizontal="right"/>
    </xf>
    <xf numFmtId="0" fontId="7" fillId="0" borderId="5" xfId="0" applyFont="1" applyBorder="1" applyAlignment="1">
      <alignment horizontal="right" vertical="center"/>
    </xf>
    <xf numFmtId="4" fontId="7" fillId="0" borderId="5" xfId="0" applyNumberFormat="1" applyFont="1" applyBorder="1" applyAlignment="1">
      <alignment horizontal="right"/>
    </xf>
    <xf numFmtId="0" fontId="23" fillId="0" borderId="6" xfId="0" applyFont="1" applyBorder="1" applyAlignment="1">
      <alignment horizontal="center"/>
    </xf>
    <xf numFmtId="0" fontId="23" fillId="0" borderId="6" xfId="0" applyFont="1" applyBorder="1" applyAlignment="1">
      <alignment horizontal="left"/>
    </xf>
    <xf numFmtId="2" fontId="23" fillId="0" borderId="6" xfId="0" applyNumberFormat="1" applyFont="1" applyBorder="1" applyAlignment="1">
      <alignment horizontal="right"/>
    </xf>
    <xf numFmtId="1" fontId="23" fillId="0" borderId="6" xfId="0" applyNumberFormat="1" applyFont="1" applyBorder="1" applyAlignment="1">
      <alignment horizontal="center"/>
    </xf>
    <xf numFmtId="0" fontId="23" fillId="0" borderId="6" xfId="0" applyFont="1" applyBorder="1"/>
    <xf numFmtId="1" fontId="23" fillId="0" borderId="0" xfId="0" applyNumberFormat="1" applyFont="1" applyBorder="1" applyAlignment="1">
      <alignment horizontal="center"/>
    </xf>
    <xf numFmtId="0" fontId="23" fillId="0" borderId="0" xfId="0" applyFont="1" applyBorder="1" applyAlignment="1">
      <alignment horizontal="left"/>
    </xf>
    <xf numFmtId="2" fontId="23" fillId="0" borderId="0" xfId="0" applyNumberFormat="1" applyFont="1" applyBorder="1" applyAlignment="1">
      <alignment horizontal="right"/>
    </xf>
    <xf numFmtId="1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3" fontId="6" fillId="0" borderId="0" xfId="0" applyNumberFormat="1" applyFont="1" applyBorder="1" applyAlignment="1">
      <alignment horizontal="right"/>
    </xf>
    <xf numFmtId="0" fontId="23" fillId="0" borderId="8" xfId="0" applyFont="1" applyBorder="1" applyAlignment="1">
      <alignment horizontal="left"/>
    </xf>
    <xf numFmtId="0" fontId="23" fillId="0" borderId="9" xfId="0" applyFont="1" applyBorder="1" applyAlignment="1">
      <alignment horizontal="left"/>
    </xf>
    <xf numFmtId="1" fontId="23" fillId="0" borderId="9" xfId="0" applyNumberFormat="1" applyFont="1" applyBorder="1" applyAlignment="1">
      <alignment horizontal="center"/>
    </xf>
    <xf numFmtId="2" fontId="23" fillId="0" borderId="9" xfId="0" applyNumberFormat="1" applyFont="1" applyBorder="1" applyAlignment="1">
      <alignment horizontal="right"/>
    </xf>
    <xf numFmtId="0" fontId="23" fillId="0" borderId="10" xfId="0" applyFont="1" applyBorder="1" applyAlignment="1">
      <alignment horizontal="left"/>
    </xf>
    <xf numFmtId="1" fontId="23" fillId="0" borderId="10" xfId="0" applyNumberFormat="1" applyFont="1" applyBorder="1" applyAlignment="1">
      <alignment horizontal="center"/>
    </xf>
    <xf numFmtId="2" fontId="23" fillId="0" borderId="10" xfId="0" applyNumberFormat="1" applyFont="1" applyBorder="1" applyAlignment="1">
      <alignment horizontal="right"/>
    </xf>
    <xf numFmtId="0" fontId="31" fillId="21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left" vertical="center"/>
    </xf>
    <xf numFmtId="0" fontId="31" fillId="21" borderId="12" xfId="0" applyFont="1" applyFill="1" applyBorder="1" applyAlignment="1">
      <alignment horizontal="right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32" fillId="26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right" vertical="center"/>
    </xf>
    <xf numFmtId="0" fontId="6" fillId="27" borderId="11" xfId="0" applyFont="1" applyFill="1" applyBorder="1" applyAlignment="1">
      <alignment horizontal="center" vertical="center"/>
    </xf>
    <xf numFmtId="0" fontId="6" fillId="27" borderId="11" xfId="0" applyFont="1" applyFill="1" applyBorder="1" applyAlignment="1">
      <alignment horizontal="left" vertical="center"/>
    </xf>
    <xf numFmtId="0" fontId="6" fillId="27" borderId="11" xfId="0" applyFont="1" applyFill="1" applyBorder="1" applyAlignment="1">
      <alignment horizontal="right" vertical="center"/>
    </xf>
    <xf numFmtId="0" fontId="33" fillId="28" borderId="11" xfId="0" applyFont="1" applyFill="1" applyBorder="1" applyAlignment="1">
      <alignment horizontal="center" vertical="center"/>
    </xf>
    <xf numFmtId="0" fontId="34" fillId="29" borderId="11" xfId="0" applyFont="1" applyFill="1" applyBorder="1" applyAlignment="1">
      <alignment horizontal="center" vertical="center"/>
    </xf>
    <xf numFmtId="0" fontId="35" fillId="30" borderId="11" xfId="0" applyFont="1" applyFill="1" applyBorder="1" applyAlignment="1">
      <alignment horizontal="center" vertical="center"/>
    </xf>
    <xf numFmtId="0" fontId="36" fillId="31" borderId="11" xfId="0" applyFont="1" applyFill="1" applyBorder="1" applyAlignment="1">
      <alignment horizontal="center" vertical="center"/>
    </xf>
    <xf numFmtId="0" fontId="7" fillId="25" borderId="13" xfId="0" applyFont="1" applyFill="1" applyBorder="1"/>
    <xf numFmtId="0" fontId="0" fillId="0" borderId="14" xfId="0" applyBorder="1" applyAlignment="1">
      <alignment horizontal="left"/>
    </xf>
    <xf numFmtId="0" fontId="23" fillId="0" borderId="16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40" fillId="17" borderId="4" xfId="0" applyFont="1" applyFill="1" applyBorder="1" applyAlignment="1">
      <alignment horizontal="center" vertical="center"/>
    </xf>
    <xf numFmtId="0" fontId="41" fillId="33" borderId="6" xfId="3" applyFont="1" applyBorder="1" applyAlignment="1">
      <alignment horizontal="left" vertical="center"/>
    </xf>
    <xf numFmtId="0" fontId="41" fillId="33" borderId="0" xfId="3" applyFont="1" applyBorder="1" applyAlignment="1">
      <alignment horizontal="left" vertical="center"/>
    </xf>
    <xf numFmtId="0" fontId="43" fillId="28" borderId="11" xfId="0" applyFont="1" applyFill="1" applyBorder="1" applyAlignment="1">
      <alignment horizontal="center" vertical="center"/>
    </xf>
    <xf numFmtId="0" fontId="43" fillId="28" borderId="6" xfId="0" applyFont="1" applyFill="1" applyBorder="1" applyAlignment="1">
      <alignment horizontal="center" vertical="center"/>
    </xf>
    <xf numFmtId="0" fontId="42" fillId="6" borderId="11" xfId="0" applyFont="1" applyFill="1" applyBorder="1" applyAlignment="1">
      <alignment horizontal="center"/>
    </xf>
    <xf numFmtId="0" fontId="43" fillId="28" borderId="0" xfId="0" applyFont="1" applyFill="1" applyBorder="1" applyAlignment="1">
      <alignment horizontal="center" vertical="center"/>
    </xf>
    <xf numFmtId="0" fontId="41" fillId="33" borderId="11" xfId="3" applyFont="1" applyBorder="1" applyAlignment="1">
      <alignment horizontal="left" vertical="center"/>
    </xf>
    <xf numFmtId="0" fontId="44" fillId="0" borderId="6" xfId="0" applyFont="1" applyBorder="1" applyAlignment="1">
      <alignment horizontal="left"/>
    </xf>
    <xf numFmtId="0" fontId="45" fillId="35" borderId="17" xfId="0" applyFont="1" applyFill="1" applyBorder="1" applyAlignment="1">
      <alignment horizontal="center" vertical="center"/>
    </xf>
    <xf numFmtId="0" fontId="46" fillId="36" borderId="17" xfId="0" applyFont="1" applyFill="1" applyBorder="1" applyAlignment="1">
      <alignment horizontal="center" vertical="center"/>
    </xf>
    <xf numFmtId="0" fontId="47" fillId="34" borderId="17" xfId="0" applyFont="1" applyFill="1" applyBorder="1" applyAlignment="1">
      <alignment horizontal="center" vertical="center" wrapText="1"/>
    </xf>
    <xf numFmtId="0" fontId="42" fillId="6" borderId="6" xfId="0" applyFont="1" applyFill="1" applyBorder="1" applyAlignment="1">
      <alignment horizontal="center"/>
    </xf>
    <xf numFmtId="0" fontId="0" fillId="0" borderId="6" xfId="0" applyBorder="1"/>
    <xf numFmtId="0" fontId="6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45" fillId="0" borderId="17" xfId="0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2" fontId="6" fillId="0" borderId="10" xfId="0" applyNumberFormat="1" applyFont="1" applyBorder="1" applyAlignment="1">
      <alignment horizontal="right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41" fillId="0" borderId="6" xfId="0" applyFont="1" applyBorder="1" applyAlignment="1">
      <alignment horizontal="left" vertical="center"/>
    </xf>
    <xf numFmtId="0" fontId="41" fillId="0" borderId="8" xfId="0" applyFont="1" applyBorder="1" applyAlignment="1">
      <alignment horizontal="left" vertical="center"/>
    </xf>
    <xf numFmtId="0" fontId="42" fillId="6" borderId="0" xfId="0" applyFont="1" applyFill="1" applyBorder="1" applyAlignment="1">
      <alignment horizontal="center"/>
    </xf>
    <xf numFmtId="0" fontId="41" fillId="0" borderId="11" xfId="0" applyFont="1" applyBorder="1" applyAlignment="1">
      <alignment horizontal="left" vertical="center"/>
    </xf>
    <xf numFmtId="0" fontId="23" fillId="0" borderId="0" xfId="0" applyFont="1" applyBorder="1"/>
    <xf numFmtId="0" fontId="0" fillId="0" borderId="10" xfId="0" applyBorder="1"/>
    <xf numFmtId="0" fontId="0" fillId="0" borderId="9" xfId="0" applyBorder="1"/>
    <xf numFmtId="0" fontId="0" fillId="0" borderId="7" xfId="0" applyBorder="1"/>
    <xf numFmtId="0" fontId="51" fillId="0" borderId="0" xfId="0" applyFont="1" applyBorder="1"/>
    <xf numFmtId="0" fontId="52" fillId="0" borderId="0" xfId="0" applyFont="1" applyBorder="1"/>
    <xf numFmtId="0" fontId="50" fillId="39" borderId="18" xfId="0" applyFont="1" applyFill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3" fontId="6" fillId="0" borderId="18" xfId="0" applyNumberFormat="1" applyFont="1" applyBorder="1" applyAlignment="1">
      <alignment horizontal="right"/>
    </xf>
    <xf numFmtId="10" fontId="6" fillId="0" borderId="18" xfId="0" applyNumberFormat="1" applyFont="1" applyBorder="1" applyAlignment="1">
      <alignment horizontal="right"/>
    </xf>
    <xf numFmtId="0" fontId="6" fillId="0" borderId="18" xfId="0" applyFont="1" applyBorder="1" applyAlignment="1">
      <alignment horizontal="left"/>
    </xf>
    <xf numFmtId="3" fontId="50" fillId="37" borderId="0" xfId="0" applyNumberFormat="1" applyFont="1" applyFill="1" applyBorder="1" applyAlignment="1">
      <alignment horizontal="right"/>
    </xf>
    <xf numFmtId="10" fontId="50" fillId="37" borderId="0" xfId="0" applyNumberFormat="1" applyFont="1" applyFill="1" applyBorder="1" applyAlignment="1">
      <alignment horizontal="right"/>
    </xf>
    <xf numFmtId="0" fontId="7" fillId="41" borderId="18" xfId="0" applyFont="1" applyFill="1" applyBorder="1" applyAlignment="1">
      <alignment horizontal="center"/>
    </xf>
    <xf numFmtId="1" fontId="7" fillId="41" borderId="18" xfId="0" applyNumberFormat="1" applyFont="1" applyFill="1" applyBorder="1" applyAlignment="1">
      <alignment horizontal="center"/>
    </xf>
    <xf numFmtId="0" fontId="7" fillId="41" borderId="18" xfId="0" applyFont="1" applyFill="1" applyBorder="1" applyAlignment="1">
      <alignment horizontal="left"/>
    </xf>
    <xf numFmtId="3" fontId="7" fillId="41" borderId="18" xfId="0" applyNumberFormat="1" applyFont="1" applyFill="1" applyBorder="1" applyAlignment="1">
      <alignment horizontal="right"/>
    </xf>
    <xf numFmtId="10" fontId="7" fillId="41" borderId="18" xfId="0" applyNumberFormat="1" applyFont="1" applyFill="1" applyBorder="1" applyAlignment="1">
      <alignment horizontal="right"/>
    </xf>
    <xf numFmtId="3" fontId="7" fillId="40" borderId="18" xfId="0" applyNumberFormat="1" applyFont="1" applyFill="1" applyBorder="1" applyAlignment="1">
      <alignment horizontal="right"/>
    </xf>
    <xf numFmtId="10" fontId="7" fillId="40" borderId="18" xfId="0" applyNumberFormat="1" applyFont="1" applyFill="1" applyBorder="1" applyAlignment="1">
      <alignment horizontal="right"/>
    </xf>
    <xf numFmtId="0" fontId="50" fillId="37" borderId="0" xfId="0" applyFont="1" applyFill="1" applyBorder="1" applyAlignment="1">
      <alignment horizontal="center" vertical="center" wrapText="1"/>
    </xf>
    <xf numFmtId="0" fontId="50" fillId="37" borderId="0" xfId="0" applyFont="1" applyFill="1" applyBorder="1" applyAlignment="1">
      <alignment horizontal="center"/>
    </xf>
    <xf numFmtId="0" fontId="7" fillId="40" borderId="18" xfId="0" applyFont="1" applyFill="1" applyBorder="1" applyAlignment="1">
      <alignment horizontal="center"/>
    </xf>
    <xf numFmtId="0" fontId="55" fillId="0" borderId="19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/>
    </xf>
    <xf numFmtId="0" fontId="58" fillId="0" borderId="19" xfId="0" applyFont="1" applyBorder="1"/>
    <xf numFmtId="0" fontId="63" fillId="44" borderId="21" xfId="0" applyFont="1" applyFill="1" applyBorder="1" applyAlignment="1">
      <alignment horizontal="left" vertical="center"/>
    </xf>
    <xf numFmtId="0" fontId="63" fillId="44" borderId="21" xfId="0" applyFont="1" applyFill="1" applyBorder="1" applyAlignment="1">
      <alignment horizontal="center" vertical="center"/>
    </xf>
    <xf numFmtId="0" fontId="63" fillId="44" borderId="21" xfId="0" applyFont="1" applyFill="1" applyBorder="1" applyAlignment="1">
      <alignment horizontal="right" vertical="center"/>
    </xf>
    <xf numFmtId="0" fontId="64" fillId="45" borderId="21" xfId="0" applyFont="1" applyFill="1" applyBorder="1" applyAlignment="1">
      <alignment horizontal="left" vertical="center"/>
    </xf>
    <xf numFmtId="0" fontId="64" fillId="45" borderId="21" xfId="0" applyFont="1" applyFill="1" applyBorder="1" applyAlignment="1">
      <alignment horizontal="center" vertical="center"/>
    </xf>
    <xf numFmtId="3" fontId="64" fillId="45" borderId="21" xfId="0" applyNumberFormat="1" applyFont="1" applyFill="1" applyBorder="1" applyAlignment="1">
      <alignment horizontal="right" vertical="center"/>
    </xf>
    <xf numFmtId="0" fontId="65" fillId="0" borderId="21" xfId="0" applyFont="1" applyBorder="1" applyAlignment="1">
      <alignment horizontal="left" vertical="center"/>
    </xf>
    <xf numFmtId="3" fontId="65" fillId="0" borderId="21" xfId="0" applyNumberFormat="1" applyFont="1" applyBorder="1" applyAlignment="1">
      <alignment horizontal="right" vertical="center"/>
    </xf>
    <xf numFmtId="0" fontId="65" fillId="45" borderId="21" xfId="0" applyFont="1" applyFill="1" applyBorder="1" applyAlignment="1">
      <alignment horizontal="left" vertical="center"/>
    </xf>
    <xf numFmtId="0" fontId="65" fillId="45" borderId="21" xfId="0" applyFont="1" applyFill="1" applyBorder="1" applyAlignment="1">
      <alignment horizontal="center" vertical="center"/>
    </xf>
    <xf numFmtId="3" fontId="65" fillId="45" borderId="21" xfId="0" applyNumberFormat="1" applyFont="1" applyFill="1" applyBorder="1" applyAlignment="1">
      <alignment horizontal="right" vertical="center"/>
    </xf>
    <xf numFmtId="0" fontId="59" fillId="46" borderId="22" xfId="0" applyFont="1" applyFill="1" applyBorder="1" applyAlignment="1">
      <alignment horizontal="left" vertical="center"/>
    </xf>
    <xf numFmtId="0" fontId="59" fillId="46" borderId="22" xfId="0" applyFont="1" applyFill="1" applyBorder="1" applyAlignment="1">
      <alignment horizontal="center" vertical="center"/>
    </xf>
    <xf numFmtId="3" fontId="59" fillId="46" borderId="22" xfId="0" applyNumberFormat="1" applyFont="1" applyFill="1" applyBorder="1" applyAlignment="1">
      <alignment horizontal="right" vertical="center"/>
    </xf>
    <xf numFmtId="3" fontId="58" fillId="0" borderId="19" xfId="0" applyNumberFormat="1" applyFont="1" applyBorder="1"/>
    <xf numFmtId="3" fontId="64" fillId="0" borderId="21" xfId="0" applyNumberFormat="1" applyFont="1" applyBorder="1" applyAlignment="1">
      <alignment horizontal="right" vertical="center"/>
    </xf>
    <xf numFmtId="3" fontId="59" fillId="48" borderId="22" xfId="0" applyNumberFormat="1" applyFont="1" applyFill="1" applyBorder="1" applyAlignment="1">
      <alignment horizontal="right" vertical="center"/>
    </xf>
    <xf numFmtId="3" fontId="63" fillId="44" borderId="21" xfId="0" applyNumberFormat="1" applyFont="1" applyFill="1" applyBorder="1" applyAlignment="1">
      <alignment horizontal="right" vertical="center"/>
    </xf>
    <xf numFmtId="0" fontId="64" fillId="46" borderId="21" xfId="0" applyFont="1" applyFill="1" applyBorder="1" applyAlignment="1">
      <alignment horizontal="center"/>
    </xf>
    <xf numFmtId="0" fontId="65" fillId="0" borderId="21" xfId="0" applyFont="1" applyBorder="1" applyAlignment="1">
      <alignment horizontal="center"/>
    </xf>
    <xf numFmtId="3" fontId="65" fillId="0" borderId="21" xfId="0" applyNumberFormat="1" applyFont="1" applyBorder="1" applyAlignment="1">
      <alignment horizontal="center"/>
    </xf>
    <xf numFmtId="0" fontId="65" fillId="7" borderId="21" xfId="0" applyFont="1" applyFill="1" applyBorder="1" applyAlignment="1">
      <alignment horizontal="center"/>
    </xf>
    <xf numFmtId="3" fontId="65" fillId="7" borderId="21" xfId="0" applyNumberFormat="1" applyFont="1" applyFill="1" applyBorder="1" applyAlignment="1">
      <alignment horizontal="center"/>
    </xf>
    <xf numFmtId="0" fontId="0" fillId="0" borderId="19" xfId="0" applyBorder="1"/>
    <xf numFmtId="0" fontId="7" fillId="0" borderId="19" xfId="0" applyFont="1" applyBorder="1" applyAlignment="1">
      <alignment horizontal="center"/>
    </xf>
    <xf numFmtId="3" fontId="6" fillId="0" borderId="19" xfId="0" applyNumberFormat="1" applyFont="1" applyBorder="1" applyAlignment="1">
      <alignment horizontal="center"/>
    </xf>
    <xf numFmtId="3" fontId="7" fillId="0" borderId="19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4" fillId="0" borderId="19" xfId="0" applyFont="1" applyBorder="1" applyAlignment="1">
      <alignment horizontal="left" vertical="center" indent="1"/>
    </xf>
    <xf numFmtId="0" fontId="24" fillId="0" borderId="19" xfId="0" applyFont="1" applyBorder="1" applyAlignment="1">
      <alignment horizontal="center"/>
    </xf>
    <xf numFmtId="0" fontId="24" fillId="0" borderId="19" xfId="0" applyFont="1" applyBorder="1" applyAlignment="1">
      <alignment horizontal="left"/>
    </xf>
    <xf numFmtId="0" fontId="24" fillId="0" borderId="19" xfId="0" applyFont="1" applyBorder="1" applyAlignment="1">
      <alignment horizontal="right"/>
    </xf>
    <xf numFmtId="0" fontId="6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left"/>
    </xf>
    <xf numFmtId="0" fontId="65" fillId="0" borderId="21" xfId="0" applyFont="1" applyBorder="1" applyAlignment="1">
      <alignment horizontal="center" vertical="center"/>
    </xf>
    <xf numFmtId="1" fontId="23" fillId="49" borderId="25" xfId="0" applyNumberFormat="1" applyFont="1" applyFill="1" applyBorder="1" applyAlignment="1">
      <alignment horizontal="center" vertical="center"/>
    </xf>
    <xf numFmtId="0" fontId="66" fillId="49" borderId="25" xfId="0" applyFont="1" applyFill="1" applyBorder="1" applyAlignment="1">
      <alignment horizontal="left" vertical="center"/>
    </xf>
    <xf numFmtId="0" fontId="23" fillId="49" borderId="25" xfId="0" applyFont="1" applyFill="1" applyBorder="1" applyAlignment="1">
      <alignment horizontal="left" vertical="center"/>
    </xf>
    <xf numFmtId="2" fontId="23" fillId="49" borderId="25" xfId="0" applyNumberFormat="1" applyFont="1" applyFill="1" applyBorder="1" applyAlignment="1">
      <alignment horizontal="right" vertical="center"/>
    </xf>
    <xf numFmtId="0" fontId="23" fillId="49" borderId="25" xfId="0" applyFont="1" applyFill="1" applyBorder="1" applyAlignment="1">
      <alignment horizontal="center" vertical="center"/>
    </xf>
    <xf numFmtId="0" fontId="66" fillId="49" borderId="25" xfId="0" applyFont="1" applyFill="1" applyBorder="1" applyAlignment="1">
      <alignment horizontal="center" vertical="center"/>
    </xf>
    <xf numFmtId="1" fontId="23" fillId="50" borderId="25" xfId="0" applyNumberFormat="1" applyFont="1" applyFill="1" applyBorder="1" applyAlignment="1">
      <alignment horizontal="center" vertical="center"/>
    </xf>
    <xf numFmtId="0" fontId="66" fillId="50" borderId="25" xfId="0" applyFont="1" applyFill="1" applyBorder="1" applyAlignment="1">
      <alignment horizontal="left" vertical="center"/>
    </xf>
    <xf numFmtId="0" fontId="23" fillId="50" borderId="25" xfId="0" applyFont="1" applyFill="1" applyBorder="1" applyAlignment="1">
      <alignment horizontal="left" vertical="center"/>
    </xf>
    <xf numFmtId="2" fontId="23" fillId="50" borderId="25" xfId="0" applyNumberFormat="1" applyFont="1" applyFill="1" applyBorder="1" applyAlignment="1">
      <alignment horizontal="right" vertical="center"/>
    </xf>
    <xf numFmtId="0" fontId="23" fillId="50" borderId="25" xfId="0" applyFont="1" applyFill="1" applyBorder="1" applyAlignment="1">
      <alignment horizontal="center" vertical="center"/>
    </xf>
    <xf numFmtId="0" fontId="66" fillId="50" borderId="25" xfId="0" applyFont="1" applyFill="1" applyBorder="1" applyAlignment="1">
      <alignment horizontal="center" vertical="center"/>
    </xf>
    <xf numFmtId="0" fontId="67" fillId="0" borderId="26" xfId="0" applyFont="1" applyBorder="1" applyAlignment="1">
      <alignment horizontal="center"/>
    </xf>
    <xf numFmtId="0" fontId="67" fillId="0" borderId="26" xfId="0" applyFont="1" applyBorder="1" applyAlignment="1">
      <alignment horizontal="left"/>
    </xf>
    <xf numFmtId="3" fontId="67" fillId="0" borderId="26" xfId="0" applyNumberFormat="1" applyFont="1" applyBorder="1" applyAlignment="1">
      <alignment horizontal="right"/>
    </xf>
    <xf numFmtId="1" fontId="48" fillId="0" borderId="27" xfId="0" applyNumberFormat="1" applyFont="1" applyBorder="1" applyAlignment="1">
      <alignment horizontal="center" vertical="center"/>
    </xf>
    <xf numFmtId="0" fontId="48" fillId="0" borderId="27" xfId="0" applyFont="1" applyBorder="1" applyAlignment="1">
      <alignment horizontal="left" vertical="center"/>
    </xf>
    <xf numFmtId="2" fontId="48" fillId="0" borderId="27" xfId="0" applyNumberFormat="1" applyFont="1" applyBorder="1" applyAlignment="1">
      <alignment horizontal="right" vertical="center"/>
    </xf>
    <xf numFmtId="0" fontId="48" fillId="0" borderId="27" xfId="0" applyFont="1" applyBorder="1" applyAlignment="1">
      <alignment horizontal="center" vertical="center"/>
    </xf>
    <xf numFmtId="0" fontId="48" fillId="0" borderId="27" xfId="0" applyFont="1" applyBorder="1" applyAlignment="1">
      <alignment horizontal="right" vertical="center"/>
    </xf>
    <xf numFmtId="0" fontId="68" fillId="0" borderId="0" xfId="0" applyFont="1" applyBorder="1"/>
    <xf numFmtId="0" fontId="69" fillId="52" borderId="27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7" fillId="51" borderId="27" xfId="0" applyFont="1" applyFill="1" applyBorder="1" applyAlignment="1">
      <alignment horizontal="center" vertical="center"/>
    </xf>
    <xf numFmtId="0" fontId="7" fillId="51" borderId="27" xfId="0" applyFont="1" applyFill="1" applyBorder="1"/>
    <xf numFmtId="0" fontId="59" fillId="48" borderId="22" xfId="0" applyFont="1" applyFill="1" applyBorder="1" applyAlignment="1">
      <alignment horizontal="left" vertical="center"/>
    </xf>
    <xf numFmtId="0" fontId="70" fillId="53" borderId="28" xfId="0" applyFont="1" applyFill="1" applyBorder="1" applyAlignment="1">
      <alignment horizontal="left" vertical="center"/>
    </xf>
    <xf numFmtId="0" fontId="70" fillId="53" borderId="28" xfId="0" applyFont="1" applyFill="1" applyBorder="1" applyAlignment="1">
      <alignment horizontal="center" vertical="center"/>
    </xf>
    <xf numFmtId="3" fontId="70" fillId="53" borderId="28" xfId="0" applyNumberFormat="1" applyFont="1" applyFill="1" applyBorder="1" applyAlignment="1">
      <alignment horizontal="right" vertical="center"/>
    </xf>
    <xf numFmtId="0" fontId="71" fillId="54" borderId="28" xfId="0" applyFont="1" applyFill="1" applyBorder="1" applyAlignment="1">
      <alignment horizontal="center" vertical="center"/>
    </xf>
    <xf numFmtId="3" fontId="71" fillId="54" borderId="28" xfId="0" applyNumberFormat="1" applyFont="1" applyFill="1" applyBorder="1" applyAlignment="1">
      <alignment horizontal="right" vertical="center"/>
    </xf>
    <xf numFmtId="0" fontId="59" fillId="0" borderId="29" xfId="0" applyFont="1" applyBorder="1" applyAlignment="1">
      <alignment horizontal="left" vertical="center"/>
    </xf>
    <xf numFmtId="0" fontId="59" fillId="0" borderId="29" xfId="0" applyFont="1" applyBorder="1" applyAlignment="1">
      <alignment horizontal="center" vertical="center"/>
    </xf>
    <xf numFmtId="3" fontId="59" fillId="0" borderId="29" xfId="0" applyNumberFormat="1" applyFont="1" applyBorder="1" applyAlignment="1">
      <alignment horizontal="right" vertical="center"/>
    </xf>
    <xf numFmtId="3" fontId="72" fillId="53" borderId="28" xfId="0" applyNumberFormat="1" applyFont="1" applyFill="1" applyBorder="1" applyAlignment="1">
      <alignment horizontal="right" vertical="center"/>
    </xf>
    <xf numFmtId="3" fontId="73" fillId="55" borderId="30" xfId="0" applyNumberFormat="1" applyFont="1" applyFill="1" applyBorder="1" applyAlignment="1">
      <alignment horizontal="right" vertical="center"/>
    </xf>
    <xf numFmtId="164" fontId="56" fillId="0" borderId="19" xfId="0" applyNumberFormat="1" applyFont="1" applyBorder="1" applyAlignment="1">
      <alignment horizontal="center" vertical="center"/>
    </xf>
    <xf numFmtId="164" fontId="64" fillId="45" borderId="21" xfId="0" applyNumberFormat="1" applyFont="1" applyFill="1" applyBorder="1" applyAlignment="1">
      <alignment horizontal="right" vertical="center"/>
    </xf>
    <xf numFmtId="165" fontId="64" fillId="45" borderId="21" xfId="0" applyNumberFormat="1" applyFont="1" applyFill="1" applyBorder="1" applyAlignment="1">
      <alignment horizontal="right" vertical="center"/>
    </xf>
    <xf numFmtId="164" fontId="65" fillId="0" borderId="21" xfId="0" applyNumberFormat="1" applyFont="1" applyBorder="1" applyAlignment="1">
      <alignment horizontal="right" vertical="center"/>
    </xf>
    <xf numFmtId="165" fontId="65" fillId="0" borderId="21" xfId="0" applyNumberFormat="1" applyFont="1" applyBorder="1" applyAlignment="1">
      <alignment horizontal="right" vertical="center"/>
    </xf>
    <xf numFmtId="164" fontId="65" fillId="45" borderId="21" xfId="0" applyNumberFormat="1" applyFont="1" applyFill="1" applyBorder="1" applyAlignment="1">
      <alignment horizontal="right" vertical="center"/>
    </xf>
    <xf numFmtId="165" fontId="65" fillId="45" borderId="21" xfId="0" applyNumberFormat="1" applyFont="1" applyFill="1" applyBorder="1" applyAlignment="1">
      <alignment horizontal="right" vertical="center"/>
    </xf>
    <xf numFmtId="164" fontId="59" fillId="46" borderId="22" xfId="0" applyNumberFormat="1" applyFont="1" applyFill="1" applyBorder="1" applyAlignment="1">
      <alignment horizontal="right" vertical="center"/>
    </xf>
    <xf numFmtId="165" fontId="59" fillId="46" borderId="22" xfId="0" applyNumberFormat="1" applyFont="1" applyFill="1" applyBorder="1" applyAlignment="1">
      <alignment horizontal="right" vertical="center"/>
    </xf>
    <xf numFmtId="166" fontId="70" fillId="53" borderId="28" xfId="0" applyNumberFormat="1" applyFont="1" applyFill="1" applyBorder="1" applyAlignment="1">
      <alignment horizontal="right" vertical="center"/>
    </xf>
    <xf numFmtId="165" fontId="70" fillId="53" borderId="28" xfId="0" applyNumberFormat="1" applyFont="1" applyFill="1" applyBorder="1" applyAlignment="1">
      <alignment horizontal="right" vertical="center"/>
    </xf>
    <xf numFmtId="164" fontId="58" fillId="0" borderId="19" xfId="0" applyNumberFormat="1" applyFont="1" applyBorder="1"/>
    <xf numFmtId="165" fontId="58" fillId="0" borderId="19" xfId="0" applyNumberFormat="1" applyFont="1" applyBorder="1"/>
    <xf numFmtId="166" fontId="71" fillId="54" borderId="28" xfId="0" applyNumberFormat="1" applyFont="1" applyFill="1" applyBorder="1" applyAlignment="1">
      <alignment horizontal="right" vertical="center"/>
    </xf>
    <xf numFmtId="165" fontId="71" fillId="54" borderId="28" xfId="0" applyNumberFormat="1" applyFont="1" applyFill="1" applyBorder="1" applyAlignment="1">
      <alignment horizontal="right" vertical="center"/>
    </xf>
    <xf numFmtId="164" fontId="59" fillId="0" borderId="29" xfId="0" applyNumberFormat="1" applyFont="1" applyBorder="1" applyAlignment="1">
      <alignment horizontal="right" vertical="center"/>
    </xf>
    <xf numFmtId="165" fontId="59" fillId="0" borderId="29" xfId="0" applyNumberFormat="1" applyFont="1" applyBorder="1" applyAlignment="1">
      <alignment horizontal="right" vertical="center"/>
    </xf>
    <xf numFmtId="164" fontId="64" fillId="0" borderId="21" xfId="0" applyNumberFormat="1" applyFont="1" applyBorder="1" applyAlignment="1">
      <alignment horizontal="right" vertical="center"/>
    </xf>
    <xf numFmtId="165" fontId="64" fillId="0" borderId="21" xfId="0" applyNumberFormat="1" applyFont="1" applyBorder="1" applyAlignment="1">
      <alignment horizontal="right" vertical="center"/>
    </xf>
    <xf numFmtId="164" fontId="71" fillId="54" borderId="28" xfId="0" applyNumberFormat="1" applyFont="1" applyFill="1" applyBorder="1" applyAlignment="1">
      <alignment horizontal="right" vertical="center"/>
    </xf>
    <xf numFmtId="166" fontId="72" fillId="53" borderId="28" xfId="0" applyNumberFormat="1" applyFont="1" applyFill="1" applyBorder="1" applyAlignment="1">
      <alignment horizontal="right" vertical="center"/>
    </xf>
    <xf numFmtId="165" fontId="72" fillId="53" borderId="28" xfId="0" applyNumberFormat="1" applyFont="1" applyFill="1" applyBorder="1" applyAlignment="1">
      <alignment horizontal="center" vertical="center"/>
    </xf>
    <xf numFmtId="164" fontId="72" fillId="53" borderId="28" xfId="0" applyNumberFormat="1" applyFont="1" applyFill="1" applyBorder="1" applyAlignment="1">
      <alignment horizontal="center" vertical="center"/>
    </xf>
    <xf numFmtId="166" fontId="73" fillId="55" borderId="30" xfId="0" applyNumberFormat="1" applyFont="1" applyFill="1" applyBorder="1" applyAlignment="1">
      <alignment horizontal="right" vertical="center"/>
    </xf>
    <xf numFmtId="165" fontId="73" fillId="55" borderId="30" xfId="0" applyNumberFormat="1" applyFont="1" applyFill="1" applyBorder="1" applyAlignment="1">
      <alignment horizontal="center" vertical="center"/>
    </xf>
    <xf numFmtId="164" fontId="73" fillId="55" borderId="30" xfId="0" applyNumberFormat="1" applyFont="1" applyFill="1" applyBorder="1" applyAlignment="1">
      <alignment horizontal="center" vertical="center"/>
    </xf>
    <xf numFmtId="164" fontId="63" fillId="44" borderId="21" xfId="0" applyNumberFormat="1" applyFont="1" applyFill="1" applyBorder="1" applyAlignment="1">
      <alignment horizontal="right" vertical="center"/>
    </xf>
    <xf numFmtId="165" fontId="63" fillId="44" borderId="21" xfId="0" applyNumberFormat="1" applyFont="1" applyFill="1" applyBorder="1" applyAlignment="1">
      <alignment horizontal="right" vertical="center"/>
    </xf>
    <xf numFmtId="164" fontId="65" fillId="5" borderId="21" xfId="0" applyNumberFormat="1" applyFont="1" applyFill="1" applyBorder="1" applyAlignment="1">
      <alignment horizontal="right" vertical="center"/>
    </xf>
    <xf numFmtId="164" fontId="65" fillId="6" borderId="21" xfId="0" applyNumberFormat="1" applyFont="1" applyFill="1" applyBorder="1" applyAlignment="1">
      <alignment horizontal="right" vertical="center"/>
    </xf>
    <xf numFmtId="164" fontId="65" fillId="4" borderId="21" xfId="0" applyNumberFormat="1" applyFont="1" applyFill="1" applyBorder="1" applyAlignment="1">
      <alignment horizontal="right" vertical="center"/>
    </xf>
    <xf numFmtId="164" fontId="59" fillId="48" borderId="22" xfId="0" applyNumberFormat="1" applyFont="1" applyFill="1" applyBorder="1" applyAlignment="1">
      <alignment horizontal="right" vertical="center"/>
    </xf>
    <xf numFmtId="165" fontId="59" fillId="48" borderId="22" xfId="0" applyNumberFormat="1" applyFont="1" applyFill="1" applyBorder="1" applyAlignment="1">
      <alignment horizontal="right" vertical="center"/>
    </xf>
    <xf numFmtId="164" fontId="64" fillId="46" borderId="21" xfId="0" applyNumberFormat="1" applyFont="1" applyFill="1" applyBorder="1" applyAlignment="1">
      <alignment horizontal="right"/>
    </xf>
    <xf numFmtId="165" fontId="64" fillId="46" borderId="21" xfId="0" applyNumberFormat="1" applyFont="1" applyFill="1" applyBorder="1" applyAlignment="1">
      <alignment horizontal="right"/>
    </xf>
    <xf numFmtId="167" fontId="64" fillId="46" borderId="21" xfId="0" applyNumberFormat="1" applyFont="1" applyFill="1" applyBorder="1" applyAlignment="1">
      <alignment horizontal="center"/>
    </xf>
    <xf numFmtId="164" fontId="65" fillId="5" borderId="21" xfId="0" applyNumberFormat="1" applyFont="1" applyFill="1" applyBorder="1" applyAlignment="1">
      <alignment horizontal="right"/>
    </xf>
    <xf numFmtId="164" fontId="65" fillId="6" borderId="21" xfId="0" applyNumberFormat="1" applyFont="1" applyFill="1" applyBorder="1" applyAlignment="1">
      <alignment horizontal="right"/>
    </xf>
    <xf numFmtId="164" fontId="65" fillId="4" borderId="21" xfId="0" applyNumberFormat="1" applyFont="1" applyFill="1" applyBorder="1" applyAlignment="1">
      <alignment horizontal="right"/>
    </xf>
    <xf numFmtId="165" fontId="65" fillId="0" borderId="21" xfId="0" applyNumberFormat="1" applyFont="1" applyBorder="1" applyAlignment="1">
      <alignment horizontal="right"/>
    </xf>
    <xf numFmtId="164" fontId="65" fillId="0" borderId="21" xfId="0" applyNumberFormat="1" applyFont="1" applyBorder="1" applyAlignment="1">
      <alignment horizontal="right"/>
    </xf>
    <xf numFmtId="165" fontId="65" fillId="7" borderId="21" xfId="0" applyNumberFormat="1" applyFont="1" applyFill="1" applyBorder="1" applyAlignment="1">
      <alignment horizontal="right"/>
    </xf>
    <xf numFmtId="164" fontId="65" fillId="7" borderId="21" xfId="0" applyNumberFormat="1" applyFont="1" applyFill="1" applyBorder="1" applyAlignment="1">
      <alignment horizontal="right"/>
    </xf>
    <xf numFmtId="164" fontId="6" fillId="0" borderId="19" xfId="0" applyNumberFormat="1" applyFont="1" applyBorder="1" applyAlignment="1">
      <alignment horizontal="right"/>
    </xf>
    <xf numFmtId="164" fontId="7" fillId="0" borderId="19" xfId="0" applyNumberFormat="1" applyFont="1" applyBorder="1" applyAlignment="1">
      <alignment horizontal="right"/>
    </xf>
    <xf numFmtId="165" fontId="6" fillId="0" borderId="19" xfId="0" applyNumberFormat="1" applyFont="1" applyBorder="1" applyAlignment="1">
      <alignment horizontal="right"/>
    </xf>
    <xf numFmtId="164" fontId="5" fillId="0" borderId="19" xfId="0" applyNumberFormat="1" applyFont="1" applyBorder="1" applyAlignment="1">
      <alignment horizontal="right"/>
    </xf>
    <xf numFmtId="164" fontId="8" fillId="0" borderId="19" xfId="0" applyNumberFormat="1" applyFont="1" applyBorder="1" applyAlignment="1">
      <alignment horizontal="right"/>
    </xf>
    <xf numFmtId="165" fontId="5" fillId="0" borderId="19" xfId="0" applyNumberFormat="1" applyFont="1" applyBorder="1" applyAlignment="1">
      <alignment horizontal="right"/>
    </xf>
    <xf numFmtId="165" fontId="8" fillId="0" borderId="19" xfId="0" applyNumberFormat="1" applyFont="1" applyBorder="1" applyAlignment="1">
      <alignment horizontal="right"/>
    </xf>
    <xf numFmtId="165" fontId="7" fillId="0" borderId="19" xfId="0" applyNumberFormat="1" applyFont="1" applyBorder="1" applyAlignment="1">
      <alignment horizontal="right"/>
    </xf>
    <xf numFmtId="167" fontId="6" fillId="0" borderId="19" xfId="0" applyNumberFormat="1" applyFont="1" applyBorder="1" applyAlignment="1">
      <alignment horizontal="center"/>
    </xf>
    <xf numFmtId="166" fontId="6" fillId="0" borderId="18" xfId="0" applyNumberFormat="1" applyFont="1" applyBorder="1" applyAlignment="1">
      <alignment horizontal="right"/>
    </xf>
    <xf numFmtId="166" fontId="50" fillId="37" borderId="0" xfId="0" applyNumberFormat="1" applyFont="1" applyFill="1" applyBorder="1" applyAlignment="1">
      <alignment horizontal="right"/>
    </xf>
    <xf numFmtId="166" fontId="7" fillId="41" borderId="18" xfId="0" applyNumberFormat="1" applyFont="1" applyFill="1" applyBorder="1" applyAlignment="1">
      <alignment horizontal="right"/>
    </xf>
    <xf numFmtId="166" fontId="7" fillId="40" borderId="18" xfId="0" applyNumberFormat="1" applyFont="1" applyFill="1" applyBorder="1" applyAlignment="1">
      <alignment horizontal="right"/>
    </xf>
    <xf numFmtId="168" fontId="13" fillId="10" borderId="1" xfId="0" applyNumberFormat="1" applyFont="1" applyFill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/>
    <xf numFmtId="165" fontId="6" fillId="0" borderId="1" xfId="0" applyNumberFormat="1" applyFont="1" applyBorder="1"/>
    <xf numFmtId="166" fontId="48" fillId="0" borderId="27" xfId="0" applyNumberFormat="1" applyFont="1" applyBorder="1" applyAlignment="1">
      <alignment horizontal="right" vertical="center"/>
    </xf>
    <xf numFmtId="164" fontId="6" fillId="11" borderId="1" xfId="0" applyNumberFormat="1" applyFont="1" applyFill="1" applyBorder="1"/>
    <xf numFmtId="165" fontId="6" fillId="11" borderId="1" xfId="0" applyNumberFormat="1" applyFont="1" applyFill="1" applyBorder="1"/>
    <xf numFmtId="164" fontId="7" fillId="12" borderId="2" xfId="0" applyNumberFormat="1" applyFont="1" applyFill="1" applyBorder="1"/>
    <xf numFmtId="165" fontId="7" fillId="12" borderId="2" xfId="0" applyNumberFormat="1" applyFont="1" applyFill="1" applyBorder="1"/>
    <xf numFmtId="164" fontId="6" fillId="0" borderId="5" xfId="0" applyNumberFormat="1" applyFont="1" applyBorder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8" fontId="17" fillId="14" borderId="1" xfId="0" applyNumberFormat="1" applyFont="1" applyFill="1" applyBorder="1" applyAlignment="1">
      <alignment horizontal="center" vertical="center"/>
    </xf>
    <xf numFmtId="165" fontId="17" fillId="14" borderId="1" xfId="0" applyNumberFormat="1" applyFont="1" applyFill="1" applyBorder="1" applyAlignment="1">
      <alignment horizontal="center" vertical="center"/>
    </xf>
    <xf numFmtId="164" fontId="6" fillId="15" borderId="1" xfId="0" applyNumberFormat="1" applyFont="1" applyFill="1" applyBorder="1"/>
    <xf numFmtId="165" fontId="6" fillId="15" borderId="1" xfId="0" applyNumberFormat="1" applyFont="1" applyFill="1" applyBorder="1"/>
    <xf numFmtId="164" fontId="7" fillId="16" borderId="2" xfId="0" applyNumberFormat="1" applyFont="1" applyFill="1" applyBorder="1"/>
    <xf numFmtId="165" fontId="7" fillId="16" borderId="2" xfId="0" applyNumberFormat="1" applyFont="1" applyFill="1" applyBorder="1"/>
    <xf numFmtId="169" fontId="6" fillId="0" borderId="18" xfId="0" applyNumberFormat="1" applyFont="1" applyBorder="1" applyAlignment="1">
      <alignment horizontal="right"/>
    </xf>
    <xf numFmtId="170" fontId="0" fillId="0" borderId="0" xfId="1" applyNumberFormat="1" applyFont="1" applyBorder="1" applyAlignment="1">
      <alignment horizontal="center" vertical="center"/>
    </xf>
    <xf numFmtId="166" fontId="23" fillId="0" borderId="7" xfId="0" applyNumberFormat="1" applyFont="1" applyBorder="1" applyAlignment="1">
      <alignment horizontal="right"/>
    </xf>
    <xf numFmtId="166" fontId="23" fillId="0" borderId="6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 vertical="center"/>
    </xf>
    <xf numFmtId="164" fontId="6" fillId="0" borderId="6" xfId="0" applyNumberFormat="1" applyFont="1" applyBorder="1" applyAlignment="1">
      <alignment horizontal="left" vertical="center"/>
    </xf>
    <xf numFmtId="164" fontId="6" fillId="27" borderId="6" xfId="0" applyNumberFormat="1" applyFont="1" applyFill="1" applyBorder="1" applyAlignment="1">
      <alignment horizontal="right" vertical="center"/>
    </xf>
    <xf numFmtId="164" fontId="6" fillId="0" borderId="0" xfId="0" applyNumberFormat="1" applyFont="1" applyBorder="1" applyAlignment="1">
      <alignment horizontal="left" vertical="center"/>
    </xf>
    <xf numFmtId="164" fontId="6" fillId="27" borderId="0" xfId="0" applyNumberFormat="1" applyFont="1" applyFill="1" applyBorder="1" applyAlignment="1">
      <alignment horizontal="right" vertical="center"/>
    </xf>
    <xf numFmtId="166" fontId="23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right" vertical="center"/>
    </xf>
    <xf numFmtId="166" fontId="23" fillId="0" borderId="8" xfId="0" applyNumberFormat="1" applyFont="1" applyBorder="1" applyAlignment="1">
      <alignment horizontal="right"/>
    </xf>
    <xf numFmtId="164" fontId="6" fillId="0" borderId="8" xfId="0" applyNumberFormat="1" applyFont="1" applyBorder="1" applyAlignment="1">
      <alignment horizontal="right" vertical="center"/>
    </xf>
    <xf numFmtId="166" fontId="23" fillId="0" borderId="9" xfId="0" applyNumberFormat="1" applyFont="1" applyBorder="1" applyAlignment="1">
      <alignment horizontal="right"/>
    </xf>
    <xf numFmtId="166" fontId="23" fillId="0" borderId="10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left" vertical="center"/>
    </xf>
    <xf numFmtId="164" fontId="6" fillId="27" borderId="11" xfId="0" applyNumberFormat="1" applyFont="1" applyFill="1" applyBorder="1" applyAlignment="1">
      <alignment horizontal="right" vertical="center"/>
    </xf>
    <xf numFmtId="164" fontId="6" fillId="0" borderId="11" xfId="0" applyNumberFormat="1" applyFont="1" applyBorder="1" applyAlignment="1">
      <alignment horizontal="right" vertical="center"/>
    </xf>
    <xf numFmtId="166" fontId="23" fillId="49" borderId="25" xfId="0" applyNumberFormat="1" applyFont="1" applyFill="1" applyBorder="1" applyAlignment="1">
      <alignment horizontal="right" vertical="center"/>
    </xf>
    <xf numFmtId="166" fontId="66" fillId="49" borderId="25" xfId="0" applyNumberFormat="1" applyFont="1" applyFill="1" applyBorder="1" applyAlignment="1">
      <alignment horizontal="right" vertical="center"/>
    </xf>
    <xf numFmtId="166" fontId="23" fillId="50" borderId="25" xfId="0" applyNumberFormat="1" applyFont="1" applyFill="1" applyBorder="1" applyAlignment="1">
      <alignment horizontal="right" vertical="center"/>
    </xf>
    <xf numFmtId="166" fontId="66" fillId="50" borderId="25" xfId="0" applyNumberFormat="1" applyFont="1" applyFill="1" applyBorder="1" applyAlignment="1">
      <alignment horizontal="right" vertical="center"/>
    </xf>
    <xf numFmtId="164" fontId="7" fillId="25" borderId="13" xfId="0" applyNumberFormat="1" applyFont="1" applyFill="1" applyBorder="1"/>
    <xf numFmtId="164" fontId="7" fillId="25" borderId="13" xfId="0" applyNumberFormat="1" applyFont="1" applyFill="1" applyBorder="1" applyAlignment="1">
      <alignment horizontal="left"/>
    </xf>
    <xf numFmtId="164" fontId="6" fillId="31" borderId="11" xfId="0" applyNumberFormat="1" applyFont="1" applyFill="1" applyBorder="1" applyAlignment="1">
      <alignment horizontal="right" vertical="center"/>
    </xf>
    <xf numFmtId="164" fontId="6" fillId="27" borderId="16" xfId="0" applyNumberFormat="1" applyFont="1" applyFill="1" applyBorder="1" applyAlignment="1">
      <alignment horizontal="left" vertical="center"/>
    </xf>
    <xf numFmtId="164" fontId="6" fillId="30" borderId="11" xfId="0" applyNumberFormat="1" applyFont="1" applyFill="1" applyBorder="1" applyAlignment="1">
      <alignment horizontal="right" vertical="center"/>
    </xf>
    <xf numFmtId="166" fontId="6" fillId="0" borderId="27" xfId="0" applyNumberFormat="1" applyFont="1" applyBorder="1" applyAlignment="1">
      <alignment horizontal="right" vertical="center"/>
    </xf>
    <xf numFmtId="166" fontId="7" fillId="51" borderId="27" xfId="0" applyNumberFormat="1" applyFont="1" applyFill="1" applyBorder="1" applyAlignment="1">
      <alignment horizontal="right" vertical="center"/>
    </xf>
    <xf numFmtId="164" fontId="6" fillId="0" borderId="4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71" fillId="54" borderId="28" xfId="0" applyFont="1" applyFill="1" applyBorder="1" applyAlignment="1">
      <alignment horizontal="left" vertical="center"/>
    </xf>
    <xf numFmtId="1" fontId="48" fillId="0" borderId="32" xfId="0" applyNumberFormat="1" applyFont="1" applyBorder="1" applyAlignment="1">
      <alignment horizontal="center" vertical="center"/>
    </xf>
    <xf numFmtId="0" fontId="48" fillId="0" borderId="32" xfId="0" applyFont="1" applyBorder="1" applyAlignment="1">
      <alignment horizontal="left" vertical="center"/>
    </xf>
    <xf numFmtId="2" fontId="48" fillId="0" borderId="32" xfId="0" applyNumberFormat="1" applyFont="1" applyBorder="1" applyAlignment="1">
      <alignment horizontal="right" vertical="center"/>
    </xf>
    <xf numFmtId="166" fontId="48" fillId="0" borderId="32" xfId="0" applyNumberFormat="1" applyFont="1" applyBorder="1" applyAlignment="1">
      <alignment horizontal="right" vertical="center"/>
    </xf>
    <xf numFmtId="166" fontId="49" fillId="0" borderId="32" xfId="0" applyNumberFormat="1" applyFont="1" applyBorder="1" applyAlignment="1">
      <alignment horizontal="right" vertical="center"/>
    </xf>
    <xf numFmtId="0" fontId="48" fillId="0" borderId="32" xfId="0" applyFont="1" applyBorder="1" applyAlignment="1">
      <alignment horizontal="center" vertical="center"/>
    </xf>
    <xf numFmtId="1" fontId="48" fillId="0" borderId="33" xfId="0" applyNumberFormat="1" applyFont="1" applyBorder="1" applyAlignment="1">
      <alignment horizontal="center" vertical="center"/>
    </xf>
    <xf numFmtId="0" fontId="48" fillId="0" borderId="33" xfId="0" applyFont="1" applyBorder="1" applyAlignment="1">
      <alignment horizontal="left" vertical="center"/>
    </xf>
    <xf numFmtId="2" fontId="48" fillId="0" borderId="33" xfId="0" applyNumberFormat="1" applyFont="1" applyBorder="1" applyAlignment="1">
      <alignment horizontal="right" vertical="center"/>
    </xf>
    <xf numFmtId="166" fontId="48" fillId="0" borderId="33" xfId="0" applyNumberFormat="1" applyFont="1" applyBorder="1" applyAlignment="1">
      <alignment horizontal="right" vertical="center"/>
    </xf>
    <xf numFmtId="166" fontId="49" fillId="0" borderId="33" xfId="0" applyNumberFormat="1" applyFont="1" applyBorder="1" applyAlignment="1">
      <alignment horizontal="right" vertical="center"/>
    </xf>
    <xf numFmtId="0" fontId="48" fillId="0" borderId="33" xfId="0" applyFont="1" applyBorder="1" applyAlignment="1">
      <alignment horizontal="center" vertical="center"/>
    </xf>
    <xf numFmtId="1" fontId="77" fillId="0" borderId="34" xfId="0" applyNumberFormat="1" applyFont="1" applyBorder="1" applyAlignment="1">
      <alignment horizontal="center" vertical="center"/>
    </xf>
    <xf numFmtId="0" fontId="77" fillId="0" borderId="34" xfId="0" applyFont="1" applyBorder="1" applyAlignment="1">
      <alignment horizontal="center" vertical="center"/>
    </xf>
    <xf numFmtId="0" fontId="77" fillId="0" borderId="34" xfId="0" applyFont="1" applyBorder="1" applyAlignment="1">
      <alignment horizontal="left" vertical="center"/>
    </xf>
    <xf numFmtId="169" fontId="77" fillId="0" borderId="34" xfId="0" applyNumberFormat="1" applyFont="1" applyBorder="1" applyAlignment="1">
      <alignment horizontal="right" vertical="center"/>
    </xf>
    <xf numFmtId="166" fontId="77" fillId="0" borderId="34" xfId="0" applyNumberFormat="1" applyFont="1" applyBorder="1" applyAlignment="1">
      <alignment horizontal="right" vertical="center"/>
    </xf>
    <xf numFmtId="0" fontId="79" fillId="0" borderId="0" xfId="0" applyFont="1" applyBorder="1"/>
    <xf numFmtId="0" fontId="80" fillId="57" borderId="34" xfId="0" applyFont="1" applyFill="1" applyBorder="1" applyAlignment="1">
      <alignment horizontal="center" vertical="center"/>
    </xf>
    <xf numFmtId="0" fontId="81" fillId="0" borderId="34" xfId="0" applyFont="1" applyBorder="1" applyAlignment="1">
      <alignment horizontal="center" vertical="center"/>
    </xf>
    <xf numFmtId="0" fontId="81" fillId="0" borderId="34" xfId="0" applyFont="1" applyBorder="1" applyAlignment="1">
      <alignment horizontal="left" vertical="center"/>
    </xf>
    <xf numFmtId="166" fontId="81" fillId="0" borderId="34" xfId="0" applyNumberFormat="1" applyFont="1" applyBorder="1" applyAlignment="1">
      <alignment horizontal="right" vertical="center"/>
    </xf>
    <xf numFmtId="0" fontId="81" fillId="58" borderId="34" xfId="0" applyFont="1" applyFill="1" applyBorder="1" applyAlignment="1">
      <alignment horizontal="center" vertical="center"/>
    </xf>
    <xf numFmtId="0" fontId="81" fillId="58" borderId="34" xfId="0" applyFont="1" applyFill="1" applyBorder="1" applyAlignment="1">
      <alignment horizontal="left" vertical="center"/>
    </xf>
    <xf numFmtId="166" fontId="81" fillId="58" borderId="34" xfId="0" applyNumberFormat="1" applyFont="1" applyFill="1" applyBorder="1" applyAlignment="1">
      <alignment horizontal="right" vertical="center"/>
    </xf>
    <xf numFmtId="0" fontId="82" fillId="59" borderId="35" xfId="0" applyFont="1" applyFill="1" applyBorder="1" applyAlignment="1">
      <alignment horizontal="left" vertical="center"/>
    </xf>
    <xf numFmtId="0" fontId="82" fillId="59" borderId="35" xfId="0" applyFont="1" applyFill="1" applyBorder="1" applyAlignment="1">
      <alignment horizontal="center" vertical="center"/>
    </xf>
    <xf numFmtId="166" fontId="82" fillId="59" borderId="35" xfId="0" applyNumberFormat="1" applyFont="1" applyFill="1" applyBorder="1" applyAlignment="1">
      <alignment horizontal="right" vertical="center"/>
    </xf>
    <xf numFmtId="0" fontId="82" fillId="59" borderId="35" xfId="0" applyFont="1" applyFill="1" applyBorder="1"/>
    <xf numFmtId="0" fontId="84" fillId="0" borderId="0" xfId="0" applyFont="1" applyBorder="1"/>
    <xf numFmtId="0" fontId="85" fillId="60" borderId="36" xfId="0" applyFont="1" applyFill="1" applyBorder="1" applyAlignment="1">
      <alignment horizontal="center" vertical="center"/>
    </xf>
    <xf numFmtId="0" fontId="86" fillId="0" borderId="36" xfId="0" applyFont="1" applyBorder="1" applyAlignment="1">
      <alignment horizontal="center" vertical="center"/>
    </xf>
    <xf numFmtId="0" fontId="86" fillId="0" borderId="36" xfId="0" applyFont="1" applyBorder="1" applyAlignment="1">
      <alignment horizontal="left" vertical="center"/>
    </xf>
    <xf numFmtId="166" fontId="86" fillId="0" borderId="36" xfId="0" applyNumberFormat="1" applyFont="1" applyBorder="1" applyAlignment="1">
      <alignment horizontal="right" vertical="center"/>
    </xf>
    <xf numFmtId="0" fontId="86" fillId="61" borderId="36" xfId="0" applyFont="1" applyFill="1" applyBorder="1" applyAlignment="1">
      <alignment horizontal="center" vertical="center"/>
    </xf>
    <xf numFmtId="0" fontId="86" fillId="61" borderId="36" xfId="0" applyFont="1" applyFill="1" applyBorder="1" applyAlignment="1">
      <alignment horizontal="left" vertical="center"/>
    </xf>
    <xf numFmtId="166" fontId="86" fillId="61" borderId="36" xfId="0" applyNumberFormat="1" applyFont="1" applyFill="1" applyBorder="1" applyAlignment="1">
      <alignment horizontal="right" vertical="center"/>
    </xf>
    <xf numFmtId="0" fontId="87" fillId="62" borderId="37" xfId="0" applyFont="1" applyFill="1" applyBorder="1" applyAlignment="1">
      <alignment horizontal="left" vertical="center"/>
    </xf>
    <xf numFmtId="0" fontId="87" fillId="62" borderId="37" xfId="0" applyFont="1" applyFill="1" applyBorder="1" applyAlignment="1">
      <alignment horizontal="center" vertical="center"/>
    </xf>
    <xf numFmtId="166" fontId="87" fillId="62" borderId="37" xfId="0" applyNumberFormat="1" applyFont="1" applyFill="1" applyBorder="1" applyAlignment="1">
      <alignment horizontal="right" vertical="center"/>
    </xf>
    <xf numFmtId="1" fontId="6" fillId="0" borderId="38" xfId="0" applyNumberFormat="1" applyFont="1" applyBorder="1" applyAlignment="1">
      <alignment horizontal="center"/>
    </xf>
    <xf numFmtId="0" fontId="6" fillId="0" borderId="38" xfId="0" applyFont="1" applyBorder="1" applyAlignment="1">
      <alignment horizontal="left"/>
    </xf>
    <xf numFmtId="3" fontId="6" fillId="0" borderId="38" xfId="0" applyNumberFormat="1" applyFont="1" applyBorder="1" applyAlignment="1">
      <alignment horizontal="right"/>
    </xf>
    <xf numFmtId="164" fontId="6" fillId="0" borderId="38" xfId="0" applyNumberFormat="1" applyFont="1" applyBorder="1" applyAlignment="1">
      <alignment horizontal="right"/>
    </xf>
    <xf numFmtId="0" fontId="6" fillId="0" borderId="38" xfId="0" applyFont="1" applyBorder="1" applyAlignment="1">
      <alignment horizontal="center"/>
    </xf>
    <xf numFmtId="0" fontId="6" fillId="0" borderId="38" xfId="0" applyFont="1" applyBorder="1" applyAlignment="1">
      <alignment horizontal="center" vertical="center"/>
    </xf>
    <xf numFmtId="0" fontId="6" fillId="0" borderId="38" xfId="0" applyFont="1" applyBorder="1"/>
    <xf numFmtId="4" fontId="6" fillId="0" borderId="38" xfId="0" applyNumberFormat="1" applyFont="1" applyBorder="1" applyAlignment="1">
      <alignment horizontal="right"/>
    </xf>
    <xf numFmtId="0" fontId="88" fillId="0" borderId="39" xfId="0" applyFont="1" applyBorder="1"/>
    <xf numFmtId="0" fontId="95" fillId="66" borderId="40" xfId="0" applyFont="1" applyFill="1" applyBorder="1" applyAlignment="1">
      <alignment horizontal="center" vertical="center" wrapText="1"/>
    </xf>
    <xf numFmtId="166" fontId="97" fillId="0" borderId="38" xfId="0" applyNumberFormat="1" applyFont="1" applyBorder="1" applyAlignment="1">
      <alignment horizontal="center"/>
    </xf>
    <xf numFmtId="166" fontId="97" fillId="0" borderId="38" xfId="0" applyNumberFormat="1" applyFont="1" applyBorder="1"/>
    <xf numFmtId="0" fontId="96" fillId="0" borderId="38" xfId="0" applyFont="1" applyBorder="1" applyAlignment="1">
      <alignment horizontal="center"/>
    </xf>
    <xf numFmtId="0" fontId="97" fillId="67" borderId="38" xfId="0" applyFont="1" applyFill="1" applyBorder="1" applyAlignment="1">
      <alignment horizontal="center"/>
    </xf>
    <xf numFmtId="166" fontId="97" fillId="67" borderId="38" xfId="0" applyNumberFormat="1" applyFont="1" applyFill="1" applyBorder="1" applyAlignment="1">
      <alignment horizontal="center"/>
    </xf>
    <xf numFmtId="166" fontId="97" fillId="67" borderId="38" xfId="0" applyNumberFormat="1" applyFont="1" applyFill="1" applyBorder="1"/>
    <xf numFmtId="164" fontId="97" fillId="67" borderId="38" xfId="0" applyNumberFormat="1" applyFont="1" applyFill="1" applyBorder="1" applyAlignment="1">
      <alignment horizontal="right"/>
    </xf>
    <xf numFmtId="0" fontId="98" fillId="67" borderId="38" xfId="0" applyFont="1" applyFill="1" applyBorder="1" applyAlignment="1">
      <alignment horizontal="center"/>
    </xf>
    <xf numFmtId="0" fontId="97" fillId="67" borderId="38" xfId="0" applyFont="1" applyFill="1" applyBorder="1"/>
    <xf numFmtId="0" fontId="98" fillId="0" borderId="38" xfId="0" applyFont="1" applyBorder="1" applyAlignment="1">
      <alignment horizontal="center"/>
    </xf>
    <xf numFmtId="0" fontId="96" fillId="67" borderId="38" xfId="0" applyFont="1" applyFill="1" applyBorder="1" applyAlignment="1">
      <alignment horizontal="center"/>
    </xf>
    <xf numFmtId="0" fontId="99" fillId="67" borderId="38" xfId="0" applyFont="1" applyFill="1" applyBorder="1" applyAlignment="1">
      <alignment horizontal="center"/>
    </xf>
    <xf numFmtId="0" fontId="99" fillId="0" borderId="38" xfId="0" applyFont="1" applyBorder="1" applyAlignment="1">
      <alignment horizontal="center"/>
    </xf>
    <xf numFmtId="0" fontId="97" fillId="0" borderId="38" xfId="2" applyFont="1" applyFill="1" applyBorder="1" applyAlignment="1">
      <alignment horizontal="center"/>
    </xf>
    <xf numFmtId="0" fontId="98" fillId="0" borderId="38" xfId="2" applyFont="1" applyFill="1" applyBorder="1" applyAlignment="1">
      <alignment horizontal="center"/>
    </xf>
    <xf numFmtId="164" fontId="97" fillId="0" borderId="38" xfId="2" applyNumberFormat="1" applyFont="1" applyFill="1" applyBorder="1" applyAlignment="1">
      <alignment horizontal="right"/>
    </xf>
    <xf numFmtId="0" fontId="97" fillId="67" borderId="38" xfId="2" applyFont="1" applyFill="1" applyBorder="1" applyAlignment="1">
      <alignment horizontal="center"/>
    </xf>
    <xf numFmtId="0" fontId="100" fillId="67" borderId="38" xfId="2" applyFont="1" applyFill="1" applyBorder="1" applyAlignment="1">
      <alignment horizontal="center"/>
    </xf>
    <xf numFmtId="164" fontId="97" fillId="67" borderId="38" xfId="2" applyNumberFormat="1" applyFont="1" applyFill="1" applyBorder="1" applyAlignment="1">
      <alignment horizontal="right"/>
    </xf>
    <xf numFmtId="0" fontId="100" fillId="0" borderId="38" xfId="0" applyFont="1" applyBorder="1" applyAlignment="1">
      <alignment horizontal="center"/>
    </xf>
    <xf numFmtId="0" fontId="100" fillId="67" borderId="38" xfId="0" applyFont="1" applyFill="1" applyBorder="1" applyAlignment="1">
      <alignment horizontal="center"/>
    </xf>
    <xf numFmtId="0" fontId="101" fillId="67" borderId="38" xfId="0" applyFont="1" applyFill="1" applyBorder="1" applyAlignment="1">
      <alignment horizontal="center"/>
    </xf>
    <xf numFmtId="0" fontId="102" fillId="68" borderId="38" xfId="0" applyFont="1" applyFill="1" applyBorder="1" applyAlignment="1">
      <alignment horizontal="center"/>
    </xf>
    <xf numFmtId="0" fontId="102" fillId="69" borderId="41" xfId="0" applyFont="1" applyFill="1" applyBorder="1" applyAlignment="1">
      <alignment horizontal="center"/>
    </xf>
    <xf numFmtId="165" fontId="97" fillId="0" borderId="38" xfId="0" applyNumberFormat="1" applyFont="1" applyBorder="1" applyAlignment="1">
      <alignment horizontal="right"/>
    </xf>
    <xf numFmtId="0" fontId="102" fillId="68" borderId="41" xfId="0" applyFont="1" applyFill="1" applyBorder="1" applyAlignment="1">
      <alignment horizontal="center"/>
    </xf>
    <xf numFmtId="165" fontId="102" fillId="68" borderId="41" xfId="0" applyNumberFormat="1" applyFont="1" applyFill="1" applyBorder="1" applyAlignment="1">
      <alignment horizontal="right"/>
    </xf>
    <xf numFmtId="171" fontId="97" fillId="0" borderId="38" xfId="0" applyNumberFormat="1" applyFont="1" applyBorder="1" applyAlignment="1">
      <alignment horizontal="right"/>
    </xf>
    <xf numFmtId="171" fontId="97" fillId="67" borderId="38" xfId="0" applyNumberFormat="1" applyFont="1" applyFill="1" applyBorder="1" applyAlignment="1">
      <alignment horizontal="right"/>
    </xf>
    <xf numFmtId="171" fontId="97" fillId="0" borderId="38" xfId="2" applyNumberFormat="1" applyFont="1" applyFill="1" applyBorder="1" applyAlignment="1">
      <alignment horizontal="right"/>
    </xf>
    <xf numFmtId="171" fontId="97" fillId="67" borderId="38" xfId="2" applyNumberFormat="1" applyFont="1" applyFill="1" applyBorder="1" applyAlignment="1">
      <alignment horizontal="right"/>
    </xf>
    <xf numFmtId="0" fontId="23" fillId="0" borderId="6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42" fillId="6" borderId="11" xfId="0" applyFont="1" applyFill="1" applyBorder="1" applyAlignment="1">
      <alignment horizontal="center" vertical="center"/>
    </xf>
    <xf numFmtId="0" fontId="104" fillId="0" borderId="6" xfId="0" applyFont="1" applyBorder="1" applyAlignment="1">
      <alignment horizontal="center" vertical="center"/>
    </xf>
    <xf numFmtId="0" fontId="104" fillId="70" borderId="6" xfId="0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0" fillId="70" borderId="0" xfId="0" applyFill="1" applyBorder="1" applyAlignment="1">
      <alignment horizontal="center"/>
    </xf>
    <xf numFmtId="0" fontId="0" fillId="71" borderId="0" xfId="0" applyFill="1" applyBorder="1" applyAlignment="1">
      <alignment horizontal="center"/>
    </xf>
    <xf numFmtId="0" fontId="104" fillId="0" borderId="0" xfId="0" applyFont="1" applyBorder="1" applyAlignment="1">
      <alignment horizontal="center" vertical="center"/>
    </xf>
    <xf numFmtId="0" fontId="106" fillId="0" borderId="0" xfId="0" applyFont="1" applyBorder="1" applyAlignment="1">
      <alignment horizontal="center" vertical="center"/>
    </xf>
    <xf numFmtId="0" fontId="106" fillId="0" borderId="6" xfId="0" applyFont="1" applyBorder="1" applyAlignment="1">
      <alignment horizontal="center" vertical="center"/>
    </xf>
    <xf numFmtId="0" fontId="104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14" fontId="0" fillId="0" borderId="44" xfId="0" applyNumberFormat="1" applyBorder="1" applyAlignment="1">
      <alignment horizontal="center"/>
    </xf>
    <xf numFmtId="0" fontId="106" fillId="0" borderId="38" xfId="0" applyFont="1" applyBorder="1" applyAlignment="1">
      <alignment horizontal="center" vertical="center"/>
    </xf>
    <xf numFmtId="0" fontId="107" fillId="72" borderId="0" xfId="0" applyFont="1" applyFill="1" applyBorder="1" applyAlignment="1">
      <alignment horizontal="center" vertical="center"/>
    </xf>
    <xf numFmtId="0" fontId="109" fillId="0" borderId="49" xfId="0" applyFont="1" applyBorder="1"/>
    <xf numFmtId="0" fontId="6" fillId="0" borderId="49" xfId="0" applyFont="1" applyBorder="1"/>
    <xf numFmtId="0" fontId="108" fillId="0" borderId="49" xfId="0" applyFont="1" applyBorder="1"/>
    <xf numFmtId="0" fontId="95" fillId="66" borderId="40" xfId="0" applyFont="1" applyFill="1" applyBorder="1" applyAlignment="1">
      <alignment horizontal="center" vertical="center"/>
    </xf>
    <xf numFmtId="0" fontId="86" fillId="70" borderId="36" xfId="0" applyFont="1" applyFill="1" applyBorder="1" applyAlignment="1">
      <alignment horizontal="center" vertical="center"/>
    </xf>
    <xf numFmtId="0" fontId="86" fillId="73" borderId="36" xfId="0" applyFont="1" applyFill="1" applyBorder="1" applyAlignment="1">
      <alignment horizontal="center" vertical="center"/>
    </xf>
    <xf numFmtId="166" fontId="0" fillId="70" borderId="0" xfId="0" applyNumberFormat="1" applyFill="1" applyBorder="1"/>
    <xf numFmtId="0" fontId="110" fillId="17" borderId="4" xfId="0" applyFont="1" applyFill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104" fillId="50" borderId="25" xfId="0" applyFont="1" applyFill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11" fillId="0" borderId="0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1" fontId="23" fillId="70" borderId="6" xfId="0" applyNumberFormat="1" applyFont="1" applyFill="1" applyBorder="1" applyAlignment="1">
      <alignment horizontal="center"/>
    </xf>
    <xf numFmtId="0" fontId="23" fillId="70" borderId="6" xfId="0" applyFont="1" applyFill="1" applyBorder="1" applyAlignment="1">
      <alignment horizontal="left"/>
    </xf>
    <xf numFmtId="166" fontId="23" fillId="70" borderId="6" xfId="0" applyNumberFormat="1" applyFont="1" applyFill="1" applyBorder="1" applyAlignment="1">
      <alignment horizontal="right"/>
    </xf>
    <xf numFmtId="0" fontId="44" fillId="70" borderId="6" xfId="0" applyFont="1" applyFill="1" applyBorder="1" applyAlignment="1">
      <alignment horizontal="left"/>
    </xf>
    <xf numFmtId="166" fontId="81" fillId="70" borderId="34" xfId="0" applyNumberFormat="1" applyFont="1" applyFill="1" applyBorder="1" applyAlignment="1">
      <alignment horizontal="right" vertical="center"/>
    </xf>
    <xf numFmtId="166" fontId="81" fillId="73" borderId="34" xfId="0" applyNumberFormat="1" applyFont="1" applyFill="1" applyBorder="1" applyAlignment="1">
      <alignment horizontal="right" vertical="center"/>
    </xf>
    <xf numFmtId="0" fontId="65" fillId="70" borderId="21" xfId="0" applyFont="1" applyFill="1" applyBorder="1" applyAlignment="1">
      <alignment horizontal="center" vertical="center"/>
    </xf>
    <xf numFmtId="164" fontId="65" fillId="74" borderId="21" xfId="0" applyNumberFormat="1" applyFont="1" applyFill="1" applyBorder="1" applyAlignment="1">
      <alignment horizontal="right" vertical="center"/>
    </xf>
    <xf numFmtId="164" fontId="65" fillId="75" borderId="21" xfId="0" applyNumberFormat="1" applyFont="1" applyFill="1" applyBorder="1" applyAlignment="1">
      <alignment horizontal="right" vertical="center"/>
    </xf>
    <xf numFmtId="164" fontId="65" fillId="76" borderId="21" xfId="0" applyNumberFormat="1" applyFont="1" applyFill="1" applyBorder="1" applyAlignment="1">
      <alignment horizontal="right" vertical="center"/>
    </xf>
    <xf numFmtId="0" fontId="97" fillId="70" borderId="38" xfId="0" applyFont="1" applyFill="1" applyBorder="1" applyAlignment="1">
      <alignment horizontal="center"/>
    </xf>
    <xf numFmtId="0" fontId="97" fillId="70" borderId="38" xfId="0" applyFont="1" applyFill="1" applyBorder="1"/>
    <xf numFmtId="164" fontId="97" fillId="70" borderId="38" xfId="0" applyNumberFormat="1" applyFont="1" applyFill="1" applyBorder="1" applyAlignment="1">
      <alignment horizontal="right"/>
    </xf>
    <xf numFmtId="0" fontId="97" fillId="0" borderId="38" xfId="0" applyFont="1" applyBorder="1" applyAlignment="1">
      <alignment horizontal="center"/>
    </xf>
    <xf numFmtId="0" fontId="97" fillId="0" borderId="38" xfId="0" applyFont="1" applyBorder="1"/>
    <xf numFmtId="164" fontId="97" fillId="0" borderId="38" xfId="0" applyNumberFormat="1" applyFont="1" applyBorder="1" applyAlignment="1">
      <alignment horizontal="right"/>
    </xf>
    <xf numFmtId="0" fontId="97" fillId="0" borderId="51" xfId="0" applyFont="1" applyBorder="1"/>
    <xf numFmtId="164" fontId="97" fillId="0" borderId="51" xfId="0" applyNumberFormat="1" applyFont="1" applyBorder="1" applyAlignment="1">
      <alignment horizontal="right"/>
    </xf>
    <xf numFmtId="0" fontId="102" fillId="68" borderId="53" xfId="0" applyFont="1" applyFill="1" applyBorder="1"/>
    <xf numFmtId="164" fontId="102" fillId="68" borderId="53" xfId="0" applyNumberFormat="1" applyFont="1" applyFill="1" applyBorder="1" applyAlignment="1">
      <alignment horizontal="right"/>
    </xf>
    <xf numFmtId="0" fontId="67" fillId="77" borderId="54" xfId="0" applyFont="1" applyFill="1" applyBorder="1" applyAlignment="1">
      <alignment horizontal="center"/>
    </xf>
    <xf numFmtId="0" fontId="67" fillId="77" borderId="54" xfId="0" applyFont="1" applyFill="1" applyBorder="1" applyAlignment="1">
      <alignment horizontal="left"/>
    </xf>
    <xf numFmtId="164" fontId="112" fillId="77" borderId="54" xfId="0" applyNumberFormat="1" applyFont="1" applyFill="1" applyBorder="1" applyAlignment="1">
      <alignment horizontal="right"/>
    </xf>
    <xf numFmtId="0" fontId="113" fillId="78" borderId="54" xfId="0" applyFont="1" applyFill="1" applyBorder="1" applyAlignment="1">
      <alignment horizontal="center"/>
    </xf>
    <xf numFmtId="0" fontId="67" fillId="79" borderId="54" xfId="0" applyFont="1" applyFill="1" applyBorder="1" applyAlignment="1">
      <alignment horizontal="center"/>
    </xf>
    <xf numFmtId="0" fontId="67" fillId="79" borderId="54" xfId="0" applyFont="1" applyFill="1" applyBorder="1" applyAlignment="1">
      <alignment horizontal="left"/>
    </xf>
    <xf numFmtId="164" fontId="112" fillId="79" borderId="54" xfId="0" applyNumberFormat="1" applyFont="1" applyFill="1" applyBorder="1" applyAlignment="1">
      <alignment horizontal="right"/>
    </xf>
    <xf numFmtId="0" fontId="97" fillId="0" borderId="51" xfId="0" applyFont="1" applyBorder="1" applyAlignment="1">
      <alignment horizontal="center"/>
    </xf>
    <xf numFmtId="0" fontId="95" fillId="66" borderId="40" xfId="0" applyFont="1" applyFill="1" applyBorder="1" applyAlignment="1">
      <alignment horizontal="center" wrapText="1"/>
    </xf>
    <xf numFmtId="0" fontId="95" fillId="66" borderId="40" xfId="0" applyFont="1" applyFill="1" applyBorder="1" applyAlignment="1">
      <alignment horizontal="center"/>
    </xf>
    <xf numFmtId="0" fontId="88" fillId="0" borderId="39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3" xfId="0" applyBorder="1" applyAlignment="1">
      <alignment horizontal="center"/>
    </xf>
    <xf numFmtId="0" fontId="102" fillId="68" borderId="53" xfId="0" applyFont="1" applyFill="1" applyBorder="1" applyAlignment="1">
      <alignment horizontal="center"/>
    </xf>
    <xf numFmtId="0" fontId="0" fillId="0" borderId="46" xfId="0" applyBorder="1" applyAlignment="1">
      <alignment horizontal="center"/>
    </xf>
    <xf numFmtId="170" fontId="1" fillId="0" borderId="50" xfId="1" applyNumberFormat="1" applyBorder="1"/>
    <xf numFmtId="1" fontId="6" fillId="0" borderId="55" xfId="0" applyNumberFormat="1" applyFont="1" applyBorder="1" applyAlignment="1">
      <alignment horizontal="center" vertical="center"/>
    </xf>
    <xf numFmtId="0" fontId="6" fillId="0" borderId="55" xfId="0" applyFont="1" applyBorder="1" applyAlignment="1">
      <alignment horizontal="left" vertical="center"/>
    </xf>
    <xf numFmtId="4" fontId="6" fillId="0" borderId="55" xfId="0" applyNumberFormat="1" applyFont="1" applyBorder="1" applyAlignment="1">
      <alignment horizontal="right" vertical="center"/>
    </xf>
    <xf numFmtId="166" fontId="6" fillId="0" borderId="55" xfId="0" applyNumberFormat="1" applyFont="1" applyBorder="1" applyAlignment="1">
      <alignment horizontal="right" vertical="center"/>
    </xf>
    <xf numFmtId="0" fontId="6" fillId="0" borderId="55" xfId="0" applyFont="1" applyBorder="1" applyAlignment="1">
      <alignment horizontal="center" vertical="center"/>
    </xf>
    <xf numFmtId="3" fontId="6" fillId="0" borderId="55" xfId="0" applyNumberFormat="1" applyFont="1" applyBorder="1" applyAlignment="1">
      <alignment horizontal="right" vertical="center"/>
    </xf>
    <xf numFmtId="0" fontId="114" fillId="0" borderId="56" xfId="0" applyFont="1" applyBorder="1"/>
    <xf numFmtId="0" fontId="121" fillId="83" borderId="57" xfId="0" applyFont="1" applyFill="1" applyBorder="1" applyAlignment="1">
      <alignment horizontal="center" vertical="center" wrapText="1"/>
    </xf>
    <xf numFmtId="0" fontId="123" fillId="0" borderId="55" xfId="0" applyFont="1" applyBorder="1" applyAlignment="1">
      <alignment horizontal="center"/>
    </xf>
    <xf numFmtId="0" fontId="123" fillId="0" borderId="55" xfId="0" applyFont="1" applyBorder="1"/>
    <xf numFmtId="164" fontId="123" fillId="0" borderId="55" xfId="0" applyNumberFormat="1" applyFont="1" applyBorder="1" applyAlignment="1">
      <alignment horizontal="right"/>
    </xf>
    <xf numFmtId="165" fontId="123" fillId="0" borderId="55" xfId="0" applyNumberFormat="1" applyFont="1" applyBorder="1" applyAlignment="1">
      <alignment horizontal="right"/>
    </xf>
    <xf numFmtId="0" fontId="122" fillId="0" borderId="55" xfId="0" applyFont="1" applyBorder="1" applyAlignment="1">
      <alignment horizontal="center"/>
    </xf>
    <xf numFmtId="0" fontId="123" fillId="84" borderId="55" xfId="0" applyFont="1" applyFill="1" applyBorder="1" applyAlignment="1">
      <alignment horizontal="center"/>
    </xf>
    <xf numFmtId="0" fontId="123" fillId="84" borderId="55" xfId="0" applyFont="1" applyFill="1" applyBorder="1"/>
    <xf numFmtId="164" fontId="123" fillId="84" borderId="55" xfId="0" applyNumberFormat="1" applyFont="1" applyFill="1" applyBorder="1" applyAlignment="1">
      <alignment horizontal="right"/>
    </xf>
    <xf numFmtId="165" fontId="123" fillId="84" borderId="55" xfId="0" applyNumberFormat="1" applyFont="1" applyFill="1" applyBorder="1" applyAlignment="1">
      <alignment horizontal="right"/>
    </xf>
    <xf numFmtId="0" fontId="122" fillId="84" borderId="55" xfId="0" applyFont="1" applyFill="1" applyBorder="1" applyAlignment="1">
      <alignment horizontal="center"/>
    </xf>
    <xf numFmtId="0" fontId="124" fillId="0" borderId="55" xfId="0" applyFont="1" applyBorder="1" applyAlignment="1">
      <alignment horizontal="center"/>
    </xf>
    <xf numFmtId="0" fontId="125" fillId="84" borderId="55" xfId="0" applyFont="1" applyFill="1" applyBorder="1" applyAlignment="1">
      <alignment horizontal="center"/>
    </xf>
    <xf numFmtId="0" fontId="124" fillId="84" borderId="55" xfId="0" applyFont="1" applyFill="1" applyBorder="1" applyAlignment="1">
      <alignment horizontal="center"/>
    </xf>
    <xf numFmtId="0" fontId="125" fillId="0" borderId="55" xfId="0" applyFont="1" applyBorder="1" applyAlignment="1">
      <alignment horizontal="center"/>
    </xf>
    <xf numFmtId="0" fontId="127" fillId="85" borderId="58" xfId="0" applyFont="1" applyFill="1" applyBorder="1" applyAlignment="1">
      <alignment horizontal="center"/>
    </xf>
    <xf numFmtId="164" fontId="127" fillId="85" borderId="58" xfId="0" applyNumberFormat="1" applyFont="1" applyFill="1" applyBorder="1" applyAlignment="1">
      <alignment horizontal="right"/>
    </xf>
    <xf numFmtId="165" fontId="127" fillId="85" borderId="58" xfId="0" applyNumberFormat="1" applyFont="1" applyFill="1" applyBorder="1" applyAlignment="1">
      <alignment horizontal="right"/>
    </xf>
    <xf numFmtId="0" fontId="121" fillId="83" borderId="57" xfId="0" applyFont="1" applyFill="1" applyBorder="1" applyAlignment="1">
      <alignment horizontal="center"/>
    </xf>
    <xf numFmtId="0" fontId="123" fillId="86" borderId="55" xfId="0" applyFont="1" applyFill="1" applyBorder="1" applyAlignment="1">
      <alignment horizontal="center"/>
    </xf>
    <xf numFmtId="164" fontId="123" fillId="86" borderId="55" xfId="0" applyNumberFormat="1" applyFont="1" applyFill="1" applyBorder="1" applyAlignment="1">
      <alignment horizontal="right"/>
    </xf>
    <xf numFmtId="0" fontId="126" fillId="87" borderId="55" xfId="0" applyFont="1" applyFill="1" applyBorder="1" applyAlignment="1">
      <alignment horizontal="center"/>
    </xf>
    <xf numFmtId="0" fontId="126" fillId="87" borderId="55" xfId="0" applyFont="1" applyFill="1" applyBorder="1"/>
    <xf numFmtId="0" fontId="128" fillId="0" borderId="55" xfId="0" applyFont="1" applyBorder="1" applyAlignment="1">
      <alignment horizontal="center"/>
    </xf>
    <xf numFmtId="0" fontId="128" fillId="0" borderId="55" xfId="0" applyFont="1" applyBorder="1"/>
    <xf numFmtId="164" fontId="114" fillId="0" borderId="56" xfId="0" applyNumberFormat="1" applyFont="1" applyBorder="1"/>
    <xf numFmtId="164" fontId="121" fillId="83" borderId="57" xfId="0" applyNumberFormat="1" applyFont="1" applyFill="1" applyBorder="1" applyAlignment="1">
      <alignment horizontal="center"/>
    </xf>
    <xf numFmtId="4" fontId="114" fillId="0" borderId="56" xfId="0" applyNumberFormat="1" applyFont="1" applyBorder="1"/>
    <xf numFmtId="0" fontId="0" fillId="0" borderId="43" xfId="0" applyBorder="1"/>
    <xf numFmtId="0" fontId="0" fillId="0" borderId="48" xfId="0" applyBorder="1"/>
    <xf numFmtId="0" fontId="0" fillId="0" borderId="45" xfId="0" applyBorder="1"/>
    <xf numFmtId="0" fontId="0" fillId="0" borderId="46" xfId="0" applyBorder="1"/>
    <xf numFmtId="0" fontId="95" fillId="66" borderId="52" xfId="0" applyFont="1" applyFill="1" applyBorder="1" applyAlignment="1">
      <alignment horizontal="center"/>
    </xf>
    <xf numFmtId="0" fontId="0" fillId="0" borderId="47" xfId="0" applyBorder="1"/>
    <xf numFmtId="0" fontId="94" fillId="65" borderId="50" xfId="0" applyFont="1" applyFill="1" applyBorder="1" applyAlignment="1">
      <alignment horizontal="center"/>
    </xf>
    <xf numFmtId="0" fontId="95" fillId="66" borderId="52" xfId="0" applyFont="1" applyFill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64" xfId="0" applyFont="1" applyBorder="1" applyAlignment="1">
      <alignment horizontal="left" vertical="center"/>
    </xf>
    <xf numFmtId="3" fontId="6" fillId="0" borderId="64" xfId="0" applyNumberFormat="1" applyFont="1" applyBorder="1" applyAlignment="1">
      <alignment horizontal="right" vertical="center"/>
    </xf>
    <xf numFmtId="166" fontId="6" fillId="0" borderId="64" xfId="0" applyNumberFormat="1" applyFont="1" applyBorder="1" applyAlignment="1">
      <alignment horizontal="right" vertical="center"/>
    </xf>
    <xf numFmtId="10" fontId="6" fillId="0" borderId="64" xfId="0" applyNumberFormat="1" applyFont="1" applyBorder="1" applyAlignment="1">
      <alignment horizontal="right" vertical="center"/>
    </xf>
    <xf numFmtId="0" fontId="129" fillId="0" borderId="65" xfId="0" applyFont="1" applyBorder="1"/>
    <xf numFmtId="0" fontId="136" fillId="91" borderId="67" xfId="0" applyFont="1" applyFill="1" applyBorder="1" applyAlignment="1">
      <alignment horizontal="center" vertical="center" wrapText="1"/>
    </xf>
    <xf numFmtId="0" fontId="137" fillId="92" borderId="66" xfId="0" applyFont="1" applyFill="1" applyBorder="1" applyAlignment="1">
      <alignment horizontal="center" vertical="center"/>
    </xf>
    <xf numFmtId="0" fontId="137" fillId="92" borderId="66" xfId="0" applyFont="1" applyFill="1" applyBorder="1" applyAlignment="1">
      <alignment horizontal="left" vertical="center" indent="1"/>
    </xf>
    <xf numFmtId="3" fontId="138" fillId="92" borderId="66" xfId="0" applyNumberFormat="1" applyFont="1" applyFill="1" applyBorder="1" applyAlignment="1">
      <alignment horizontal="left" vertical="center" indent="1"/>
    </xf>
    <xf numFmtId="3" fontId="138" fillId="92" borderId="66" xfId="0" applyNumberFormat="1" applyFont="1" applyFill="1" applyBorder="1" applyAlignment="1">
      <alignment horizontal="right" vertical="center"/>
    </xf>
    <xf numFmtId="166" fontId="138" fillId="92" borderId="66" xfId="0" applyNumberFormat="1" applyFont="1" applyFill="1" applyBorder="1" applyAlignment="1">
      <alignment horizontal="right" vertical="center"/>
    </xf>
    <xf numFmtId="165" fontId="138" fillId="92" borderId="66" xfId="0" applyNumberFormat="1" applyFont="1" applyFill="1" applyBorder="1" applyAlignment="1">
      <alignment horizontal="right" vertical="center"/>
    </xf>
    <xf numFmtId="0" fontId="139" fillId="92" borderId="66" xfId="0" applyFont="1" applyFill="1" applyBorder="1" applyAlignment="1">
      <alignment horizontal="center" vertical="center"/>
    </xf>
    <xf numFmtId="0" fontId="137" fillId="0" borderId="66" xfId="0" applyFont="1" applyBorder="1" applyAlignment="1">
      <alignment horizontal="center" vertical="center"/>
    </xf>
    <xf numFmtId="0" fontId="137" fillId="0" borderId="66" xfId="0" applyFont="1" applyBorder="1" applyAlignment="1">
      <alignment horizontal="left" vertical="center" indent="1"/>
    </xf>
    <xf numFmtId="3" fontId="138" fillId="0" borderId="66" xfId="0" applyNumberFormat="1" applyFont="1" applyBorder="1" applyAlignment="1">
      <alignment horizontal="left" vertical="center" indent="1"/>
    </xf>
    <xf numFmtId="3" fontId="138" fillId="0" borderId="66" xfId="0" applyNumberFormat="1" applyFont="1" applyBorder="1" applyAlignment="1">
      <alignment horizontal="right" vertical="center"/>
    </xf>
    <xf numFmtId="166" fontId="138" fillId="0" borderId="66" xfId="0" applyNumberFormat="1" applyFont="1" applyBorder="1" applyAlignment="1">
      <alignment horizontal="right" vertical="center"/>
    </xf>
    <xf numFmtId="165" fontId="138" fillId="0" borderId="66" xfId="0" applyNumberFormat="1" applyFont="1" applyBorder="1" applyAlignment="1">
      <alignment horizontal="right" vertical="center"/>
    </xf>
    <xf numFmtId="0" fontId="139" fillId="0" borderId="66" xfId="0" applyFont="1" applyBorder="1" applyAlignment="1">
      <alignment horizontal="center" vertical="center"/>
    </xf>
    <xf numFmtId="0" fontId="140" fillId="92" borderId="66" xfId="0" applyFont="1" applyFill="1" applyBorder="1" applyAlignment="1">
      <alignment horizontal="center" vertical="center"/>
    </xf>
    <xf numFmtId="0" fontId="141" fillId="0" borderId="66" xfId="0" applyFont="1" applyBorder="1" applyAlignment="1">
      <alignment horizontal="center" vertical="center"/>
    </xf>
    <xf numFmtId="0" fontId="140" fillId="0" borderId="66" xfId="0" applyFont="1" applyBorder="1" applyAlignment="1">
      <alignment horizontal="center" vertical="center"/>
    </xf>
    <xf numFmtId="0" fontId="142" fillId="88" borderId="68" xfId="0" applyFont="1" applyFill="1" applyBorder="1" applyAlignment="1">
      <alignment horizontal="center" vertical="center"/>
    </xf>
    <xf numFmtId="0" fontId="142" fillId="88" borderId="68" xfId="0" applyFont="1" applyFill="1" applyBorder="1" applyAlignment="1">
      <alignment horizontal="left" vertical="center" indent="1"/>
    </xf>
    <xf numFmtId="3" fontId="142" fillId="88" borderId="68" xfId="0" applyNumberFormat="1" applyFont="1" applyFill="1" applyBorder="1" applyAlignment="1">
      <alignment horizontal="center" vertical="center"/>
    </xf>
    <xf numFmtId="3" fontId="142" fillId="88" borderId="68" xfId="0" applyNumberFormat="1" applyFont="1" applyFill="1" applyBorder="1" applyAlignment="1">
      <alignment horizontal="right" vertical="center"/>
    </xf>
    <xf numFmtId="166" fontId="142" fillId="88" borderId="68" xfId="0" applyNumberFormat="1" applyFont="1" applyFill="1" applyBorder="1" applyAlignment="1">
      <alignment horizontal="right" vertical="center"/>
    </xf>
    <xf numFmtId="165" fontId="142" fillId="88" borderId="68" xfId="0" applyNumberFormat="1" applyFont="1" applyFill="1" applyBorder="1" applyAlignment="1">
      <alignment horizontal="right" vertical="center"/>
    </xf>
    <xf numFmtId="0" fontId="129" fillId="0" borderId="69" xfId="0" applyFont="1" applyBorder="1"/>
    <xf numFmtId="0" fontId="146" fillId="95" borderId="66" xfId="0" applyFont="1" applyFill="1" applyBorder="1" applyAlignment="1">
      <alignment horizontal="center" vertical="center"/>
    </xf>
    <xf numFmtId="0" fontId="139" fillId="96" borderId="66" xfId="0" applyFont="1" applyFill="1" applyBorder="1" applyAlignment="1">
      <alignment horizontal="center" vertical="center"/>
    </xf>
    <xf numFmtId="0" fontId="138" fillId="0" borderId="66" xfId="0" applyFont="1" applyBorder="1" applyAlignment="1">
      <alignment horizontal="center"/>
    </xf>
    <xf numFmtId="0" fontId="138" fillId="0" borderId="66" xfId="0" applyFont="1" applyBorder="1" applyAlignment="1">
      <alignment horizontal="left"/>
    </xf>
    <xf numFmtId="3" fontId="138" fillId="0" borderId="66" xfId="0" applyNumberFormat="1" applyFont="1" applyBorder="1" applyAlignment="1">
      <alignment horizontal="right"/>
    </xf>
    <xf numFmtId="166" fontId="138" fillId="0" borderId="66" xfId="0" applyNumberFormat="1" applyFont="1" applyBorder="1" applyAlignment="1">
      <alignment horizontal="right"/>
    </xf>
    <xf numFmtId="0" fontId="138" fillId="0" borderId="66" xfId="0" applyFont="1" applyBorder="1"/>
    <xf numFmtId="3" fontId="137" fillId="97" borderId="66" xfId="0" applyNumberFormat="1" applyFont="1" applyFill="1" applyBorder="1" applyAlignment="1">
      <alignment horizontal="right"/>
    </xf>
    <xf numFmtId="166" fontId="137" fillId="97" borderId="66" xfId="0" applyNumberFormat="1" applyFont="1" applyFill="1" applyBorder="1" applyAlignment="1">
      <alignment horizontal="right"/>
    </xf>
    <xf numFmtId="0" fontId="137" fillId="97" borderId="66" xfId="0" applyFont="1" applyFill="1" applyBorder="1" applyAlignment="1">
      <alignment horizontal="center"/>
    </xf>
    <xf numFmtId="3" fontId="129" fillId="0" borderId="65" xfId="0" applyNumberFormat="1" applyFont="1" applyBorder="1"/>
    <xf numFmtId="166" fontId="129" fillId="0" borderId="65" xfId="0" applyNumberFormat="1" applyFont="1" applyBorder="1"/>
    <xf numFmtId="3" fontId="139" fillId="96" borderId="66" xfId="0" applyNumberFormat="1" applyFont="1" applyFill="1" applyBorder="1" applyAlignment="1">
      <alignment horizontal="center" vertical="center"/>
    </xf>
    <xf numFmtId="166" fontId="139" fillId="96" borderId="66" xfId="0" applyNumberFormat="1" applyFont="1" applyFill="1" applyBorder="1" applyAlignment="1">
      <alignment horizontal="center" vertical="center"/>
    </xf>
    <xf numFmtId="3" fontId="138" fillId="0" borderId="66" xfId="0" applyNumberFormat="1" applyFont="1" applyBorder="1"/>
    <xf numFmtId="166" fontId="138" fillId="0" borderId="66" xfId="0" applyNumberFormat="1" applyFont="1" applyBorder="1"/>
    <xf numFmtId="166" fontId="137" fillId="97" borderId="66" xfId="0" applyNumberFormat="1" applyFont="1" applyFill="1" applyBorder="1" applyAlignment="1">
      <alignment horizontal="center"/>
    </xf>
    <xf numFmtId="3" fontId="146" fillId="95" borderId="66" xfId="0" applyNumberFormat="1" applyFont="1" applyFill="1" applyBorder="1" applyAlignment="1">
      <alignment horizontal="center" vertical="center"/>
    </xf>
    <xf numFmtId="166" fontId="146" fillId="95" borderId="66" xfId="0" applyNumberFormat="1" applyFont="1" applyFill="1" applyBorder="1" applyAlignment="1">
      <alignment horizontal="center" vertical="center"/>
    </xf>
    <xf numFmtId="166" fontId="138" fillId="70" borderId="66" xfId="0" applyNumberFormat="1" applyFont="1" applyFill="1" applyBorder="1" applyAlignment="1">
      <alignment horizontal="right" vertical="center"/>
    </xf>
    <xf numFmtId="0" fontId="137" fillId="70" borderId="66" xfId="0" applyFont="1" applyFill="1" applyBorder="1" applyAlignment="1">
      <alignment horizontal="left" vertical="center" indent="1"/>
    </xf>
    <xf numFmtId="1" fontId="129" fillId="0" borderId="70" xfId="0" applyNumberFormat="1" applyFont="1" applyBorder="1" applyAlignment="1">
      <alignment horizontal="center" vertical="center"/>
    </xf>
    <xf numFmtId="0" fontId="129" fillId="0" borderId="70" xfId="0" applyFont="1" applyBorder="1" applyAlignment="1">
      <alignment horizontal="left" vertical="center"/>
    </xf>
    <xf numFmtId="2" fontId="129" fillId="0" borderId="70" xfId="0" applyNumberFormat="1" applyFont="1" applyBorder="1" applyAlignment="1">
      <alignment horizontal="right" vertical="center"/>
    </xf>
    <xf numFmtId="166" fontId="129" fillId="0" borderId="70" xfId="0" applyNumberFormat="1" applyFont="1" applyBorder="1" applyAlignment="1">
      <alignment horizontal="right" vertical="center"/>
    </xf>
    <xf numFmtId="0" fontId="129" fillId="0" borderId="70" xfId="0" applyFont="1" applyBorder="1" applyAlignment="1">
      <alignment horizontal="center" vertical="center"/>
    </xf>
    <xf numFmtId="0" fontId="0" fillId="0" borderId="0" xfId="0" applyBorder="1"/>
    <xf numFmtId="0" fontId="0" fillId="0" borderId="42" xfId="0" applyBorder="1"/>
    <xf numFmtId="164" fontId="13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4" fontId="17" fillId="14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0" fillId="0" borderId="44" xfId="0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left"/>
    </xf>
    <xf numFmtId="1" fontId="129" fillId="0" borderId="74" xfId="0" applyNumberFormat="1" applyFont="1" applyBorder="1" applyAlignment="1">
      <alignment horizontal="center" vertical="center"/>
    </xf>
    <xf numFmtId="0" fontId="129" fillId="0" borderId="74" xfId="0" applyFont="1" applyBorder="1" applyAlignment="1">
      <alignment horizontal="left" vertical="center"/>
    </xf>
    <xf numFmtId="2" fontId="129" fillId="0" borderId="74" xfId="0" applyNumberFormat="1" applyFont="1" applyBorder="1" applyAlignment="1">
      <alignment horizontal="right" vertical="center"/>
    </xf>
    <xf numFmtId="166" fontId="129" fillId="0" borderId="74" xfId="0" applyNumberFormat="1" applyFont="1" applyBorder="1" applyAlignment="1">
      <alignment horizontal="right" vertical="center"/>
    </xf>
    <xf numFmtId="166" fontId="49" fillId="0" borderId="74" xfId="0" applyNumberFormat="1" applyFont="1" applyBorder="1" applyAlignment="1">
      <alignment horizontal="right" vertical="center"/>
    </xf>
    <xf numFmtId="0" fontId="129" fillId="0" borderId="74" xfId="0" applyFont="1" applyBorder="1" applyAlignment="1">
      <alignment horizontal="center" vertical="center"/>
    </xf>
    <xf numFmtId="44" fontId="1" fillId="0" borderId="44" xfId="1" applyBorder="1" applyAlignment="1">
      <alignment horizontal="center"/>
    </xf>
    <xf numFmtId="44" fontId="1" fillId="70" borderId="44" xfId="1" applyFill="1" applyBorder="1" applyAlignment="1">
      <alignment horizontal="center"/>
    </xf>
    <xf numFmtId="44" fontId="1" fillId="71" borderId="44" xfId="1" applyFill="1" applyBorder="1" applyAlignment="1">
      <alignment horizontal="center"/>
    </xf>
    <xf numFmtId="44" fontId="97" fillId="67" borderId="38" xfId="1" applyFont="1" applyFill="1" applyBorder="1" applyAlignment="1">
      <alignment horizontal="center"/>
    </xf>
    <xf numFmtId="44" fontId="97" fillId="0" borderId="38" xfId="0" applyNumberFormat="1" applyFont="1" applyBorder="1" applyAlignment="1">
      <alignment horizontal="center"/>
    </xf>
    <xf numFmtId="44" fontId="1" fillId="0" borderId="7" xfId="1" applyBorder="1"/>
    <xf numFmtId="172" fontId="126" fillId="87" borderId="55" xfId="0" applyNumberFormat="1" applyFont="1" applyFill="1" applyBorder="1" applyAlignment="1">
      <alignment horizontal="right"/>
    </xf>
    <xf numFmtId="172" fontId="128" fillId="0" borderId="55" xfId="0" applyNumberFormat="1" applyFont="1" applyBorder="1" applyAlignment="1">
      <alignment horizontal="right"/>
    </xf>
    <xf numFmtId="172" fontId="123" fillId="0" borderId="55" xfId="0" applyNumberFormat="1" applyFont="1" applyBorder="1" applyAlignment="1">
      <alignment horizontal="right"/>
    </xf>
    <xf numFmtId="172" fontId="114" fillId="0" borderId="56" xfId="0" applyNumberFormat="1" applyFont="1" applyBorder="1"/>
    <xf numFmtId="172" fontId="123" fillId="86" borderId="55" xfId="0" applyNumberFormat="1" applyFont="1" applyFill="1" applyBorder="1" applyAlignment="1">
      <alignment horizontal="right"/>
    </xf>
    <xf numFmtId="172" fontId="121" fillId="83" borderId="57" xfId="0" applyNumberFormat="1" applyFont="1" applyFill="1" applyBorder="1" applyAlignment="1">
      <alignment horizontal="center"/>
    </xf>
    <xf numFmtId="4" fontId="129" fillId="0" borderId="74" xfId="0" applyNumberFormat="1" applyFont="1" applyBorder="1" applyAlignment="1">
      <alignment horizontal="left" vertical="center"/>
    </xf>
    <xf numFmtId="1" fontId="129" fillId="0" borderId="75" xfId="0" applyNumberFormat="1" applyFont="1" applyBorder="1" applyAlignment="1">
      <alignment horizontal="center"/>
    </xf>
    <xf numFmtId="0" fontId="49" fillId="101" borderId="74" xfId="0" applyFont="1" applyFill="1" applyBorder="1" applyAlignment="1">
      <alignment horizontal="left" vertical="center"/>
    </xf>
    <xf numFmtId="0" fontId="49" fillId="101" borderId="74" xfId="0" applyFont="1" applyFill="1" applyBorder="1"/>
    <xf numFmtId="2" fontId="49" fillId="101" borderId="74" xfId="0" applyNumberFormat="1" applyFont="1" applyFill="1" applyBorder="1" applyAlignment="1">
      <alignment horizontal="right" vertical="center"/>
    </xf>
    <xf numFmtId="166" fontId="49" fillId="101" borderId="74" xfId="0" applyNumberFormat="1" applyFont="1" applyFill="1" applyBorder="1" applyAlignment="1">
      <alignment horizontal="right" vertical="center"/>
    </xf>
    <xf numFmtId="0" fontId="49" fillId="101" borderId="74" xfId="0" applyFont="1" applyFill="1" applyBorder="1" applyAlignment="1">
      <alignment horizontal="center" vertical="center"/>
    </xf>
    <xf numFmtId="4" fontId="49" fillId="101" borderId="74" xfId="0" applyNumberFormat="1" applyFont="1" applyFill="1" applyBorder="1" applyAlignment="1">
      <alignment horizontal="left" vertical="center"/>
    </xf>
    <xf numFmtId="0" fontId="129" fillId="0" borderId="75" xfId="0" applyFont="1" applyBorder="1"/>
    <xf numFmtId="164" fontId="129" fillId="0" borderId="74" xfId="0" applyNumberFormat="1" applyFont="1" applyBorder="1" applyAlignment="1">
      <alignment horizontal="left" vertical="center"/>
    </xf>
    <xf numFmtId="2" fontId="49" fillId="101" borderId="74" xfId="0" applyNumberFormat="1" applyFont="1" applyFill="1" applyBorder="1"/>
    <xf numFmtId="166" fontId="49" fillId="101" borderId="74" xfId="0" applyNumberFormat="1" applyFont="1" applyFill="1" applyBorder="1"/>
    <xf numFmtId="0" fontId="150" fillId="102" borderId="74" xfId="0" applyFont="1" applyFill="1" applyBorder="1"/>
    <xf numFmtId="2" fontId="150" fillId="102" borderId="74" xfId="0" applyNumberFormat="1" applyFont="1" applyFill="1" applyBorder="1"/>
    <xf numFmtId="166" fontId="150" fillId="102" borderId="74" xfId="0" applyNumberFormat="1" applyFont="1" applyFill="1" applyBorder="1"/>
    <xf numFmtId="1" fontId="129" fillId="0" borderId="74" xfId="0" applyNumberFormat="1" applyFont="1" applyBorder="1" applyAlignment="1">
      <alignment horizontal="right" vertical="center"/>
    </xf>
    <xf numFmtId="3" fontId="49" fillId="101" borderId="74" xfId="0" applyNumberFormat="1" applyFont="1" applyFill="1" applyBorder="1" applyAlignment="1">
      <alignment horizontal="center" vertical="center"/>
    </xf>
    <xf numFmtId="1" fontId="49" fillId="101" borderId="74" xfId="0" applyNumberFormat="1" applyFont="1" applyFill="1" applyBorder="1" applyAlignment="1">
      <alignment horizontal="right" vertical="center"/>
    </xf>
    <xf numFmtId="1" fontId="49" fillId="101" borderId="74" xfId="0" applyNumberFormat="1" applyFont="1" applyFill="1" applyBorder="1" applyAlignment="1">
      <alignment horizontal="center" vertical="center"/>
    </xf>
    <xf numFmtId="1" fontId="49" fillId="101" borderId="74" xfId="0" applyNumberFormat="1" applyFont="1" applyFill="1" applyBorder="1"/>
    <xf numFmtId="0" fontId="150" fillId="102" borderId="74" xfId="0" applyFont="1" applyFill="1" applyBorder="1" applyAlignment="1">
      <alignment horizontal="center" vertical="center"/>
    </xf>
    <xf numFmtId="1" fontId="150" fillId="102" borderId="74" xfId="0" applyNumberFormat="1" applyFont="1" applyFill="1" applyBorder="1"/>
    <xf numFmtId="0" fontId="153" fillId="103" borderId="0" xfId="0" applyFont="1" applyFill="1" applyBorder="1" applyAlignment="1">
      <alignment horizontal="center" vertical="center"/>
    </xf>
    <xf numFmtId="3" fontId="154" fillId="103" borderId="0" xfId="0" applyNumberFormat="1" applyFont="1" applyFill="1" applyBorder="1" applyAlignment="1">
      <alignment horizontal="center" vertical="center"/>
    </xf>
    <xf numFmtId="0" fontId="155" fillId="103" borderId="0" xfId="0" applyFont="1" applyFill="1" applyBorder="1" applyAlignment="1">
      <alignment horizontal="center" vertical="center"/>
    </xf>
    <xf numFmtId="0" fontId="153" fillId="103" borderId="76" xfId="0" applyFont="1" applyFill="1" applyBorder="1" applyAlignment="1">
      <alignment horizontal="center" vertical="center"/>
    </xf>
    <xf numFmtId="0" fontId="157" fillId="0" borderId="76" xfId="0" applyFont="1" applyBorder="1" applyAlignment="1">
      <alignment horizontal="left" vertical="center"/>
    </xf>
    <xf numFmtId="3" fontId="157" fillId="0" borderId="76" xfId="0" applyNumberFormat="1" applyFont="1" applyBorder="1" applyAlignment="1">
      <alignment horizontal="right" vertical="center"/>
    </xf>
    <xf numFmtId="166" fontId="157" fillId="0" borderId="76" xfId="0" applyNumberFormat="1" applyFont="1" applyBorder="1" applyAlignment="1">
      <alignment horizontal="right" vertical="center"/>
    </xf>
    <xf numFmtId="165" fontId="157" fillId="0" borderId="76" xfId="0" applyNumberFormat="1" applyFont="1" applyBorder="1" applyAlignment="1">
      <alignment horizontal="right" vertical="center"/>
    </xf>
    <xf numFmtId="0" fontId="157" fillId="0" borderId="76" xfId="0" applyFont="1" applyBorder="1" applyAlignment="1">
      <alignment horizontal="center" vertical="center"/>
    </xf>
    <xf numFmtId="0" fontId="159" fillId="0" borderId="76" xfId="0" applyFont="1" applyBorder="1" applyAlignment="1">
      <alignment horizontal="left" vertical="center"/>
    </xf>
    <xf numFmtId="0" fontId="157" fillId="104" borderId="76" xfId="0" applyFont="1" applyFill="1" applyBorder="1" applyAlignment="1">
      <alignment horizontal="left" vertical="center"/>
    </xf>
    <xf numFmtId="3" fontId="157" fillId="104" borderId="76" xfId="0" applyNumberFormat="1" applyFont="1" applyFill="1" applyBorder="1" applyAlignment="1">
      <alignment horizontal="right" vertical="center"/>
    </xf>
    <xf numFmtId="166" fontId="157" fillId="104" borderId="76" xfId="0" applyNumberFormat="1" applyFont="1" applyFill="1" applyBorder="1" applyAlignment="1">
      <alignment horizontal="right" vertical="center"/>
    </xf>
    <xf numFmtId="165" fontId="157" fillId="104" borderId="76" xfId="0" applyNumberFormat="1" applyFont="1" applyFill="1" applyBorder="1" applyAlignment="1">
      <alignment horizontal="right" vertical="center"/>
    </xf>
    <xf numFmtId="0" fontId="157" fillId="104" borderId="76" xfId="0" applyFont="1" applyFill="1" applyBorder="1" applyAlignment="1">
      <alignment horizontal="center" vertical="center"/>
    </xf>
    <xf numFmtId="0" fontId="159" fillId="104" borderId="76" xfId="0" applyFont="1" applyFill="1" applyBorder="1" applyAlignment="1">
      <alignment horizontal="left" vertical="center"/>
    </xf>
    <xf numFmtId="0" fontId="158" fillId="105" borderId="76" xfId="0" applyFont="1" applyFill="1" applyBorder="1" applyAlignment="1">
      <alignment horizontal="left" vertical="center"/>
    </xf>
    <xf numFmtId="0" fontId="158" fillId="105" borderId="76" xfId="0" applyFont="1" applyFill="1" applyBorder="1"/>
    <xf numFmtId="166" fontId="158" fillId="105" borderId="76" xfId="0" applyNumberFormat="1" applyFont="1" applyFill="1" applyBorder="1" applyAlignment="1">
      <alignment horizontal="right" vertical="center"/>
    </xf>
    <xf numFmtId="0" fontId="158" fillId="105" borderId="77" xfId="0" applyFont="1" applyFill="1" applyBorder="1" applyAlignment="1">
      <alignment horizontal="left" vertical="center"/>
    </xf>
    <xf numFmtId="0" fontId="158" fillId="105" borderId="77" xfId="0" applyFont="1" applyFill="1" applyBorder="1" applyAlignment="1">
      <alignment horizontal="center" vertical="center"/>
    </xf>
    <xf numFmtId="3" fontId="158" fillId="105" borderId="77" xfId="0" applyNumberFormat="1" applyFont="1" applyFill="1" applyBorder="1" applyAlignment="1">
      <alignment horizontal="right" vertical="center"/>
    </xf>
    <xf numFmtId="166" fontId="158" fillId="105" borderId="77" xfId="0" applyNumberFormat="1" applyFont="1" applyFill="1" applyBorder="1" applyAlignment="1">
      <alignment horizontal="right" vertical="center"/>
    </xf>
    <xf numFmtId="165" fontId="158" fillId="105" borderId="77" xfId="0" applyNumberFormat="1" applyFont="1" applyFill="1" applyBorder="1" applyAlignment="1">
      <alignment horizontal="right" vertical="center"/>
    </xf>
    <xf numFmtId="0" fontId="160" fillId="102" borderId="76" xfId="0" applyFont="1" applyFill="1" applyBorder="1" applyAlignment="1">
      <alignment horizontal="left" vertical="center"/>
    </xf>
    <xf numFmtId="0" fontId="160" fillId="102" borderId="76" xfId="0" applyFont="1" applyFill="1" applyBorder="1"/>
    <xf numFmtId="166" fontId="160" fillId="102" borderId="76" xfId="0" applyNumberFormat="1" applyFont="1" applyFill="1" applyBorder="1" applyAlignment="1">
      <alignment horizontal="right" vertical="center"/>
    </xf>
    <xf numFmtId="0" fontId="2" fillId="2" borderId="71" xfId="0" applyFont="1" applyFill="1" applyAlignment="1">
      <alignment horizontal="center" vertical="center"/>
    </xf>
    <xf numFmtId="0" fontId="0" fillId="0" borderId="0" xfId="0" applyBorder="1"/>
    <xf numFmtId="166" fontId="60" fillId="42" borderId="20" xfId="0" applyNumberFormat="1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76" fillId="56" borderId="20" xfId="0" applyFont="1" applyFill="1" applyBorder="1" applyAlignment="1">
      <alignment horizontal="center" vertical="center"/>
    </xf>
    <xf numFmtId="0" fontId="72" fillId="53" borderId="72" xfId="0" applyFont="1" applyFill="1" applyBorder="1" applyAlignment="1">
      <alignment horizontal="left" vertical="center"/>
    </xf>
    <xf numFmtId="0" fontId="0" fillId="0" borderId="61" xfId="0" applyBorder="1"/>
    <xf numFmtId="0" fontId="59" fillId="42" borderId="20" xfId="0" applyFont="1" applyFill="1" applyBorder="1" applyAlignment="1">
      <alignment horizontal="center" vertical="center"/>
    </xf>
    <xf numFmtId="0" fontId="61" fillId="42" borderId="20" xfId="0" applyFont="1" applyFill="1" applyBorder="1" applyAlignment="1">
      <alignment horizontal="center" vertical="center"/>
    </xf>
    <xf numFmtId="0" fontId="62" fillId="43" borderId="72" xfId="0" applyFont="1" applyFill="1" applyBorder="1" applyAlignment="1">
      <alignment horizontal="left" vertical="center"/>
    </xf>
    <xf numFmtId="0" fontId="0" fillId="0" borderId="42" xfId="0" applyBorder="1"/>
    <xf numFmtId="0" fontId="71" fillId="54" borderId="72" xfId="0" applyFont="1" applyFill="1" applyBorder="1" applyAlignment="1">
      <alignment horizontal="left" vertical="center"/>
    </xf>
    <xf numFmtId="166" fontId="75" fillId="56" borderId="20" xfId="0" applyNumberFormat="1" applyFont="1" applyFill="1" applyBorder="1" applyAlignment="1">
      <alignment horizontal="center" vertical="center"/>
    </xf>
    <xf numFmtId="0" fontId="3" fillId="3" borderId="71" xfId="0" applyFont="1" applyFill="1" applyAlignment="1">
      <alignment horizontal="center" vertical="center"/>
    </xf>
    <xf numFmtId="0" fontId="62" fillId="43" borderId="71" xfId="0" applyFont="1" applyFill="1" applyAlignment="1">
      <alignment horizontal="left" vertical="center"/>
    </xf>
    <xf numFmtId="0" fontId="62" fillId="47" borderId="71" xfId="0" applyFont="1" applyFill="1" applyAlignment="1">
      <alignment horizontal="left" vertical="center"/>
    </xf>
    <xf numFmtId="0" fontId="73" fillId="55" borderId="73" xfId="0" applyFont="1" applyFill="1" applyBorder="1" applyAlignment="1">
      <alignment horizontal="left" vertical="center"/>
    </xf>
    <xf numFmtId="0" fontId="0" fillId="0" borderId="31" xfId="0" applyBorder="1"/>
    <xf numFmtId="0" fontId="74" fillId="56" borderId="20" xfId="0" applyFont="1" applyFill="1" applyBorder="1" applyAlignment="1">
      <alignment horizontal="center" vertical="center"/>
    </xf>
    <xf numFmtId="0" fontId="64" fillId="0" borderId="72" xfId="0" applyFont="1" applyBorder="1" applyAlignment="1">
      <alignment horizontal="left" vertical="center"/>
    </xf>
    <xf numFmtId="0" fontId="7" fillId="40" borderId="72" xfId="0" applyFont="1" applyFill="1" applyBorder="1" applyAlignment="1">
      <alignment horizontal="center"/>
    </xf>
    <xf numFmtId="0" fontId="53" fillId="38" borderId="72" xfId="0" applyFont="1" applyFill="1" applyBorder="1" applyAlignment="1">
      <alignment horizontal="center" vertical="center"/>
    </xf>
    <xf numFmtId="166" fontId="54" fillId="38" borderId="72" xfId="0" applyNumberFormat="1" applyFont="1" applyFill="1" applyBorder="1" applyAlignment="1">
      <alignment horizontal="center" vertical="center"/>
    </xf>
    <xf numFmtId="0" fontId="50" fillId="37" borderId="71" xfId="0" applyFont="1" applyFill="1" applyAlignment="1">
      <alignment horizontal="left" vertical="center"/>
    </xf>
    <xf numFmtId="3" fontId="54" fillId="38" borderId="72" xfId="0" applyNumberFormat="1" applyFont="1" applyFill="1" applyBorder="1" applyAlignment="1">
      <alignment horizontal="center" vertical="center"/>
    </xf>
    <xf numFmtId="0" fontId="50" fillId="37" borderId="71" xfId="0" applyFont="1" applyFill="1" applyAlignment="1">
      <alignment horizontal="center"/>
    </xf>
    <xf numFmtId="0" fontId="54" fillId="38" borderId="72" xfId="0" applyFont="1" applyFill="1" applyBorder="1" applyAlignment="1">
      <alignment horizontal="center" vertical="center"/>
    </xf>
    <xf numFmtId="0" fontId="10" fillId="9" borderId="71" xfId="0" applyFont="1" applyFill="1" applyAlignment="1">
      <alignment horizontal="center" vertical="center"/>
    </xf>
    <xf numFmtId="0" fontId="11" fillId="9" borderId="71" xfId="0" applyFont="1" applyFill="1" applyAlignment="1">
      <alignment horizontal="center" vertical="center"/>
    </xf>
    <xf numFmtId="173" fontId="13" fillId="10" borderId="1" xfId="0" applyNumberFormat="1" applyFont="1" applyFill="1" applyBorder="1" applyAlignment="1">
      <alignment horizontal="center" vertical="center"/>
    </xf>
    <xf numFmtId="0" fontId="0" fillId="0" borderId="3" xfId="0" applyBorder="1"/>
    <xf numFmtId="164" fontId="13" fillId="10" borderId="1" xfId="0" applyNumberFormat="1" applyFont="1" applyFill="1" applyBorder="1" applyAlignment="1">
      <alignment horizontal="center" vertical="center"/>
    </xf>
    <xf numFmtId="0" fontId="22" fillId="18" borderId="71" xfId="0" applyFont="1" applyFill="1" applyAlignment="1">
      <alignment horizontal="left" vertical="center" indent="1"/>
    </xf>
    <xf numFmtId="0" fontId="12" fillId="10" borderId="1" xfId="0" applyFont="1" applyFill="1" applyBorder="1" applyAlignment="1">
      <alignment horizontal="center" vertical="center"/>
    </xf>
    <xf numFmtId="0" fontId="14" fillId="0" borderId="71" xfId="0" applyFont="1"/>
    <xf numFmtId="0" fontId="10" fillId="13" borderId="71" xfId="0" applyFont="1" applyFill="1" applyAlignment="1">
      <alignment horizontal="center" vertical="center"/>
    </xf>
    <xf numFmtId="0" fontId="11" fillId="13" borderId="71" xfId="0" applyFont="1" applyFill="1" applyAlignment="1">
      <alignment horizontal="center" vertical="center"/>
    </xf>
    <xf numFmtId="174" fontId="17" fillId="14" borderId="1" xfId="0" applyNumberFormat="1" applyFont="1" applyFill="1" applyBorder="1" applyAlignment="1">
      <alignment horizontal="center" vertical="center"/>
    </xf>
    <xf numFmtId="164" fontId="17" fillId="14" borderId="1" xfId="0" applyNumberFormat="1" applyFont="1" applyFill="1" applyBorder="1" applyAlignment="1">
      <alignment horizontal="center" vertical="center"/>
    </xf>
    <xf numFmtId="0" fontId="22" fillId="19" borderId="71" xfId="0" applyFont="1" applyFill="1" applyAlignment="1">
      <alignment horizontal="left" vertical="center" indent="1"/>
    </xf>
    <xf numFmtId="0" fontId="16" fillId="14" borderId="1" xfId="0" applyFont="1" applyFill="1" applyBorder="1" applyAlignment="1">
      <alignment horizontal="center" vertical="center"/>
    </xf>
    <xf numFmtId="0" fontId="18" fillId="0" borderId="71" xfId="0" applyFont="1"/>
    <xf numFmtId="0" fontId="151" fillId="102" borderId="0" xfId="0" applyFont="1" applyFill="1" applyBorder="1" applyAlignment="1">
      <alignment horizontal="center" vertical="center"/>
    </xf>
    <xf numFmtId="0" fontId="151" fillId="102" borderId="0" xfId="0" applyFont="1" applyFill="1" applyBorder="1"/>
    <xf numFmtId="0" fontId="153" fillId="102" borderId="0" xfId="0" applyFont="1" applyFill="1" applyBorder="1" applyAlignment="1">
      <alignment horizontal="center" vertical="center"/>
    </xf>
    <xf numFmtId="0" fontId="153" fillId="102" borderId="0" xfId="0" applyFont="1" applyFill="1" applyBorder="1"/>
    <xf numFmtId="0" fontId="156" fillId="102" borderId="0" xfId="0" applyFont="1" applyFill="1" applyBorder="1" applyAlignment="1">
      <alignment horizontal="left" vertical="center"/>
    </xf>
    <xf numFmtId="0" fontId="156" fillId="102" borderId="0" xfId="0" applyFont="1" applyFill="1" applyBorder="1"/>
    <xf numFmtId="0" fontId="152" fillId="103" borderId="0" xfId="0" applyFont="1" applyFill="1" applyBorder="1" applyAlignment="1">
      <alignment horizontal="center" vertical="center"/>
    </xf>
    <xf numFmtId="0" fontId="152" fillId="103" borderId="0" xfId="0" applyFont="1" applyFill="1" applyBorder="1"/>
    <xf numFmtId="0" fontId="155" fillId="102" borderId="0" xfId="0" applyFont="1" applyFill="1" applyBorder="1" applyAlignment="1">
      <alignment horizontal="center" vertical="center"/>
    </xf>
    <xf numFmtId="0" fontId="155" fillId="102" borderId="0" xfId="0" applyFont="1" applyFill="1" applyBorder="1"/>
    <xf numFmtId="166" fontId="154" fillId="102" borderId="0" xfId="0" applyNumberFormat="1" applyFont="1" applyFill="1" applyBorder="1" applyAlignment="1">
      <alignment horizontal="center" vertical="center"/>
    </xf>
    <xf numFmtId="0" fontId="154" fillId="102" borderId="0" xfId="0" applyFont="1" applyFill="1" applyBorder="1"/>
    <xf numFmtId="0" fontId="105" fillId="0" borderId="71" xfId="0" applyFont="1" applyAlignment="1">
      <alignment horizontal="center" vertical="center" wrapText="1"/>
    </xf>
    <xf numFmtId="0" fontId="0" fillId="0" borderId="44" xfId="0" applyBorder="1"/>
    <xf numFmtId="0" fontId="0" fillId="0" borderId="71" xfId="0"/>
    <xf numFmtId="0" fontId="91" fillId="64" borderId="72" xfId="0" applyFont="1" applyFill="1" applyBorder="1" applyAlignment="1">
      <alignment horizontal="center"/>
    </xf>
    <xf numFmtId="0" fontId="97" fillId="0" borderId="72" xfId="0" applyFont="1" applyBorder="1" applyAlignment="1">
      <alignment horizontal="center"/>
    </xf>
    <xf numFmtId="0" fontId="91" fillId="64" borderId="72" xfId="0" applyFont="1" applyFill="1" applyBorder="1" applyAlignment="1">
      <alignment horizontal="center" vertical="center"/>
    </xf>
    <xf numFmtId="44" fontId="1" fillId="0" borderId="71" xfId="1"/>
    <xf numFmtId="0" fontId="95" fillId="66" borderId="67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90" fillId="0" borderId="71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92" fillId="64" borderId="72" xfId="0" applyFont="1" applyFill="1" applyBorder="1" applyAlignment="1">
      <alignment horizontal="center" vertical="center"/>
    </xf>
    <xf numFmtId="164" fontId="92" fillId="64" borderId="72" xfId="0" applyNumberFormat="1" applyFont="1" applyFill="1" applyBorder="1" applyAlignment="1">
      <alignment horizontal="center"/>
    </xf>
    <xf numFmtId="0" fontId="94" fillId="65" borderId="71" xfId="0" applyFont="1" applyFill="1" applyAlignment="1">
      <alignment horizontal="center"/>
    </xf>
    <xf numFmtId="164" fontId="102" fillId="69" borderId="68" xfId="0" applyNumberFormat="1" applyFont="1" applyFill="1" applyBorder="1"/>
    <xf numFmtId="0" fontId="0" fillId="0" borderId="62" xfId="0" applyBorder="1"/>
    <xf numFmtId="0" fontId="0" fillId="0" borderId="63" xfId="0" applyBorder="1"/>
    <xf numFmtId="0" fontId="94" fillId="65" borderId="71" xfId="0" applyFont="1" applyFill="1" applyAlignment="1">
      <alignment horizontal="left" vertical="center" indent="1"/>
    </xf>
    <xf numFmtId="0" fontId="102" fillId="69" borderId="68" xfId="0" applyFont="1" applyFill="1" applyBorder="1"/>
    <xf numFmtId="0" fontId="0" fillId="0" borderId="71" xfId="0" applyAlignment="1">
      <alignment horizontal="center"/>
    </xf>
    <xf numFmtId="0" fontId="103" fillId="67" borderId="72" xfId="0" applyFont="1" applyFill="1" applyBorder="1" applyAlignment="1">
      <alignment horizontal="center"/>
    </xf>
    <xf numFmtId="0" fontId="102" fillId="68" borderId="72" xfId="0" applyFont="1" applyFill="1" applyBorder="1"/>
    <xf numFmtId="164" fontId="92" fillId="64" borderId="72" xfId="0" applyNumberFormat="1" applyFont="1" applyFill="1" applyBorder="1" applyAlignment="1">
      <alignment horizontal="center" vertical="center"/>
    </xf>
    <xf numFmtId="0" fontId="93" fillId="64" borderId="72" xfId="0" applyFont="1" applyFill="1" applyBorder="1" applyAlignment="1">
      <alignment horizontal="center"/>
    </xf>
    <xf numFmtId="0" fontId="93" fillId="64" borderId="72" xfId="0" applyFont="1" applyFill="1" applyBorder="1" applyAlignment="1">
      <alignment horizontal="center" vertical="center"/>
    </xf>
    <xf numFmtId="0" fontId="95" fillId="66" borderId="67" xfId="0" applyFont="1" applyFill="1" applyBorder="1" applyAlignment="1">
      <alignment horizontal="center"/>
    </xf>
    <xf numFmtId="0" fontId="102" fillId="68" borderId="72" xfId="0" applyFont="1" applyFill="1" applyBorder="1" applyAlignment="1">
      <alignment horizontal="center"/>
    </xf>
    <xf numFmtId="164" fontId="102" fillId="68" borderId="72" xfId="0" applyNumberFormat="1" applyFont="1" applyFill="1" applyBorder="1"/>
    <xf numFmtId="0" fontId="89" fillId="63" borderId="71" xfId="0" applyFont="1" applyFill="1" applyAlignment="1">
      <alignment horizontal="center" vertical="center"/>
    </xf>
    <xf numFmtId="0" fontId="102" fillId="69" borderId="68" xfId="0" applyFont="1" applyFill="1" applyBorder="1" applyAlignment="1">
      <alignment horizontal="center"/>
    </xf>
    <xf numFmtId="0" fontId="25" fillId="21" borderId="71" xfId="0" applyFont="1" applyFill="1" applyAlignment="1">
      <alignment horizontal="center" vertical="center"/>
    </xf>
    <xf numFmtId="0" fontId="0" fillId="0" borderId="7" xfId="0" applyBorder="1" applyAlignment="1">
      <alignment horizontal="left"/>
    </xf>
    <xf numFmtId="164" fontId="28" fillId="24" borderId="70" xfId="0" applyNumberFormat="1" applyFont="1" applyFill="1" applyBorder="1" applyAlignment="1">
      <alignment horizontal="center" vertical="center"/>
    </xf>
    <xf numFmtId="0" fontId="0" fillId="0" borderId="14" xfId="0" applyBorder="1"/>
    <xf numFmtId="0" fontId="6" fillId="0" borderId="70" xfId="0" applyFont="1" applyBorder="1" applyAlignment="1">
      <alignment horizontal="left" vertical="top" wrapText="1"/>
    </xf>
    <xf numFmtId="0" fontId="0" fillId="0" borderId="15" xfId="0" applyBorder="1"/>
    <xf numFmtId="0" fontId="29" fillId="24" borderId="70" xfId="0" applyFont="1" applyFill="1" applyBorder="1" applyAlignment="1">
      <alignment horizontal="center" vertical="center"/>
    </xf>
    <xf numFmtId="0" fontId="27" fillId="23" borderId="70" xfId="0" applyFont="1" applyFill="1" applyBorder="1" applyAlignment="1">
      <alignment horizontal="center" vertical="center"/>
    </xf>
    <xf numFmtId="0" fontId="30" fillId="25" borderId="71" xfId="0" applyFont="1" applyFill="1" applyAlignment="1">
      <alignment horizontal="left" vertical="center"/>
    </xf>
    <xf numFmtId="3" fontId="28" fillId="24" borderId="70" xfId="0" applyNumberFormat="1" applyFont="1" applyFill="1" applyBorder="1" applyAlignment="1">
      <alignment horizontal="center" vertical="center"/>
    </xf>
    <xf numFmtId="0" fontId="83" fillId="0" borderId="71" xfId="0" applyFont="1" applyAlignment="1">
      <alignment horizontal="left" vertical="center"/>
    </xf>
    <xf numFmtId="0" fontId="37" fillId="23" borderId="70" xfId="0" applyFont="1" applyFill="1" applyBorder="1" applyAlignment="1">
      <alignment horizontal="left" vertical="top" wrapText="1"/>
    </xf>
    <xf numFmtId="0" fontId="78" fillId="0" borderId="71" xfId="0" applyFont="1" applyAlignment="1">
      <alignment horizontal="left" vertical="center"/>
    </xf>
    <xf numFmtId="0" fontId="26" fillId="22" borderId="71" xfId="0" applyFont="1" applyFill="1" applyAlignment="1">
      <alignment horizontal="center" vertical="center"/>
    </xf>
    <xf numFmtId="0" fontId="120" fillId="82" borderId="67" xfId="0" applyFont="1" applyFill="1" applyBorder="1" applyAlignment="1">
      <alignment horizontal="center" vertical="center"/>
    </xf>
    <xf numFmtId="0" fontId="115" fillId="80" borderId="71" xfId="0" applyFont="1" applyFill="1" applyAlignment="1">
      <alignment horizontal="center" vertical="center"/>
    </xf>
    <xf numFmtId="0" fontId="126" fillId="85" borderId="68" xfId="0" applyFont="1" applyFill="1" applyBorder="1" applyAlignment="1">
      <alignment horizontal="left" vertical="center" indent="1"/>
    </xf>
    <xf numFmtId="164" fontId="118" fillId="81" borderId="72" xfId="0" applyNumberFormat="1" applyFont="1" applyFill="1" applyBorder="1" applyAlignment="1">
      <alignment horizontal="center" vertical="center"/>
    </xf>
    <xf numFmtId="0" fontId="120" fillId="82" borderId="71" xfId="0" applyFont="1" applyFill="1" applyAlignment="1">
      <alignment horizontal="left" vertical="center" indent="1"/>
    </xf>
    <xf numFmtId="0" fontId="117" fillId="81" borderId="72" xfId="0" applyFont="1" applyFill="1" applyBorder="1" applyAlignment="1">
      <alignment horizontal="center" vertical="center"/>
    </xf>
    <xf numFmtId="0" fontId="116" fillId="0" borderId="71" xfId="0" applyFont="1" applyAlignment="1">
      <alignment horizontal="center" vertical="center"/>
    </xf>
    <xf numFmtId="0" fontId="119" fillId="81" borderId="72" xfId="0" applyFont="1" applyFill="1" applyBorder="1" applyAlignment="1">
      <alignment horizontal="center" vertical="center"/>
    </xf>
    <xf numFmtId="165" fontId="118" fillId="81" borderId="72" xfId="0" applyNumberFormat="1" applyFont="1" applyFill="1" applyBorder="1" applyAlignment="1">
      <alignment horizontal="center" vertical="center"/>
    </xf>
    <xf numFmtId="0" fontId="118" fillId="81" borderId="72" xfId="0" applyFont="1" applyFill="1" applyBorder="1" applyAlignment="1">
      <alignment horizontal="center" vertical="center"/>
    </xf>
    <xf numFmtId="0" fontId="145" fillId="94" borderId="72" xfId="0" applyFont="1" applyFill="1" applyBorder="1" applyAlignment="1">
      <alignment horizontal="center" vertical="center"/>
    </xf>
    <xf numFmtId="0" fontId="143" fillId="91" borderId="71" xfId="0" applyFont="1" applyFill="1" applyAlignment="1">
      <alignment horizontal="left" vertical="center" indent="1"/>
    </xf>
    <xf numFmtId="0" fontId="130" fillId="88" borderId="71" xfId="0" applyFont="1" applyFill="1" applyAlignment="1">
      <alignment horizontal="center" vertical="center"/>
    </xf>
    <xf numFmtId="0" fontId="149" fillId="0" borderId="72" xfId="0" applyFont="1" applyBorder="1" applyAlignment="1">
      <alignment horizontal="center"/>
    </xf>
    <xf numFmtId="0" fontId="144" fillId="92" borderId="72" xfId="0" applyFont="1" applyFill="1" applyBorder="1" applyAlignment="1">
      <alignment horizontal="left" vertical="center" indent="1"/>
    </xf>
    <xf numFmtId="0" fontId="145" fillId="93" borderId="72" xfId="0" applyFont="1" applyFill="1" applyBorder="1" applyAlignment="1">
      <alignment horizontal="center" vertical="center"/>
    </xf>
    <xf numFmtId="0" fontId="135" fillId="98" borderId="71" xfId="0" applyFont="1" applyFill="1" applyAlignment="1">
      <alignment horizontal="left" vertical="center" indent="1"/>
    </xf>
    <xf numFmtId="0" fontId="133" fillId="89" borderId="72" xfId="0" applyFont="1" applyFill="1" applyBorder="1" applyAlignment="1">
      <alignment horizontal="center" vertical="center"/>
    </xf>
    <xf numFmtId="0" fontId="134" fillId="100" borderId="72" xfId="0" applyFont="1" applyFill="1" applyBorder="1" applyAlignment="1">
      <alignment horizontal="center" vertical="center"/>
    </xf>
    <xf numFmtId="0" fontId="132" fillId="100" borderId="72" xfId="0" applyFont="1" applyFill="1" applyBorder="1" applyAlignment="1">
      <alignment horizontal="center" vertical="center"/>
    </xf>
    <xf numFmtId="0" fontId="137" fillId="97" borderId="72" xfId="0" applyFont="1" applyFill="1" applyBorder="1" applyAlignment="1">
      <alignment horizontal="right"/>
    </xf>
    <xf numFmtId="0" fontId="134" fillId="89" borderId="72" xfId="0" applyFont="1" applyFill="1" applyBorder="1" applyAlignment="1">
      <alignment horizontal="center" vertical="center"/>
    </xf>
    <xf numFmtId="0" fontId="131" fillId="0" borderId="71" xfId="0" applyFont="1" applyAlignment="1">
      <alignment horizontal="center" vertical="center"/>
    </xf>
    <xf numFmtId="0" fontId="132" fillId="89" borderId="72" xfId="0" applyFont="1" applyFill="1" applyBorder="1" applyAlignment="1">
      <alignment horizontal="center" vertical="center"/>
    </xf>
    <xf numFmtId="0" fontId="148" fillId="100" borderId="72" xfId="0" applyFont="1" applyFill="1" applyBorder="1" applyAlignment="1">
      <alignment horizontal="center" vertical="center"/>
    </xf>
    <xf numFmtId="0" fontId="147" fillId="99" borderId="72" xfId="0" applyFont="1" applyFill="1" applyBorder="1" applyAlignment="1">
      <alignment horizontal="left" vertical="center" indent="1"/>
    </xf>
    <xf numFmtId="166" fontId="134" fillId="100" borderId="72" xfId="0" applyNumberFormat="1" applyFont="1" applyFill="1" applyBorder="1" applyAlignment="1">
      <alignment horizontal="center" vertical="center"/>
    </xf>
    <xf numFmtId="0" fontId="135" fillId="90" borderId="71" xfId="0" applyFont="1" applyFill="1" applyAlignment="1">
      <alignment horizontal="left" vertical="center" indent="1"/>
    </xf>
  </cellXfs>
  <cellStyles count="4">
    <cellStyle name="Incorrecto" xfId="3" builtinId="27"/>
    <cellStyle name="Moneda" xfId="1" builtinId="4"/>
    <cellStyle name="Neutral" xfId="2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0"/>
  <sheetViews>
    <sheetView tabSelected="1" zoomScale="130" zoomScaleNormal="130" workbookViewId="0">
      <selection activeCell="L64" sqref="L64"/>
    </sheetView>
  </sheetViews>
  <sheetFormatPr baseColWidth="10" defaultColWidth="8.7109375" defaultRowHeight="15" x14ac:dyDescent="0.25"/>
  <cols>
    <col min="1" max="1" width="2" style="565" customWidth="1"/>
    <col min="2" max="2" width="10.5703125" style="565" customWidth="1"/>
    <col min="3" max="3" width="13" style="565" customWidth="1"/>
    <col min="4" max="4" width="10.7109375" style="565" customWidth="1"/>
    <col min="5" max="5" width="15" style="565" bestFit="1" customWidth="1"/>
    <col min="6" max="6" width="14.7109375" style="565" bestFit="1" customWidth="1"/>
    <col min="7" max="7" width="13" style="565" bestFit="1" customWidth="1"/>
    <col min="8" max="8" width="13.42578125" style="565" customWidth="1"/>
    <col min="9" max="9" width="14.28515625" style="565" customWidth="1"/>
    <col min="10" max="10" width="10.85546875" style="565" bestFit="1" customWidth="1"/>
    <col min="11" max="11" width="11" style="565" customWidth="1"/>
    <col min="12" max="12" width="13.7109375" style="565" customWidth="1"/>
    <col min="13" max="13" width="13.42578125" style="565" customWidth="1"/>
    <col min="14" max="14" width="13" style="565" customWidth="1"/>
    <col min="15" max="15" width="2" style="565" customWidth="1"/>
  </cols>
  <sheetData>
    <row r="1" spans="2:15" ht="8.1" customHeight="1" x14ac:dyDescent="0.25"/>
    <row r="2" spans="2:15" ht="26.1" customHeight="1" x14ac:dyDescent="0.25">
      <c r="B2" s="641" t="s">
        <v>0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</row>
    <row r="3" spans="2:15" ht="18" customHeight="1" x14ac:dyDescent="0.25">
      <c r="B3" s="655" t="s">
        <v>1</v>
      </c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</row>
    <row r="4" spans="2:15" ht="9.9499999999999993" customHeight="1" x14ac:dyDescent="0.25"/>
    <row r="5" spans="2:15" ht="15.95" customHeight="1" x14ac:dyDescent="0.25">
      <c r="B5" s="649" t="s">
        <v>2</v>
      </c>
      <c r="C5" s="644"/>
      <c r="D5" s="645"/>
      <c r="E5" s="649" t="s">
        <v>3</v>
      </c>
      <c r="F5" s="644"/>
      <c r="G5" s="645"/>
      <c r="H5" s="132"/>
      <c r="I5" s="649" t="s">
        <v>4</v>
      </c>
      <c r="J5" s="644"/>
      <c r="K5" s="645"/>
      <c r="L5" s="660" t="s">
        <v>5</v>
      </c>
      <c r="M5" s="644"/>
      <c r="N5" s="645"/>
    </row>
    <row r="6" spans="2:15" ht="24" customHeight="1" x14ac:dyDescent="0.25">
      <c r="B6" s="643">
        <v>211683221.41999999</v>
      </c>
      <c r="C6" s="644"/>
      <c r="D6" s="645"/>
      <c r="E6" s="643">
        <v>116353629.70999999</v>
      </c>
      <c r="F6" s="644"/>
      <c r="G6" s="645"/>
      <c r="H6" s="207"/>
      <c r="I6" s="643">
        <v>95329591.709999993</v>
      </c>
      <c r="J6" s="644"/>
      <c r="K6" s="645"/>
      <c r="L6" s="654">
        <v>12243950</v>
      </c>
      <c r="M6" s="644"/>
      <c r="N6" s="645"/>
    </row>
    <row r="7" spans="2:15" ht="14.1" customHeight="1" x14ac:dyDescent="0.25">
      <c r="B7" s="650" t="s">
        <v>6</v>
      </c>
      <c r="C7" s="644"/>
      <c r="D7" s="645"/>
      <c r="E7" s="650" t="s">
        <v>7</v>
      </c>
      <c r="F7" s="644"/>
      <c r="G7" s="645"/>
      <c r="H7" s="133"/>
      <c r="I7" s="650" t="s">
        <v>8</v>
      </c>
      <c r="J7" s="644"/>
      <c r="K7" s="645"/>
      <c r="L7" s="646" t="s">
        <v>9</v>
      </c>
      <c r="M7" s="644"/>
      <c r="N7" s="645"/>
    </row>
    <row r="8" spans="2:15" ht="9.9499999999999993" customHeight="1" x14ac:dyDescent="0.25"/>
    <row r="9" spans="2:15" ht="18" customHeight="1" x14ac:dyDescent="0.25">
      <c r="B9" s="656" t="s">
        <v>10</v>
      </c>
      <c r="C9" s="642"/>
      <c r="D9" s="642"/>
      <c r="E9" s="642"/>
      <c r="F9" s="642"/>
      <c r="G9" s="642"/>
      <c r="H9" s="134"/>
      <c r="I9" s="657" t="s">
        <v>11</v>
      </c>
      <c r="J9" s="642"/>
      <c r="K9" s="642"/>
      <c r="L9" s="642"/>
      <c r="M9" s="642"/>
      <c r="N9" s="642"/>
      <c r="O9" s="134"/>
    </row>
    <row r="10" spans="2:15" ht="15.95" customHeight="1" x14ac:dyDescent="0.25">
      <c r="B10" s="135" t="s">
        <v>12</v>
      </c>
      <c r="C10" s="136" t="s">
        <v>13</v>
      </c>
      <c r="D10" s="136" t="s">
        <v>14</v>
      </c>
      <c r="E10" s="137" t="s">
        <v>15</v>
      </c>
      <c r="F10" s="137" t="s">
        <v>16</v>
      </c>
      <c r="G10" s="137" t="s">
        <v>17</v>
      </c>
      <c r="H10" s="134"/>
      <c r="I10" s="135" t="s">
        <v>18</v>
      </c>
      <c r="J10" s="136" t="s">
        <v>13</v>
      </c>
      <c r="K10" s="136" t="s">
        <v>19</v>
      </c>
      <c r="L10" s="137" t="s">
        <v>15</v>
      </c>
      <c r="M10" s="137" t="s">
        <v>20</v>
      </c>
      <c r="N10" s="137" t="s">
        <v>17</v>
      </c>
      <c r="O10" s="134"/>
    </row>
    <row r="11" spans="2:15" ht="14.45" customHeight="1" x14ac:dyDescent="0.25">
      <c r="B11" s="138" t="s">
        <v>21</v>
      </c>
      <c r="C11" s="139" t="s">
        <v>22</v>
      </c>
      <c r="D11" s="140">
        <v>179</v>
      </c>
      <c r="E11" s="208">
        <v>67613772.859999999</v>
      </c>
      <c r="F11" s="209">
        <v>0.58110583252555748</v>
      </c>
      <c r="G11" s="208">
        <v>2414777.6021428569</v>
      </c>
      <c r="H11" s="134"/>
      <c r="I11" s="138" t="s">
        <v>23</v>
      </c>
      <c r="J11" s="139" t="s">
        <v>24</v>
      </c>
      <c r="K11" s="140">
        <v>83</v>
      </c>
      <c r="L11" s="208">
        <v>51133382</v>
      </c>
      <c r="M11" s="209">
        <v>0.53638519879065161</v>
      </c>
      <c r="N11" s="208">
        <v>1826192.2142857141</v>
      </c>
      <c r="O11" s="134"/>
    </row>
    <row r="12" spans="2:15" ht="14.45" customHeight="1" x14ac:dyDescent="0.25">
      <c r="B12" s="141" t="s">
        <v>25</v>
      </c>
      <c r="C12" s="169" t="s">
        <v>22</v>
      </c>
      <c r="D12" s="142">
        <v>240</v>
      </c>
      <c r="E12" s="210">
        <v>16098719</v>
      </c>
      <c r="F12" s="211">
        <v>0.13836026465289031</v>
      </c>
      <c r="G12" s="210">
        <v>574954.25</v>
      </c>
      <c r="H12" s="134"/>
      <c r="I12" s="141" t="s">
        <v>26</v>
      </c>
      <c r="J12" s="169" t="s">
        <v>24</v>
      </c>
      <c r="K12" s="142">
        <v>17</v>
      </c>
      <c r="L12" s="210">
        <v>4364978.71</v>
      </c>
      <c r="M12" s="211">
        <v>4.5788287054439547E-2</v>
      </c>
      <c r="N12" s="210">
        <v>155892.0967857143</v>
      </c>
      <c r="O12" s="134"/>
    </row>
    <row r="13" spans="2:15" ht="14.45" customHeight="1" x14ac:dyDescent="0.25">
      <c r="B13" s="143" t="s">
        <v>27</v>
      </c>
      <c r="C13" s="144" t="s">
        <v>22</v>
      </c>
      <c r="D13" s="145">
        <v>193</v>
      </c>
      <c r="E13" s="212">
        <v>10394477.4</v>
      </c>
      <c r="F13" s="213">
        <v>8.9335222510094542E-2</v>
      </c>
      <c r="G13" s="212">
        <v>371231.33571428573</v>
      </c>
      <c r="H13" s="134"/>
      <c r="I13" s="143" t="s">
        <v>28</v>
      </c>
      <c r="J13" s="144" t="s">
        <v>24</v>
      </c>
      <c r="K13" s="145">
        <v>6</v>
      </c>
      <c r="L13" s="212">
        <v>6232420</v>
      </c>
      <c r="M13" s="213">
        <v>6.5377600891856374E-2</v>
      </c>
      <c r="N13" s="212">
        <v>222586.42857142861</v>
      </c>
      <c r="O13" s="134"/>
    </row>
    <row r="14" spans="2:15" ht="14.45" customHeight="1" x14ac:dyDescent="0.25">
      <c r="B14" s="141" t="s">
        <v>29</v>
      </c>
      <c r="C14" s="169" t="s">
        <v>22</v>
      </c>
      <c r="D14" s="142">
        <v>103</v>
      </c>
      <c r="E14" s="210">
        <v>7578718.9600000009</v>
      </c>
      <c r="F14" s="211">
        <v>6.5135217344651927E-2</v>
      </c>
      <c r="G14" s="210">
        <v>270668.53428571433</v>
      </c>
      <c r="H14" s="134"/>
      <c r="I14" s="141" t="s">
        <v>30</v>
      </c>
      <c r="J14" s="169" t="s">
        <v>31</v>
      </c>
      <c r="K14" s="142">
        <v>79</v>
      </c>
      <c r="L14" s="210">
        <v>33598811</v>
      </c>
      <c r="M14" s="211">
        <v>0.35244891326305261</v>
      </c>
      <c r="N14" s="210">
        <v>1199957.5357142859</v>
      </c>
      <c r="O14" s="134"/>
    </row>
    <row r="15" spans="2:15" ht="15.95" customHeight="1" x14ac:dyDescent="0.25">
      <c r="B15" s="143" t="s">
        <v>32</v>
      </c>
      <c r="C15" s="144" t="s">
        <v>22</v>
      </c>
      <c r="D15" s="145">
        <v>134</v>
      </c>
      <c r="E15" s="212">
        <v>7593154.9400000041</v>
      </c>
      <c r="F15" s="213">
        <v>6.52592872171259E-2</v>
      </c>
      <c r="G15" s="212">
        <v>271184.10500000021</v>
      </c>
      <c r="H15" s="134"/>
      <c r="I15" s="146" t="s">
        <v>33</v>
      </c>
      <c r="J15" s="147" t="s">
        <v>34</v>
      </c>
      <c r="K15" s="148">
        <v>185</v>
      </c>
      <c r="L15" s="214">
        <v>95329591.709999993</v>
      </c>
      <c r="M15" s="215">
        <v>1</v>
      </c>
      <c r="N15" s="214">
        <v>3404628.275357143</v>
      </c>
      <c r="O15" s="134"/>
    </row>
    <row r="16" spans="2:15" ht="14.45" customHeight="1" x14ac:dyDescent="0.25">
      <c r="B16" s="197" t="s">
        <v>35</v>
      </c>
      <c r="C16" s="198" t="s">
        <v>22</v>
      </c>
      <c r="D16" s="199">
        <v>97</v>
      </c>
      <c r="E16" s="216">
        <v>7074786.5500000026</v>
      </c>
      <c r="F16" s="217">
        <v>6.0804175749679772E-2</v>
      </c>
      <c r="G16" s="216">
        <v>252670.9482142858</v>
      </c>
      <c r="H16" s="134"/>
      <c r="I16" s="134"/>
      <c r="J16" s="134"/>
      <c r="K16" s="149"/>
      <c r="L16" s="218"/>
      <c r="M16" s="219"/>
      <c r="N16" s="218"/>
      <c r="O16" s="134"/>
    </row>
    <row r="17" spans="2:15" ht="14.45" customHeight="1" x14ac:dyDescent="0.25">
      <c r="B17" s="313" t="s">
        <v>36</v>
      </c>
      <c r="C17" s="200" t="s">
        <v>37</v>
      </c>
      <c r="D17" s="201">
        <v>946</v>
      </c>
      <c r="E17" s="220">
        <v>116353629.70999999</v>
      </c>
      <c r="F17" s="221">
        <v>1</v>
      </c>
      <c r="G17" s="220">
        <v>4155486.775357143</v>
      </c>
      <c r="H17" s="134"/>
      <c r="I17" s="134"/>
      <c r="J17" s="134"/>
      <c r="K17" s="149"/>
      <c r="L17" s="218"/>
      <c r="M17" s="219"/>
      <c r="N17" s="218"/>
      <c r="O17" s="134"/>
    </row>
    <row r="18" spans="2:15" ht="15.95" customHeight="1" x14ac:dyDescent="0.25">
      <c r="B18" s="202"/>
      <c r="C18" s="203"/>
      <c r="D18" s="204"/>
      <c r="E18" s="222"/>
      <c r="F18" s="223"/>
      <c r="G18" s="222"/>
      <c r="H18" s="134"/>
      <c r="I18" s="134"/>
      <c r="J18" s="134"/>
      <c r="K18" s="149"/>
      <c r="L18" s="218"/>
      <c r="M18" s="219"/>
      <c r="N18" s="218"/>
      <c r="O18" s="134"/>
    </row>
    <row r="19" spans="2:15" ht="8.1" customHeight="1" x14ac:dyDescent="0.25">
      <c r="B19" s="134"/>
      <c r="C19" s="134"/>
      <c r="D19" s="149"/>
      <c r="E19" s="218"/>
      <c r="F19" s="219"/>
      <c r="G19" s="218"/>
      <c r="H19" s="134"/>
      <c r="I19" s="134"/>
      <c r="J19" s="134"/>
      <c r="K19" s="134"/>
      <c r="L19" s="134"/>
      <c r="M19" s="134"/>
      <c r="N19" s="134"/>
      <c r="O19" s="134"/>
    </row>
    <row r="20" spans="2:15" ht="17.100000000000001" customHeight="1" x14ac:dyDescent="0.25">
      <c r="B20" s="656" t="s">
        <v>38</v>
      </c>
      <c r="C20" s="642"/>
      <c r="D20" s="642"/>
      <c r="E20" s="642"/>
      <c r="F20" s="642"/>
      <c r="G20" s="642"/>
      <c r="H20" s="134"/>
      <c r="I20" s="134"/>
      <c r="J20" s="134"/>
      <c r="K20" s="134"/>
      <c r="L20" s="134"/>
      <c r="M20" s="134"/>
      <c r="N20" s="134"/>
      <c r="O20" s="134"/>
    </row>
    <row r="21" spans="2:15" ht="17.100000000000001" customHeight="1" x14ac:dyDescent="0.25">
      <c r="B21" s="661" t="s">
        <v>39</v>
      </c>
      <c r="C21" s="648"/>
      <c r="D21" s="150">
        <v>946</v>
      </c>
      <c r="E21" s="224">
        <v>116353629.70999999</v>
      </c>
      <c r="F21" s="225">
        <v>0.54965919797272522</v>
      </c>
      <c r="G21" s="224">
        <v>4155486.775357143</v>
      </c>
      <c r="H21" s="134"/>
      <c r="I21" s="134"/>
      <c r="J21" s="134"/>
      <c r="K21" s="134"/>
      <c r="L21" s="134"/>
      <c r="M21" s="134"/>
      <c r="N21" s="134"/>
      <c r="O21" s="134"/>
    </row>
    <row r="22" spans="2:15" ht="15.6" customHeight="1" x14ac:dyDescent="0.25">
      <c r="B22" s="661" t="s">
        <v>40</v>
      </c>
      <c r="C22" s="648"/>
      <c r="D22" s="150">
        <v>185</v>
      </c>
      <c r="E22" s="224">
        <v>95329591.709999993</v>
      </c>
      <c r="F22" s="225">
        <v>0.45034080202727478</v>
      </c>
      <c r="G22" s="224">
        <v>3404628.275357143</v>
      </c>
      <c r="H22" s="134"/>
      <c r="I22" s="134"/>
      <c r="J22" s="134"/>
      <c r="K22" s="219"/>
      <c r="L22" s="134"/>
      <c r="M22" s="134"/>
      <c r="N22" s="134"/>
      <c r="O22" s="134"/>
    </row>
    <row r="23" spans="2:15" ht="15.6" customHeight="1" x14ac:dyDescent="0.25">
      <c r="B23" s="653" t="s">
        <v>41</v>
      </c>
      <c r="C23" s="648"/>
      <c r="D23" s="201">
        <v>1131</v>
      </c>
      <c r="E23" s="226">
        <v>211683221.41999999</v>
      </c>
      <c r="F23" s="221">
        <v>1</v>
      </c>
      <c r="G23" s="226">
        <v>7560115.050714286</v>
      </c>
      <c r="H23" s="134"/>
      <c r="I23" s="134"/>
      <c r="J23" s="134"/>
      <c r="K23" s="219"/>
      <c r="L23" s="134"/>
      <c r="M23" s="134"/>
      <c r="N23" s="134"/>
      <c r="O23" s="134"/>
    </row>
    <row r="24" spans="2:15" x14ac:dyDescent="0.25">
      <c r="B24" s="647" t="s">
        <v>42</v>
      </c>
      <c r="C24" s="648"/>
      <c r="D24" s="205">
        <v>1</v>
      </c>
      <c r="E24" s="227">
        <v>12243950</v>
      </c>
      <c r="F24" s="228" t="s">
        <v>43</v>
      </c>
      <c r="G24" s="229" t="s">
        <v>44</v>
      </c>
      <c r="H24" s="134"/>
      <c r="I24" s="134"/>
      <c r="J24" s="134"/>
      <c r="K24" s="149"/>
      <c r="L24" s="134"/>
      <c r="M24" s="134"/>
      <c r="N24" s="134"/>
      <c r="O24" s="134"/>
    </row>
    <row r="25" spans="2:15" x14ac:dyDescent="0.25">
      <c r="B25" s="658" t="s">
        <v>45</v>
      </c>
      <c r="C25" s="659"/>
      <c r="D25" s="206">
        <v>1132</v>
      </c>
      <c r="E25" s="230">
        <v>223927171.41999999</v>
      </c>
      <c r="F25" s="231" t="s">
        <v>46</v>
      </c>
      <c r="G25" s="232" t="s">
        <v>44</v>
      </c>
      <c r="H25" s="134"/>
      <c r="I25" s="134"/>
      <c r="J25" s="134"/>
      <c r="K25" s="134"/>
      <c r="L25" s="134"/>
      <c r="M25" s="134"/>
      <c r="N25" s="134"/>
      <c r="O25" s="134"/>
    </row>
    <row r="26" spans="2:15" ht="18" customHeight="1" x14ac:dyDescent="0.25">
      <c r="B26" s="651" t="s">
        <v>47</v>
      </c>
      <c r="C26" s="652"/>
      <c r="D26" s="652"/>
      <c r="E26" s="652"/>
      <c r="F26" s="652"/>
      <c r="G26" s="652"/>
      <c r="H26" s="652"/>
      <c r="I26" s="652"/>
      <c r="J26" s="652"/>
      <c r="K26" s="652"/>
      <c r="L26" s="652"/>
      <c r="M26" s="652"/>
      <c r="N26" s="648"/>
    </row>
    <row r="27" spans="2:15" ht="15.95" customHeight="1" x14ac:dyDescent="0.25">
      <c r="B27" s="136" t="s">
        <v>48</v>
      </c>
      <c r="C27" s="137" t="s">
        <v>49</v>
      </c>
      <c r="D27" s="152" t="s">
        <v>50</v>
      </c>
      <c r="E27" s="233" t="s">
        <v>51</v>
      </c>
      <c r="F27" s="234" t="s">
        <v>52</v>
      </c>
      <c r="G27" s="233" t="s">
        <v>53</v>
      </c>
      <c r="H27" s="137" t="s">
        <v>54</v>
      </c>
      <c r="I27" s="137" t="s">
        <v>55</v>
      </c>
      <c r="J27" s="137" t="s">
        <v>56</v>
      </c>
      <c r="K27" s="137" t="s">
        <v>57</v>
      </c>
      <c r="L27" s="137" t="s">
        <v>58</v>
      </c>
      <c r="M27" s="137" t="s">
        <v>59</v>
      </c>
      <c r="N27" s="136" t="s">
        <v>14</v>
      </c>
    </row>
    <row r="28" spans="2:15" ht="12.95" customHeight="1" x14ac:dyDescent="0.25">
      <c r="B28" s="169">
        <v>1</v>
      </c>
      <c r="C28" s="210">
        <v>8325595</v>
      </c>
      <c r="D28" s="210">
        <v>1051345</v>
      </c>
      <c r="E28" s="210">
        <v>9376940</v>
      </c>
      <c r="F28" s="211">
        <v>0.88787973475355497</v>
      </c>
      <c r="G28" s="211">
        <v>0.112120265246445</v>
      </c>
      <c r="H28" s="210">
        <v>6130295</v>
      </c>
      <c r="I28" s="210">
        <v>132400</v>
      </c>
      <c r="J28" s="210">
        <v>229750</v>
      </c>
      <c r="K28" s="210">
        <v>411700</v>
      </c>
      <c r="L28" s="210">
        <v>1036350</v>
      </c>
      <c r="M28" s="210">
        <v>130000</v>
      </c>
      <c r="N28" s="142">
        <v>61</v>
      </c>
    </row>
    <row r="29" spans="2:15" ht="12.95" customHeight="1" x14ac:dyDescent="0.25">
      <c r="B29" s="144">
        <v>2</v>
      </c>
      <c r="C29" s="212">
        <v>1355351</v>
      </c>
      <c r="D29" s="212">
        <v>30000</v>
      </c>
      <c r="E29" s="212">
        <v>1385351</v>
      </c>
      <c r="F29" s="213">
        <v>0.97834483823955087</v>
      </c>
      <c r="G29" s="213">
        <v>2.1655161760449161E-2</v>
      </c>
      <c r="H29" s="212">
        <v>528586</v>
      </c>
      <c r="I29" s="212">
        <v>126240</v>
      </c>
      <c r="J29" s="212">
        <v>392505</v>
      </c>
      <c r="K29" s="212">
        <v>162100</v>
      </c>
      <c r="L29" s="212">
        <v>145920</v>
      </c>
      <c r="M29" s="212">
        <v>30000</v>
      </c>
      <c r="N29" s="145">
        <v>26</v>
      </c>
    </row>
    <row r="30" spans="2:15" ht="12.95" customHeight="1" x14ac:dyDescent="0.25">
      <c r="B30" s="169">
        <v>3</v>
      </c>
      <c r="C30" s="210">
        <v>4239440</v>
      </c>
      <c r="D30" s="210">
        <v>60500</v>
      </c>
      <c r="E30" s="210">
        <v>4299940</v>
      </c>
      <c r="F30" s="211">
        <v>0.98593003623306374</v>
      </c>
      <c r="G30" s="211">
        <v>1.406996376693628E-2</v>
      </c>
      <c r="H30" s="210">
        <v>1808790</v>
      </c>
      <c r="I30" s="210">
        <v>355500</v>
      </c>
      <c r="J30" s="210">
        <v>1047950</v>
      </c>
      <c r="K30" s="210">
        <v>970600</v>
      </c>
      <c r="L30" s="210">
        <v>56600</v>
      </c>
      <c r="M30" s="210">
        <v>60500</v>
      </c>
      <c r="N30" s="142">
        <v>40</v>
      </c>
    </row>
    <row r="31" spans="2:15" ht="12.95" customHeight="1" x14ac:dyDescent="0.25">
      <c r="B31" s="144">
        <v>4</v>
      </c>
      <c r="C31" s="212">
        <v>4457519</v>
      </c>
      <c r="D31" s="212">
        <v>30000</v>
      </c>
      <c r="E31" s="212">
        <v>4487519</v>
      </c>
      <c r="F31" s="213">
        <v>0.99331479153625868</v>
      </c>
      <c r="G31" s="213">
        <v>6.6852084637413238E-3</v>
      </c>
      <c r="H31" s="212">
        <v>2218844</v>
      </c>
      <c r="I31" s="212">
        <v>0</v>
      </c>
      <c r="J31" s="212">
        <v>256850</v>
      </c>
      <c r="K31" s="212">
        <v>140975</v>
      </c>
      <c r="L31" s="212">
        <v>1840850</v>
      </c>
      <c r="M31" s="212">
        <v>30000</v>
      </c>
      <c r="N31" s="145">
        <v>60</v>
      </c>
    </row>
    <row r="32" spans="2:15" ht="12.95" customHeight="1" x14ac:dyDescent="0.25">
      <c r="B32" s="169">
        <v>5</v>
      </c>
      <c r="C32" s="210">
        <v>8935184.0699999984</v>
      </c>
      <c r="D32" s="210">
        <v>0</v>
      </c>
      <c r="E32" s="210">
        <v>8935184.0699999984</v>
      </c>
      <c r="F32" s="211">
        <v>1</v>
      </c>
      <c r="G32" s="211">
        <v>0</v>
      </c>
      <c r="H32" s="210">
        <v>7713980</v>
      </c>
      <c r="I32" s="210">
        <v>524200</v>
      </c>
      <c r="J32" s="210">
        <v>247500</v>
      </c>
      <c r="K32" s="210">
        <v>386504.07</v>
      </c>
      <c r="L32" s="210">
        <v>63000</v>
      </c>
      <c r="M32" s="210">
        <v>0</v>
      </c>
      <c r="N32" s="142">
        <v>37</v>
      </c>
    </row>
    <row r="33" spans="1:14" ht="12.95" customHeight="1" x14ac:dyDescent="0.25">
      <c r="B33" s="144">
        <v>6</v>
      </c>
      <c r="C33" s="212">
        <v>434000</v>
      </c>
      <c r="D33" s="212">
        <v>90000</v>
      </c>
      <c r="E33" s="212">
        <v>524000</v>
      </c>
      <c r="F33" s="213">
        <v>0.8282442748091603</v>
      </c>
      <c r="G33" s="213">
        <v>0.1717557251908397</v>
      </c>
      <c r="H33" s="212">
        <v>0</v>
      </c>
      <c r="I33" s="212">
        <v>285000</v>
      </c>
      <c r="J33" s="212">
        <v>0</v>
      </c>
      <c r="K33" s="212">
        <v>0</v>
      </c>
      <c r="L33" s="212">
        <v>149000</v>
      </c>
      <c r="M33" s="212">
        <v>90000</v>
      </c>
      <c r="N33" s="145">
        <v>7</v>
      </c>
    </row>
    <row r="34" spans="1:14" ht="12.95" customHeight="1" x14ac:dyDescent="0.25">
      <c r="A34" s="111"/>
      <c r="B34" s="169">
        <v>7</v>
      </c>
      <c r="C34" s="210">
        <v>2376803.04</v>
      </c>
      <c r="D34" s="210">
        <v>970900</v>
      </c>
      <c r="E34" s="210">
        <v>3347703.04</v>
      </c>
      <c r="F34" s="211">
        <v>0.7099802496221409</v>
      </c>
      <c r="G34" s="211">
        <v>0.2900197503778591</v>
      </c>
      <c r="H34" s="210">
        <v>2135215.04</v>
      </c>
      <c r="I34" s="210">
        <v>124155</v>
      </c>
      <c r="J34" s="210">
        <v>0</v>
      </c>
      <c r="K34" s="210">
        <v>73000</v>
      </c>
      <c r="L34" s="210">
        <v>29433</v>
      </c>
      <c r="M34" s="210">
        <v>970900</v>
      </c>
      <c r="N34" s="142">
        <v>29</v>
      </c>
    </row>
    <row r="35" spans="1:14" ht="12.95" customHeight="1" x14ac:dyDescent="0.25">
      <c r="B35" s="144">
        <v>8</v>
      </c>
      <c r="C35" s="212">
        <v>3875920</v>
      </c>
      <c r="D35" s="212">
        <v>762810.71</v>
      </c>
      <c r="E35" s="212">
        <v>4638730.71</v>
      </c>
      <c r="F35" s="213">
        <v>0.83555615583470677</v>
      </c>
      <c r="G35" s="213">
        <v>0.1644438441652932</v>
      </c>
      <c r="H35" s="212">
        <v>966050</v>
      </c>
      <c r="I35" s="212">
        <v>1392220</v>
      </c>
      <c r="J35" s="212">
        <v>389300</v>
      </c>
      <c r="K35" s="212">
        <v>29000</v>
      </c>
      <c r="L35" s="212">
        <v>1069350</v>
      </c>
      <c r="M35" s="212">
        <v>578112</v>
      </c>
      <c r="N35" s="145">
        <v>87</v>
      </c>
    </row>
    <row r="36" spans="1:14" ht="12.95" customHeight="1" x14ac:dyDescent="0.25">
      <c r="B36" s="169">
        <v>9</v>
      </c>
      <c r="C36" s="210">
        <v>11460335</v>
      </c>
      <c r="D36" s="210">
        <v>2763902</v>
      </c>
      <c r="E36" s="210">
        <v>14224237</v>
      </c>
      <c r="F36" s="211">
        <v>0.8056906672744556</v>
      </c>
      <c r="G36" s="211">
        <v>0.1943093327255444</v>
      </c>
      <c r="H36" s="210">
        <v>5707282</v>
      </c>
      <c r="I36" s="210">
        <v>793450</v>
      </c>
      <c r="J36" s="210">
        <v>1214910</v>
      </c>
      <c r="K36" s="210">
        <v>1723770</v>
      </c>
      <c r="L36" s="210">
        <v>1887973</v>
      </c>
      <c r="M36" s="210">
        <v>2280870</v>
      </c>
      <c r="N36" s="142">
        <v>80</v>
      </c>
    </row>
    <row r="37" spans="1:14" ht="12.95" customHeight="1" x14ac:dyDescent="0.25">
      <c r="B37" s="144">
        <v>10</v>
      </c>
      <c r="C37" s="212">
        <v>3218466</v>
      </c>
      <c r="D37" s="212">
        <v>464000</v>
      </c>
      <c r="E37" s="212">
        <v>3682466</v>
      </c>
      <c r="F37" s="213">
        <v>0.87399747886334866</v>
      </c>
      <c r="G37" s="213">
        <v>0.12600252113665139</v>
      </c>
      <c r="H37" s="212">
        <v>1387295</v>
      </c>
      <c r="I37" s="212">
        <v>208000</v>
      </c>
      <c r="J37" s="212">
        <v>441200</v>
      </c>
      <c r="K37" s="212">
        <v>918471</v>
      </c>
      <c r="L37" s="212">
        <v>263500</v>
      </c>
      <c r="M37" s="212">
        <v>464000</v>
      </c>
      <c r="N37" s="145">
        <v>45</v>
      </c>
    </row>
    <row r="38" spans="1:14" ht="12.95" customHeight="1" x14ac:dyDescent="0.25">
      <c r="B38" s="169">
        <v>11</v>
      </c>
      <c r="C38" s="235">
        <v>9568706</v>
      </c>
      <c r="D38" s="236">
        <v>47019700</v>
      </c>
      <c r="E38" s="237">
        <v>56588406</v>
      </c>
      <c r="F38" s="211">
        <v>0.16909304708105749</v>
      </c>
      <c r="G38" s="211">
        <v>0.83090695291894245</v>
      </c>
      <c r="H38" s="210">
        <v>4088560</v>
      </c>
      <c r="I38" s="210">
        <v>2802750</v>
      </c>
      <c r="J38" s="210">
        <v>1523150</v>
      </c>
      <c r="K38" s="210">
        <v>34000</v>
      </c>
      <c r="L38" s="210">
        <v>535300</v>
      </c>
      <c r="M38" s="210">
        <v>45390000</v>
      </c>
      <c r="N38" s="142">
        <v>92</v>
      </c>
    </row>
    <row r="39" spans="1:14" ht="12.95" customHeight="1" x14ac:dyDescent="0.25">
      <c r="B39" s="144">
        <v>12</v>
      </c>
      <c r="C39" s="212">
        <v>10515730</v>
      </c>
      <c r="D39" s="212">
        <v>1489300</v>
      </c>
      <c r="E39" s="212">
        <v>12005030</v>
      </c>
      <c r="F39" s="213">
        <v>0.87594366694627168</v>
      </c>
      <c r="G39" s="213">
        <v>0.1240563330537283</v>
      </c>
      <c r="H39" s="212">
        <v>7776020</v>
      </c>
      <c r="I39" s="212">
        <v>937770</v>
      </c>
      <c r="J39" s="212">
        <v>0</v>
      </c>
      <c r="K39" s="212">
        <v>83000</v>
      </c>
      <c r="L39" s="212">
        <v>0</v>
      </c>
      <c r="M39" s="212">
        <v>750000</v>
      </c>
      <c r="N39" s="145">
        <v>56</v>
      </c>
    </row>
    <row r="40" spans="1:14" ht="12.95" customHeight="1" x14ac:dyDescent="0.25">
      <c r="B40" s="169">
        <v>13</v>
      </c>
      <c r="C40" s="235">
        <v>1146850.02</v>
      </c>
      <c r="D40" s="236">
        <v>324000</v>
      </c>
      <c r="E40" s="237">
        <v>1470850.02</v>
      </c>
      <c r="F40" s="211">
        <v>0.77971921297590896</v>
      </c>
      <c r="G40" s="211">
        <v>0.22028078702409101</v>
      </c>
      <c r="H40" s="210">
        <v>866150.02</v>
      </c>
      <c r="I40" s="210">
        <v>108000</v>
      </c>
      <c r="J40" s="210">
        <v>0</v>
      </c>
      <c r="K40" s="210">
        <v>126500</v>
      </c>
      <c r="L40" s="210">
        <v>0</v>
      </c>
      <c r="M40" s="210">
        <v>0</v>
      </c>
      <c r="N40" s="142">
        <v>20</v>
      </c>
    </row>
    <row r="41" spans="1:14" ht="12.95" customHeight="1" x14ac:dyDescent="0.25">
      <c r="B41" s="144">
        <v>14</v>
      </c>
      <c r="C41" s="212">
        <v>2644383.77</v>
      </c>
      <c r="D41" s="212">
        <v>22322185</v>
      </c>
      <c r="E41" s="212">
        <v>24966568.77</v>
      </c>
      <c r="F41" s="213">
        <v>0.1059169882077472</v>
      </c>
      <c r="G41" s="213">
        <v>0.8940830117922528</v>
      </c>
      <c r="H41" s="212">
        <v>2403203.7999999998</v>
      </c>
      <c r="I41" s="212">
        <v>74180</v>
      </c>
      <c r="J41" s="212">
        <v>0</v>
      </c>
      <c r="K41" s="212">
        <v>0</v>
      </c>
      <c r="L41" s="212">
        <v>0</v>
      </c>
      <c r="M41" s="212">
        <v>0</v>
      </c>
      <c r="N41" s="145">
        <v>20</v>
      </c>
    </row>
    <row r="42" spans="1:14" ht="12.95" customHeight="1" x14ac:dyDescent="0.25">
      <c r="B42" s="169">
        <v>15</v>
      </c>
      <c r="C42" s="235">
        <v>683386</v>
      </c>
      <c r="D42" s="236">
        <v>10497947</v>
      </c>
      <c r="E42" s="237">
        <v>11181333</v>
      </c>
      <c r="F42" s="211">
        <v>6.1118473083665428E-2</v>
      </c>
      <c r="G42" s="211">
        <v>0.93888152691633453</v>
      </c>
      <c r="H42" s="210">
        <v>234700</v>
      </c>
      <c r="I42" s="210">
        <v>39600</v>
      </c>
      <c r="J42" s="210">
        <v>0</v>
      </c>
      <c r="K42" s="210">
        <v>38436</v>
      </c>
      <c r="L42" s="210">
        <v>0</v>
      </c>
      <c r="M42" s="210">
        <v>29000</v>
      </c>
      <c r="N42" s="142">
        <v>39</v>
      </c>
    </row>
    <row r="43" spans="1:14" ht="12.95" customHeight="1" x14ac:dyDescent="0.25">
      <c r="B43" s="144">
        <v>16</v>
      </c>
      <c r="C43" s="212">
        <v>3688925</v>
      </c>
      <c r="D43" s="212">
        <v>1417600</v>
      </c>
      <c r="E43" s="212">
        <v>5106525</v>
      </c>
      <c r="F43" s="213">
        <v>0.72239438757276231</v>
      </c>
      <c r="G43" s="213">
        <v>0.27760561242723769</v>
      </c>
      <c r="H43" s="212">
        <v>1322675</v>
      </c>
      <c r="I43" s="212">
        <v>76700</v>
      </c>
      <c r="J43" s="212">
        <v>79550</v>
      </c>
      <c r="K43" s="212">
        <v>34000</v>
      </c>
      <c r="L43" s="212">
        <v>201700</v>
      </c>
      <c r="M43" s="212">
        <v>19000</v>
      </c>
      <c r="N43" s="145">
        <v>38</v>
      </c>
    </row>
    <row r="44" spans="1:14" ht="12.95" customHeight="1" x14ac:dyDescent="0.25">
      <c r="B44" s="432">
        <v>17</v>
      </c>
      <c r="C44" s="433">
        <v>7767169</v>
      </c>
      <c r="D44" s="434">
        <v>303700</v>
      </c>
      <c r="E44" s="435">
        <v>8070869</v>
      </c>
      <c r="F44" s="211">
        <v>0.9623708425945211</v>
      </c>
      <c r="G44" s="211">
        <v>3.762915740547889E-2</v>
      </c>
      <c r="H44" s="210">
        <v>5398439</v>
      </c>
      <c r="I44" s="210">
        <v>1821230</v>
      </c>
      <c r="J44" s="210">
        <v>0</v>
      </c>
      <c r="K44" s="210">
        <v>249000</v>
      </c>
      <c r="L44" s="210">
        <v>0</v>
      </c>
      <c r="M44" s="210">
        <v>34000</v>
      </c>
      <c r="N44" s="142">
        <v>59</v>
      </c>
    </row>
    <row r="45" spans="1:14" ht="12.95" customHeight="1" x14ac:dyDescent="0.25">
      <c r="B45" s="144">
        <v>18</v>
      </c>
      <c r="C45" s="212">
        <v>5630520</v>
      </c>
      <c r="D45" s="212">
        <v>407000</v>
      </c>
      <c r="E45" s="212">
        <v>6037520</v>
      </c>
      <c r="F45" s="213">
        <v>0.93258821502868727</v>
      </c>
      <c r="G45" s="213">
        <v>6.7411784971312727E-2</v>
      </c>
      <c r="H45" s="212">
        <v>1106000</v>
      </c>
      <c r="I45" s="212">
        <v>3068320</v>
      </c>
      <c r="J45" s="212">
        <v>870000</v>
      </c>
      <c r="K45" s="212">
        <v>548200</v>
      </c>
      <c r="L45" s="212">
        <v>0</v>
      </c>
      <c r="M45" s="212">
        <v>109000</v>
      </c>
      <c r="N45" s="145">
        <v>76</v>
      </c>
    </row>
    <row r="46" spans="1:14" ht="12.95" customHeight="1" x14ac:dyDescent="0.25">
      <c r="B46" s="169">
        <v>19</v>
      </c>
      <c r="C46" s="235">
        <v>5581054</v>
      </c>
      <c r="D46" s="236">
        <v>224000</v>
      </c>
      <c r="E46" s="237">
        <v>5805054</v>
      </c>
      <c r="F46" s="211">
        <v>0.961412934315512</v>
      </c>
      <c r="G46" s="211">
        <v>3.8587065684488032E-2</v>
      </c>
      <c r="H46" s="210">
        <v>5243054</v>
      </c>
      <c r="I46" s="210">
        <v>338000</v>
      </c>
      <c r="J46" s="210">
        <v>0</v>
      </c>
      <c r="K46" s="210">
        <v>0</v>
      </c>
      <c r="L46" s="210">
        <v>0</v>
      </c>
      <c r="M46" s="210">
        <v>24000</v>
      </c>
      <c r="N46" s="142">
        <v>13</v>
      </c>
    </row>
    <row r="47" spans="1:14" ht="12.95" customHeight="1" x14ac:dyDescent="0.25">
      <c r="B47" s="144">
        <v>20</v>
      </c>
      <c r="C47" s="212">
        <v>76500</v>
      </c>
      <c r="D47" s="212">
        <v>0</v>
      </c>
      <c r="E47" s="212">
        <v>76500</v>
      </c>
      <c r="F47" s="213">
        <v>1</v>
      </c>
      <c r="G47" s="213">
        <v>0</v>
      </c>
      <c r="H47" s="212">
        <v>0</v>
      </c>
      <c r="I47" s="212">
        <v>0</v>
      </c>
      <c r="J47" s="212">
        <v>0</v>
      </c>
      <c r="K47" s="212">
        <v>0</v>
      </c>
      <c r="L47" s="212">
        <v>0</v>
      </c>
      <c r="M47" s="212">
        <v>0</v>
      </c>
      <c r="N47" s="145">
        <v>2</v>
      </c>
    </row>
    <row r="48" spans="1:14" ht="12.95" customHeight="1" x14ac:dyDescent="0.25">
      <c r="B48" s="169">
        <v>21</v>
      </c>
      <c r="C48" s="235">
        <v>248000</v>
      </c>
      <c r="D48" s="236">
        <v>750580</v>
      </c>
      <c r="E48" s="237">
        <v>998580</v>
      </c>
      <c r="F48" s="211">
        <v>0.2483526607783052</v>
      </c>
      <c r="G48" s="211">
        <v>0.7516473392216948</v>
      </c>
      <c r="H48" s="210">
        <v>0</v>
      </c>
      <c r="I48" s="210">
        <v>0</v>
      </c>
      <c r="J48" s="210">
        <v>0</v>
      </c>
      <c r="K48" s="210">
        <v>248000</v>
      </c>
      <c r="L48" s="210">
        <v>0</v>
      </c>
      <c r="M48" s="210">
        <v>29000</v>
      </c>
      <c r="N48" s="142">
        <v>14</v>
      </c>
    </row>
    <row r="49" spans="1:15" ht="12.95" customHeight="1" x14ac:dyDescent="0.25">
      <c r="B49" s="144">
        <v>22</v>
      </c>
      <c r="C49" s="212">
        <v>2999144</v>
      </c>
      <c r="D49" s="212">
        <v>4269122</v>
      </c>
      <c r="E49" s="212">
        <v>7268266</v>
      </c>
      <c r="F49" s="213">
        <v>0.41263542088305522</v>
      </c>
      <c r="G49" s="213">
        <v>0.58736457911694484</v>
      </c>
      <c r="H49" s="212">
        <v>2693444</v>
      </c>
      <c r="I49" s="212">
        <v>0</v>
      </c>
      <c r="J49" s="212">
        <v>18500</v>
      </c>
      <c r="K49" s="212">
        <v>0</v>
      </c>
      <c r="L49" s="212">
        <v>0</v>
      </c>
      <c r="M49" s="212">
        <v>34000</v>
      </c>
      <c r="N49" s="145">
        <v>23</v>
      </c>
    </row>
    <row r="50" spans="1:15" ht="12.95" customHeight="1" x14ac:dyDescent="0.25">
      <c r="B50" s="169">
        <v>23</v>
      </c>
      <c r="C50" s="235">
        <v>6131220</v>
      </c>
      <c r="D50" s="236">
        <v>18000</v>
      </c>
      <c r="E50" s="237">
        <v>6149220</v>
      </c>
      <c r="F50" s="211">
        <v>0.99707279947700689</v>
      </c>
      <c r="G50" s="211">
        <v>2.9272005229931601E-3</v>
      </c>
      <c r="H50" s="210">
        <v>3368820</v>
      </c>
      <c r="I50" s="210">
        <v>2722400</v>
      </c>
      <c r="J50" s="210">
        <v>0</v>
      </c>
      <c r="K50" s="210">
        <v>0</v>
      </c>
      <c r="L50" s="210">
        <v>0</v>
      </c>
      <c r="M50" s="210">
        <v>18000</v>
      </c>
      <c r="N50" s="142">
        <v>62</v>
      </c>
    </row>
    <row r="51" spans="1:15" ht="12.95" customHeight="1" x14ac:dyDescent="0.25">
      <c r="B51" s="144">
        <v>24</v>
      </c>
      <c r="C51" s="212">
        <v>551442</v>
      </c>
      <c r="D51" s="212">
        <v>29000</v>
      </c>
      <c r="E51" s="212">
        <v>580442</v>
      </c>
      <c r="F51" s="213">
        <v>0.9500380744329322</v>
      </c>
      <c r="G51" s="213">
        <v>4.9961925567067862E-2</v>
      </c>
      <c r="H51" s="212">
        <v>168188</v>
      </c>
      <c r="I51" s="212">
        <v>28604</v>
      </c>
      <c r="J51" s="212">
        <v>17450</v>
      </c>
      <c r="K51" s="212">
        <v>285500</v>
      </c>
      <c r="L51" s="212">
        <v>0</v>
      </c>
      <c r="M51" s="212">
        <v>29000</v>
      </c>
      <c r="N51" s="145">
        <v>18</v>
      </c>
    </row>
    <row r="52" spans="1:15" ht="12.95" customHeight="1" x14ac:dyDescent="0.25">
      <c r="B52" s="169">
        <v>25</v>
      </c>
      <c r="C52" s="235">
        <v>2733850</v>
      </c>
      <c r="D52" s="236">
        <v>15000</v>
      </c>
      <c r="E52" s="237">
        <v>2748850</v>
      </c>
      <c r="F52" s="211">
        <v>0.99454317259945069</v>
      </c>
      <c r="G52" s="211">
        <v>5.4568274005493203E-3</v>
      </c>
      <c r="H52" s="210">
        <v>2061250</v>
      </c>
      <c r="I52" s="210">
        <v>0</v>
      </c>
      <c r="J52" s="210">
        <v>0</v>
      </c>
      <c r="K52" s="210">
        <v>672600</v>
      </c>
      <c r="L52" s="210">
        <v>0</v>
      </c>
      <c r="M52" s="210">
        <v>15000</v>
      </c>
      <c r="N52" s="142">
        <v>25</v>
      </c>
    </row>
    <row r="53" spans="1:15" ht="12.95" customHeight="1" x14ac:dyDescent="0.25">
      <c r="B53" s="144">
        <v>26</v>
      </c>
      <c r="C53" s="212">
        <v>2576134.88</v>
      </c>
      <c r="D53" s="212">
        <v>19000</v>
      </c>
      <c r="E53" s="212">
        <v>2595134.88</v>
      </c>
      <c r="F53" s="213">
        <v>0.99267860790341655</v>
      </c>
      <c r="G53" s="213">
        <v>7.3213920965834352E-3</v>
      </c>
      <c r="H53" s="212">
        <v>1966882</v>
      </c>
      <c r="I53" s="212">
        <v>140000</v>
      </c>
      <c r="J53" s="212">
        <v>11454.01</v>
      </c>
      <c r="K53" s="212">
        <v>457798.87</v>
      </c>
      <c r="L53" s="212">
        <v>0</v>
      </c>
      <c r="M53" s="212">
        <v>19000</v>
      </c>
      <c r="N53" s="145">
        <v>20</v>
      </c>
    </row>
    <row r="54" spans="1:15" ht="12.95" customHeight="1" x14ac:dyDescent="0.25">
      <c r="B54" s="169">
        <v>27</v>
      </c>
      <c r="C54" s="235">
        <v>320050</v>
      </c>
      <c r="D54" s="236">
        <v>0</v>
      </c>
      <c r="E54" s="237">
        <v>320050</v>
      </c>
      <c r="F54" s="211">
        <v>1</v>
      </c>
      <c r="G54" s="211">
        <v>0</v>
      </c>
      <c r="H54" s="210">
        <v>320050</v>
      </c>
      <c r="I54" s="210">
        <v>0</v>
      </c>
      <c r="J54" s="210">
        <v>0</v>
      </c>
      <c r="K54" s="210">
        <v>0</v>
      </c>
      <c r="L54" s="210">
        <v>0</v>
      </c>
      <c r="M54" s="210">
        <v>0</v>
      </c>
      <c r="N54" s="142">
        <v>1</v>
      </c>
    </row>
    <row r="55" spans="1:15" ht="12.95" customHeight="1" x14ac:dyDescent="0.25">
      <c r="B55" s="144">
        <v>28</v>
      </c>
      <c r="C55" s="212">
        <v>4811951.9300000016</v>
      </c>
      <c r="D55" s="212">
        <v>0</v>
      </c>
      <c r="E55" s="212">
        <v>4811951.9300000016</v>
      </c>
      <c r="F55" s="213">
        <v>1</v>
      </c>
      <c r="G55" s="213">
        <v>0</v>
      </c>
      <c r="H55" s="212">
        <v>0</v>
      </c>
      <c r="I55" s="212">
        <v>0</v>
      </c>
      <c r="J55" s="212">
        <v>838649.95</v>
      </c>
      <c r="K55" s="212">
        <v>0</v>
      </c>
      <c r="L55" s="212">
        <v>3115501.399999999</v>
      </c>
      <c r="M55" s="212">
        <v>0</v>
      </c>
      <c r="N55" s="145">
        <v>81</v>
      </c>
    </row>
    <row r="56" spans="1:15" ht="12.95" customHeight="1" x14ac:dyDescent="0.25">
      <c r="B56" s="169">
        <v>29</v>
      </c>
      <c r="C56" s="235">
        <v>0</v>
      </c>
      <c r="D56" s="236">
        <v>0</v>
      </c>
      <c r="E56" s="237">
        <v>0</v>
      </c>
      <c r="F56" s="211">
        <v>0</v>
      </c>
      <c r="G56" s="211">
        <v>0</v>
      </c>
      <c r="H56" s="210">
        <v>0</v>
      </c>
      <c r="I56" s="210">
        <v>0</v>
      </c>
      <c r="J56" s="210">
        <v>0</v>
      </c>
      <c r="K56" s="210">
        <v>0</v>
      </c>
      <c r="L56" s="210">
        <v>0</v>
      </c>
      <c r="M56" s="210">
        <v>0</v>
      </c>
      <c r="N56" s="142">
        <v>0</v>
      </c>
    </row>
    <row r="57" spans="1:15" ht="12.95" customHeight="1" x14ac:dyDescent="0.25">
      <c r="B57" s="144">
        <v>30</v>
      </c>
      <c r="C57" s="212">
        <v>0</v>
      </c>
      <c r="D57" s="212">
        <v>0</v>
      </c>
      <c r="E57" s="212">
        <v>0</v>
      </c>
      <c r="F57" s="213">
        <v>0</v>
      </c>
      <c r="G57" s="213">
        <v>0</v>
      </c>
      <c r="H57" s="212">
        <v>0</v>
      </c>
      <c r="I57" s="212">
        <v>0</v>
      </c>
      <c r="J57" s="212">
        <v>0</v>
      </c>
      <c r="K57" s="212">
        <v>0</v>
      </c>
      <c r="L57" s="212">
        <v>0</v>
      </c>
      <c r="M57" s="212">
        <v>0</v>
      </c>
      <c r="N57" s="145">
        <v>0</v>
      </c>
    </row>
    <row r="58" spans="1:15" ht="15.95" customHeight="1" x14ac:dyDescent="0.25">
      <c r="B58" s="196" t="s">
        <v>60</v>
      </c>
      <c r="C58" s="238">
        <v>116353629.70999999</v>
      </c>
      <c r="D58" s="238">
        <v>95329591.709999993</v>
      </c>
      <c r="E58" s="238">
        <v>211683221.41999999</v>
      </c>
      <c r="F58" s="239">
        <v>0.54965919797272522</v>
      </c>
      <c r="G58" s="239">
        <v>0.45034080202727478</v>
      </c>
      <c r="H58" s="238">
        <v>67613772.859999999</v>
      </c>
      <c r="I58" s="238">
        <v>16098719</v>
      </c>
      <c r="J58" s="238">
        <v>7578718.9600000009</v>
      </c>
      <c r="K58" s="238">
        <v>7593154.9400000041</v>
      </c>
      <c r="L58" s="238">
        <v>10394477.4</v>
      </c>
      <c r="M58" s="238">
        <v>51133382</v>
      </c>
      <c r="N58" s="151">
        <v>1131</v>
      </c>
    </row>
    <row r="59" spans="1:15" ht="15" customHeight="1" x14ac:dyDescent="0.25">
      <c r="B59" s="153" t="s">
        <v>61</v>
      </c>
      <c r="C59" s="240">
        <v>4155486.775357143</v>
      </c>
      <c r="D59" s="240">
        <v>3404628.275357143</v>
      </c>
      <c r="E59" s="240">
        <v>7560115.050714286</v>
      </c>
      <c r="F59" s="241">
        <v>0.54965919797272522</v>
      </c>
      <c r="G59" s="241">
        <v>0.45034080202727478</v>
      </c>
      <c r="H59" s="240">
        <v>2414777.6021428569</v>
      </c>
      <c r="I59" s="240">
        <v>574954.25</v>
      </c>
      <c r="J59" s="240">
        <v>270668.53428571433</v>
      </c>
      <c r="K59" s="240">
        <v>271184.10500000021</v>
      </c>
      <c r="L59" s="240">
        <v>371231.33571428573</v>
      </c>
      <c r="M59" s="240">
        <v>1826192.2142857141</v>
      </c>
      <c r="N59" s="242">
        <v>40.392857142857153</v>
      </c>
    </row>
    <row r="60" spans="1:15" ht="15" customHeight="1" x14ac:dyDescent="0.25">
      <c r="B60" s="154" t="s">
        <v>62</v>
      </c>
      <c r="C60" s="243">
        <v>11460335</v>
      </c>
      <c r="D60" s="244">
        <v>47019700</v>
      </c>
      <c r="E60" s="245">
        <v>56588406</v>
      </c>
      <c r="F60" s="246" t="s">
        <v>44</v>
      </c>
      <c r="G60" s="246" t="s">
        <v>44</v>
      </c>
      <c r="H60" s="247">
        <v>7776020</v>
      </c>
      <c r="I60" s="247">
        <v>3068320</v>
      </c>
      <c r="J60" s="247">
        <v>1523150</v>
      </c>
      <c r="K60" s="247">
        <v>1723770</v>
      </c>
      <c r="L60" s="247">
        <v>3115501.399999999</v>
      </c>
      <c r="M60" s="247">
        <v>45390000</v>
      </c>
      <c r="N60" s="155">
        <v>92</v>
      </c>
    </row>
    <row r="61" spans="1:15" ht="15" customHeight="1" x14ac:dyDescent="0.25">
      <c r="B61" s="156" t="s">
        <v>63</v>
      </c>
      <c r="C61" s="243">
        <v>0</v>
      </c>
      <c r="D61" s="244">
        <v>0</v>
      </c>
      <c r="E61" s="245">
        <v>0</v>
      </c>
      <c r="F61" s="248" t="s">
        <v>44</v>
      </c>
      <c r="G61" s="248" t="s">
        <v>44</v>
      </c>
      <c r="H61" s="249">
        <v>0</v>
      </c>
      <c r="I61" s="249">
        <v>0</v>
      </c>
      <c r="J61" s="249">
        <v>0</v>
      </c>
      <c r="K61" s="249">
        <v>0</v>
      </c>
      <c r="L61" s="249">
        <v>0</v>
      </c>
      <c r="M61" s="249">
        <v>0</v>
      </c>
      <c r="N61" s="157">
        <v>0</v>
      </c>
    </row>
    <row r="62" spans="1:15" ht="18" customHeight="1" x14ac:dyDescent="0.25">
      <c r="A62" s="158"/>
      <c r="B62" s="159"/>
      <c r="C62" s="250"/>
      <c r="D62" s="250"/>
      <c r="E62" s="251"/>
      <c r="F62" s="252"/>
      <c r="G62" s="252"/>
      <c r="H62" s="250"/>
      <c r="I62" s="250"/>
      <c r="J62" s="250"/>
      <c r="K62" s="250"/>
      <c r="L62" s="250"/>
      <c r="M62" s="250"/>
      <c r="N62" s="160"/>
      <c r="O62" s="158"/>
    </row>
    <row r="63" spans="1:15" x14ac:dyDescent="0.25">
      <c r="A63" s="158"/>
      <c r="B63" s="159"/>
      <c r="C63" s="250"/>
      <c r="D63" s="250"/>
      <c r="E63" s="251"/>
      <c r="F63" s="252"/>
      <c r="G63" s="252"/>
      <c r="H63" s="250"/>
      <c r="I63" s="250"/>
      <c r="J63" s="250"/>
      <c r="K63" s="250"/>
      <c r="L63" s="250"/>
      <c r="M63" s="250"/>
      <c r="N63" s="160"/>
      <c r="O63" s="158"/>
    </row>
    <row r="64" spans="1:15" x14ac:dyDescent="0.25">
      <c r="A64" s="158"/>
      <c r="B64" s="159"/>
      <c r="C64" s="250"/>
      <c r="D64" s="250"/>
      <c r="E64" s="251"/>
      <c r="F64" s="252"/>
      <c r="G64" s="252"/>
      <c r="H64" s="250"/>
      <c r="I64" s="250"/>
      <c r="J64" s="250"/>
      <c r="K64" s="250"/>
      <c r="L64" s="250"/>
      <c r="M64" s="250"/>
      <c r="N64" s="160"/>
      <c r="O64" s="158"/>
    </row>
    <row r="65" spans="1:15" x14ac:dyDescent="0.25">
      <c r="A65" s="158"/>
      <c r="B65" s="159"/>
      <c r="C65" s="250"/>
      <c r="D65" s="250"/>
      <c r="E65" s="251"/>
      <c r="F65" s="252"/>
      <c r="G65" s="252"/>
      <c r="H65" s="250"/>
      <c r="I65" s="250"/>
      <c r="J65" s="250"/>
      <c r="K65" s="250"/>
      <c r="L65" s="250"/>
      <c r="M65" s="250"/>
      <c r="N65" s="160"/>
      <c r="O65" s="158"/>
    </row>
    <row r="66" spans="1:15" ht="9.9499999999999993" customHeight="1" x14ac:dyDescent="0.25">
      <c r="A66" s="158"/>
      <c r="B66" s="159"/>
      <c r="C66" s="250"/>
      <c r="D66" s="250"/>
      <c r="E66" s="251"/>
      <c r="F66" s="252"/>
      <c r="G66" s="252"/>
      <c r="H66" s="250"/>
      <c r="I66" s="250"/>
      <c r="J66" s="250"/>
      <c r="K66" s="250"/>
      <c r="L66" s="250"/>
      <c r="M66" s="250"/>
      <c r="N66" s="160"/>
      <c r="O66" s="158"/>
    </row>
    <row r="67" spans="1:15" x14ac:dyDescent="0.25">
      <c r="A67" s="158"/>
      <c r="B67" s="159"/>
      <c r="C67" s="158"/>
      <c r="D67" s="158"/>
      <c r="E67" s="158"/>
      <c r="F67" s="158"/>
      <c r="G67" s="158"/>
      <c r="H67" s="250"/>
      <c r="I67" s="250"/>
      <c r="J67" s="158"/>
      <c r="K67" s="158"/>
      <c r="L67" s="158"/>
      <c r="M67" s="158"/>
      <c r="N67" s="158"/>
      <c r="O67" s="158"/>
    </row>
    <row r="68" spans="1:15" x14ac:dyDescent="0.25">
      <c r="A68" s="158"/>
      <c r="B68" s="159"/>
      <c r="C68" s="250"/>
      <c r="D68" s="250"/>
      <c r="E68" s="251"/>
      <c r="F68" s="252"/>
      <c r="G68" s="252"/>
      <c r="H68" s="250"/>
      <c r="I68" s="250"/>
      <c r="J68" s="250"/>
      <c r="K68" s="250"/>
      <c r="L68" s="250"/>
      <c r="M68" s="250"/>
      <c r="N68" s="160"/>
      <c r="O68" s="158"/>
    </row>
    <row r="69" spans="1:15" ht="18" customHeight="1" x14ac:dyDescent="0.25">
      <c r="A69" s="158"/>
      <c r="B69" s="161"/>
      <c r="C69" s="253"/>
      <c r="D69" s="254"/>
      <c r="E69" s="251"/>
      <c r="F69" s="255"/>
      <c r="G69" s="256"/>
      <c r="H69" s="251"/>
      <c r="I69" s="251"/>
      <c r="J69" s="251"/>
      <c r="K69" s="251"/>
      <c r="L69" s="251"/>
      <c r="M69" s="251"/>
      <c r="N69" s="161"/>
      <c r="O69" s="158"/>
    </row>
    <row r="70" spans="1:15" ht="18" customHeight="1" x14ac:dyDescent="0.25">
      <c r="A70" s="158"/>
      <c r="B70" s="159"/>
      <c r="C70" s="251"/>
      <c r="D70" s="251"/>
      <c r="E70" s="251"/>
      <c r="F70" s="257"/>
      <c r="G70" s="257"/>
      <c r="H70" s="250"/>
      <c r="I70" s="250"/>
      <c r="J70" s="250"/>
      <c r="K70" s="250"/>
      <c r="L70" s="250"/>
      <c r="M70" s="250"/>
      <c r="N70" s="258"/>
      <c r="O70" s="158"/>
    </row>
    <row r="71" spans="1:15" ht="18" customHeight="1" x14ac:dyDescent="0.25">
      <c r="A71" s="158"/>
      <c r="B71" s="159"/>
      <c r="C71" s="251"/>
      <c r="D71" s="251"/>
      <c r="E71" s="251"/>
      <c r="F71" s="162"/>
      <c r="G71" s="162"/>
      <c r="H71" s="250"/>
      <c r="I71" s="250"/>
      <c r="J71" s="250"/>
      <c r="K71" s="250"/>
      <c r="L71" s="250"/>
      <c r="M71" s="250"/>
      <c r="N71" s="160"/>
      <c r="O71" s="158"/>
    </row>
    <row r="72" spans="1:15" ht="18" customHeight="1" x14ac:dyDescent="0.25">
      <c r="A72" s="158"/>
      <c r="B72" s="159"/>
      <c r="C72" s="250"/>
      <c r="D72" s="250"/>
      <c r="E72" s="250"/>
      <c r="F72" s="162"/>
      <c r="G72" s="162"/>
      <c r="H72" s="250"/>
      <c r="I72" s="250"/>
      <c r="J72" s="250"/>
      <c r="K72" s="250"/>
      <c r="L72" s="250"/>
      <c r="M72" s="250"/>
      <c r="N72" s="160"/>
      <c r="O72" s="158"/>
    </row>
    <row r="73" spans="1:15" ht="18" customHeight="1" x14ac:dyDescent="0.25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</row>
    <row r="74" spans="1:15" ht="18" customHeight="1" x14ac:dyDescent="0.25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</row>
    <row r="75" spans="1:15" ht="18" customHeight="1" x14ac:dyDescent="0.25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</row>
    <row r="76" spans="1:15" ht="18" customHeight="1" x14ac:dyDescent="0.25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</row>
    <row r="77" spans="1:15" ht="18" customHeight="1" x14ac:dyDescent="0.25">
      <c r="A77" s="158"/>
      <c r="B77" s="163"/>
      <c r="C77" s="158"/>
      <c r="D77" s="158"/>
      <c r="E77" s="158"/>
      <c r="F77" s="158"/>
      <c r="G77" s="158"/>
      <c r="H77" s="158"/>
      <c r="I77" s="163"/>
      <c r="J77" s="158"/>
      <c r="K77" s="158"/>
      <c r="L77" s="158"/>
      <c r="M77" s="158"/>
      <c r="N77" s="158"/>
      <c r="O77" s="158"/>
    </row>
    <row r="78" spans="1:15" ht="18" customHeight="1" x14ac:dyDescent="0.25">
      <c r="A78" s="158"/>
      <c r="B78" s="164"/>
      <c r="C78" s="165"/>
      <c r="D78" s="165"/>
      <c r="E78" s="166"/>
      <c r="F78" s="166"/>
      <c r="G78" s="166"/>
      <c r="H78" s="158"/>
      <c r="I78" s="164"/>
      <c r="J78" s="165"/>
      <c r="K78" s="165"/>
      <c r="L78" s="166"/>
      <c r="M78" s="166"/>
      <c r="N78" s="166"/>
      <c r="O78" s="158"/>
    </row>
    <row r="79" spans="1:15" x14ac:dyDescent="0.25">
      <c r="A79" s="158"/>
      <c r="B79" s="167"/>
      <c r="C79" s="168"/>
      <c r="D79" s="167"/>
      <c r="E79" s="160"/>
      <c r="F79" s="250"/>
      <c r="G79" s="252"/>
      <c r="H79" s="158"/>
      <c r="I79" s="167"/>
      <c r="J79" s="168"/>
      <c r="K79" s="167"/>
      <c r="L79" s="160"/>
      <c r="M79" s="250"/>
      <c r="N79" s="252"/>
      <c r="O79" s="158"/>
    </row>
    <row r="80" spans="1:15" x14ac:dyDescent="0.25">
      <c r="A80" s="158"/>
      <c r="B80" s="167"/>
      <c r="C80" s="168"/>
      <c r="D80" s="167"/>
      <c r="E80" s="160"/>
      <c r="F80" s="250"/>
      <c r="G80" s="252"/>
      <c r="H80" s="158"/>
      <c r="I80" s="167"/>
      <c r="J80" s="168"/>
      <c r="K80" s="167"/>
      <c r="L80" s="160"/>
      <c r="M80" s="250"/>
      <c r="N80" s="252"/>
      <c r="O80" s="158"/>
    </row>
    <row r="81" spans="1:15" x14ac:dyDescent="0.25">
      <c r="A81" s="158"/>
      <c r="B81" s="167"/>
      <c r="C81" s="168"/>
      <c r="D81" s="167"/>
      <c r="E81" s="160"/>
      <c r="F81" s="250"/>
      <c r="G81" s="252"/>
      <c r="H81" s="158"/>
      <c r="I81" s="167"/>
      <c r="J81" s="168"/>
      <c r="K81" s="167"/>
      <c r="L81" s="160"/>
      <c r="M81" s="250"/>
      <c r="N81" s="252"/>
      <c r="O81" s="158"/>
    </row>
    <row r="82" spans="1:15" x14ac:dyDescent="0.25">
      <c r="A82" s="158"/>
      <c r="B82" s="167"/>
      <c r="C82" s="168"/>
      <c r="D82" s="167"/>
      <c r="E82" s="160"/>
      <c r="F82" s="250"/>
      <c r="G82" s="252"/>
      <c r="H82" s="158"/>
      <c r="I82" s="167"/>
      <c r="J82" s="168"/>
      <c r="K82" s="167"/>
      <c r="L82" s="160"/>
      <c r="M82" s="250"/>
      <c r="N82" s="252"/>
      <c r="O82" s="158"/>
    </row>
    <row r="83" spans="1:15" x14ac:dyDescent="0.25">
      <c r="A83" s="158"/>
      <c r="B83" s="167"/>
      <c r="C83" s="168"/>
      <c r="D83" s="167"/>
      <c r="E83" s="160"/>
      <c r="F83" s="250"/>
      <c r="G83" s="252"/>
      <c r="H83" s="158"/>
      <c r="I83" s="167"/>
      <c r="J83" s="168"/>
      <c r="K83" s="167"/>
      <c r="L83" s="160"/>
      <c r="M83" s="250"/>
      <c r="N83" s="252"/>
      <c r="O83" s="158"/>
    </row>
    <row r="84" spans="1:15" x14ac:dyDescent="0.25">
      <c r="A84" s="158"/>
      <c r="B84" s="167"/>
      <c r="C84" s="168"/>
      <c r="D84" s="167"/>
      <c r="E84" s="160"/>
      <c r="F84" s="250"/>
      <c r="G84" s="252"/>
      <c r="H84" s="158"/>
      <c r="I84" s="167"/>
      <c r="J84" s="168"/>
      <c r="K84" s="167"/>
      <c r="L84" s="160"/>
      <c r="M84" s="250"/>
      <c r="N84" s="252"/>
      <c r="O84" s="158"/>
    </row>
    <row r="85" spans="1:15" x14ac:dyDescent="0.25">
      <c r="A85" s="158"/>
      <c r="B85" s="167"/>
      <c r="C85" s="168"/>
      <c r="D85" s="167"/>
      <c r="E85" s="160"/>
      <c r="F85" s="250"/>
      <c r="G85" s="252"/>
      <c r="H85" s="158"/>
      <c r="I85" s="167"/>
      <c r="J85" s="168"/>
      <c r="K85" s="167"/>
      <c r="L85" s="160"/>
      <c r="M85" s="250"/>
      <c r="N85" s="252"/>
      <c r="O85" s="158"/>
    </row>
    <row r="86" spans="1:15" x14ac:dyDescent="0.25">
      <c r="A86" s="158"/>
      <c r="B86" s="167"/>
      <c r="C86" s="168"/>
      <c r="D86" s="167"/>
      <c r="E86" s="160"/>
      <c r="F86" s="250"/>
      <c r="G86" s="252"/>
      <c r="H86" s="158"/>
      <c r="I86" s="167"/>
      <c r="J86" s="168"/>
      <c r="K86" s="167"/>
      <c r="L86" s="160"/>
      <c r="M86" s="250"/>
      <c r="N86" s="252"/>
      <c r="O86" s="158"/>
    </row>
    <row r="87" spans="1:15" x14ac:dyDescent="0.25">
      <c r="A87" s="158"/>
      <c r="B87" s="167"/>
      <c r="C87" s="168"/>
      <c r="D87" s="167"/>
      <c r="E87" s="160"/>
      <c r="F87" s="250"/>
      <c r="G87" s="252"/>
      <c r="H87" s="158"/>
      <c r="I87" s="167"/>
      <c r="J87" s="168"/>
      <c r="K87" s="167"/>
      <c r="L87" s="160"/>
      <c r="M87" s="250"/>
      <c r="N87" s="252"/>
      <c r="O87" s="158"/>
    </row>
    <row r="88" spans="1:15" x14ac:dyDescent="0.25">
      <c r="A88" s="158"/>
      <c r="B88" s="167"/>
      <c r="C88" s="168"/>
      <c r="D88" s="167"/>
      <c r="E88" s="160"/>
      <c r="F88" s="250"/>
      <c r="G88" s="252"/>
      <c r="H88" s="158"/>
      <c r="I88" s="167"/>
      <c r="J88" s="168"/>
      <c r="K88" s="167"/>
      <c r="L88" s="160"/>
      <c r="M88" s="250"/>
      <c r="N88" s="252"/>
      <c r="O88" s="158"/>
    </row>
    <row r="89" spans="1:15" x14ac:dyDescent="0.25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</row>
    <row r="90" spans="1:15" x14ac:dyDescent="0.25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</row>
    <row r="91" spans="1:15" x14ac:dyDescent="0.25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</row>
    <row r="92" spans="1:15" x14ac:dyDescent="0.25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</row>
    <row r="93" spans="1:15" x14ac:dyDescent="0.25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</row>
    <row r="94" spans="1:15" x14ac:dyDescent="0.25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</row>
    <row r="95" spans="1:15" x14ac:dyDescent="0.25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</row>
    <row r="96" spans="1:15" x14ac:dyDescent="0.25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</row>
    <row r="97" spans="1:15" x14ac:dyDescent="0.25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</row>
    <row r="98" spans="1:15" x14ac:dyDescent="0.25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</row>
    <row r="99" spans="1:15" x14ac:dyDescent="0.25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</row>
    <row r="100" spans="1:15" x14ac:dyDescent="0.25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</row>
    <row r="101" spans="1:15" x14ac:dyDescent="0.25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</row>
    <row r="102" spans="1:15" x14ac:dyDescent="0.25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</row>
    <row r="103" spans="1:15" x14ac:dyDescent="0.25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</row>
    <row r="104" spans="1:15" x14ac:dyDescent="0.25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</row>
    <row r="105" spans="1:15" x14ac:dyDescent="0.25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</row>
    <row r="106" spans="1:15" x14ac:dyDescent="0.25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</row>
    <row r="107" spans="1:15" x14ac:dyDescent="0.25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</row>
    <row r="108" spans="1:15" x14ac:dyDescent="0.25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</row>
    <row r="109" spans="1:15" x14ac:dyDescent="0.25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</row>
    <row r="110" spans="1:15" x14ac:dyDescent="0.25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</row>
    <row r="111" spans="1:15" x14ac:dyDescent="0.25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</row>
    <row r="112" spans="1:15" x14ac:dyDescent="0.25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</row>
    <row r="113" spans="1:15" x14ac:dyDescent="0.25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</row>
    <row r="114" spans="1:15" x14ac:dyDescent="0.25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</row>
    <row r="115" spans="1:15" x14ac:dyDescent="0.25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</row>
    <row r="116" spans="1:15" x14ac:dyDescent="0.25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</row>
    <row r="117" spans="1:15" x14ac:dyDescent="0.25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</row>
    <row r="118" spans="1:15" x14ac:dyDescent="0.25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</row>
    <row r="119" spans="1:15" x14ac:dyDescent="0.25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</row>
    <row r="120" spans="1:15" x14ac:dyDescent="0.25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</row>
    <row r="121" spans="1:15" x14ac:dyDescent="0.25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</row>
    <row r="122" spans="1:15" x14ac:dyDescent="0.25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</row>
    <row r="123" spans="1:15" x14ac:dyDescent="0.25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</row>
    <row r="124" spans="1:15" x14ac:dyDescent="0.25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</row>
    <row r="125" spans="1:15" x14ac:dyDescent="0.25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</row>
    <row r="126" spans="1:15" x14ac:dyDescent="0.25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</row>
    <row r="127" spans="1:15" x14ac:dyDescent="0.25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</row>
    <row r="128" spans="1:15" x14ac:dyDescent="0.25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</row>
    <row r="129" spans="1:15" x14ac:dyDescent="0.25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</row>
    <row r="130" spans="1:15" x14ac:dyDescent="0.25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</row>
  </sheetData>
  <autoFilter ref="B27:N61" xr:uid="{00000000-0009-0000-0000-000000000000}"/>
  <mergeCells count="23">
    <mergeCell ref="B26:N26"/>
    <mergeCell ref="B23:C23"/>
    <mergeCell ref="L6:N6"/>
    <mergeCell ref="B6:D6"/>
    <mergeCell ref="B3:N3"/>
    <mergeCell ref="E7:G7"/>
    <mergeCell ref="B20:G20"/>
    <mergeCell ref="B5:D5"/>
    <mergeCell ref="I9:N9"/>
    <mergeCell ref="B7:D7"/>
    <mergeCell ref="B25:C25"/>
    <mergeCell ref="L5:N5"/>
    <mergeCell ref="B22:C22"/>
    <mergeCell ref="E6:G6"/>
    <mergeCell ref="B21:C21"/>
    <mergeCell ref="I5:K5"/>
    <mergeCell ref="B2:N2"/>
    <mergeCell ref="I6:K6"/>
    <mergeCell ref="L7:N7"/>
    <mergeCell ref="B24:C24"/>
    <mergeCell ref="E5:G5"/>
    <mergeCell ref="I7:K7"/>
    <mergeCell ref="B9:G9"/>
  </mergeCells>
  <pageMargins left="0.2" right="0.2" top="0.25" bottom="0.25" header="0.1" footer="0.1"/>
  <pageSetup scale="7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43"/>
  <sheetViews>
    <sheetView topLeftCell="A10" workbookViewId="0">
      <selection activeCell="M27" sqref="M27"/>
    </sheetView>
  </sheetViews>
  <sheetFormatPr baseColWidth="10" defaultColWidth="9.140625" defaultRowHeight="15" x14ac:dyDescent="0.25"/>
  <cols>
    <col min="1" max="1" width="4" style="565" customWidth="1"/>
    <col min="2" max="2" width="7" style="565" customWidth="1"/>
    <col min="3" max="3" width="12" style="565" customWidth="1"/>
    <col min="4" max="4" width="14" style="565" customWidth="1"/>
    <col min="5" max="5" width="17" style="565" customWidth="1"/>
    <col min="6" max="6" width="16" style="565" customWidth="1"/>
    <col min="7" max="7" width="18" style="565" customWidth="1"/>
    <col min="8" max="8" width="15" style="565" customWidth="1"/>
    <col min="9" max="9" width="18.140625" style="565" customWidth="1"/>
    <col min="10" max="10" width="3" style="565" customWidth="1"/>
    <col min="11" max="11" width="27" style="565" bestFit="1" customWidth="1"/>
    <col min="12" max="12" width="8" style="565" customWidth="1"/>
    <col min="13" max="13" width="27" style="565" customWidth="1"/>
    <col min="14" max="14" width="24" style="565" customWidth="1"/>
    <col min="15" max="15" width="14" style="565" customWidth="1"/>
    <col min="16" max="16" width="18" style="565" customWidth="1"/>
    <col min="17" max="17" width="13" style="565" customWidth="1"/>
  </cols>
  <sheetData>
    <row r="2" spans="2:16" ht="21" customHeight="1" x14ac:dyDescent="0.35">
      <c r="B2" s="112" t="s">
        <v>64</v>
      </c>
    </row>
    <row r="3" spans="2:16" x14ac:dyDescent="0.25">
      <c r="B3" s="113" t="s">
        <v>65</v>
      </c>
    </row>
    <row r="5" spans="2:16" x14ac:dyDescent="0.25">
      <c r="B5" s="663" t="s">
        <v>66</v>
      </c>
      <c r="C5" s="652"/>
      <c r="D5" s="648"/>
      <c r="E5" s="663" t="s">
        <v>67</v>
      </c>
      <c r="F5" s="648"/>
      <c r="G5" s="663" t="s">
        <v>68</v>
      </c>
      <c r="H5" s="648"/>
      <c r="I5" s="663" t="s">
        <v>69</v>
      </c>
      <c r="J5" s="648"/>
      <c r="K5" s="663" t="s">
        <v>70</v>
      </c>
      <c r="L5" s="648"/>
      <c r="M5" s="663" t="s">
        <v>71</v>
      </c>
      <c r="N5" s="648"/>
      <c r="O5" s="663" t="s">
        <v>72</v>
      </c>
      <c r="P5" s="648"/>
    </row>
    <row r="6" spans="2:16" ht="18.75" customHeight="1" x14ac:dyDescent="0.25">
      <c r="B6" s="664">
        <v>174371548</v>
      </c>
      <c r="C6" s="652"/>
      <c r="D6" s="648"/>
      <c r="E6" s="664">
        <v>161455142</v>
      </c>
      <c r="F6" s="648"/>
      <c r="G6" s="664">
        <v>12916408</v>
      </c>
      <c r="H6" s="648"/>
      <c r="I6" s="664">
        <v>109958</v>
      </c>
      <c r="J6" s="648"/>
      <c r="K6" s="666">
        <v>9362</v>
      </c>
      <c r="L6" s="648"/>
      <c r="M6" s="664">
        <v>8718577.4000000004</v>
      </c>
      <c r="N6" s="648"/>
      <c r="O6" s="668" t="s">
        <v>73</v>
      </c>
      <c r="P6" s="648"/>
    </row>
    <row r="9" spans="2:16" x14ac:dyDescent="0.25">
      <c r="B9" s="665" t="s">
        <v>74</v>
      </c>
      <c r="C9" s="642"/>
      <c r="D9" s="642"/>
      <c r="E9" s="642"/>
      <c r="F9" s="642"/>
      <c r="G9" s="642"/>
      <c r="H9" s="642"/>
      <c r="I9" s="642"/>
      <c r="K9" s="665" t="s">
        <v>75</v>
      </c>
      <c r="L9" s="642"/>
      <c r="M9" s="642"/>
      <c r="N9" s="642"/>
      <c r="O9" s="642"/>
      <c r="P9" s="642"/>
    </row>
    <row r="10" spans="2:16" x14ac:dyDescent="0.25">
      <c r="B10" s="114" t="s">
        <v>48</v>
      </c>
      <c r="C10" s="114" t="s">
        <v>76</v>
      </c>
      <c r="D10" s="114" t="s">
        <v>77</v>
      </c>
      <c r="E10" s="114" t="s">
        <v>78</v>
      </c>
      <c r="F10" s="114" t="s">
        <v>79</v>
      </c>
      <c r="G10" s="114" t="s">
        <v>80</v>
      </c>
      <c r="H10" s="114" t="s">
        <v>81</v>
      </c>
      <c r="I10" s="114" t="s">
        <v>82</v>
      </c>
      <c r="K10" s="114" t="s">
        <v>83</v>
      </c>
      <c r="L10" s="114" t="s">
        <v>84</v>
      </c>
      <c r="M10" s="114" t="s">
        <v>78</v>
      </c>
      <c r="N10" s="114" t="s">
        <v>80</v>
      </c>
      <c r="O10" s="114" t="s">
        <v>81</v>
      </c>
      <c r="P10" s="114" t="s">
        <v>85</v>
      </c>
    </row>
    <row r="11" spans="2:16" x14ac:dyDescent="0.25">
      <c r="B11" s="115">
        <v>1</v>
      </c>
      <c r="C11" s="116" t="s">
        <v>86</v>
      </c>
      <c r="D11" s="117">
        <v>411</v>
      </c>
      <c r="E11" s="259">
        <v>6282219</v>
      </c>
      <c r="F11" s="259">
        <v>502578</v>
      </c>
      <c r="G11" s="259">
        <v>6784797</v>
      </c>
      <c r="H11" s="259">
        <v>16508.02189781022</v>
      </c>
      <c r="I11" s="118">
        <v>3.891000038607216E-2</v>
      </c>
      <c r="K11" s="119" t="s">
        <v>87</v>
      </c>
      <c r="L11" s="117">
        <v>2737</v>
      </c>
      <c r="M11" s="259">
        <v>78987200</v>
      </c>
      <c r="N11" s="259">
        <v>85306163</v>
      </c>
      <c r="O11" s="259">
        <v>31167.76141761052</v>
      </c>
      <c r="P11" s="118">
        <v>0.48922065542481741</v>
      </c>
    </row>
    <row r="12" spans="2:16" x14ac:dyDescent="0.25">
      <c r="B12" s="115">
        <v>2</v>
      </c>
      <c r="C12" s="116" t="s">
        <v>88</v>
      </c>
      <c r="D12" s="117">
        <v>374</v>
      </c>
      <c r="E12" s="259">
        <v>5447496</v>
      </c>
      <c r="F12" s="259">
        <v>435805</v>
      </c>
      <c r="G12" s="259">
        <v>5883301</v>
      </c>
      <c r="H12" s="259">
        <v>15730.7513368984</v>
      </c>
      <c r="I12" s="118">
        <v>3.3740028505109099E-2</v>
      </c>
      <c r="K12" s="119" t="s">
        <v>89</v>
      </c>
      <c r="L12" s="117">
        <v>2170</v>
      </c>
      <c r="M12" s="259">
        <v>46528029</v>
      </c>
      <c r="N12" s="259">
        <v>50250270</v>
      </c>
      <c r="O12" s="259">
        <v>23156.806451612902</v>
      </c>
      <c r="P12" s="118">
        <v>0.28817929631501582</v>
      </c>
    </row>
    <row r="13" spans="2:16" x14ac:dyDescent="0.25">
      <c r="B13" s="115">
        <v>3</v>
      </c>
      <c r="C13" s="116" t="s">
        <v>90</v>
      </c>
      <c r="D13" s="117">
        <v>408</v>
      </c>
      <c r="E13" s="259">
        <v>5692967</v>
      </c>
      <c r="F13" s="259">
        <v>455433</v>
      </c>
      <c r="G13" s="259">
        <v>6148400</v>
      </c>
      <c r="H13" s="259">
        <v>15069.607843137261</v>
      </c>
      <c r="I13" s="118">
        <v>3.5260339605403972E-2</v>
      </c>
      <c r="K13" s="119" t="s">
        <v>91</v>
      </c>
      <c r="L13" s="117">
        <v>2196</v>
      </c>
      <c r="M13" s="259">
        <v>15049167</v>
      </c>
      <c r="N13" s="259">
        <v>16253094</v>
      </c>
      <c r="O13" s="259">
        <v>7401.2267759562837</v>
      </c>
      <c r="P13" s="118">
        <v>9.3209552741941593E-2</v>
      </c>
    </row>
    <row r="14" spans="2:16" x14ac:dyDescent="0.25">
      <c r="B14" s="115">
        <v>4</v>
      </c>
      <c r="C14" s="116" t="s">
        <v>92</v>
      </c>
      <c r="D14" s="117">
        <v>400</v>
      </c>
      <c r="E14" s="259">
        <v>5913241</v>
      </c>
      <c r="F14" s="259">
        <v>473060</v>
      </c>
      <c r="G14" s="259">
        <v>6386301</v>
      </c>
      <c r="H14" s="259">
        <v>15965.752500000001</v>
      </c>
      <c r="I14" s="118">
        <v>3.6624673424359343E-2</v>
      </c>
      <c r="K14" s="119" t="s">
        <v>93</v>
      </c>
      <c r="L14" s="117">
        <v>350</v>
      </c>
      <c r="M14" s="259">
        <v>13269959</v>
      </c>
      <c r="N14" s="259">
        <v>14331561</v>
      </c>
      <c r="O14" s="259">
        <v>40947.317142857137</v>
      </c>
      <c r="P14" s="118">
        <v>8.2189790504125129E-2</v>
      </c>
    </row>
    <row r="15" spans="2:16" x14ac:dyDescent="0.25">
      <c r="B15" s="115">
        <v>5</v>
      </c>
      <c r="C15" s="116" t="s">
        <v>94</v>
      </c>
      <c r="D15" s="117">
        <v>519</v>
      </c>
      <c r="E15" s="259">
        <v>10334818</v>
      </c>
      <c r="F15" s="259">
        <v>826782</v>
      </c>
      <c r="G15" s="259">
        <v>11161600</v>
      </c>
      <c r="H15" s="259">
        <v>21505.97302504817</v>
      </c>
      <c r="I15" s="118">
        <v>6.401044280457957E-2</v>
      </c>
      <c r="K15" s="119" t="s">
        <v>95</v>
      </c>
      <c r="L15" s="117">
        <v>1154</v>
      </c>
      <c r="M15" s="259">
        <v>5645737</v>
      </c>
      <c r="N15" s="259">
        <v>6097406</v>
      </c>
      <c r="O15" s="259">
        <v>5283.7140381282497</v>
      </c>
      <c r="P15" s="118">
        <v>3.4967895106373659E-2</v>
      </c>
    </row>
    <row r="16" spans="2:16" x14ac:dyDescent="0.25">
      <c r="B16" s="115">
        <v>6</v>
      </c>
      <c r="C16" s="116" t="s">
        <v>96</v>
      </c>
      <c r="D16" s="117">
        <v>842</v>
      </c>
      <c r="E16" s="259">
        <v>18761854</v>
      </c>
      <c r="F16" s="259">
        <v>1500947</v>
      </c>
      <c r="G16" s="259">
        <v>20262801</v>
      </c>
      <c r="H16" s="259">
        <v>24065.084323040381</v>
      </c>
      <c r="I16" s="118">
        <v>0.1162047434481685</v>
      </c>
      <c r="K16" s="119" t="s">
        <v>97</v>
      </c>
      <c r="L16" s="117">
        <v>388</v>
      </c>
      <c r="M16" s="259">
        <v>1635341</v>
      </c>
      <c r="N16" s="259">
        <v>1766168</v>
      </c>
      <c r="O16" s="259">
        <v>4551.9793814432987</v>
      </c>
      <c r="P16" s="118">
        <v>1.0128762520362549E-2</v>
      </c>
    </row>
    <row r="17" spans="2:17" x14ac:dyDescent="0.25">
      <c r="B17" s="115">
        <v>7</v>
      </c>
      <c r="C17" s="116" t="s">
        <v>98</v>
      </c>
      <c r="D17" s="117">
        <v>349</v>
      </c>
      <c r="E17" s="259">
        <v>5144910</v>
      </c>
      <c r="F17" s="259">
        <v>411590</v>
      </c>
      <c r="G17" s="259">
        <v>5556500</v>
      </c>
      <c r="H17" s="259">
        <v>15921.20343839542</v>
      </c>
      <c r="I17" s="118">
        <v>3.1865863804799173E-2</v>
      </c>
      <c r="K17" s="119" t="s">
        <v>99</v>
      </c>
      <c r="L17" s="117">
        <v>367</v>
      </c>
      <c r="M17" s="259">
        <v>339709</v>
      </c>
      <c r="N17" s="259">
        <v>366886</v>
      </c>
      <c r="O17" s="259">
        <v>999.6893732970027</v>
      </c>
      <c r="P17" s="118">
        <v>2.104047387363907E-3</v>
      </c>
    </row>
    <row r="18" spans="2:17" x14ac:dyDescent="0.25">
      <c r="B18" s="115">
        <v>8</v>
      </c>
      <c r="C18" s="116" t="s">
        <v>100</v>
      </c>
      <c r="D18" s="117">
        <v>402</v>
      </c>
      <c r="E18" s="259">
        <v>5927405</v>
      </c>
      <c r="F18" s="259">
        <v>474199</v>
      </c>
      <c r="G18" s="259">
        <v>6401604</v>
      </c>
      <c r="H18" s="259">
        <v>15924.38805970149</v>
      </c>
      <c r="I18" s="118">
        <v>3.6712434301495102E-2</v>
      </c>
      <c r="K18" s="130" t="s">
        <v>101</v>
      </c>
      <c r="L18" s="120">
        <v>9362</v>
      </c>
      <c r="M18" s="260">
        <v>161455142</v>
      </c>
      <c r="N18" s="260">
        <v>174371548</v>
      </c>
      <c r="O18" s="260">
        <v>18625.459089938049</v>
      </c>
      <c r="P18" s="121">
        <v>1</v>
      </c>
    </row>
    <row r="19" spans="2:17" x14ac:dyDescent="0.25">
      <c r="B19" s="115">
        <v>9</v>
      </c>
      <c r="C19" s="116" t="s">
        <v>102</v>
      </c>
      <c r="D19" s="117">
        <v>401</v>
      </c>
      <c r="E19" s="259">
        <v>6138790</v>
      </c>
      <c r="F19" s="259">
        <v>491108</v>
      </c>
      <c r="G19" s="259">
        <v>6629898</v>
      </c>
      <c r="H19" s="259">
        <v>16533.411471321691</v>
      </c>
      <c r="I19" s="118">
        <v>3.8021673122956963E-2</v>
      </c>
    </row>
    <row r="20" spans="2:17" x14ac:dyDescent="0.25">
      <c r="B20" s="115">
        <v>10</v>
      </c>
      <c r="C20" s="116" t="s">
        <v>103</v>
      </c>
      <c r="D20" s="117">
        <v>418</v>
      </c>
      <c r="E20" s="259">
        <v>6117773</v>
      </c>
      <c r="F20" s="259">
        <v>489425</v>
      </c>
      <c r="G20" s="259">
        <v>6607198</v>
      </c>
      <c r="H20" s="259">
        <v>15806.69377990431</v>
      </c>
      <c r="I20" s="118">
        <v>3.7891491334354613E-2</v>
      </c>
    </row>
    <row r="21" spans="2:17" x14ac:dyDescent="0.25">
      <c r="B21" s="115">
        <v>11</v>
      </c>
      <c r="C21" s="116" t="s">
        <v>104</v>
      </c>
      <c r="D21" s="117">
        <v>390</v>
      </c>
      <c r="E21" s="259">
        <v>5473329</v>
      </c>
      <c r="F21" s="259">
        <v>437870</v>
      </c>
      <c r="G21" s="259">
        <v>5911199</v>
      </c>
      <c r="H21" s="259">
        <v>15156.92051282051</v>
      </c>
      <c r="I21" s="118">
        <v>3.3900020202837222E-2</v>
      </c>
      <c r="K21" s="665" t="s">
        <v>105</v>
      </c>
      <c r="L21" s="642"/>
      <c r="M21" s="642"/>
      <c r="N21" s="642"/>
      <c r="O21" s="642"/>
      <c r="P21" s="642"/>
      <c r="Q21" s="642"/>
    </row>
    <row r="22" spans="2:17" x14ac:dyDescent="0.25">
      <c r="B22" s="115">
        <v>12</v>
      </c>
      <c r="C22" s="116" t="s">
        <v>106</v>
      </c>
      <c r="D22" s="117">
        <v>487</v>
      </c>
      <c r="E22" s="259">
        <v>9342039</v>
      </c>
      <c r="F22" s="259">
        <v>747361</v>
      </c>
      <c r="G22" s="259">
        <v>10089400</v>
      </c>
      <c r="H22" s="259">
        <v>20717.453798767969</v>
      </c>
      <c r="I22" s="118">
        <v>5.7861503873326857E-2</v>
      </c>
      <c r="K22" s="114" t="s">
        <v>107</v>
      </c>
      <c r="L22" s="114" t="s">
        <v>108</v>
      </c>
      <c r="M22" s="114" t="s">
        <v>109</v>
      </c>
      <c r="N22" s="114" t="s">
        <v>110</v>
      </c>
      <c r="O22" s="114" t="s">
        <v>84</v>
      </c>
      <c r="P22" s="114" t="s">
        <v>80</v>
      </c>
      <c r="Q22" s="114" t="s">
        <v>111</v>
      </c>
    </row>
    <row r="23" spans="2:17" x14ac:dyDescent="0.25">
      <c r="B23" s="115">
        <v>13</v>
      </c>
      <c r="C23" s="116" t="s">
        <v>112</v>
      </c>
      <c r="D23" s="117">
        <v>727</v>
      </c>
      <c r="E23" s="259">
        <v>15770930</v>
      </c>
      <c r="F23" s="259">
        <v>1261670</v>
      </c>
      <c r="G23" s="259">
        <v>17032600</v>
      </c>
      <c r="H23" s="259">
        <v>23428.610729023381</v>
      </c>
      <c r="I23" s="118">
        <v>9.7679926543979528E-2</v>
      </c>
      <c r="K23" s="122" t="s">
        <v>113</v>
      </c>
      <c r="L23" s="123">
        <v>119</v>
      </c>
      <c r="M23" s="124" t="s">
        <v>114</v>
      </c>
      <c r="N23" s="124" t="s">
        <v>89</v>
      </c>
      <c r="O23" s="125">
        <v>231</v>
      </c>
      <c r="P23" s="261">
        <v>11088000</v>
      </c>
      <c r="Q23" s="126">
        <v>6.3588355595719084E-2</v>
      </c>
    </row>
    <row r="24" spans="2:17" x14ac:dyDescent="0.25">
      <c r="B24" s="115">
        <v>14</v>
      </c>
      <c r="C24" s="116" t="s">
        <v>115</v>
      </c>
      <c r="D24" s="117">
        <v>310</v>
      </c>
      <c r="E24" s="259">
        <v>4323242</v>
      </c>
      <c r="F24" s="259">
        <v>345858</v>
      </c>
      <c r="G24" s="259">
        <v>4669100</v>
      </c>
      <c r="H24" s="259">
        <v>15061.61290322581</v>
      </c>
      <c r="I24" s="118">
        <v>2.6776730800141771E-2</v>
      </c>
      <c r="K24" s="122" t="s">
        <v>116</v>
      </c>
      <c r="L24" s="123">
        <v>233</v>
      </c>
      <c r="M24" s="124" t="s">
        <v>117</v>
      </c>
      <c r="N24" s="124" t="s">
        <v>89</v>
      </c>
      <c r="O24" s="125">
        <v>462</v>
      </c>
      <c r="P24" s="261">
        <v>9268833</v>
      </c>
      <c r="Q24" s="126">
        <v>5.315565014081311E-2</v>
      </c>
    </row>
    <row r="25" spans="2:17" x14ac:dyDescent="0.25">
      <c r="B25" s="115">
        <v>15</v>
      </c>
      <c r="C25" s="116" t="s">
        <v>118</v>
      </c>
      <c r="D25" s="117">
        <v>420</v>
      </c>
      <c r="E25" s="259">
        <v>6091664</v>
      </c>
      <c r="F25" s="259">
        <v>487336</v>
      </c>
      <c r="G25" s="259">
        <v>6579000</v>
      </c>
      <c r="H25" s="259">
        <v>15664.28571428571</v>
      </c>
      <c r="I25" s="118">
        <v>3.7729779172459947E-2</v>
      </c>
      <c r="K25" s="122" t="s">
        <v>119</v>
      </c>
      <c r="L25" s="123">
        <v>117</v>
      </c>
      <c r="M25" s="124" t="s">
        <v>120</v>
      </c>
      <c r="N25" s="124" t="s">
        <v>87</v>
      </c>
      <c r="O25" s="125">
        <v>143</v>
      </c>
      <c r="P25" s="261">
        <v>6435000</v>
      </c>
      <c r="Q25" s="126">
        <v>3.6903956372515541E-2</v>
      </c>
    </row>
    <row r="26" spans="2:17" x14ac:dyDescent="0.25">
      <c r="B26" s="115">
        <v>16</v>
      </c>
      <c r="C26" s="116" t="s">
        <v>121</v>
      </c>
      <c r="D26" s="117">
        <v>359</v>
      </c>
      <c r="E26" s="259">
        <v>4652685</v>
      </c>
      <c r="F26" s="259">
        <v>372215</v>
      </c>
      <c r="G26" s="259">
        <v>5024900</v>
      </c>
      <c r="H26" s="259">
        <v>13996.93593314763</v>
      </c>
      <c r="I26" s="118">
        <v>2.8817201301671071E-2</v>
      </c>
      <c r="K26" s="116" t="s">
        <v>122</v>
      </c>
      <c r="L26" s="115">
        <v>93</v>
      </c>
      <c r="M26" s="119" t="s">
        <v>123</v>
      </c>
      <c r="N26" s="119" t="s">
        <v>89</v>
      </c>
      <c r="O26" s="117">
        <v>271</v>
      </c>
      <c r="P26" s="259">
        <v>5958334</v>
      </c>
      <c r="Q26" s="118">
        <v>3.4170333797805132E-2</v>
      </c>
    </row>
    <row r="27" spans="2:17" x14ac:dyDescent="0.25">
      <c r="B27" s="115">
        <v>17</v>
      </c>
      <c r="C27" s="116" t="s">
        <v>124</v>
      </c>
      <c r="D27" s="117">
        <v>403</v>
      </c>
      <c r="E27" s="259">
        <v>5916159</v>
      </c>
      <c r="F27" s="259">
        <v>473292</v>
      </c>
      <c r="G27" s="259">
        <v>6389450</v>
      </c>
      <c r="H27" s="259">
        <v>15854.71464019851</v>
      </c>
      <c r="I27" s="118">
        <v>3.6642732563227573E-2</v>
      </c>
      <c r="K27" s="116" t="s">
        <v>125</v>
      </c>
      <c r="L27" s="115">
        <v>118</v>
      </c>
      <c r="M27" s="119" t="s">
        <v>126</v>
      </c>
      <c r="N27" s="119" t="s">
        <v>87</v>
      </c>
      <c r="O27" s="117">
        <v>131</v>
      </c>
      <c r="P27" s="259">
        <v>5895000</v>
      </c>
      <c r="Q27" s="118">
        <v>3.3807120872724028E-2</v>
      </c>
    </row>
    <row r="28" spans="2:17" x14ac:dyDescent="0.25">
      <c r="B28" s="115">
        <v>18</v>
      </c>
      <c r="C28" s="116" t="s">
        <v>127</v>
      </c>
      <c r="D28" s="117">
        <v>380</v>
      </c>
      <c r="E28" s="259">
        <v>5661944</v>
      </c>
      <c r="F28" s="259">
        <v>452956</v>
      </c>
      <c r="G28" s="259">
        <v>6114899</v>
      </c>
      <c r="H28" s="259">
        <v>16091.839473684209</v>
      </c>
      <c r="I28" s="118">
        <v>3.506821537192524E-2</v>
      </c>
      <c r="K28" s="116" t="s">
        <v>128</v>
      </c>
      <c r="L28" s="115">
        <v>113</v>
      </c>
      <c r="M28" s="119" t="s">
        <v>129</v>
      </c>
      <c r="N28" s="119" t="s">
        <v>89</v>
      </c>
      <c r="O28" s="117">
        <v>219</v>
      </c>
      <c r="P28" s="259">
        <v>5256000</v>
      </c>
      <c r="Q28" s="118">
        <v>3.014253219797074E-2</v>
      </c>
    </row>
    <row r="29" spans="2:17" x14ac:dyDescent="0.25">
      <c r="B29" s="115">
        <v>19</v>
      </c>
      <c r="C29" s="116" t="s">
        <v>130</v>
      </c>
      <c r="D29" s="117">
        <v>521</v>
      </c>
      <c r="E29" s="259">
        <v>10599814</v>
      </c>
      <c r="F29" s="259">
        <v>847986</v>
      </c>
      <c r="G29" s="259">
        <v>11447800</v>
      </c>
      <c r="H29" s="259">
        <v>21972.744721689061</v>
      </c>
      <c r="I29" s="118">
        <v>6.565176561946906E-2</v>
      </c>
      <c r="K29" s="116" t="s">
        <v>131</v>
      </c>
      <c r="L29" s="115">
        <v>88</v>
      </c>
      <c r="M29" s="119" t="s">
        <v>132</v>
      </c>
      <c r="N29" s="119" t="s">
        <v>87</v>
      </c>
      <c r="O29" s="117">
        <v>141</v>
      </c>
      <c r="P29" s="259">
        <v>5005500</v>
      </c>
      <c r="Q29" s="118">
        <v>2.8705944618900789E-2</v>
      </c>
    </row>
    <row r="30" spans="2:17" x14ac:dyDescent="0.25">
      <c r="B30" s="115">
        <v>20</v>
      </c>
      <c r="C30" s="116" t="s">
        <v>133</v>
      </c>
      <c r="D30" s="117">
        <v>841</v>
      </c>
      <c r="E30" s="259">
        <v>17861863</v>
      </c>
      <c r="F30" s="259">
        <v>1428937</v>
      </c>
      <c r="G30" s="259">
        <v>19290800</v>
      </c>
      <c r="H30" s="259">
        <v>22937.931034482761</v>
      </c>
      <c r="I30" s="118">
        <v>0.11063043381366321</v>
      </c>
      <c r="K30" s="116" t="s">
        <v>134</v>
      </c>
      <c r="L30" s="115">
        <v>215</v>
      </c>
      <c r="M30" s="119" t="s">
        <v>135</v>
      </c>
      <c r="N30" s="119" t="s">
        <v>87</v>
      </c>
      <c r="O30" s="117">
        <v>120</v>
      </c>
      <c r="P30" s="259">
        <v>4844500</v>
      </c>
      <c r="Q30" s="118">
        <v>2.7782628849518501E-2</v>
      </c>
    </row>
    <row r="31" spans="2:17" x14ac:dyDescent="0.25">
      <c r="B31" s="115">
        <v>21</v>
      </c>
      <c r="C31" s="116" t="s">
        <v>136</v>
      </c>
      <c r="D31" s="117">
        <v>0</v>
      </c>
      <c r="E31" s="259">
        <v>0</v>
      </c>
      <c r="F31" s="259">
        <v>0</v>
      </c>
      <c r="G31" s="259">
        <v>0</v>
      </c>
      <c r="H31" s="259">
        <v>0</v>
      </c>
      <c r="I31" s="118">
        <v>0</v>
      </c>
      <c r="K31" s="116" t="s">
        <v>137</v>
      </c>
      <c r="L31" s="115">
        <v>44</v>
      </c>
      <c r="M31" s="119" t="s">
        <v>138</v>
      </c>
      <c r="N31" s="119" t="s">
        <v>87</v>
      </c>
      <c r="O31" s="117">
        <v>150</v>
      </c>
      <c r="P31" s="259">
        <v>4575000</v>
      </c>
      <c r="Q31" s="118">
        <v>2.623707853990033E-2</v>
      </c>
    </row>
    <row r="32" spans="2:17" x14ac:dyDescent="0.25">
      <c r="B32" s="115">
        <v>22</v>
      </c>
      <c r="C32" s="116" t="s">
        <v>139</v>
      </c>
      <c r="D32" s="117">
        <v>0</v>
      </c>
      <c r="E32" s="259">
        <v>0</v>
      </c>
      <c r="F32" s="259">
        <v>0</v>
      </c>
      <c r="G32" s="259">
        <v>0</v>
      </c>
      <c r="H32" s="259">
        <v>0</v>
      </c>
      <c r="I32" s="118">
        <v>0</v>
      </c>
      <c r="K32" s="116" t="s">
        <v>140</v>
      </c>
      <c r="L32" s="115">
        <v>223</v>
      </c>
      <c r="M32" s="119" t="s">
        <v>141</v>
      </c>
      <c r="N32" s="119" t="s">
        <v>87</v>
      </c>
      <c r="O32" s="117">
        <v>56</v>
      </c>
      <c r="P32" s="259">
        <v>4200000</v>
      </c>
      <c r="Q32" s="118">
        <v>2.4086498331711781E-2</v>
      </c>
    </row>
    <row r="33" spans="2:17" x14ac:dyDescent="0.25">
      <c r="B33" s="115">
        <v>23</v>
      </c>
      <c r="C33" s="116" t="s">
        <v>142</v>
      </c>
      <c r="D33" s="117">
        <v>0</v>
      </c>
      <c r="E33" s="259">
        <v>0</v>
      </c>
      <c r="F33" s="259">
        <v>0</v>
      </c>
      <c r="G33" s="259">
        <v>0</v>
      </c>
      <c r="H33" s="259">
        <v>0</v>
      </c>
      <c r="I33" s="118">
        <v>0</v>
      </c>
      <c r="K33" s="116" t="s">
        <v>143</v>
      </c>
      <c r="L33" s="115">
        <v>109</v>
      </c>
      <c r="M33" s="119" t="s">
        <v>144</v>
      </c>
      <c r="N33" s="119" t="s">
        <v>91</v>
      </c>
      <c r="O33" s="117">
        <v>283</v>
      </c>
      <c r="P33" s="259">
        <v>3962001</v>
      </c>
      <c r="Q33" s="118">
        <v>2.2721602494462E-2</v>
      </c>
    </row>
    <row r="34" spans="2:17" x14ac:dyDescent="0.25">
      <c r="B34" s="115">
        <v>24</v>
      </c>
      <c r="C34" s="116" t="s">
        <v>145</v>
      </c>
      <c r="D34" s="117">
        <v>0</v>
      </c>
      <c r="E34" s="259">
        <v>0</v>
      </c>
      <c r="F34" s="259">
        <v>0</v>
      </c>
      <c r="G34" s="259">
        <v>0</v>
      </c>
      <c r="H34" s="259">
        <v>0</v>
      </c>
      <c r="I34" s="118">
        <v>0</v>
      </c>
      <c r="K34" s="116" t="s">
        <v>146</v>
      </c>
      <c r="L34" s="115">
        <v>87</v>
      </c>
      <c r="M34" s="119" t="s">
        <v>147</v>
      </c>
      <c r="N34" s="119" t="s">
        <v>89</v>
      </c>
      <c r="O34" s="117">
        <v>94</v>
      </c>
      <c r="P34" s="259">
        <v>3807000</v>
      </c>
      <c r="Q34" s="118">
        <v>2.1832690273530179E-2</v>
      </c>
    </row>
    <row r="35" spans="2:17" x14ac:dyDescent="0.25">
      <c r="B35" s="115">
        <v>25</v>
      </c>
      <c r="C35" s="116" t="s">
        <v>148</v>
      </c>
      <c r="D35" s="117">
        <v>0</v>
      </c>
      <c r="E35" s="259">
        <v>0</v>
      </c>
      <c r="F35" s="259">
        <v>0</v>
      </c>
      <c r="G35" s="259">
        <v>0</v>
      </c>
      <c r="H35" s="259">
        <v>0</v>
      </c>
      <c r="I35" s="118">
        <v>0</v>
      </c>
      <c r="K35" s="116" t="s">
        <v>149</v>
      </c>
      <c r="L35" s="115">
        <v>219</v>
      </c>
      <c r="M35" s="119" t="s">
        <v>150</v>
      </c>
      <c r="N35" s="119" t="s">
        <v>87</v>
      </c>
      <c r="O35" s="117">
        <v>50</v>
      </c>
      <c r="P35" s="259">
        <v>3750000</v>
      </c>
      <c r="Q35" s="118">
        <v>2.150580208188552E-2</v>
      </c>
    </row>
    <row r="36" spans="2:17" x14ac:dyDescent="0.25">
      <c r="B36" s="115">
        <v>26</v>
      </c>
      <c r="C36" s="116" t="s">
        <v>151</v>
      </c>
      <c r="D36" s="117">
        <v>0</v>
      </c>
      <c r="E36" s="259">
        <v>0</v>
      </c>
      <c r="F36" s="259">
        <v>0</v>
      </c>
      <c r="G36" s="259">
        <v>0</v>
      </c>
      <c r="H36" s="259">
        <v>0</v>
      </c>
      <c r="I36" s="118">
        <v>0</v>
      </c>
      <c r="K36" s="116" t="s">
        <v>152</v>
      </c>
      <c r="L36" s="115">
        <v>94</v>
      </c>
      <c r="M36" s="119" t="s">
        <v>153</v>
      </c>
      <c r="N36" s="119" t="s">
        <v>89</v>
      </c>
      <c r="O36" s="117">
        <v>165</v>
      </c>
      <c r="P36" s="259">
        <v>3321075</v>
      </c>
      <c r="Q36" s="118">
        <v>1.9045968439759451E-2</v>
      </c>
    </row>
    <row r="37" spans="2:17" x14ac:dyDescent="0.25">
      <c r="B37" s="115">
        <v>27</v>
      </c>
      <c r="C37" s="116" t="s">
        <v>154</v>
      </c>
      <c r="D37" s="117">
        <v>0</v>
      </c>
      <c r="E37" s="259">
        <v>0</v>
      </c>
      <c r="F37" s="259">
        <v>0</v>
      </c>
      <c r="G37" s="259">
        <v>0</v>
      </c>
      <c r="H37" s="259">
        <v>0</v>
      </c>
      <c r="I37" s="118">
        <v>0</v>
      </c>
      <c r="K37" s="116" t="s">
        <v>155</v>
      </c>
      <c r="L37" s="115">
        <v>8</v>
      </c>
      <c r="M37" s="119" t="s">
        <v>156</v>
      </c>
      <c r="N37" s="119" t="s">
        <v>87</v>
      </c>
      <c r="O37" s="117">
        <v>159</v>
      </c>
      <c r="P37" s="259">
        <v>3208857</v>
      </c>
      <c r="Q37" s="118">
        <v>1.840241161361944E-2</v>
      </c>
    </row>
    <row r="38" spans="2:17" x14ac:dyDescent="0.25">
      <c r="B38" s="115">
        <v>28</v>
      </c>
      <c r="C38" s="116" t="s">
        <v>157</v>
      </c>
      <c r="D38" s="117">
        <v>0</v>
      </c>
      <c r="E38" s="259">
        <v>0</v>
      </c>
      <c r="F38" s="259">
        <v>0</v>
      </c>
      <c r="G38" s="259">
        <v>0</v>
      </c>
      <c r="H38" s="259">
        <v>0</v>
      </c>
      <c r="I38" s="118">
        <v>0</v>
      </c>
      <c r="K38" s="116" t="s">
        <v>158</v>
      </c>
      <c r="L38" s="115">
        <v>50</v>
      </c>
      <c r="M38" s="119" t="s">
        <v>159</v>
      </c>
      <c r="N38" s="119" t="s">
        <v>87</v>
      </c>
      <c r="O38" s="117">
        <v>57</v>
      </c>
      <c r="P38" s="259">
        <v>3021000</v>
      </c>
      <c r="Q38" s="118">
        <v>1.732507415716697E-2</v>
      </c>
    </row>
    <row r="39" spans="2:17" x14ac:dyDescent="0.25">
      <c r="B39" s="115">
        <v>29</v>
      </c>
      <c r="C39" s="116" t="s">
        <v>160</v>
      </c>
      <c r="D39" s="117">
        <v>0</v>
      </c>
      <c r="E39" s="259">
        <v>0</v>
      </c>
      <c r="F39" s="259">
        <v>0</v>
      </c>
      <c r="G39" s="259">
        <v>0</v>
      </c>
      <c r="H39" s="259">
        <v>0</v>
      </c>
      <c r="I39" s="118">
        <v>0</v>
      </c>
      <c r="K39" s="116" t="s">
        <v>161</v>
      </c>
      <c r="L39" s="115">
        <v>212</v>
      </c>
      <c r="M39" s="119" t="s">
        <v>162</v>
      </c>
      <c r="N39" s="119" t="s">
        <v>91</v>
      </c>
      <c r="O39" s="117">
        <v>119</v>
      </c>
      <c r="P39" s="259">
        <v>2856000</v>
      </c>
      <c r="Q39" s="118">
        <v>1.6378818865564009E-2</v>
      </c>
    </row>
    <row r="40" spans="2:17" x14ac:dyDescent="0.25">
      <c r="B40" s="115">
        <v>30</v>
      </c>
      <c r="C40" s="116" t="s">
        <v>163</v>
      </c>
      <c r="D40" s="117">
        <v>0</v>
      </c>
      <c r="E40" s="259">
        <v>0</v>
      </c>
      <c r="F40" s="259">
        <v>0</v>
      </c>
      <c r="G40" s="259">
        <v>0</v>
      </c>
      <c r="H40" s="259">
        <v>0</v>
      </c>
      <c r="I40" s="118">
        <v>0</v>
      </c>
      <c r="K40" s="116" t="s">
        <v>164</v>
      </c>
      <c r="L40" s="115">
        <v>104</v>
      </c>
      <c r="M40" s="119" t="s">
        <v>165</v>
      </c>
      <c r="N40" s="119" t="s">
        <v>89</v>
      </c>
      <c r="O40" s="117">
        <v>162</v>
      </c>
      <c r="P40" s="259">
        <v>2796170</v>
      </c>
      <c r="Q40" s="118">
        <v>1.6035700961948219E-2</v>
      </c>
    </row>
    <row r="41" spans="2:17" x14ac:dyDescent="0.25">
      <c r="B41" s="667" t="s">
        <v>166</v>
      </c>
      <c r="C41" s="642"/>
      <c r="D41" s="120">
        <v>9362</v>
      </c>
      <c r="E41" s="260">
        <v>161455142</v>
      </c>
      <c r="F41" s="260">
        <v>12916408</v>
      </c>
      <c r="G41" s="260">
        <v>174371548</v>
      </c>
      <c r="H41" s="260">
        <v>18625.459089938049</v>
      </c>
      <c r="I41" s="121">
        <v>1</v>
      </c>
      <c r="K41" s="116" t="s">
        <v>167</v>
      </c>
      <c r="L41" s="115">
        <v>41</v>
      </c>
      <c r="M41" s="119" t="s">
        <v>168</v>
      </c>
      <c r="N41" s="119" t="s">
        <v>87</v>
      </c>
      <c r="O41" s="117">
        <v>51</v>
      </c>
      <c r="P41" s="259">
        <v>2703000</v>
      </c>
      <c r="Q41" s="118">
        <v>1.550138214062308E-2</v>
      </c>
    </row>
    <row r="42" spans="2:17" x14ac:dyDescent="0.25">
      <c r="B42" s="662" t="s">
        <v>61</v>
      </c>
      <c r="C42" s="648"/>
      <c r="D42" s="127">
        <v>468.1</v>
      </c>
      <c r="E42" s="262">
        <v>8072757.0999999996</v>
      </c>
      <c r="F42" s="262">
        <v>645820.4</v>
      </c>
      <c r="G42" s="262">
        <v>8718577.4000000004</v>
      </c>
      <c r="H42" s="262">
        <v>18625.459089938049</v>
      </c>
      <c r="I42" s="131" t="s">
        <v>44</v>
      </c>
      <c r="K42" s="116" t="s">
        <v>169</v>
      </c>
      <c r="L42" s="115">
        <v>214</v>
      </c>
      <c r="M42" s="119" t="s">
        <v>170</v>
      </c>
      <c r="N42" s="119" t="s">
        <v>87</v>
      </c>
      <c r="O42" s="117">
        <v>65</v>
      </c>
      <c r="P42" s="259">
        <v>2632500</v>
      </c>
      <c r="Q42" s="118">
        <v>1.509707306148363E-2</v>
      </c>
    </row>
    <row r="43" spans="2:17" x14ac:dyDescent="0.25">
      <c r="B43" s="662" t="s">
        <v>62</v>
      </c>
      <c r="C43" s="648"/>
      <c r="D43" s="127">
        <v>842</v>
      </c>
      <c r="E43" s="262">
        <v>18761854</v>
      </c>
      <c r="F43" s="262">
        <v>1500947</v>
      </c>
      <c r="G43" s="262">
        <v>20262801</v>
      </c>
      <c r="H43" s="131" t="s">
        <v>44</v>
      </c>
      <c r="I43" s="131" t="s">
        <v>44</v>
      </c>
      <c r="K43" s="662" t="s">
        <v>171</v>
      </c>
      <c r="L43" s="652"/>
      <c r="M43" s="652"/>
      <c r="N43" s="648"/>
      <c r="O43" s="127">
        <v>3129</v>
      </c>
      <c r="P43" s="262">
        <v>94583770</v>
      </c>
      <c r="Q43" s="128">
        <v>0.54242662340762149</v>
      </c>
    </row>
  </sheetData>
  <mergeCells count="21">
    <mergeCell ref="I6:J6"/>
    <mergeCell ref="O6:P6"/>
    <mergeCell ref="E5:F5"/>
    <mergeCell ref="K5:L5"/>
    <mergeCell ref="M5:N5"/>
    <mergeCell ref="B43:C43"/>
    <mergeCell ref="O5:P5"/>
    <mergeCell ref="B42:C42"/>
    <mergeCell ref="G6:H6"/>
    <mergeCell ref="B6:D6"/>
    <mergeCell ref="B5:D5"/>
    <mergeCell ref="E6:F6"/>
    <mergeCell ref="M6:N6"/>
    <mergeCell ref="K21:Q21"/>
    <mergeCell ref="G5:H5"/>
    <mergeCell ref="K6:L6"/>
    <mergeCell ref="I5:J5"/>
    <mergeCell ref="B9:I9"/>
    <mergeCell ref="K9:P9"/>
    <mergeCell ref="K43:N43"/>
    <mergeCell ref="B41:C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Q312"/>
  <sheetViews>
    <sheetView topLeftCell="F196" zoomScaleNormal="100" workbookViewId="0">
      <selection activeCell="L83" sqref="L83"/>
    </sheetView>
  </sheetViews>
  <sheetFormatPr baseColWidth="10" defaultColWidth="8.7109375" defaultRowHeight="15" x14ac:dyDescent="0.25"/>
  <cols>
    <col min="1" max="1" width="4" style="565" customWidth="1"/>
    <col min="2" max="2" width="8" style="565" customWidth="1"/>
    <col min="3" max="3" width="20" style="565" customWidth="1"/>
    <col min="4" max="4" width="28" style="565" customWidth="1"/>
    <col min="5" max="5" width="38" style="565" customWidth="1"/>
    <col min="6" max="6" width="16.5703125" style="565" customWidth="1"/>
    <col min="7" max="7" width="16" style="565" customWidth="1"/>
    <col min="8" max="8" width="18" style="565" customWidth="1"/>
    <col min="9" max="9" width="8" style="565" customWidth="1"/>
    <col min="10" max="10" width="40.140625" style="565" bestFit="1" customWidth="1"/>
    <col min="11" max="11" width="28" style="565" customWidth="1"/>
    <col min="12" max="12" width="66" style="565" bestFit="1" customWidth="1"/>
    <col min="13" max="13" width="14" style="565" customWidth="1"/>
    <col min="14" max="14" width="15" style="565" customWidth="1"/>
    <col min="15" max="15" width="18" style="565" customWidth="1"/>
    <col min="16" max="16" width="13" style="565" customWidth="1"/>
  </cols>
  <sheetData>
    <row r="2" spans="2:17" ht="27.95" customHeight="1" x14ac:dyDescent="0.25">
      <c r="B2" s="669" t="s">
        <v>172</v>
      </c>
      <c r="C2" s="642"/>
      <c r="D2" s="642"/>
      <c r="E2" s="642"/>
      <c r="F2" s="642"/>
      <c r="G2" s="642"/>
      <c r="H2" s="642"/>
    </row>
    <row r="3" spans="2:17" ht="18" customHeight="1" x14ac:dyDescent="0.25">
      <c r="B3" s="670" t="s">
        <v>173</v>
      </c>
      <c r="C3" s="642"/>
      <c r="D3" s="642"/>
      <c r="E3" s="642"/>
      <c r="F3" s="642"/>
      <c r="G3" s="642"/>
      <c r="H3" s="642"/>
    </row>
    <row r="5" spans="2:17" ht="18" customHeight="1" x14ac:dyDescent="0.25">
      <c r="B5" s="675" t="s">
        <v>174</v>
      </c>
      <c r="C5" s="672"/>
      <c r="D5" s="675" t="s">
        <v>175</v>
      </c>
      <c r="E5" s="672"/>
      <c r="F5" s="568" t="s">
        <v>176</v>
      </c>
      <c r="G5" s="568" t="s">
        <v>177</v>
      </c>
      <c r="H5" s="568" t="s">
        <v>178</v>
      </c>
    </row>
    <row r="6" spans="2:17" ht="24" customHeight="1" x14ac:dyDescent="0.25">
      <c r="B6" s="673">
        <v>50250944.859999999</v>
      </c>
      <c r="C6" s="672"/>
      <c r="D6" s="671">
        <v>2265.065000000001</v>
      </c>
      <c r="E6" s="672"/>
      <c r="F6" s="567">
        <v>22185.21095862591</v>
      </c>
      <c r="G6" s="263">
        <v>133</v>
      </c>
      <c r="H6" s="264">
        <v>0.29509800675344322</v>
      </c>
    </row>
    <row r="8" spans="2:17" x14ac:dyDescent="0.25">
      <c r="B8" s="676" t="s">
        <v>179</v>
      </c>
      <c r="C8" s="642"/>
      <c r="D8" s="642"/>
      <c r="E8" s="642"/>
      <c r="F8" s="642"/>
      <c r="G8" s="642"/>
      <c r="I8" s="674" t="s">
        <v>180</v>
      </c>
      <c r="J8" s="642"/>
      <c r="K8" s="642"/>
      <c r="L8" s="642"/>
      <c r="M8" s="642"/>
      <c r="N8" s="642"/>
      <c r="O8" s="642"/>
      <c r="P8" s="24"/>
      <c r="Q8" s="24"/>
    </row>
    <row r="9" spans="2:17" ht="21.95" customHeight="1" x14ac:dyDescent="0.25">
      <c r="B9" s="6" t="s">
        <v>48</v>
      </c>
      <c r="C9" s="6" t="s">
        <v>181</v>
      </c>
      <c r="D9" s="6" t="s">
        <v>182</v>
      </c>
      <c r="E9" s="6" t="s">
        <v>183</v>
      </c>
      <c r="F9" s="6" t="s">
        <v>184</v>
      </c>
      <c r="G9" s="6" t="s">
        <v>14</v>
      </c>
      <c r="I9" s="26" t="s">
        <v>48</v>
      </c>
      <c r="J9" s="26" t="s">
        <v>185</v>
      </c>
      <c r="K9" s="26" t="s">
        <v>186</v>
      </c>
      <c r="L9" s="26" t="s">
        <v>187</v>
      </c>
      <c r="M9" s="26" t="s">
        <v>188</v>
      </c>
      <c r="N9" s="26" t="s">
        <v>189</v>
      </c>
      <c r="O9" s="26" t="s">
        <v>190</v>
      </c>
      <c r="P9" s="35"/>
      <c r="Q9" s="24"/>
    </row>
    <row r="10" spans="2:17" ht="18" hidden="1" customHeight="1" x14ac:dyDescent="0.25">
      <c r="B10" s="7">
        <v>1</v>
      </c>
      <c r="C10" s="265">
        <v>6130295</v>
      </c>
      <c r="D10" s="8">
        <v>277.27999999999997</v>
      </c>
      <c r="E10" s="265">
        <v>22108.6807559146</v>
      </c>
      <c r="F10" s="266">
        <v>9.0666364864645119E-2</v>
      </c>
      <c r="G10" s="9">
        <v>13</v>
      </c>
      <c r="I10" s="579">
        <v>1</v>
      </c>
      <c r="J10" s="579" t="s">
        <v>191</v>
      </c>
      <c r="K10" s="575" t="s">
        <v>192</v>
      </c>
      <c r="L10" s="592" t="s">
        <v>193</v>
      </c>
      <c r="M10" s="576">
        <v>4.7549999999999999</v>
      </c>
      <c r="N10" s="577">
        <v>7900</v>
      </c>
      <c r="O10" s="577">
        <f>'Detalle Compras Septiembre 2026'!G2</f>
        <v>37565</v>
      </c>
      <c r="P10" s="593"/>
      <c r="Q10" s="24"/>
    </row>
    <row r="11" spans="2:17" ht="18" hidden="1" customHeight="1" x14ac:dyDescent="0.25">
      <c r="B11" s="10">
        <v>2</v>
      </c>
      <c r="C11" s="268">
        <v>528586</v>
      </c>
      <c r="D11" s="11">
        <v>47.234000000000009</v>
      </c>
      <c r="E11" s="268">
        <v>11190.794766481769</v>
      </c>
      <c r="F11" s="269">
        <v>7.8177267388181652E-3</v>
      </c>
      <c r="G11" s="12">
        <v>4</v>
      </c>
      <c r="I11" s="579">
        <v>1</v>
      </c>
      <c r="J11" s="579" t="s">
        <v>191</v>
      </c>
      <c r="K11" s="575" t="s">
        <v>192</v>
      </c>
      <c r="L11" s="592" t="s">
        <v>193</v>
      </c>
      <c r="M11" s="576">
        <v>3.3650000000000002</v>
      </c>
      <c r="N11" s="577">
        <v>8915.2999999999993</v>
      </c>
      <c r="O11" s="577">
        <f>'Detalle Compras Septiembre 2026'!G3</f>
        <v>30000</v>
      </c>
      <c r="P11" s="593"/>
      <c r="Q11" s="24"/>
    </row>
    <row r="12" spans="2:17" ht="18" hidden="1" customHeight="1" x14ac:dyDescent="0.25">
      <c r="B12" s="7">
        <v>3</v>
      </c>
      <c r="C12" s="265">
        <v>1808790</v>
      </c>
      <c r="D12" s="8">
        <v>65.460000000000008</v>
      </c>
      <c r="E12" s="265">
        <v>27631.98900091659</v>
      </c>
      <c r="F12" s="266">
        <v>2.6751798095119642E-2</v>
      </c>
      <c r="G12" s="9">
        <v>9</v>
      </c>
      <c r="I12" s="579">
        <v>1</v>
      </c>
      <c r="J12" s="579" t="s">
        <v>194</v>
      </c>
      <c r="K12" s="575" t="s">
        <v>195</v>
      </c>
      <c r="L12" s="592" t="s">
        <v>196</v>
      </c>
      <c r="M12" s="576">
        <v>20</v>
      </c>
      <c r="N12" s="577">
        <v>16500</v>
      </c>
      <c r="O12" s="577">
        <f>'Detalle Compras Septiembre 2026'!G7</f>
        <v>330000</v>
      </c>
      <c r="P12" s="593"/>
      <c r="Q12" s="24"/>
    </row>
    <row r="13" spans="2:17" ht="18" hidden="1" customHeight="1" x14ac:dyDescent="0.25">
      <c r="B13" s="10">
        <v>4</v>
      </c>
      <c r="C13" s="268">
        <v>2218844</v>
      </c>
      <c r="D13" s="11">
        <v>106.76</v>
      </c>
      <c r="E13" s="268">
        <v>20783.476957662049</v>
      </c>
      <c r="F13" s="269">
        <v>3.281645005366441E-2</v>
      </c>
      <c r="G13" s="12">
        <v>8</v>
      </c>
      <c r="I13" s="579">
        <v>1</v>
      </c>
      <c r="J13" s="579" t="s">
        <v>197</v>
      </c>
      <c r="K13" s="575" t="s">
        <v>198</v>
      </c>
      <c r="L13" s="592" t="s">
        <v>199</v>
      </c>
      <c r="M13" s="576">
        <v>4.58</v>
      </c>
      <c r="N13" s="577">
        <v>18500</v>
      </c>
      <c r="O13" s="577">
        <f>'Detalle Compras Septiembre 2026'!G8</f>
        <v>84730</v>
      </c>
      <c r="P13" s="593"/>
      <c r="Q13" s="24"/>
    </row>
    <row r="14" spans="2:17" ht="18" hidden="1" customHeight="1" x14ac:dyDescent="0.25">
      <c r="B14" s="7">
        <v>5</v>
      </c>
      <c r="C14" s="265">
        <v>7713980</v>
      </c>
      <c r="D14" s="8">
        <v>316.14999999999998</v>
      </c>
      <c r="E14" s="265">
        <v>24399.746955559069</v>
      </c>
      <c r="F14" s="266">
        <v>0.1140888856471956</v>
      </c>
      <c r="G14" s="9">
        <v>9</v>
      </c>
      <c r="I14" s="579">
        <v>1</v>
      </c>
      <c r="J14" s="579" t="s">
        <v>197</v>
      </c>
      <c r="K14" s="575" t="s">
        <v>200</v>
      </c>
      <c r="L14" s="592" t="s">
        <v>201</v>
      </c>
      <c r="M14" s="576">
        <v>15.1</v>
      </c>
      <c r="N14" s="577">
        <v>18500</v>
      </c>
      <c r="O14" s="577">
        <f>'Detalle Compras Septiembre 2026'!G9</f>
        <v>279350</v>
      </c>
      <c r="P14" s="593"/>
      <c r="Q14" s="24"/>
    </row>
    <row r="15" spans="2:17" ht="18" hidden="1" customHeight="1" x14ac:dyDescent="0.25">
      <c r="B15" s="10">
        <v>6</v>
      </c>
      <c r="C15" s="268">
        <v>0</v>
      </c>
      <c r="D15" s="11">
        <v>0</v>
      </c>
      <c r="E15" s="268">
        <v>0</v>
      </c>
      <c r="F15" s="269">
        <v>0</v>
      </c>
      <c r="G15" s="12">
        <v>0</v>
      </c>
      <c r="I15" s="579">
        <v>1</v>
      </c>
      <c r="J15" s="579" t="s">
        <v>202</v>
      </c>
      <c r="K15" s="575" t="s">
        <v>203</v>
      </c>
      <c r="L15" s="592" t="s">
        <v>204</v>
      </c>
      <c r="M15" s="576">
        <v>9.8699999999999992</v>
      </c>
      <c r="N15" s="577">
        <v>55000</v>
      </c>
      <c r="O15" s="577">
        <f>'Detalle Compras Septiembre 2026'!G10</f>
        <v>542850</v>
      </c>
      <c r="P15" s="593"/>
      <c r="Q15" s="24"/>
    </row>
    <row r="16" spans="2:17" ht="18" hidden="1" customHeight="1" x14ac:dyDescent="0.25">
      <c r="B16" s="7">
        <v>7</v>
      </c>
      <c r="C16" s="265">
        <v>2135215.04</v>
      </c>
      <c r="D16" s="8">
        <v>100.00700000000001</v>
      </c>
      <c r="E16" s="265">
        <v>21350.655854090219</v>
      </c>
      <c r="F16" s="266">
        <v>3.1579587259849287E-2</v>
      </c>
      <c r="G16" s="9">
        <v>9</v>
      </c>
      <c r="I16" s="579">
        <v>1</v>
      </c>
      <c r="J16" s="579" t="s">
        <v>202</v>
      </c>
      <c r="K16" s="575" t="s">
        <v>205</v>
      </c>
      <c r="L16" s="592" t="s">
        <v>206</v>
      </c>
      <c r="M16" s="576">
        <v>19.809999999999999</v>
      </c>
      <c r="N16" s="577">
        <v>18000</v>
      </c>
      <c r="O16" s="577">
        <f>'Detalle Compras Septiembre 2026'!G11</f>
        <v>356580</v>
      </c>
      <c r="P16" s="593"/>
      <c r="Q16" s="24"/>
    </row>
    <row r="17" spans="2:17" ht="18" hidden="1" customHeight="1" x14ac:dyDescent="0.25">
      <c r="B17" s="10">
        <v>8</v>
      </c>
      <c r="C17" s="268">
        <v>966050</v>
      </c>
      <c r="D17" s="11">
        <v>67.25</v>
      </c>
      <c r="E17" s="268">
        <v>14365.05576208178</v>
      </c>
      <c r="F17" s="269">
        <v>1.428776947561095E-2</v>
      </c>
      <c r="G17" s="12">
        <v>11</v>
      </c>
      <c r="I17" s="579">
        <v>1</v>
      </c>
      <c r="J17" s="579" t="s">
        <v>207</v>
      </c>
      <c r="K17" s="575" t="s">
        <v>205</v>
      </c>
      <c r="L17" s="592" t="s">
        <v>208</v>
      </c>
      <c r="M17" s="576">
        <v>6</v>
      </c>
      <c r="N17" s="577">
        <v>3666.67</v>
      </c>
      <c r="O17" s="577">
        <f>'Detalle Compras Septiembre 2026'!G17</f>
        <v>22000</v>
      </c>
      <c r="P17" s="593"/>
      <c r="Q17" s="24"/>
    </row>
    <row r="18" spans="2:17" ht="18" customHeight="1" x14ac:dyDescent="0.25">
      <c r="B18" s="7">
        <v>9</v>
      </c>
      <c r="C18" s="265">
        <v>5707282</v>
      </c>
      <c r="D18" s="8">
        <v>325.93999999999988</v>
      </c>
      <c r="E18" s="265">
        <v>17510.222740381669</v>
      </c>
      <c r="F18" s="266">
        <v>8.4410050772013676E-2</v>
      </c>
      <c r="G18" s="9">
        <v>12</v>
      </c>
      <c r="I18" s="579">
        <v>1</v>
      </c>
      <c r="J18" s="579" t="s">
        <v>209</v>
      </c>
      <c r="K18" s="575" t="s">
        <v>210</v>
      </c>
      <c r="L18" s="592" t="s">
        <v>211</v>
      </c>
      <c r="M18" s="576">
        <v>28.6</v>
      </c>
      <c r="N18" s="577">
        <v>14900</v>
      </c>
      <c r="O18" s="577">
        <f>'Detalle Compras Septiembre 2026'!G23</f>
        <v>426140</v>
      </c>
      <c r="P18" s="593"/>
      <c r="Q18" s="24"/>
    </row>
    <row r="19" spans="2:17" ht="18" customHeight="1" x14ac:dyDescent="0.25">
      <c r="B19" s="10">
        <v>10</v>
      </c>
      <c r="C19" s="268">
        <v>1387295</v>
      </c>
      <c r="D19" s="11">
        <v>115.505</v>
      </c>
      <c r="E19" s="268">
        <v>12010.692177827799</v>
      </c>
      <c r="F19" s="269">
        <v>2.0517935049601671E-2</v>
      </c>
      <c r="G19" s="12">
        <v>7</v>
      </c>
      <c r="I19" s="579">
        <v>1</v>
      </c>
      <c r="J19" s="579" t="s">
        <v>209</v>
      </c>
      <c r="K19" s="575" t="s">
        <v>212</v>
      </c>
      <c r="L19" s="592" t="s">
        <v>213</v>
      </c>
      <c r="M19" s="576">
        <v>27.65</v>
      </c>
      <c r="N19" s="577">
        <v>23900</v>
      </c>
      <c r="O19" s="577">
        <f>'Detalle Compras Septiembre 2026'!G24</f>
        <v>660835</v>
      </c>
      <c r="P19" s="593"/>
      <c r="Q19" s="24"/>
    </row>
    <row r="20" spans="2:17" ht="18" customHeight="1" x14ac:dyDescent="0.25">
      <c r="B20" s="7">
        <v>11</v>
      </c>
      <c r="C20" s="265">
        <v>4088560</v>
      </c>
      <c r="D20" s="8">
        <v>68.97</v>
      </c>
      <c r="E20" s="265">
        <v>59280.266782659128</v>
      </c>
      <c r="F20" s="266">
        <v>6.0469336749861713E-2</v>
      </c>
      <c r="G20" s="9">
        <v>9</v>
      </c>
      <c r="I20" s="579">
        <v>1</v>
      </c>
      <c r="J20" s="579" t="s">
        <v>209</v>
      </c>
      <c r="K20" s="575" t="s">
        <v>214</v>
      </c>
      <c r="L20" s="592" t="s">
        <v>215</v>
      </c>
      <c r="M20" s="576">
        <v>28.7</v>
      </c>
      <c r="N20" s="577">
        <v>25900</v>
      </c>
      <c r="O20" s="577">
        <f>'Detalle Compras Septiembre 2026'!G25</f>
        <v>743330</v>
      </c>
      <c r="P20" s="593"/>
      <c r="Q20" s="24"/>
    </row>
    <row r="21" spans="2:17" ht="18" customHeight="1" x14ac:dyDescent="0.25">
      <c r="B21" s="10">
        <v>12</v>
      </c>
      <c r="C21" s="268">
        <v>7776020</v>
      </c>
      <c r="D21" s="11">
        <v>297.35000000000002</v>
      </c>
      <c r="E21" s="268">
        <v>26151.067765259799</v>
      </c>
      <c r="F21" s="269">
        <v>0.1150064501813987</v>
      </c>
      <c r="G21" s="12">
        <v>13</v>
      </c>
      <c r="I21" s="579">
        <v>1</v>
      </c>
      <c r="J21" s="579" t="s">
        <v>209</v>
      </c>
      <c r="K21" s="575" t="s">
        <v>216</v>
      </c>
      <c r="L21" s="575" t="s">
        <v>217</v>
      </c>
      <c r="M21" s="576">
        <v>18.5</v>
      </c>
      <c r="N21" s="577">
        <v>34500</v>
      </c>
      <c r="O21" s="577">
        <f>'Detalle Compras Septiembre 2026'!G26</f>
        <v>638250</v>
      </c>
      <c r="P21" s="593"/>
      <c r="Q21" s="24"/>
    </row>
    <row r="22" spans="2:17" ht="18" customHeight="1" x14ac:dyDescent="0.25">
      <c r="B22" s="7">
        <v>13</v>
      </c>
      <c r="C22" s="265">
        <v>866150.02</v>
      </c>
      <c r="D22" s="8">
        <v>86.9</v>
      </c>
      <c r="E22" s="265">
        <v>9967.2039125431529</v>
      </c>
      <c r="F22" s="266">
        <v>1.2810260149118379E-2</v>
      </c>
      <c r="G22" s="9">
        <v>6</v>
      </c>
      <c r="I22" s="579">
        <v>1</v>
      </c>
      <c r="J22" s="579" t="s">
        <v>218</v>
      </c>
      <c r="K22" s="575" t="s">
        <v>219</v>
      </c>
      <c r="L22" s="592" t="s">
        <v>220</v>
      </c>
      <c r="M22" s="576">
        <v>90.35</v>
      </c>
      <c r="N22" s="577">
        <v>21900</v>
      </c>
      <c r="O22" s="577">
        <f>'Detalle Compras Septiembre 2026'!G27</f>
        <v>1978665</v>
      </c>
      <c r="P22" s="593"/>
      <c r="Q22" s="24"/>
    </row>
    <row r="23" spans="2:17" ht="18" hidden="1" customHeight="1" x14ac:dyDescent="0.25">
      <c r="B23" s="10">
        <v>14</v>
      </c>
      <c r="C23" s="268">
        <v>2403203.7999999998</v>
      </c>
      <c r="D23" s="11">
        <v>112.89400000000001</v>
      </c>
      <c r="E23" s="268">
        <v>21287.258844579868</v>
      </c>
      <c r="F23" s="269">
        <v>3.5543110498744618E-2</v>
      </c>
      <c r="G23" s="12">
        <v>7</v>
      </c>
      <c r="I23" s="594" t="s">
        <v>221</v>
      </c>
      <c r="J23" s="595"/>
      <c r="K23" s="595"/>
      <c r="L23" s="595"/>
      <c r="M23" s="596">
        <f>SUM(M10:M22)</f>
        <v>277.27999999999997</v>
      </c>
      <c r="N23" s="597">
        <f>IF(M23&gt;0, O23/M23, 0)</f>
        <v>22108.6807559146</v>
      </c>
      <c r="O23" s="597">
        <f>SUM(O10:O22)</f>
        <v>6130295</v>
      </c>
      <c r="P23" s="593"/>
      <c r="Q23" s="24"/>
    </row>
    <row r="24" spans="2:17" ht="18" hidden="1" customHeight="1" x14ac:dyDescent="0.25">
      <c r="B24" s="7">
        <v>15</v>
      </c>
      <c r="C24" s="265">
        <v>234700</v>
      </c>
      <c r="D24" s="8">
        <v>2</v>
      </c>
      <c r="E24" s="265">
        <v>117350</v>
      </c>
      <c r="F24" s="266">
        <v>3.4711862697850938E-3</v>
      </c>
      <c r="G24" s="9">
        <v>2</v>
      </c>
      <c r="I24" s="579">
        <v>2</v>
      </c>
      <c r="J24" s="579" t="s">
        <v>222</v>
      </c>
      <c r="K24" s="575" t="s">
        <v>223</v>
      </c>
      <c r="L24" s="575" t="s">
        <v>224</v>
      </c>
      <c r="M24" s="576">
        <v>34.700000000000003</v>
      </c>
      <c r="N24" s="577">
        <v>7500</v>
      </c>
      <c r="O24" s="577">
        <f>'Detalle Compras Septiembre 2026'!G46</f>
        <v>260250</v>
      </c>
      <c r="P24" s="593"/>
      <c r="Q24" s="24"/>
    </row>
    <row r="25" spans="2:17" ht="18" hidden="1" customHeight="1" x14ac:dyDescent="0.25">
      <c r="B25" s="10">
        <v>16</v>
      </c>
      <c r="C25" s="268">
        <v>1322675</v>
      </c>
      <c r="D25" s="11">
        <v>31.905000000000001</v>
      </c>
      <c r="E25" s="268">
        <v>41456.668233819153</v>
      </c>
      <c r="F25" s="269">
        <v>1.9562212609237319E-2</v>
      </c>
      <c r="G25" s="12">
        <v>5</v>
      </c>
      <c r="I25" s="579">
        <v>2</v>
      </c>
      <c r="J25" s="579" t="s">
        <v>225</v>
      </c>
      <c r="K25" s="575" t="s">
        <v>226</v>
      </c>
      <c r="L25" s="592" t="s">
        <v>227</v>
      </c>
      <c r="M25" s="576">
        <v>5</v>
      </c>
      <c r="N25" s="577">
        <v>21500</v>
      </c>
      <c r="O25" s="577">
        <f>'Detalle Compras Septiembre 2026'!G47</f>
        <v>107500</v>
      </c>
      <c r="P25" s="593"/>
      <c r="Q25" s="24"/>
    </row>
    <row r="26" spans="2:17" ht="18" hidden="1" customHeight="1" x14ac:dyDescent="0.25">
      <c r="B26" s="7">
        <v>17</v>
      </c>
      <c r="C26" s="265">
        <v>5398439</v>
      </c>
      <c r="D26" s="8">
        <v>261.17999999999989</v>
      </c>
      <c r="E26" s="265">
        <v>20669.419557393368</v>
      </c>
      <c r="F26" s="266">
        <v>7.9842297976448109E-2</v>
      </c>
      <c r="G26" s="9">
        <v>12</v>
      </c>
      <c r="I26" s="579">
        <v>2</v>
      </c>
      <c r="J26" s="579" t="s">
        <v>228</v>
      </c>
      <c r="K26" s="575" t="s">
        <v>229</v>
      </c>
      <c r="L26" s="592" t="s">
        <v>230</v>
      </c>
      <c r="M26" s="576">
        <v>2.77</v>
      </c>
      <c r="N26" s="577">
        <v>19900</v>
      </c>
      <c r="O26" s="577">
        <f>'Detalle Compras Septiembre 2026'!G51</f>
        <v>55123</v>
      </c>
      <c r="P26" s="593"/>
      <c r="Q26" s="24"/>
    </row>
    <row r="27" spans="2:17" ht="18" hidden="1" customHeight="1" x14ac:dyDescent="0.25">
      <c r="B27" s="10">
        <v>18</v>
      </c>
      <c r="C27" s="268">
        <v>1106000</v>
      </c>
      <c r="D27" s="11">
        <v>65</v>
      </c>
      <c r="E27" s="268">
        <v>17015.384615384621</v>
      </c>
      <c r="F27" s="269">
        <v>1.6357614036567169E-2</v>
      </c>
      <c r="G27" s="12">
        <v>2</v>
      </c>
      <c r="I27" s="579">
        <v>2</v>
      </c>
      <c r="J27" s="579" t="s">
        <v>228</v>
      </c>
      <c r="K27" s="575" t="s">
        <v>229</v>
      </c>
      <c r="L27" s="592" t="s">
        <v>230</v>
      </c>
      <c r="M27" s="576">
        <v>4.7640000000000002</v>
      </c>
      <c r="N27" s="577">
        <v>22190</v>
      </c>
      <c r="O27" s="577">
        <f>'Detalle Compras Septiembre 2026'!G52</f>
        <v>105713</v>
      </c>
      <c r="P27" s="593"/>
      <c r="Q27" s="24"/>
    </row>
    <row r="28" spans="2:17" ht="18" hidden="1" customHeight="1" x14ac:dyDescent="0.25">
      <c r="B28" s="7">
        <v>19</v>
      </c>
      <c r="C28" s="265">
        <v>5243054</v>
      </c>
      <c r="D28" s="8">
        <v>18970.47</v>
      </c>
      <c r="E28" s="265">
        <v>276.37976286301807</v>
      </c>
      <c r="F28" s="266">
        <v>7.7544171523399291E-2</v>
      </c>
      <c r="G28" s="9">
        <v>7</v>
      </c>
      <c r="I28" s="594" t="s">
        <v>231</v>
      </c>
      <c r="J28" s="595"/>
      <c r="K28" s="595"/>
      <c r="L28" s="595"/>
      <c r="M28" s="596">
        <f>SUM(M24:M27)</f>
        <v>47.234000000000009</v>
      </c>
      <c r="N28" s="597">
        <f>IF(M28&gt;0, O28/M28, 0)</f>
        <v>11190.794766481769</v>
      </c>
      <c r="O28" s="597">
        <f>SUM(O24:O27)</f>
        <v>528586</v>
      </c>
      <c r="P28" s="593"/>
      <c r="Q28" s="24"/>
    </row>
    <row r="29" spans="2:17" ht="18" hidden="1" customHeight="1" x14ac:dyDescent="0.25">
      <c r="B29" s="10">
        <v>20</v>
      </c>
      <c r="C29" s="268">
        <v>0</v>
      </c>
      <c r="D29" s="11">
        <v>0</v>
      </c>
      <c r="E29" s="268">
        <v>0</v>
      </c>
      <c r="F29" s="269">
        <v>0</v>
      </c>
      <c r="G29" s="12">
        <v>0</v>
      </c>
      <c r="I29" s="579">
        <v>3</v>
      </c>
      <c r="J29" s="579" t="s">
        <v>232</v>
      </c>
      <c r="K29" s="575" t="s">
        <v>233</v>
      </c>
      <c r="L29" s="592" t="s">
        <v>234</v>
      </c>
      <c r="M29" s="576">
        <v>5.96</v>
      </c>
      <c r="N29" s="577">
        <v>34000</v>
      </c>
      <c r="O29" s="577">
        <f>'Detalle Compras Septiembre 2026'!G80</f>
        <v>202640</v>
      </c>
      <c r="P29" s="593"/>
      <c r="Q29" s="24"/>
    </row>
    <row r="30" spans="2:17" ht="18" hidden="1" customHeight="1" x14ac:dyDescent="0.25">
      <c r="B30" s="7">
        <v>21</v>
      </c>
      <c r="C30" s="265">
        <v>0</v>
      </c>
      <c r="D30" s="8">
        <v>0</v>
      </c>
      <c r="E30" s="265">
        <v>0</v>
      </c>
      <c r="F30" s="266">
        <v>0</v>
      </c>
      <c r="G30" s="9">
        <v>0</v>
      </c>
      <c r="I30" s="579">
        <v>3</v>
      </c>
      <c r="J30" s="579" t="s">
        <v>232</v>
      </c>
      <c r="K30" s="575" t="s">
        <v>235</v>
      </c>
      <c r="L30" s="592" t="s">
        <v>236</v>
      </c>
      <c r="M30" s="576">
        <v>7</v>
      </c>
      <c r="N30" s="577">
        <v>20000</v>
      </c>
      <c r="O30" s="577">
        <f>'Detalle Compras Septiembre 2026'!G81</f>
        <v>140000</v>
      </c>
      <c r="P30" s="593"/>
      <c r="Q30" s="24"/>
    </row>
    <row r="31" spans="2:17" ht="18" hidden="1" customHeight="1" x14ac:dyDescent="0.25">
      <c r="B31" s="10">
        <v>22</v>
      </c>
      <c r="C31" s="268">
        <v>2693444</v>
      </c>
      <c r="D31" s="11">
        <v>140.19399999999999</v>
      </c>
      <c r="E31" s="268">
        <v>19212.263006976049</v>
      </c>
      <c r="F31" s="269">
        <v>3.9835730001001463E-2</v>
      </c>
      <c r="G31" s="12">
        <v>12</v>
      </c>
      <c r="I31" s="579">
        <v>3</v>
      </c>
      <c r="J31" s="579" t="s">
        <v>237</v>
      </c>
      <c r="K31" s="575" t="s">
        <v>226</v>
      </c>
      <c r="L31" s="575" t="s">
        <v>238</v>
      </c>
      <c r="M31" s="576">
        <v>5.8</v>
      </c>
      <c r="N31" s="577">
        <v>22000</v>
      </c>
      <c r="O31" s="577">
        <f>'Detalle Compras Septiembre 2026'!G82</f>
        <v>127600</v>
      </c>
      <c r="P31" s="593"/>
      <c r="Q31" s="24"/>
    </row>
    <row r="32" spans="2:17" ht="18" hidden="1" customHeight="1" x14ac:dyDescent="0.25">
      <c r="B32" s="7">
        <v>23</v>
      </c>
      <c r="C32" s="265">
        <v>3368820</v>
      </c>
      <c r="D32" s="8">
        <v>143.155</v>
      </c>
      <c r="E32" s="265">
        <v>23532.67437393036</v>
      </c>
      <c r="F32" s="266">
        <v>4.9824464121761482E-2</v>
      </c>
      <c r="G32" s="9">
        <v>5</v>
      </c>
      <c r="I32" s="579">
        <v>3</v>
      </c>
      <c r="J32" s="579" t="s">
        <v>237</v>
      </c>
      <c r="K32" s="575" t="s">
        <v>239</v>
      </c>
      <c r="L32" s="592" t="s">
        <v>240</v>
      </c>
      <c r="M32" s="576">
        <v>7.35</v>
      </c>
      <c r="N32" s="577">
        <v>54000</v>
      </c>
      <c r="O32" s="577">
        <f>'Detalle Compras Septiembre 2026'!G83</f>
        <v>396900</v>
      </c>
      <c r="P32" s="593"/>
      <c r="Q32" s="24"/>
    </row>
    <row r="33" spans="1:17" ht="18" hidden="1" customHeight="1" x14ac:dyDescent="0.25">
      <c r="B33" s="10">
        <v>24</v>
      </c>
      <c r="C33" s="268">
        <v>168188</v>
      </c>
      <c r="D33" s="11">
        <v>18.431999999999999</v>
      </c>
      <c r="E33" s="268">
        <v>9124.7829861111095</v>
      </c>
      <c r="F33" s="269">
        <v>2.4874813649024938E-3</v>
      </c>
      <c r="G33" s="12">
        <v>2</v>
      </c>
      <c r="I33" s="579">
        <v>3</v>
      </c>
      <c r="J33" s="579" t="s">
        <v>241</v>
      </c>
      <c r="K33" s="575" t="s">
        <v>233</v>
      </c>
      <c r="L33" s="592" t="s">
        <v>242</v>
      </c>
      <c r="M33" s="576">
        <v>4.05</v>
      </c>
      <c r="N33" s="577">
        <v>33000</v>
      </c>
      <c r="O33" s="577">
        <f>'Detalle Compras Septiembre 2026'!G84</f>
        <v>133650</v>
      </c>
      <c r="P33" s="593"/>
      <c r="Q33" s="24"/>
    </row>
    <row r="34" spans="1:17" ht="18" hidden="1" customHeight="1" x14ac:dyDescent="0.25">
      <c r="B34" s="7">
        <v>25</v>
      </c>
      <c r="C34" s="265">
        <v>2061250</v>
      </c>
      <c r="D34" s="8">
        <v>103.45</v>
      </c>
      <c r="E34" s="265">
        <v>19925.084581923638</v>
      </c>
      <c r="F34" s="266">
        <v>3.0485652742200789E-2</v>
      </c>
      <c r="G34" s="9">
        <v>8</v>
      </c>
      <c r="I34" s="579">
        <v>3</v>
      </c>
      <c r="J34" s="579" t="s">
        <v>241</v>
      </c>
      <c r="K34" s="575" t="s">
        <v>243</v>
      </c>
      <c r="L34" s="592" t="s">
        <v>244</v>
      </c>
      <c r="M34" s="576">
        <v>10.3</v>
      </c>
      <c r="N34" s="577">
        <v>20000</v>
      </c>
      <c r="O34" s="577">
        <f>'Detalle Compras Septiembre 2026'!G85</f>
        <v>206000</v>
      </c>
      <c r="P34" s="593"/>
      <c r="Q34" s="24"/>
    </row>
    <row r="35" spans="1:17" ht="18" hidden="1" customHeight="1" x14ac:dyDescent="0.25">
      <c r="B35" s="10">
        <v>26</v>
      </c>
      <c r="C35" s="268">
        <v>1966882</v>
      </c>
      <c r="D35" s="11">
        <v>17598.63</v>
      </c>
      <c r="E35" s="268">
        <v>111.7633588523652</v>
      </c>
      <c r="F35" s="269">
        <v>2.9089960769865551E-2</v>
      </c>
      <c r="G35" s="12">
        <v>6</v>
      </c>
      <c r="I35" s="579">
        <v>3</v>
      </c>
      <c r="J35" s="579" t="s">
        <v>245</v>
      </c>
      <c r="K35" s="575" t="s">
        <v>246</v>
      </c>
      <c r="L35" s="575" t="s">
        <v>247</v>
      </c>
      <c r="M35" s="576">
        <v>4</v>
      </c>
      <c r="N35" s="577">
        <v>48000</v>
      </c>
      <c r="O35" s="577">
        <f>'Detalle Compras Septiembre 2026'!G92</f>
        <v>192000</v>
      </c>
      <c r="P35" s="593"/>
      <c r="Q35" s="24"/>
    </row>
    <row r="36" spans="1:17" ht="18" hidden="1" customHeight="1" x14ac:dyDescent="0.25">
      <c r="B36" s="7">
        <v>27</v>
      </c>
      <c r="C36" s="265">
        <v>320050</v>
      </c>
      <c r="D36" s="8">
        <v>17.3</v>
      </c>
      <c r="E36" s="265">
        <v>18500</v>
      </c>
      <c r="F36" s="266">
        <v>4.7335030491892586E-3</v>
      </c>
      <c r="G36" s="9">
        <v>1</v>
      </c>
      <c r="I36" s="579">
        <v>3</v>
      </c>
      <c r="J36" s="579" t="s">
        <v>245</v>
      </c>
      <c r="K36" s="575" t="s">
        <v>246</v>
      </c>
      <c r="L36" s="592" t="s">
        <v>248</v>
      </c>
      <c r="M36" s="576">
        <v>1</v>
      </c>
      <c r="N36" s="577">
        <v>46000</v>
      </c>
      <c r="O36" s="577">
        <f>'Detalle Compras Septiembre 2026'!G93</f>
        <v>46000</v>
      </c>
      <c r="P36" s="593"/>
      <c r="Q36" s="24"/>
    </row>
    <row r="37" spans="1:17" ht="18" hidden="1" customHeight="1" x14ac:dyDescent="0.25">
      <c r="B37" s="10">
        <v>28</v>
      </c>
      <c r="C37" s="268">
        <v>0</v>
      </c>
      <c r="D37" s="11">
        <v>0</v>
      </c>
      <c r="E37" s="268">
        <v>0</v>
      </c>
      <c r="F37" s="269">
        <v>0</v>
      </c>
      <c r="G37" s="12">
        <v>0</v>
      </c>
      <c r="I37" s="579">
        <v>3</v>
      </c>
      <c r="J37" s="579" t="s">
        <v>249</v>
      </c>
      <c r="K37" s="575" t="s">
        <v>250</v>
      </c>
      <c r="L37" s="575" t="s">
        <v>251</v>
      </c>
      <c r="M37" s="576">
        <v>20</v>
      </c>
      <c r="N37" s="577">
        <v>18200</v>
      </c>
      <c r="O37" s="577">
        <f>'Detalle Compras Septiembre 2026'!G504</f>
        <v>364000</v>
      </c>
      <c r="P37" s="593"/>
      <c r="Q37" s="24"/>
    </row>
    <row r="38" spans="1:17" ht="18" hidden="1" customHeight="1" x14ac:dyDescent="0.25">
      <c r="B38" s="7">
        <v>29</v>
      </c>
      <c r="C38" s="265">
        <v>0</v>
      </c>
      <c r="D38" s="8">
        <v>0</v>
      </c>
      <c r="E38" s="265">
        <v>0</v>
      </c>
      <c r="F38" s="266">
        <v>0</v>
      </c>
      <c r="G38" s="9">
        <v>0</v>
      </c>
      <c r="I38" s="598" t="s">
        <v>252</v>
      </c>
      <c r="J38" s="598"/>
      <c r="K38" s="594"/>
      <c r="L38" s="599"/>
      <c r="M38" s="596">
        <f>SUM(M29:M37)</f>
        <v>65.460000000000008</v>
      </c>
      <c r="N38" s="597">
        <f>IF(M38&gt;0, O38/M38, 0)</f>
        <v>27631.989000916587</v>
      </c>
      <c r="O38" s="597">
        <f>SUM(O29:O37)</f>
        <v>1808790</v>
      </c>
      <c r="P38" s="593"/>
      <c r="Q38" s="24"/>
    </row>
    <row r="39" spans="1:17" ht="18" hidden="1" customHeight="1" x14ac:dyDescent="0.25">
      <c r="B39" s="10">
        <v>30</v>
      </c>
      <c r="C39" s="268">
        <v>0</v>
      </c>
      <c r="D39" s="11">
        <v>0</v>
      </c>
      <c r="E39" s="268">
        <v>0</v>
      </c>
      <c r="F39" s="269">
        <v>0</v>
      </c>
      <c r="G39" s="12">
        <v>0</v>
      </c>
      <c r="I39" s="579">
        <v>4</v>
      </c>
      <c r="J39" s="579" t="s">
        <v>253</v>
      </c>
      <c r="K39" s="575" t="s">
        <v>254</v>
      </c>
      <c r="L39" s="575" t="s">
        <v>255</v>
      </c>
      <c r="M39" s="576">
        <v>26.5</v>
      </c>
      <c r="N39" s="577">
        <v>19500</v>
      </c>
      <c r="O39" s="577">
        <f>'Detalle Compras Septiembre 2026'!G142</f>
        <v>516750</v>
      </c>
      <c r="P39" s="593"/>
      <c r="Q39" s="24"/>
    </row>
    <row r="40" spans="1:17" ht="18" hidden="1" customHeight="1" thickBot="1" x14ac:dyDescent="0.3">
      <c r="B40" s="22" t="s">
        <v>60</v>
      </c>
      <c r="C40" s="270">
        <v>67613772.859999999</v>
      </c>
      <c r="D40" s="13">
        <v>39339.415999999997</v>
      </c>
      <c r="E40" s="270">
        <v>1718.728434097751</v>
      </c>
      <c r="F40" s="271">
        <v>1</v>
      </c>
      <c r="G40" s="14">
        <v>179</v>
      </c>
      <c r="I40" s="579">
        <v>4</v>
      </c>
      <c r="J40" s="579" t="s">
        <v>256</v>
      </c>
      <c r="K40" s="575" t="s">
        <v>200</v>
      </c>
      <c r="L40" s="592" t="s">
        <v>257</v>
      </c>
      <c r="M40" s="576">
        <v>23.5</v>
      </c>
      <c r="N40" s="577">
        <v>18500</v>
      </c>
      <c r="O40" s="577">
        <f>'Detalle Compras Septiembre 2026'!G143</f>
        <v>434750</v>
      </c>
      <c r="P40" s="593"/>
      <c r="Q40" s="24"/>
    </row>
    <row r="41" spans="1:17" ht="18" hidden="1" customHeight="1" thickTop="1" x14ac:dyDescent="0.25">
      <c r="I41" s="579">
        <v>4</v>
      </c>
      <c r="J41" s="579" t="s">
        <v>258</v>
      </c>
      <c r="K41" s="575" t="s">
        <v>259</v>
      </c>
      <c r="L41" s="592" t="s">
        <v>260</v>
      </c>
      <c r="M41" s="576">
        <v>10</v>
      </c>
      <c r="N41" s="577">
        <v>10000</v>
      </c>
      <c r="O41" s="577">
        <f>'Detalle Compras Septiembre 2026'!G144</f>
        <v>100000</v>
      </c>
      <c r="P41" s="593"/>
      <c r="Q41" s="24"/>
    </row>
    <row r="42" spans="1:17" ht="20.100000000000001" hidden="1" customHeight="1" x14ac:dyDescent="0.25">
      <c r="I42" s="579">
        <v>4</v>
      </c>
      <c r="J42" s="579" t="s">
        <v>261</v>
      </c>
      <c r="K42" s="575" t="s">
        <v>262</v>
      </c>
      <c r="L42" s="575" t="s">
        <v>263</v>
      </c>
      <c r="M42" s="576">
        <v>3.0950000000000002</v>
      </c>
      <c r="N42" s="577">
        <v>13980</v>
      </c>
      <c r="O42" s="577">
        <f>'Detalle Compras Septiembre 2026'!G147</f>
        <v>43269</v>
      </c>
      <c r="P42" s="593"/>
      <c r="Q42" s="24"/>
    </row>
    <row r="43" spans="1:17" hidden="1" x14ac:dyDescent="0.25">
      <c r="A43" s="24"/>
      <c r="B43" s="24"/>
      <c r="C43" s="24"/>
      <c r="D43" s="24"/>
      <c r="E43" s="24"/>
      <c r="F43" s="24"/>
      <c r="G43" s="24"/>
      <c r="H43" s="24"/>
      <c r="I43" s="579">
        <v>4</v>
      </c>
      <c r="J43" s="579" t="s">
        <v>264</v>
      </c>
      <c r="K43" s="575" t="s">
        <v>265</v>
      </c>
      <c r="L43" s="575" t="s">
        <v>266</v>
      </c>
      <c r="M43" s="576">
        <v>20.74</v>
      </c>
      <c r="N43" s="577">
        <v>18000</v>
      </c>
      <c r="O43" s="577">
        <f>'Detalle Compras Septiembre 2026'!G529</f>
        <v>373320</v>
      </c>
      <c r="P43" s="600"/>
      <c r="Q43" s="24"/>
    </row>
    <row r="44" spans="1:17" hidden="1" x14ac:dyDescent="0.25">
      <c r="A44" s="24"/>
      <c r="B44" s="24"/>
      <c r="C44" s="24"/>
      <c r="D44" s="24"/>
      <c r="E44" s="24"/>
      <c r="F44" s="24"/>
      <c r="G44" s="24"/>
      <c r="H44" s="24"/>
      <c r="I44" s="579">
        <v>4</v>
      </c>
      <c r="J44" s="579" t="s">
        <v>264</v>
      </c>
      <c r="K44" s="575" t="s">
        <v>267</v>
      </c>
      <c r="L44" s="575" t="s">
        <v>268</v>
      </c>
      <c r="M44" s="576">
        <v>6.7649999999999997</v>
      </c>
      <c r="N44" s="577">
        <v>55000</v>
      </c>
      <c r="O44" s="577">
        <f>'Detalle Compras Septiembre 2026'!G530</f>
        <v>372075</v>
      </c>
      <c r="P44" s="600"/>
      <c r="Q44" s="24"/>
    </row>
    <row r="45" spans="1:17" ht="15.75" hidden="1" customHeight="1" x14ac:dyDescent="0.25">
      <c r="A45" s="24"/>
      <c r="B45" s="36"/>
      <c r="C45" s="24"/>
      <c r="D45" s="24"/>
      <c r="E45" s="24"/>
      <c r="F45" s="24"/>
      <c r="G45" s="24"/>
      <c r="H45" s="24"/>
      <c r="I45" s="579">
        <v>4</v>
      </c>
      <c r="J45" s="579" t="s">
        <v>264</v>
      </c>
      <c r="K45" s="575" t="s">
        <v>269</v>
      </c>
      <c r="L45" s="575" t="s">
        <v>270</v>
      </c>
      <c r="M45" s="576">
        <v>9.16</v>
      </c>
      <c r="N45" s="577">
        <v>23000</v>
      </c>
      <c r="O45" s="577">
        <f>'Detalle Compras Septiembre 2026'!G531</f>
        <v>210680</v>
      </c>
      <c r="P45" s="600"/>
      <c r="Q45" s="24"/>
    </row>
    <row r="46" spans="1:17" hidden="1" x14ac:dyDescent="0.25">
      <c r="A46" s="24"/>
      <c r="B46" s="25"/>
      <c r="C46" s="24"/>
      <c r="D46" s="24"/>
      <c r="E46" s="24"/>
      <c r="F46" s="24"/>
      <c r="G46" s="24"/>
      <c r="H46" s="24"/>
      <c r="I46" s="579">
        <v>4</v>
      </c>
      <c r="J46" s="579" t="s">
        <v>264</v>
      </c>
      <c r="K46" s="575" t="s">
        <v>271</v>
      </c>
      <c r="L46" s="575" t="s">
        <v>272</v>
      </c>
      <c r="M46" s="576">
        <v>7</v>
      </c>
      <c r="N46" s="577">
        <v>24000</v>
      </c>
      <c r="O46" s="577">
        <f>'Detalle Compras Septiembre 2026'!G532</f>
        <v>168000</v>
      </c>
      <c r="P46" s="600"/>
      <c r="Q46" s="24"/>
    </row>
    <row r="47" spans="1:17" hidden="1" x14ac:dyDescent="0.25">
      <c r="A47" s="24"/>
      <c r="B47" s="24"/>
      <c r="C47" s="24"/>
      <c r="D47" s="24"/>
      <c r="E47" s="24"/>
      <c r="F47" s="24"/>
      <c r="G47" s="24"/>
      <c r="H47" s="24"/>
      <c r="I47" s="598" t="s">
        <v>273</v>
      </c>
      <c r="J47" s="598"/>
      <c r="K47" s="594"/>
      <c r="L47" s="594"/>
      <c r="M47" s="596">
        <f>SUM(M39:M46)</f>
        <v>106.75999999999999</v>
      </c>
      <c r="N47" s="597">
        <f>IF(M47&gt;0, O47/M47, 0)</f>
        <v>20783.476957662049</v>
      </c>
      <c r="O47" s="597">
        <f>SUM(O39:O46)</f>
        <v>2218844</v>
      </c>
      <c r="P47" s="600"/>
      <c r="Q47" s="24"/>
    </row>
    <row r="48" spans="1:17" x14ac:dyDescent="0.25">
      <c r="A48" s="24"/>
      <c r="B48" s="37"/>
      <c r="C48" s="37"/>
      <c r="D48" s="37"/>
      <c r="E48" s="37"/>
      <c r="F48" s="37"/>
      <c r="G48" s="37"/>
      <c r="H48" s="37"/>
      <c r="I48" s="579">
        <v>5</v>
      </c>
      <c r="J48" s="579" t="s">
        <v>274</v>
      </c>
      <c r="K48" s="575" t="s">
        <v>275</v>
      </c>
      <c r="L48" s="575" t="s">
        <v>276</v>
      </c>
      <c r="M48" s="576">
        <v>19.7</v>
      </c>
      <c r="N48" s="577">
        <v>22900</v>
      </c>
      <c r="O48" s="577">
        <f>'Detalle Compras Septiembre 2026'!G149</f>
        <v>451130</v>
      </c>
      <c r="P48" s="600"/>
      <c r="Q48" s="24"/>
    </row>
    <row r="49" spans="1:17" x14ac:dyDescent="0.25">
      <c r="A49" s="24"/>
      <c r="B49" s="38"/>
      <c r="C49" s="38"/>
      <c r="D49" s="39"/>
      <c r="E49" s="39"/>
      <c r="F49" s="40"/>
      <c r="G49" s="272"/>
      <c r="H49" s="272"/>
      <c r="I49" s="579">
        <v>5</v>
      </c>
      <c r="J49" s="579" t="s">
        <v>274</v>
      </c>
      <c r="K49" s="575" t="s">
        <v>277</v>
      </c>
      <c r="L49" s="575" t="s">
        <v>278</v>
      </c>
      <c r="M49" s="576">
        <v>26.1</v>
      </c>
      <c r="N49" s="577">
        <v>18500</v>
      </c>
      <c r="O49" s="577">
        <f>'Detalle Compras Septiembre 2026'!G150</f>
        <v>482850</v>
      </c>
      <c r="P49" s="600"/>
      <c r="Q49" s="24"/>
    </row>
    <row r="50" spans="1:17" x14ac:dyDescent="0.25">
      <c r="A50" s="24"/>
      <c r="B50" s="38"/>
      <c r="C50" s="38"/>
      <c r="D50" s="39"/>
      <c r="E50" s="39"/>
      <c r="F50" s="40"/>
      <c r="G50" s="272"/>
      <c r="H50" s="272"/>
      <c r="I50" s="579">
        <v>5</v>
      </c>
      <c r="J50" s="579" t="s">
        <v>274</v>
      </c>
      <c r="K50" s="575" t="s">
        <v>279</v>
      </c>
      <c r="L50" s="575" t="s">
        <v>280</v>
      </c>
      <c r="M50" s="576">
        <v>30.66</v>
      </c>
      <c r="N50" s="577">
        <v>18900</v>
      </c>
      <c r="O50" s="577">
        <f>'Detalle Compras Septiembre 2026'!G151</f>
        <v>579474</v>
      </c>
      <c r="P50" s="600"/>
      <c r="Q50" s="24"/>
    </row>
    <row r="51" spans="1:17" x14ac:dyDescent="0.25">
      <c r="A51" s="24"/>
      <c r="B51" s="38"/>
      <c r="C51" s="38"/>
      <c r="D51" s="39"/>
      <c r="E51" s="39"/>
      <c r="F51" s="40"/>
      <c r="G51" s="272"/>
      <c r="H51" s="272"/>
      <c r="I51" s="579">
        <v>5</v>
      </c>
      <c r="J51" s="579" t="s">
        <v>274</v>
      </c>
      <c r="K51" s="575" t="s">
        <v>281</v>
      </c>
      <c r="L51" s="575" t="s">
        <v>282</v>
      </c>
      <c r="M51" s="576">
        <v>21.55</v>
      </c>
      <c r="N51" s="577">
        <v>42000</v>
      </c>
      <c r="O51" s="577">
        <f>'Detalle Compras Septiembre 2026'!G152</f>
        <v>905100</v>
      </c>
      <c r="P51" s="600"/>
      <c r="Q51" s="24"/>
    </row>
    <row r="52" spans="1:17" x14ac:dyDescent="0.25">
      <c r="A52" s="24"/>
      <c r="B52" s="38"/>
      <c r="C52" s="38"/>
      <c r="D52" s="39"/>
      <c r="E52" s="39"/>
      <c r="F52" s="40"/>
      <c r="G52" s="272"/>
      <c r="H52" s="272"/>
      <c r="I52" s="579">
        <v>5</v>
      </c>
      <c r="J52" s="579" t="s">
        <v>274</v>
      </c>
      <c r="K52" s="575" t="s">
        <v>283</v>
      </c>
      <c r="L52" s="575" t="s">
        <v>284</v>
      </c>
      <c r="M52" s="576">
        <v>18</v>
      </c>
      <c r="N52" s="577">
        <v>44000</v>
      </c>
      <c r="O52" s="577">
        <f>'Detalle Compras Septiembre 2026'!G153</f>
        <v>792000</v>
      </c>
      <c r="P52" s="600"/>
      <c r="Q52" s="24"/>
    </row>
    <row r="53" spans="1:17" x14ac:dyDescent="0.25">
      <c r="A53" s="24"/>
      <c r="B53" s="38"/>
      <c r="C53" s="38"/>
      <c r="D53" s="39"/>
      <c r="E53" s="39"/>
      <c r="F53" s="40"/>
      <c r="G53" s="272"/>
      <c r="H53" s="272"/>
      <c r="I53" s="579">
        <v>5</v>
      </c>
      <c r="J53" s="579" t="s">
        <v>274</v>
      </c>
      <c r="K53" s="575" t="s">
        <v>214</v>
      </c>
      <c r="L53" s="575" t="s">
        <v>285</v>
      </c>
      <c r="M53" s="576">
        <v>20.239999999999998</v>
      </c>
      <c r="N53" s="577">
        <v>25900</v>
      </c>
      <c r="O53" s="577">
        <f>'Detalle Compras Septiembre 2026'!G154</f>
        <v>524216</v>
      </c>
      <c r="P53" s="600"/>
      <c r="Q53" s="24"/>
    </row>
    <row r="54" spans="1:17" x14ac:dyDescent="0.25">
      <c r="A54" s="24"/>
      <c r="B54" s="38"/>
      <c r="C54" s="38"/>
      <c r="D54" s="39"/>
      <c r="E54" s="39"/>
      <c r="F54" s="40"/>
      <c r="G54" s="272"/>
      <c r="H54" s="272"/>
      <c r="I54" s="579">
        <v>5</v>
      </c>
      <c r="J54" s="579" t="s">
        <v>274</v>
      </c>
      <c r="K54" s="575" t="s">
        <v>216</v>
      </c>
      <c r="L54" s="575" t="s">
        <v>286</v>
      </c>
      <c r="M54" s="576">
        <v>9</v>
      </c>
      <c r="N54" s="577">
        <v>34500</v>
      </c>
      <c r="O54" s="577">
        <f>'Detalle Compras Septiembre 2026'!G155</f>
        <v>310500</v>
      </c>
      <c r="P54" s="600"/>
      <c r="Q54" s="24"/>
    </row>
    <row r="55" spans="1:17" x14ac:dyDescent="0.25">
      <c r="A55" s="24"/>
      <c r="B55" s="38"/>
      <c r="C55" s="38"/>
      <c r="D55" s="39"/>
      <c r="E55" s="39"/>
      <c r="F55" s="40"/>
      <c r="G55" s="272"/>
      <c r="H55" s="272"/>
      <c r="I55" s="579">
        <v>5</v>
      </c>
      <c r="J55" s="579" t="s">
        <v>274</v>
      </c>
      <c r="K55" s="575" t="s">
        <v>287</v>
      </c>
      <c r="L55" s="575" t="s">
        <v>288</v>
      </c>
      <c r="M55" s="576">
        <v>150.9</v>
      </c>
      <c r="N55" s="577">
        <v>21900</v>
      </c>
      <c r="O55" s="577">
        <f>'Detalle Compras Septiembre 2026'!G156</f>
        <v>3304710</v>
      </c>
      <c r="P55" s="600"/>
      <c r="Q55" s="24"/>
    </row>
    <row r="56" spans="1:17" hidden="1" x14ac:dyDescent="0.25">
      <c r="A56" s="24"/>
      <c r="B56" s="38"/>
      <c r="C56" s="38"/>
      <c r="D56" s="39"/>
      <c r="E56" s="39"/>
      <c r="F56" s="40"/>
      <c r="G56" s="272"/>
      <c r="H56" s="272"/>
      <c r="I56" s="579">
        <v>5</v>
      </c>
      <c r="J56" s="579" t="s">
        <v>289</v>
      </c>
      <c r="K56" s="575" t="s">
        <v>250</v>
      </c>
      <c r="L56" s="575" t="s">
        <v>251</v>
      </c>
      <c r="M56" s="576">
        <v>20</v>
      </c>
      <c r="N56" s="577">
        <v>18200</v>
      </c>
      <c r="O56" s="577">
        <f>'Detalle Compras Septiembre 2026'!G505</f>
        <v>364000</v>
      </c>
      <c r="P56" s="600"/>
      <c r="Q56" s="24"/>
    </row>
    <row r="57" spans="1:17" hidden="1" x14ac:dyDescent="0.25">
      <c r="A57" s="24"/>
      <c r="B57" s="38"/>
      <c r="C57" s="38"/>
      <c r="D57" s="39"/>
      <c r="E57" s="39"/>
      <c r="F57" s="40"/>
      <c r="G57" s="272"/>
      <c r="H57" s="272"/>
      <c r="I57" s="598" t="s">
        <v>290</v>
      </c>
      <c r="J57" s="598"/>
      <c r="K57" s="594"/>
      <c r="L57" s="594"/>
      <c r="M57" s="596">
        <f>SUM(M48:M56)</f>
        <v>316.14999999999998</v>
      </c>
      <c r="N57" s="597">
        <f>IF(M57&gt;0, O57/M57, 0)</f>
        <v>24399.746955559072</v>
      </c>
      <c r="O57" s="597">
        <f>SUM(O48:O56)</f>
        <v>7713980</v>
      </c>
      <c r="P57" s="600"/>
      <c r="Q57" s="24"/>
    </row>
    <row r="58" spans="1:17" hidden="1" x14ac:dyDescent="0.25">
      <c r="A58" s="24"/>
      <c r="B58" s="38"/>
      <c r="C58" s="38"/>
      <c r="D58" s="39"/>
      <c r="E58" s="39"/>
      <c r="F58" s="40"/>
      <c r="G58" s="272"/>
      <c r="H58" s="272"/>
      <c r="I58" s="579">
        <v>7</v>
      </c>
      <c r="J58" s="579" t="s">
        <v>291</v>
      </c>
      <c r="K58" s="575" t="s">
        <v>292</v>
      </c>
      <c r="L58" s="575" t="s">
        <v>293</v>
      </c>
      <c r="M58" s="576">
        <v>3.32</v>
      </c>
      <c r="N58" s="577">
        <v>8974.59</v>
      </c>
      <c r="O58" s="577">
        <f>'Detalle Compras Septiembre 2026'!G180</f>
        <v>29795.64</v>
      </c>
      <c r="P58" s="600"/>
      <c r="Q58" s="24"/>
    </row>
    <row r="59" spans="1:17" hidden="1" x14ac:dyDescent="0.25">
      <c r="A59" s="24"/>
      <c r="B59" s="38"/>
      <c r="C59" s="38"/>
      <c r="D59" s="39"/>
      <c r="E59" s="39"/>
      <c r="F59" s="40"/>
      <c r="G59" s="272"/>
      <c r="H59" s="272"/>
      <c r="I59" s="579">
        <v>7</v>
      </c>
      <c r="J59" s="579" t="s">
        <v>291</v>
      </c>
      <c r="K59" s="575" t="s">
        <v>192</v>
      </c>
      <c r="L59" s="575" t="s">
        <v>294</v>
      </c>
      <c r="M59" s="576">
        <v>3.93</v>
      </c>
      <c r="N59" s="577">
        <v>7984.07</v>
      </c>
      <c r="O59" s="577">
        <f>'Detalle Compras Septiembre 2026'!G181</f>
        <v>31377.4</v>
      </c>
      <c r="P59" s="600"/>
      <c r="Q59" s="24"/>
    </row>
    <row r="60" spans="1:17" hidden="1" x14ac:dyDescent="0.25">
      <c r="A60" s="24"/>
      <c r="B60" s="41"/>
      <c r="C60" s="24"/>
      <c r="D60" s="24"/>
      <c r="E60" s="24"/>
      <c r="F60" s="42"/>
      <c r="G60" s="273"/>
      <c r="H60" s="273"/>
      <c r="I60" s="579">
        <v>7</v>
      </c>
      <c r="J60" s="579" t="s">
        <v>295</v>
      </c>
      <c r="K60" s="575" t="s">
        <v>296</v>
      </c>
      <c r="L60" s="575" t="s">
        <v>297</v>
      </c>
      <c r="M60" s="576">
        <v>38.6</v>
      </c>
      <c r="N60" s="577">
        <v>11500</v>
      </c>
      <c r="O60" s="577">
        <f>'Detalle Compras Septiembre 2026'!G182</f>
        <v>443900</v>
      </c>
      <c r="P60" s="600"/>
      <c r="Q60" s="24"/>
    </row>
    <row r="61" spans="1:17" hidden="1" x14ac:dyDescent="0.25">
      <c r="A61" s="24"/>
      <c r="B61" s="38"/>
      <c r="C61" s="38"/>
      <c r="D61" s="39"/>
      <c r="E61" s="39"/>
      <c r="F61" s="40"/>
      <c r="G61" s="272"/>
      <c r="H61" s="272"/>
      <c r="I61" s="579">
        <v>7</v>
      </c>
      <c r="J61" s="579" t="s">
        <v>298</v>
      </c>
      <c r="K61" s="575" t="s">
        <v>259</v>
      </c>
      <c r="L61" s="575" t="s">
        <v>299</v>
      </c>
      <c r="M61" s="576">
        <v>1</v>
      </c>
      <c r="N61" s="577">
        <v>130000</v>
      </c>
      <c r="O61" s="577">
        <f>'Detalle Compras Septiembre 2026'!G183</f>
        <v>130000</v>
      </c>
      <c r="P61" s="600"/>
      <c r="Q61" s="24"/>
    </row>
    <row r="62" spans="1:17" x14ac:dyDescent="0.25">
      <c r="A62" s="24"/>
      <c r="B62" s="38"/>
      <c r="C62" s="38"/>
      <c r="D62" s="39"/>
      <c r="E62" s="39"/>
      <c r="F62" s="40"/>
      <c r="G62" s="272"/>
      <c r="H62" s="272"/>
      <c r="I62" s="579">
        <v>7</v>
      </c>
      <c r="J62" s="579" t="s">
        <v>300</v>
      </c>
      <c r="K62" s="575" t="s">
        <v>301</v>
      </c>
      <c r="L62" s="575" t="s">
        <v>302</v>
      </c>
      <c r="M62" s="576">
        <v>5.5919999999999996</v>
      </c>
      <c r="N62" s="577">
        <v>26900</v>
      </c>
      <c r="O62" s="577">
        <f>'Detalle Compras Septiembre 2026'!G186</f>
        <v>150425</v>
      </c>
      <c r="P62" s="600"/>
      <c r="Q62" s="24"/>
    </row>
    <row r="63" spans="1:17" x14ac:dyDescent="0.25">
      <c r="A63" s="24"/>
      <c r="B63" s="41"/>
      <c r="C63" s="24"/>
      <c r="D63" s="24"/>
      <c r="E63" s="24"/>
      <c r="F63" s="42"/>
      <c r="G63" s="273"/>
      <c r="H63" s="273"/>
      <c r="I63" s="579">
        <v>7</v>
      </c>
      <c r="J63" s="579" t="s">
        <v>300</v>
      </c>
      <c r="K63" s="575" t="s">
        <v>214</v>
      </c>
      <c r="L63" s="575" t="s">
        <v>303</v>
      </c>
      <c r="M63" s="576">
        <v>21.61</v>
      </c>
      <c r="N63" s="577">
        <v>25900</v>
      </c>
      <c r="O63" s="577">
        <f>'Detalle Compras Septiembre 2026'!G187</f>
        <v>559699</v>
      </c>
      <c r="P63" s="600"/>
      <c r="Q63" s="24"/>
    </row>
    <row r="64" spans="1:17" x14ac:dyDescent="0.25">
      <c r="A64" s="24"/>
      <c r="B64" s="38"/>
      <c r="C64" s="38"/>
      <c r="D64" s="39"/>
      <c r="E64" s="39"/>
      <c r="F64" s="40"/>
      <c r="G64" s="272"/>
      <c r="H64" s="272"/>
      <c r="I64" s="579">
        <v>7</v>
      </c>
      <c r="J64" s="579" t="s">
        <v>300</v>
      </c>
      <c r="K64" s="575" t="s">
        <v>216</v>
      </c>
      <c r="L64" s="575" t="s">
        <v>304</v>
      </c>
      <c r="M64" s="576">
        <v>20.565000000000001</v>
      </c>
      <c r="N64" s="577">
        <v>34500</v>
      </c>
      <c r="O64" s="577">
        <f>'Detalle Compras Septiembre 2026'!G188</f>
        <v>709493</v>
      </c>
      <c r="P64" s="600"/>
      <c r="Q64" s="24"/>
    </row>
    <row r="65" spans="1:17" hidden="1" x14ac:dyDescent="0.25">
      <c r="A65" s="24"/>
      <c r="B65" s="38"/>
      <c r="C65" s="38"/>
      <c r="D65" s="39"/>
      <c r="E65" s="39"/>
      <c r="F65" s="40"/>
      <c r="G65" s="272"/>
      <c r="H65" s="272"/>
      <c r="I65" s="579">
        <v>7</v>
      </c>
      <c r="J65" s="579" t="s">
        <v>305</v>
      </c>
      <c r="K65" s="575" t="s">
        <v>229</v>
      </c>
      <c r="L65" s="575" t="s">
        <v>306</v>
      </c>
      <c r="M65" s="576">
        <v>3.39</v>
      </c>
      <c r="N65" s="577">
        <v>17500</v>
      </c>
      <c r="O65" s="577">
        <f>'Detalle Compras Septiembre 2026'!G197</f>
        <v>59325</v>
      </c>
      <c r="P65" s="600"/>
      <c r="Q65" s="24"/>
    </row>
    <row r="66" spans="1:17" hidden="1" x14ac:dyDescent="0.25">
      <c r="A66" s="24"/>
      <c r="B66" s="38"/>
      <c r="C66" s="38"/>
      <c r="D66" s="39"/>
      <c r="E66" s="39"/>
      <c r="F66" s="40"/>
      <c r="G66" s="272"/>
      <c r="H66" s="272"/>
      <c r="I66" s="579">
        <v>7</v>
      </c>
      <c r="J66" s="579" t="s">
        <v>305</v>
      </c>
      <c r="K66" s="575" t="s">
        <v>307</v>
      </c>
      <c r="L66" s="575" t="s">
        <v>308</v>
      </c>
      <c r="M66" s="576">
        <v>2</v>
      </c>
      <c r="N66" s="577">
        <v>10600</v>
      </c>
      <c r="O66" s="577">
        <f>'Detalle Compras Septiembre 2026'!G198</f>
        <v>21200</v>
      </c>
      <c r="P66" s="600"/>
      <c r="Q66" s="24"/>
    </row>
    <row r="67" spans="1:17" hidden="1" x14ac:dyDescent="0.25">
      <c r="A67" s="24"/>
      <c r="B67" s="38"/>
      <c r="C67" s="38"/>
      <c r="D67" s="39"/>
      <c r="E67" s="39"/>
      <c r="F67" s="40"/>
      <c r="G67" s="272"/>
      <c r="H67" s="272"/>
      <c r="I67" s="598" t="s">
        <v>309</v>
      </c>
      <c r="J67" s="598"/>
      <c r="K67" s="594"/>
      <c r="L67" s="594"/>
      <c r="M67" s="596">
        <f>SUM(M58:M66)</f>
        <v>100.00699999999999</v>
      </c>
      <c r="N67" s="597">
        <f>IF(M67&gt;0, O67/M67, 0)</f>
        <v>21350.655854090215</v>
      </c>
      <c r="O67" s="597">
        <f>SUM(O58:O66)</f>
        <v>2135215.04</v>
      </c>
      <c r="P67" s="600"/>
      <c r="Q67" s="24"/>
    </row>
    <row r="68" spans="1:17" hidden="1" x14ac:dyDescent="0.25">
      <c r="A68" s="24"/>
      <c r="B68" s="38"/>
      <c r="C68" s="38"/>
      <c r="D68" s="39"/>
      <c r="E68" s="39"/>
      <c r="F68" s="40"/>
      <c r="G68" s="272"/>
      <c r="H68" s="272"/>
      <c r="I68" s="579">
        <v>8</v>
      </c>
      <c r="J68" s="579" t="s">
        <v>310</v>
      </c>
      <c r="K68" s="575" t="s">
        <v>200</v>
      </c>
      <c r="L68" s="575" t="s">
        <v>311</v>
      </c>
      <c r="M68" s="576">
        <v>14.1</v>
      </c>
      <c r="N68" s="577">
        <v>18500</v>
      </c>
      <c r="O68" s="577">
        <f>'Detalle Compras Septiembre 2026'!G244</f>
        <v>260850</v>
      </c>
      <c r="P68" s="600"/>
      <c r="Q68" s="24"/>
    </row>
    <row r="69" spans="1:17" hidden="1" x14ac:dyDescent="0.25">
      <c r="A69" s="24"/>
      <c r="B69" s="38"/>
      <c r="C69" s="38"/>
      <c r="D69" s="39"/>
      <c r="E69" s="39"/>
      <c r="F69" s="40"/>
      <c r="G69" s="272"/>
      <c r="H69" s="272"/>
      <c r="I69" s="579">
        <v>8</v>
      </c>
      <c r="J69" s="579" t="s">
        <v>312</v>
      </c>
      <c r="K69" s="575" t="s">
        <v>254</v>
      </c>
      <c r="L69" s="575" t="s">
        <v>313</v>
      </c>
      <c r="M69" s="576">
        <v>13.6</v>
      </c>
      <c r="N69" s="577">
        <v>19500</v>
      </c>
      <c r="O69" s="577">
        <f>'Detalle Compras Septiembre 2026'!G245</f>
        <v>265200</v>
      </c>
      <c r="P69" s="600"/>
      <c r="Q69" s="24"/>
    </row>
    <row r="70" spans="1:17" hidden="1" x14ac:dyDescent="0.25">
      <c r="A70" s="24"/>
      <c r="B70" s="41"/>
      <c r="C70" s="24"/>
      <c r="D70" s="24"/>
      <c r="E70" s="24"/>
      <c r="F70" s="42"/>
      <c r="G70" s="273"/>
      <c r="H70" s="273"/>
      <c r="I70" s="579">
        <v>8</v>
      </c>
      <c r="J70" s="579" t="s">
        <v>310</v>
      </c>
      <c r="K70" s="575" t="s">
        <v>223</v>
      </c>
      <c r="L70" s="575" t="s">
        <v>314</v>
      </c>
      <c r="M70" s="576">
        <v>14.9</v>
      </c>
      <c r="N70" s="577">
        <v>7500</v>
      </c>
      <c r="O70" s="577">
        <f>'Detalle Compras Septiembre 2026'!G246</f>
        <v>111750</v>
      </c>
      <c r="P70" s="600"/>
      <c r="Q70" s="24"/>
    </row>
    <row r="71" spans="1:17" ht="15.75" hidden="1" customHeight="1" x14ac:dyDescent="0.25">
      <c r="A71" s="24"/>
      <c r="B71" s="38"/>
      <c r="C71" s="38"/>
      <c r="D71" s="39"/>
      <c r="E71" s="39"/>
      <c r="F71" s="40"/>
      <c r="G71" s="272"/>
      <c r="H71" s="272"/>
      <c r="I71" s="579">
        <v>8</v>
      </c>
      <c r="J71" s="579" t="s">
        <v>315</v>
      </c>
      <c r="K71" s="575" t="s">
        <v>233</v>
      </c>
      <c r="L71" s="575" t="s">
        <v>316</v>
      </c>
      <c r="M71" s="576">
        <v>5</v>
      </c>
      <c r="N71" s="577">
        <v>33000</v>
      </c>
      <c r="O71" s="577">
        <f>'Detalle Compras Septiembre 2026'!G249</f>
        <v>165000</v>
      </c>
      <c r="P71" s="600"/>
      <c r="Q71" s="24"/>
    </row>
    <row r="72" spans="1:17" hidden="1" x14ac:dyDescent="0.25">
      <c r="I72" s="579">
        <v>8</v>
      </c>
      <c r="J72" s="579" t="s">
        <v>315</v>
      </c>
      <c r="K72" s="575" t="s">
        <v>192</v>
      </c>
      <c r="L72" s="575" t="s">
        <v>317</v>
      </c>
      <c r="M72" s="576">
        <v>8.65</v>
      </c>
      <c r="N72" s="577">
        <v>7000</v>
      </c>
      <c r="O72" s="577">
        <f>'Detalle Compras Septiembre 2026'!G250</f>
        <v>60550</v>
      </c>
      <c r="P72" s="600"/>
    </row>
    <row r="73" spans="1:17" hidden="1" x14ac:dyDescent="0.25">
      <c r="I73" s="579">
        <v>8</v>
      </c>
      <c r="J73" s="579" t="s">
        <v>318</v>
      </c>
      <c r="K73" s="575" t="s">
        <v>319</v>
      </c>
      <c r="L73" s="575" t="s">
        <v>319</v>
      </c>
      <c r="M73" s="576">
        <v>1</v>
      </c>
      <c r="N73" s="577">
        <v>72200</v>
      </c>
      <c r="O73" s="577">
        <f>'Detalle Compras Septiembre 2026'!G255</f>
        <v>72200</v>
      </c>
      <c r="P73" s="600"/>
    </row>
    <row r="74" spans="1:17" hidden="1" x14ac:dyDescent="0.25">
      <c r="I74" s="579">
        <v>8</v>
      </c>
      <c r="J74" s="579" t="s">
        <v>320</v>
      </c>
      <c r="K74" s="575" t="s">
        <v>321</v>
      </c>
      <c r="L74" s="575" t="s">
        <v>322</v>
      </c>
      <c r="M74" s="576">
        <v>2</v>
      </c>
      <c r="N74" s="577">
        <v>3050</v>
      </c>
      <c r="O74" s="577">
        <f>'Detalle Compras Septiembre 2026'!G558</f>
        <v>6100</v>
      </c>
      <c r="P74" s="600"/>
    </row>
    <row r="75" spans="1:17" hidden="1" x14ac:dyDescent="0.25">
      <c r="I75" s="579">
        <v>8</v>
      </c>
      <c r="J75" s="579" t="s">
        <v>320</v>
      </c>
      <c r="K75" s="575" t="s">
        <v>321</v>
      </c>
      <c r="L75" s="575" t="s">
        <v>322</v>
      </c>
      <c r="M75" s="576">
        <v>2</v>
      </c>
      <c r="N75" s="577">
        <v>3050</v>
      </c>
      <c r="O75" s="577">
        <f>'Detalle Compras Septiembre 2026'!G559</f>
        <v>6100</v>
      </c>
      <c r="P75" s="600"/>
    </row>
    <row r="76" spans="1:17" hidden="1" x14ac:dyDescent="0.25">
      <c r="I76" s="579">
        <v>8</v>
      </c>
      <c r="J76" s="579" t="s">
        <v>320</v>
      </c>
      <c r="K76" s="575" t="s">
        <v>321</v>
      </c>
      <c r="L76" s="575" t="s">
        <v>322</v>
      </c>
      <c r="M76" s="576">
        <v>2</v>
      </c>
      <c r="N76" s="577">
        <v>3050</v>
      </c>
      <c r="O76" s="577">
        <f>'Detalle Compras Septiembre 2026'!G560</f>
        <v>6100</v>
      </c>
      <c r="P76" s="600"/>
    </row>
    <row r="77" spans="1:17" hidden="1" x14ac:dyDescent="0.25">
      <c r="I77" s="579">
        <v>8</v>
      </c>
      <c r="J77" s="579" t="s">
        <v>320</v>
      </c>
      <c r="K77" s="575" t="s">
        <v>321</v>
      </c>
      <c r="L77" s="575" t="s">
        <v>322</v>
      </c>
      <c r="M77" s="576">
        <v>2</v>
      </c>
      <c r="N77" s="577">
        <v>3050</v>
      </c>
      <c r="O77" s="577">
        <f>'Detalle Compras Septiembre 2026'!G561</f>
        <v>6100</v>
      </c>
      <c r="P77" s="600"/>
    </row>
    <row r="78" spans="1:17" hidden="1" x14ac:dyDescent="0.25">
      <c r="I78" s="579">
        <v>8</v>
      </c>
      <c r="J78" s="579" t="s">
        <v>320</v>
      </c>
      <c r="K78" s="575" t="s">
        <v>321</v>
      </c>
      <c r="L78" s="575" t="s">
        <v>322</v>
      </c>
      <c r="M78" s="576">
        <v>2</v>
      </c>
      <c r="N78" s="577">
        <v>3050</v>
      </c>
      <c r="O78" s="577">
        <f>'Detalle Compras Septiembre 2026'!G562</f>
        <v>6100</v>
      </c>
      <c r="P78" s="600"/>
    </row>
    <row r="79" spans="1:17" hidden="1" x14ac:dyDescent="0.25">
      <c r="I79" s="598" t="s">
        <v>323</v>
      </c>
      <c r="J79" s="598"/>
      <c r="K79" s="594"/>
      <c r="L79" s="594"/>
      <c r="M79" s="596">
        <f>SUM(M68:M78)</f>
        <v>67.25</v>
      </c>
      <c r="N79" s="597">
        <f>IF(M79&gt;0, O79/M79, 0)</f>
        <v>14365.055762081784</v>
      </c>
      <c r="O79" s="597">
        <f>SUM(O68:O78)</f>
        <v>966050</v>
      </c>
      <c r="P79" s="600"/>
    </row>
    <row r="80" spans="1:17" x14ac:dyDescent="0.25">
      <c r="I80" s="579">
        <v>9</v>
      </c>
      <c r="J80" s="579" t="s">
        <v>324</v>
      </c>
      <c r="K80" s="575" t="s">
        <v>275</v>
      </c>
      <c r="L80" s="575" t="s">
        <v>325</v>
      </c>
      <c r="M80" s="576">
        <v>20.2</v>
      </c>
      <c r="N80" s="577">
        <v>22900</v>
      </c>
      <c r="O80" s="577">
        <f>'Detalle Compras Septiembre 2026'!G274</f>
        <v>462580</v>
      </c>
      <c r="P80" s="600"/>
    </row>
    <row r="81" spans="9:16" x14ac:dyDescent="0.25">
      <c r="I81" s="579">
        <v>9</v>
      </c>
      <c r="J81" s="579" t="s">
        <v>324</v>
      </c>
      <c r="K81" s="575" t="s">
        <v>210</v>
      </c>
      <c r="L81" s="575" t="s">
        <v>326</v>
      </c>
      <c r="M81" s="576">
        <v>28.6</v>
      </c>
      <c r="N81" s="577">
        <v>15900</v>
      </c>
      <c r="O81" s="577">
        <f>'Detalle Compras Septiembre 2026'!G275</f>
        <v>454740</v>
      </c>
      <c r="P81" s="600"/>
    </row>
    <row r="82" spans="9:16" x14ac:dyDescent="0.25">
      <c r="I82" s="579">
        <v>9</v>
      </c>
      <c r="J82" s="579" t="s">
        <v>324</v>
      </c>
      <c r="K82" s="575" t="s">
        <v>212</v>
      </c>
      <c r="L82" s="575" t="s">
        <v>327</v>
      </c>
      <c r="M82" s="576">
        <v>24.7</v>
      </c>
      <c r="N82" s="577">
        <v>23900</v>
      </c>
      <c r="O82" s="577">
        <f>'Detalle Compras Septiembre 2026'!G276</f>
        <v>590330</v>
      </c>
      <c r="P82" s="600"/>
    </row>
    <row r="83" spans="9:16" x14ac:dyDescent="0.25">
      <c r="I83" s="579">
        <v>9</v>
      </c>
      <c r="J83" s="579" t="s">
        <v>324</v>
      </c>
      <c r="K83" s="575" t="s">
        <v>214</v>
      </c>
      <c r="L83" s="575" t="s">
        <v>328</v>
      </c>
      <c r="M83" s="576">
        <v>22.18</v>
      </c>
      <c r="N83" s="577">
        <v>25900</v>
      </c>
      <c r="O83" s="577">
        <f>'Detalle Compras Septiembre 2026'!G277</f>
        <v>574462</v>
      </c>
      <c r="P83" s="600"/>
    </row>
    <row r="84" spans="9:16" x14ac:dyDescent="0.25">
      <c r="I84" s="579">
        <v>9</v>
      </c>
      <c r="J84" s="579" t="s">
        <v>324</v>
      </c>
      <c r="K84" s="575" t="s">
        <v>287</v>
      </c>
      <c r="L84" s="575" t="s">
        <v>329</v>
      </c>
      <c r="M84" s="576">
        <v>68.7</v>
      </c>
      <c r="N84" s="577">
        <v>21900</v>
      </c>
      <c r="O84" s="577">
        <f>'Detalle Compras Septiembre 2026'!G278</f>
        <v>1504530</v>
      </c>
      <c r="P84" s="600"/>
    </row>
    <row r="85" spans="9:16" x14ac:dyDescent="0.25">
      <c r="I85" s="579">
        <v>9</v>
      </c>
      <c r="J85" s="579" t="s">
        <v>324</v>
      </c>
      <c r="K85" s="575" t="s">
        <v>330</v>
      </c>
      <c r="L85" s="575" t="s">
        <v>331</v>
      </c>
      <c r="M85" s="576">
        <v>17.260000000000002</v>
      </c>
      <c r="N85" s="577">
        <v>11500</v>
      </c>
      <c r="O85" s="577">
        <f>'Detalle Compras Septiembre 2026'!G279</f>
        <v>198490</v>
      </c>
      <c r="P85" s="600"/>
    </row>
    <row r="86" spans="9:16" hidden="1" x14ac:dyDescent="0.25">
      <c r="I86" s="579">
        <v>9</v>
      </c>
      <c r="J86" s="579" t="s">
        <v>332</v>
      </c>
      <c r="K86" s="575" t="s">
        <v>296</v>
      </c>
      <c r="L86" s="575" t="s">
        <v>333</v>
      </c>
      <c r="M86" s="576">
        <v>38.4</v>
      </c>
      <c r="N86" s="577">
        <v>11000</v>
      </c>
      <c r="O86" s="577">
        <f>'Detalle Compras Septiembre 2026'!G290</f>
        <v>422400</v>
      </c>
      <c r="P86" s="600"/>
    </row>
    <row r="87" spans="9:16" ht="18.95" hidden="1" customHeight="1" x14ac:dyDescent="0.25">
      <c r="I87" s="579">
        <v>9</v>
      </c>
      <c r="J87" s="579" t="s">
        <v>334</v>
      </c>
      <c r="K87" s="575" t="s">
        <v>200</v>
      </c>
      <c r="L87" s="575" t="s">
        <v>335</v>
      </c>
      <c r="M87" s="576">
        <v>13.6</v>
      </c>
      <c r="N87" s="577">
        <v>18500</v>
      </c>
      <c r="O87" s="577">
        <f>'Detalle Compras Septiembre 2026'!G292</f>
        <v>251600</v>
      </c>
      <c r="P87" s="600"/>
    </row>
    <row r="88" spans="9:16" ht="18.95" hidden="1" customHeight="1" x14ac:dyDescent="0.25">
      <c r="I88" s="579">
        <v>9</v>
      </c>
      <c r="J88" s="579" t="s">
        <v>334</v>
      </c>
      <c r="K88" s="575" t="s">
        <v>223</v>
      </c>
      <c r="L88" s="575" t="s">
        <v>336</v>
      </c>
      <c r="M88" s="576">
        <v>43.4</v>
      </c>
      <c r="N88" s="577">
        <v>7500</v>
      </c>
      <c r="O88" s="577">
        <f>'Detalle Compras Septiembre 2026'!G293</f>
        <v>325500</v>
      </c>
      <c r="P88" s="600"/>
    </row>
    <row r="89" spans="9:16" ht="18.95" hidden="1" customHeight="1" x14ac:dyDescent="0.25">
      <c r="I89" s="579">
        <v>9</v>
      </c>
      <c r="J89" s="579" t="s">
        <v>337</v>
      </c>
      <c r="K89" s="575" t="s">
        <v>254</v>
      </c>
      <c r="L89" s="575" t="s">
        <v>338</v>
      </c>
      <c r="M89" s="576">
        <v>27.9</v>
      </c>
      <c r="N89" s="577">
        <v>18500</v>
      </c>
      <c r="O89" s="577">
        <f>'Detalle Compras Septiembre 2026'!G312</f>
        <v>516150</v>
      </c>
      <c r="P89" s="600"/>
    </row>
    <row r="90" spans="9:16" ht="18.95" hidden="1" customHeight="1" x14ac:dyDescent="0.25">
      <c r="I90" s="579">
        <v>9</v>
      </c>
      <c r="J90" s="579" t="s">
        <v>339</v>
      </c>
      <c r="K90" s="575" t="s">
        <v>195</v>
      </c>
      <c r="L90" s="575" t="s">
        <v>340</v>
      </c>
      <c r="M90" s="576">
        <v>20</v>
      </c>
      <c r="N90" s="577">
        <v>16500</v>
      </c>
      <c r="O90" s="577">
        <f>'Detalle Compras Septiembre 2026'!G313</f>
        <v>330000</v>
      </c>
      <c r="P90" s="600"/>
    </row>
    <row r="91" spans="9:16" s="111" customFormat="1" ht="18.95" hidden="1" customHeight="1" x14ac:dyDescent="0.25">
      <c r="I91" s="579">
        <v>9</v>
      </c>
      <c r="J91" s="579" t="s">
        <v>318</v>
      </c>
      <c r="K91" s="601" t="s">
        <v>341</v>
      </c>
      <c r="L91" s="601" t="s">
        <v>341</v>
      </c>
      <c r="M91" s="576">
        <v>1</v>
      </c>
      <c r="N91" s="577">
        <v>76500</v>
      </c>
      <c r="O91" s="577">
        <f>'Detalle Compras Septiembre 2026'!G317</f>
        <v>76500</v>
      </c>
      <c r="P91" s="600"/>
    </row>
    <row r="92" spans="9:16" ht="20.100000000000001" hidden="1" customHeight="1" x14ac:dyDescent="0.25">
      <c r="I92" s="598" t="s">
        <v>342</v>
      </c>
      <c r="J92" s="598"/>
      <c r="K92" s="594"/>
      <c r="L92" s="594"/>
      <c r="M92" s="596">
        <f>SUM(M80:M91)</f>
        <v>325.93999999999994</v>
      </c>
      <c r="N92" s="597">
        <f>IF(M92&gt;0, O92/M92, 0)</f>
        <v>17510.222740381669</v>
      </c>
      <c r="O92" s="597">
        <f>SUM(O80:O91)</f>
        <v>5707282</v>
      </c>
      <c r="P92" s="600"/>
    </row>
    <row r="93" spans="9:16" ht="21.95" hidden="1" customHeight="1" thickBot="1" x14ac:dyDescent="0.3">
      <c r="I93" s="579">
        <v>10</v>
      </c>
      <c r="J93" s="579" t="s">
        <v>343</v>
      </c>
      <c r="K93" s="575" t="s">
        <v>223</v>
      </c>
      <c r="L93" s="575" t="s">
        <v>344</v>
      </c>
      <c r="M93" s="576">
        <v>87.3</v>
      </c>
      <c r="N93" s="577">
        <v>7500</v>
      </c>
      <c r="O93" s="577">
        <f>'Detalle Compras Septiembre 2026'!G334</f>
        <v>654750</v>
      </c>
      <c r="P93" s="600"/>
    </row>
    <row r="94" spans="9:16" ht="15.75" hidden="1" customHeight="1" thickTop="1" x14ac:dyDescent="0.25">
      <c r="I94" s="579">
        <v>10</v>
      </c>
      <c r="J94" s="579" t="s">
        <v>345</v>
      </c>
      <c r="K94" s="575" t="s">
        <v>246</v>
      </c>
      <c r="L94" s="575" t="s">
        <v>346</v>
      </c>
      <c r="M94" s="576">
        <v>1</v>
      </c>
      <c r="N94" s="577">
        <v>18000</v>
      </c>
      <c r="O94" s="577">
        <f>'Detalle Compras Septiembre 2026'!G336</f>
        <v>18000</v>
      </c>
      <c r="P94" s="600"/>
    </row>
    <row r="95" spans="9:16" hidden="1" x14ac:dyDescent="0.25">
      <c r="I95" s="579">
        <v>10</v>
      </c>
      <c r="J95" s="579" t="s">
        <v>345</v>
      </c>
      <c r="K95" s="575" t="s">
        <v>347</v>
      </c>
      <c r="L95" s="575" t="s">
        <v>348</v>
      </c>
      <c r="M95" s="576">
        <v>1</v>
      </c>
      <c r="N95" s="577">
        <v>5000</v>
      </c>
      <c r="O95" s="577">
        <f>'Detalle Compras Septiembre 2026'!G337</f>
        <v>5000</v>
      </c>
      <c r="P95" s="600"/>
    </row>
    <row r="96" spans="9:16" hidden="1" x14ac:dyDescent="0.25">
      <c r="I96" s="579">
        <v>10</v>
      </c>
      <c r="J96" s="579" t="s">
        <v>349</v>
      </c>
      <c r="K96" s="575" t="s">
        <v>307</v>
      </c>
      <c r="L96" s="575" t="s">
        <v>350</v>
      </c>
      <c r="M96" s="576">
        <v>1</v>
      </c>
      <c r="N96" s="577">
        <v>8950</v>
      </c>
      <c r="O96" s="577">
        <f>'Detalle Compras Septiembre 2026'!G362</f>
        <v>8950</v>
      </c>
      <c r="P96" s="600"/>
    </row>
    <row r="97" spans="9:16" hidden="1" x14ac:dyDescent="0.25">
      <c r="I97" s="579">
        <v>10</v>
      </c>
      <c r="J97" s="579" t="s">
        <v>351</v>
      </c>
      <c r="K97" s="575" t="s">
        <v>254</v>
      </c>
      <c r="L97" s="575" t="s">
        <v>352</v>
      </c>
      <c r="M97" s="576">
        <v>16.149999999999999</v>
      </c>
      <c r="N97" s="577">
        <v>18500</v>
      </c>
      <c r="O97" s="577">
        <f>'Detalle Compras Septiembre 2026'!G364</f>
        <v>298775</v>
      </c>
      <c r="P97" s="600"/>
    </row>
    <row r="98" spans="9:16" hidden="1" x14ac:dyDescent="0.25">
      <c r="I98" s="579">
        <v>10</v>
      </c>
      <c r="J98" s="579" t="s">
        <v>351</v>
      </c>
      <c r="K98" s="575" t="s">
        <v>239</v>
      </c>
      <c r="L98" s="575" t="s">
        <v>353</v>
      </c>
      <c r="M98" s="576">
        <v>4.9050000000000002</v>
      </c>
      <c r="N98" s="577">
        <v>54000</v>
      </c>
      <c r="O98" s="577">
        <f>'Detalle Compras Septiembre 2026'!G365</f>
        <v>264870</v>
      </c>
      <c r="P98" s="600"/>
    </row>
    <row r="99" spans="9:16" hidden="1" x14ac:dyDescent="0.25">
      <c r="I99" s="579">
        <v>10</v>
      </c>
      <c r="J99" s="579" t="s">
        <v>354</v>
      </c>
      <c r="K99" s="575" t="s">
        <v>355</v>
      </c>
      <c r="L99" s="575" t="s">
        <v>356</v>
      </c>
      <c r="M99" s="576">
        <v>4.1500000000000004</v>
      </c>
      <c r="N99" s="577">
        <v>33000</v>
      </c>
      <c r="O99" s="577">
        <f>'Detalle Compras Septiembre 2026'!G511</f>
        <v>136950</v>
      </c>
      <c r="P99" s="600"/>
    </row>
    <row r="100" spans="9:16" hidden="1" x14ac:dyDescent="0.25">
      <c r="I100" s="598" t="s">
        <v>357</v>
      </c>
      <c r="J100" s="598"/>
      <c r="K100" s="594"/>
      <c r="L100" s="594"/>
      <c r="M100" s="596">
        <f>SUM(M93:M99)</f>
        <v>115.505</v>
      </c>
      <c r="N100" s="597">
        <f>IF(M100&gt;0, O100/M100, 0)</f>
        <v>12010.692177827799</v>
      </c>
      <c r="O100" s="597">
        <f>SUM(O93:O99)</f>
        <v>1387295</v>
      </c>
      <c r="P100" s="600"/>
    </row>
    <row r="101" spans="9:16" hidden="1" x14ac:dyDescent="0.25">
      <c r="I101" s="579">
        <v>11</v>
      </c>
      <c r="J101" s="579" t="s">
        <v>358</v>
      </c>
      <c r="K101" s="575" t="s">
        <v>359</v>
      </c>
      <c r="L101" s="575" t="s">
        <v>359</v>
      </c>
      <c r="M101" s="576">
        <v>1</v>
      </c>
      <c r="N101" s="577">
        <v>364000</v>
      </c>
      <c r="O101" s="577">
        <f>'Detalle Compras Septiembre 2026'!G380</f>
        <v>364000</v>
      </c>
      <c r="P101" s="600"/>
    </row>
    <row r="102" spans="9:16" hidden="1" x14ac:dyDescent="0.25">
      <c r="I102" s="579">
        <v>11</v>
      </c>
      <c r="J102" s="579" t="s">
        <v>358</v>
      </c>
      <c r="K102" s="575" t="s">
        <v>359</v>
      </c>
      <c r="L102" s="575" t="s">
        <v>359</v>
      </c>
      <c r="M102" s="576">
        <v>1</v>
      </c>
      <c r="N102" s="577">
        <v>364000</v>
      </c>
      <c r="O102" s="577">
        <f>'Detalle Compras Septiembre 2026'!G381</f>
        <v>364000</v>
      </c>
      <c r="P102" s="600"/>
    </row>
    <row r="103" spans="9:16" hidden="1" x14ac:dyDescent="0.25">
      <c r="I103" s="579">
        <v>11</v>
      </c>
      <c r="J103" s="579" t="s">
        <v>358</v>
      </c>
      <c r="K103" s="575" t="s">
        <v>360</v>
      </c>
      <c r="L103" s="575" t="s">
        <v>360</v>
      </c>
      <c r="M103" s="576">
        <v>1</v>
      </c>
      <c r="N103" s="577">
        <v>1124100</v>
      </c>
      <c r="O103" s="577">
        <f>'Detalle Compras Septiembre 2026'!G382</f>
        <v>1124100</v>
      </c>
      <c r="P103" s="600"/>
    </row>
    <row r="104" spans="9:16" hidden="1" x14ac:dyDescent="0.25">
      <c r="I104" s="579">
        <v>11</v>
      </c>
      <c r="J104" s="579" t="s">
        <v>358</v>
      </c>
      <c r="K104" s="575" t="s">
        <v>359</v>
      </c>
      <c r="L104" s="575" t="s">
        <v>361</v>
      </c>
      <c r="M104" s="576">
        <v>2</v>
      </c>
      <c r="N104" s="577">
        <v>364000</v>
      </c>
      <c r="O104" s="577">
        <f>'Detalle Compras Septiembre 2026'!G383</f>
        <v>728000</v>
      </c>
      <c r="P104" s="600"/>
    </row>
    <row r="105" spans="9:16" hidden="1" x14ac:dyDescent="0.25">
      <c r="I105" s="579">
        <v>11</v>
      </c>
      <c r="J105" s="579" t="s">
        <v>318</v>
      </c>
      <c r="K105" s="575" t="s">
        <v>362</v>
      </c>
      <c r="L105" s="575" t="s">
        <v>362</v>
      </c>
      <c r="M105" s="576">
        <v>1</v>
      </c>
      <c r="N105" s="577">
        <v>377500</v>
      </c>
      <c r="O105" s="577">
        <f>'Detalle Compras Septiembre 2026'!G390</f>
        <v>377500</v>
      </c>
      <c r="P105" s="600"/>
    </row>
    <row r="106" spans="9:16" hidden="1" x14ac:dyDescent="0.25">
      <c r="I106" s="579">
        <v>11</v>
      </c>
      <c r="J106" s="579" t="s">
        <v>363</v>
      </c>
      <c r="K106" s="575" t="s">
        <v>364</v>
      </c>
      <c r="L106" s="575" t="s">
        <v>365</v>
      </c>
      <c r="M106" s="576">
        <v>1</v>
      </c>
      <c r="N106" s="577">
        <v>12750</v>
      </c>
      <c r="O106" s="577">
        <f>'Detalle Compras Septiembre 2026'!G406</f>
        <v>12750</v>
      </c>
      <c r="P106" s="600"/>
    </row>
    <row r="107" spans="9:16" hidden="1" x14ac:dyDescent="0.25">
      <c r="I107" s="579">
        <v>11</v>
      </c>
      <c r="J107" s="579" t="s">
        <v>363</v>
      </c>
      <c r="K107" s="575" t="s">
        <v>364</v>
      </c>
      <c r="L107" s="575" t="s">
        <v>366</v>
      </c>
      <c r="M107" s="576">
        <v>1</v>
      </c>
      <c r="N107" s="577">
        <v>12750</v>
      </c>
      <c r="O107" s="577">
        <f>'Detalle Compras Septiembre 2026'!G407</f>
        <v>12750</v>
      </c>
      <c r="P107" s="600"/>
    </row>
    <row r="108" spans="9:16" hidden="1" x14ac:dyDescent="0.25">
      <c r="I108" s="579">
        <v>11</v>
      </c>
      <c r="J108" s="579" t="s">
        <v>367</v>
      </c>
      <c r="K108" s="575" t="s">
        <v>265</v>
      </c>
      <c r="L108" s="575" t="s">
        <v>368</v>
      </c>
      <c r="M108" s="576">
        <v>20.97</v>
      </c>
      <c r="N108" s="577">
        <v>18000</v>
      </c>
      <c r="O108" s="577">
        <f>'Detalle Compras Septiembre 2026'!G500</f>
        <v>377460</v>
      </c>
      <c r="P108" s="600"/>
    </row>
    <row r="109" spans="9:16" hidden="1" x14ac:dyDescent="0.25">
      <c r="I109" s="579">
        <v>11</v>
      </c>
      <c r="J109" s="579" t="s">
        <v>369</v>
      </c>
      <c r="K109" s="575" t="s">
        <v>250</v>
      </c>
      <c r="L109" s="575" t="s">
        <v>251</v>
      </c>
      <c r="M109" s="576">
        <v>40</v>
      </c>
      <c r="N109" s="577">
        <v>18200</v>
      </c>
      <c r="O109" s="577">
        <f>'Detalle Compras Septiembre 2026'!G503</f>
        <v>728000</v>
      </c>
      <c r="P109" s="600"/>
    </row>
    <row r="110" spans="9:16" hidden="1" x14ac:dyDescent="0.25">
      <c r="I110" s="598" t="s">
        <v>370</v>
      </c>
      <c r="J110" s="598"/>
      <c r="K110" s="594"/>
      <c r="L110" s="594"/>
      <c r="M110" s="596">
        <f>SUM(M101:M109)</f>
        <v>68.97</v>
      </c>
      <c r="N110" s="597">
        <f>IF(M110&gt;0, O110/M110, 0)</f>
        <v>59280.266782659128</v>
      </c>
      <c r="O110" s="597">
        <f>SUM(O101:O109)</f>
        <v>4088560</v>
      </c>
      <c r="P110" s="600"/>
    </row>
    <row r="111" spans="9:16" hidden="1" x14ac:dyDescent="0.25">
      <c r="I111" s="579">
        <v>12</v>
      </c>
      <c r="J111" s="579" t="s">
        <v>371</v>
      </c>
      <c r="K111" s="575" t="s">
        <v>214</v>
      </c>
      <c r="L111" s="575" t="s">
        <v>372</v>
      </c>
      <c r="M111" s="576">
        <v>26.73</v>
      </c>
      <c r="N111" s="577">
        <v>25900</v>
      </c>
      <c r="O111" s="577">
        <f>'Detalle Compras Septiembre 2026'!G425</f>
        <v>692307</v>
      </c>
      <c r="P111" s="600"/>
    </row>
    <row r="112" spans="9:16" hidden="1" x14ac:dyDescent="0.25">
      <c r="I112" s="579">
        <v>12</v>
      </c>
      <c r="J112" s="579" t="s">
        <v>371</v>
      </c>
      <c r="K112" s="575" t="s">
        <v>373</v>
      </c>
      <c r="L112" s="575" t="s">
        <v>374</v>
      </c>
      <c r="M112" s="576">
        <v>106.3</v>
      </c>
      <c r="N112" s="577">
        <v>21900</v>
      </c>
      <c r="O112" s="577">
        <f>'Detalle Compras Septiembre 2026'!G426</f>
        <v>2327970</v>
      </c>
      <c r="P112" s="600"/>
    </row>
    <row r="113" spans="9:16" hidden="1" x14ac:dyDescent="0.25">
      <c r="I113" s="579">
        <v>12</v>
      </c>
      <c r="J113" s="579" t="s">
        <v>371</v>
      </c>
      <c r="K113" s="575" t="s">
        <v>375</v>
      </c>
      <c r="L113" s="575" t="s">
        <v>376</v>
      </c>
      <c r="M113" s="576">
        <v>29.9</v>
      </c>
      <c r="N113" s="577">
        <v>34500</v>
      </c>
      <c r="O113" s="577">
        <f>'Detalle Compras Septiembre 2026'!G427</f>
        <v>1031550</v>
      </c>
      <c r="P113" s="600"/>
    </row>
    <row r="114" spans="9:16" hidden="1" x14ac:dyDescent="0.25">
      <c r="I114" s="579">
        <v>12</v>
      </c>
      <c r="J114" s="579" t="s">
        <v>371</v>
      </c>
      <c r="K114" s="575" t="s">
        <v>283</v>
      </c>
      <c r="L114" s="575" t="s">
        <v>377</v>
      </c>
      <c r="M114" s="576">
        <v>11</v>
      </c>
      <c r="N114" s="577">
        <v>44000</v>
      </c>
      <c r="O114" s="577">
        <f>'Detalle Compras Septiembre 2026'!G429</f>
        <v>484000</v>
      </c>
      <c r="P114" s="600"/>
    </row>
    <row r="115" spans="9:16" hidden="1" x14ac:dyDescent="0.25">
      <c r="I115" s="579">
        <v>12</v>
      </c>
      <c r="J115" s="579" t="s">
        <v>371</v>
      </c>
      <c r="K115" s="575" t="s">
        <v>250</v>
      </c>
      <c r="L115" s="575" t="s">
        <v>378</v>
      </c>
      <c r="M115" s="576">
        <v>41.6</v>
      </c>
      <c r="N115" s="577">
        <v>18900</v>
      </c>
      <c r="O115" s="577">
        <f>'Detalle Compras Septiembre 2026'!G430</f>
        <v>786240</v>
      </c>
      <c r="P115" s="600"/>
    </row>
    <row r="116" spans="9:16" hidden="1" x14ac:dyDescent="0.25">
      <c r="I116" s="579">
        <v>12</v>
      </c>
      <c r="J116" s="579" t="s">
        <v>371</v>
      </c>
      <c r="K116" s="575" t="s">
        <v>301</v>
      </c>
      <c r="L116" s="575" t="s">
        <v>379</v>
      </c>
      <c r="M116" s="576">
        <v>19.23</v>
      </c>
      <c r="N116" s="577">
        <v>26900</v>
      </c>
      <c r="O116" s="577">
        <f>'Detalle Compras Septiembre 2026'!G432</f>
        <v>517287</v>
      </c>
      <c r="P116" s="600"/>
    </row>
    <row r="117" spans="9:16" hidden="1" x14ac:dyDescent="0.25">
      <c r="I117" s="579">
        <v>12</v>
      </c>
      <c r="J117" s="579" t="s">
        <v>380</v>
      </c>
      <c r="K117" s="575" t="s">
        <v>381</v>
      </c>
      <c r="L117" s="575" t="s">
        <v>382</v>
      </c>
      <c r="M117" s="576">
        <v>9.19</v>
      </c>
      <c r="N117" s="577">
        <v>20400</v>
      </c>
      <c r="O117" s="577">
        <f>'Detalle Compras Septiembre 2026'!G433</f>
        <v>187476</v>
      </c>
      <c r="P117" s="600"/>
    </row>
    <row r="118" spans="9:16" hidden="1" x14ac:dyDescent="0.25">
      <c r="I118" s="579">
        <v>12</v>
      </c>
      <c r="J118" s="579" t="s">
        <v>383</v>
      </c>
      <c r="K118" s="575" t="s">
        <v>375</v>
      </c>
      <c r="L118" s="575" t="s">
        <v>384</v>
      </c>
      <c r="M118" s="576">
        <v>39.75</v>
      </c>
      <c r="N118" s="577">
        <v>30000</v>
      </c>
      <c r="O118" s="577">
        <f>'Detalle Compras Septiembre 2026'!G434</f>
        <v>1192500</v>
      </c>
      <c r="P118" s="600"/>
    </row>
    <row r="119" spans="9:16" hidden="1" x14ac:dyDescent="0.25">
      <c r="I119" s="579">
        <v>12</v>
      </c>
      <c r="J119" s="579" t="s">
        <v>383</v>
      </c>
      <c r="K119" s="575" t="s">
        <v>381</v>
      </c>
      <c r="L119" s="575" t="s">
        <v>382</v>
      </c>
      <c r="M119" s="576">
        <v>4.6500000000000004</v>
      </c>
      <c r="N119" s="577">
        <v>18600</v>
      </c>
      <c r="O119" s="577">
        <f>'Detalle Compras Septiembre 2026'!G435</f>
        <v>86490</v>
      </c>
      <c r="P119" s="600"/>
    </row>
    <row r="120" spans="9:16" hidden="1" x14ac:dyDescent="0.25">
      <c r="I120" s="579">
        <v>12</v>
      </c>
      <c r="J120" s="579" t="s">
        <v>385</v>
      </c>
      <c r="K120" s="575" t="s">
        <v>386</v>
      </c>
      <c r="L120" s="575" t="s">
        <v>387</v>
      </c>
      <c r="M120" s="576">
        <v>5</v>
      </c>
      <c r="N120" s="577">
        <v>48000</v>
      </c>
      <c r="O120" s="577">
        <f>'Detalle Compras Septiembre 2026'!G458</f>
        <v>240000</v>
      </c>
      <c r="P120" s="600"/>
    </row>
    <row r="121" spans="9:16" hidden="1" x14ac:dyDescent="0.25">
      <c r="I121" s="579">
        <v>12</v>
      </c>
      <c r="J121" s="579" t="s">
        <v>385</v>
      </c>
      <c r="K121" s="575" t="s">
        <v>388</v>
      </c>
      <c r="L121" s="575" t="s">
        <v>389</v>
      </c>
      <c r="M121" s="576">
        <v>2</v>
      </c>
      <c r="N121" s="577">
        <v>46000</v>
      </c>
      <c r="O121" s="577">
        <f>'Detalle Compras Septiembre 2026'!G459</f>
        <v>92000</v>
      </c>
      <c r="P121" s="600"/>
    </row>
    <row r="122" spans="9:16" hidden="1" x14ac:dyDescent="0.25">
      <c r="I122" s="579">
        <v>12</v>
      </c>
      <c r="J122" s="579" t="s">
        <v>390</v>
      </c>
      <c r="K122" s="575" t="s">
        <v>391</v>
      </c>
      <c r="L122" s="575" t="s">
        <v>392</v>
      </c>
      <c r="M122" s="576">
        <v>1</v>
      </c>
      <c r="N122" s="577">
        <v>38200</v>
      </c>
      <c r="O122" s="577">
        <f>'Detalle Compras Septiembre 2026'!G694</f>
        <v>38200</v>
      </c>
      <c r="P122" s="600"/>
    </row>
    <row r="123" spans="9:16" hidden="1" x14ac:dyDescent="0.25">
      <c r="I123" s="579">
        <v>12</v>
      </c>
      <c r="J123" s="579" t="s">
        <v>390</v>
      </c>
      <c r="K123" s="575" t="s">
        <v>393</v>
      </c>
      <c r="L123" s="575" t="s">
        <v>394</v>
      </c>
      <c r="M123" s="576">
        <v>1</v>
      </c>
      <c r="N123" s="577">
        <v>100000</v>
      </c>
      <c r="O123" s="577">
        <f>'Detalle Compras Septiembre 2026'!G695</f>
        <v>100000</v>
      </c>
      <c r="P123" s="600"/>
    </row>
    <row r="124" spans="9:16" hidden="1" x14ac:dyDescent="0.25">
      <c r="I124" s="598" t="s">
        <v>395</v>
      </c>
      <c r="J124" s="598"/>
      <c r="K124" s="594"/>
      <c r="L124" s="594"/>
      <c r="M124" s="596">
        <f>SUM(M111:M123)</f>
        <v>297.34999999999997</v>
      </c>
      <c r="N124" s="597">
        <f>IF(M124&gt;0, O124/M124, 0)</f>
        <v>26151.067765259799</v>
      </c>
      <c r="O124" s="597">
        <f>SUM(O111:O123)</f>
        <v>7776020</v>
      </c>
      <c r="P124" s="600"/>
    </row>
    <row r="125" spans="9:16" hidden="1" x14ac:dyDescent="0.25">
      <c r="I125" s="579">
        <v>13</v>
      </c>
      <c r="J125" s="579" t="s">
        <v>390</v>
      </c>
      <c r="K125" s="575" t="s">
        <v>396</v>
      </c>
      <c r="L125" s="575" t="s">
        <v>397</v>
      </c>
      <c r="M125" s="576">
        <v>7</v>
      </c>
      <c r="N125" s="577">
        <v>9714.2900000000009</v>
      </c>
      <c r="O125" s="577">
        <f>'Detalle Compras Septiembre 2026'!G472</f>
        <v>68000.03</v>
      </c>
      <c r="P125" s="600"/>
    </row>
    <row r="126" spans="9:16" hidden="1" x14ac:dyDescent="0.25">
      <c r="I126" s="579">
        <v>13</v>
      </c>
      <c r="J126" s="579" t="s">
        <v>390</v>
      </c>
      <c r="K126" s="575" t="s">
        <v>398</v>
      </c>
      <c r="L126" s="575" t="s">
        <v>399</v>
      </c>
      <c r="M126" s="576">
        <v>7</v>
      </c>
      <c r="N126" s="577">
        <v>4028.57</v>
      </c>
      <c r="O126" s="577">
        <f>'Detalle Compras Septiembre 2026'!G473</f>
        <v>28199.99</v>
      </c>
      <c r="P126" s="600"/>
    </row>
    <row r="127" spans="9:16" hidden="1" x14ac:dyDescent="0.25">
      <c r="I127" s="579">
        <v>13</v>
      </c>
      <c r="J127" s="579" t="s">
        <v>390</v>
      </c>
      <c r="K127" s="575" t="s">
        <v>192</v>
      </c>
      <c r="L127" s="575" t="s">
        <v>400</v>
      </c>
      <c r="M127" s="576">
        <v>1</v>
      </c>
      <c r="N127" s="577">
        <v>81100</v>
      </c>
      <c r="O127" s="577">
        <f>'Detalle Compras Septiembre 2026'!G705</f>
        <v>81100</v>
      </c>
      <c r="P127" s="600"/>
    </row>
    <row r="128" spans="9:16" hidden="1" x14ac:dyDescent="0.25">
      <c r="I128" s="579">
        <v>13</v>
      </c>
      <c r="J128" s="579" t="s">
        <v>401</v>
      </c>
      <c r="K128" s="575" t="s">
        <v>402</v>
      </c>
      <c r="L128" s="575" t="s">
        <v>403</v>
      </c>
      <c r="M128" s="576">
        <v>43.4</v>
      </c>
      <c r="N128" s="577">
        <v>7500</v>
      </c>
      <c r="O128" s="577">
        <f>'Detalle Compras Septiembre 2026'!G718</f>
        <v>325500</v>
      </c>
      <c r="P128" s="600"/>
    </row>
    <row r="129" spans="9:16" hidden="1" x14ac:dyDescent="0.25">
      <c r="I129" s="579">
        <v>13</v>
      </c>
      <c r="J129" s="579" t="s">
        <v>401</v>
      </c>
      <c r="K129" s="575" t="s">
        <v>404</v>
      </c>
      <c r="L129" s="575" t="s">
        <v>405</v>
      </c>
      <c r="M129" s="576">
        <v>13.6</v>
      </c>
      <c r="N129" s="577">
        <v>18500</v>
      </c>
      <c r="O129" s="577">
        <f>'Detalle Compras Septiembre 2026'!G719</f>
        <v>251600</v>
      </c>
      <c r="P129" s="600"/>
    </row>
    <row r="130" spans="9:16" hidden="1" x14ac:dyDescent="0.25">
      <c r="I130" s="579">
        <v>13</v>
      </c>
      <c r="J130" s="579" t="s">
        <v>406</v>
      </c>
      <c r="K130" s="575" t="s">
        <v>402</v>
      </c>
      <c r="L130" s="575" t="s">
        <v>407</v>
      </c>
      <c r="M130" s="576">
        <v>14.9</v>
      </c>
      <c r="N130" s="577">
        <v>7500</v>
      </c>
      <c r="O130" s="577">
        <f>'Detalle Compras Septiembre 2026'!G720</f>
        <v>111750</v>
      </c>
      <c r="P130" s="600"/>
    </row>
    <row r="131" spans="9:16" hidden="1" x14ac:dyDescent="0.25">
      <c r="I131" s="598" t="s">
        <v>408</v>
      </c>
      <c r="J131" s="598"/>
      <c r="K131" s="594"/>
      <c r="L131" s="594"/>
      <c r="M131" s="596">
        <f>SUM(M125:M130)</f>
        <v>86.9</v>
      </c>
      <c r="N131" s="597">
        <f>IF(M131&gt;0, O131/M131, 0)</f>
        <v>9967.2039125431529</v>
      </c>
      <c r="O131" s="597">
        <f>SUM(O125:O130)</f>
        <v>866150.02</v>
      </c>
      <c r="P131" s="600"/>
    </row>
    <row r="132" spans="9:16" hidden="1" x14ac:dyDescent="0.25">
      <c r="I132" s="579">
        <v>14</v>
      </c>
      <c r="J132" s="579" t="s">
        <v>409</v>
      </c>
      <c r="K132" s="575" t="s">
        <v>410</v>
      </c>
      <c r="L132" s="575" t="s">
        <v>411</v>
      </c>
      <c r="M132" s="576">
        <v>4.0999999999999996</v>
      </c>
      <c r="N132" s="577">
        <v>34000</v>
      </c>
      <c r="O132" s="577">
        <f>'Detalle Compras Septiembre 2026'!G476</f>
        <v>139400</v>
      </c>
      <c r="P132" s="600"/>
    </row>
    <row r="133" spans="9:16" hidden="1" x14ac:dyDescent="0.25">
      <c r="I133" s="579">
        <v>14</v>
      </c>
      <c r="J133" s="579" t="s">
        <v>409</v>
      </c>
      <c r="K133" s="575" t="s">
        <v>277</v>
      </c>
      <c r="L133" s="575" t="s">
        <v>412</v>
      </c>
      <c r="M133" s="576">
        <v>20.399999999999999</v>
      </c>
      <c r="N133" s="577">
        <v>20000</v>
      </c>
      <c r="O133" s="577">
        <f>'Detalle Compras Septiembre 2026'!G477</f>
        <v>408000</v>
      </c>
      <c r="P133" s="600"/>
    </row>
    <row r="134" spans="9:16" hidden="1" x14ac:dyDescent="0.25">
      <c r="I134" s="579">
        <v>14</v>
      </c>
      <c r="J134" s="579" t="s">
        <v>413</v>
      </c>
      <c r="K134" s="575" t="s">
        <v>214</v>
      </c>
      <c r="L134" s="575" t="s">
        <v>372</v>
      </c>
      <c r="M134" s="576">
        <v>19.422000000000001</v>
      </c>
      <c r="N134" s="577">
        <v>25900</v>
      </c>
      <c r="O134" s="577">
        <f>'Detalle Compras Septiembre 2026'!G478</f>
        <v>503029.8</v>
      </c>
      <c r="P134" s="600"/>
    </row>
    <row r="135" spans="9:16" hidden="1" x14ac:dyDescent="0.25">
      <c r="I135" s="579">
        <v>14</v>
      </c>
      <c r="J135" s="579" t="s">
        <v>413</v>
      </c>
      <c r="K135" s="575" t="s">
        <v>414</v>
      </c>
      <c r="L135" s="575" t="s">
        <v>415</v>
      </c>
      <c r="M135" s="576">
        <v>5.3220000000000001</v>
      </c>
      <c r="N135" s="577">
        <v>29500</v>
      </c>
      <c r="O135" s="577">
        <f>'Detalle Compras Septiembre 2026'!G479</f>
        <v>156999</v>
      </c>
      <c r="P135" s="600"/>
    </row>
    <row r="136" spans="9:16" hidden="1" x14ac:dyDescent="0.25">
      <c r="I136" s="579">
        <v>14</v>
      </c>
      <c r="J136" s="579" t="s">
        <v>416</v>
      </c>
      <c r="K136" s="575" t="s">
        <v>417</v>
      </c>
      <c r="L136" s="575" t="s">
        <v>418</v>
      </c>
      <c r="M136" s="576">
        <v>18.25</v>
      </c>
      <c r="N136" s="577">
        <v>19500</v>
      </c>
      <c r="O136" s="577">
        <f>'Detalle Compras Septiembre 2026'!G485</f>
        <v>355875</v>
      </c>
      <c r="P136" s="600"/>
    </row>
    <row r="137" spans="9:16" hidden="1" x14ac:dyDescent="0.25">
      <c r="I137" s="579">
        <v>14</v>
      </c>
      <c r="J137" s="579" t="s">
        <v>419</v>
      </c>
      <c r="K137" s="575" t="s">
        <v>420</v>
      </c>
      <c r="L137" s="575" t="s">
        <v>421</v>
      </c>
      <c r="M137" s="576">
        <v>17.100000000000001</v>
      </c>
      <c r="N137" s="577">
        <v>18500</v>
      </c>
      <c r="O137" s="577">
        <f>'Detalle Compras Septiembre 2026'!G487</f>
        <v>316350</v>
      </c>
      <c r="P137" s="600"/>
    </row>
    <row r="138" spans="9:16" hidden="1" x14ac:dyDescent="0.25">
      <c r="I138" s="579">
        <v>14</v>
      </c>
      <c r="J138" s="579" t="s">
        <v>422</v>
      </c>
      <c r="K138" s="575" t="s">
        <v>420</v>
      </c>
      <c r="L138" s="575" t="s">
        <v>423</v>
      </c>
      <c r="M138" s="576">
        <v>28.3</v>
      </c>
      <c r="N138" s="577">
        <v>18500</v>
      </c>
      <c r="O138" s="577">
        <f>'Detalle Compras Septiembre 2026'!G488</f>
        <v>523550</v>
      </c>
      <c r="P138" s="600"/>
    </row>
    <row r="139" spans="9:16" hidden="1" x14ac:dyDescent="0.25">
      <c r="I139" s="598" t="s">
        <v>424</v>
      </c>
      <c r="J139" s="598"/>
      <c r="K139" s="594"/>
      <c r="L139" s="594"/>
      <c r="M139" s="596">
        <f>SUM(M132:M138)</f>
        <v>112.89399999999999</v>
      </c>
      <c r="N139" s="597">
        <f>IF(M139&gt;0, O139/M139, 0)</f>
        <v>21287.258844579872</v>
      </c>
      <c r="O139" s="597">
        <f>SUM(O132:O138)</f>
        <v>2403203.7999999998</v>
      </c>
      <c r="P139" s="600"/>
    </row>
    <row r="140" spans="9:16" hidden="1" x14ac:dyDescent="0.25">
      <c r="I140" s="579">
        <v>15</v>
      </c>
      <c r="J140" s="579" t="s">
        <v>425</v>
      </c>
      <c r="K140" s="575" t="s">
        <v>426</v>
      </c>
      <c r="L140" s="575" t="s">
        <v>427</v>
      </c>
      <c r="M140" s="576">
        <v>1</v>
      </c>
      <c r="N140" s="577">
        <v>144700</v>
      </c>
      <c r="O140" s="577">
        <f>'Detalle Compras Septiembre 2026'!G598</f>
        <v>144700</v>
      </c>
      <c r="P140" s="600"/>
    </row>
    <row r="141" spans="9:16" hidden="1" x14ac:dyDescent="0.25">
      <c r="I141" s="579">
        <v>15</v>
      </c>
      <c r="J141" s="579" t="s">
        <v>390</v>
      </c>
      <c r="K141" s="575" t="s">
        <v>259</v>
      </c>
      <c r="L141" s="575" t="s">
        <v>428</v>
      </c>
      <c r="M141" s="576">
        <v>1</v>
      </c>
      <c r="N141" s="577">
        <v>90000</v>
      </c>
      <c r="O141" s="577">
        <f>'Detalle Compras Septiembre 2026'!G602</f>
        <v>90000</v>
      </c>
      <c r="P141" s="600"/>
    </row>
    <row r="142" spans="9:16" hidden="1" x14ac:dyDescent="0.25">
      <c r="I142" s="598" t="s">
        <v>429</v>
      </c>
      <c r="J142" s="598"/>
      <c r="K142" s="594"/>
      <c r="L142" s="594"/>
      <c r="M142" s="596">
        <f>SUM(M140:M141)</f>
        <v>2</v>
      </c>
      <c r="N142" s="597">
        <f>IF(M142&gt;0, O142/M142, 0)</f>
        <v>117350</v>
      </c>
      <c r="O142" s="597">
        <f>SUM(O140:O141)</f>
        <v>234700</v>
      </c>
      <c r="P142" s="600"/>
    </row>
    <row r="143" spans="9:16" hidden="1" x14ac:dyDescent="0.25">
      <c r="I143" s="579">
        <v>16</v>
      </c>
      <c r="J143" s="579" t="s">
        <v>430</v>
      </c>
      <c r="K143" s="575" t="s">
        <v>195</v>
      </c>
      <c r="L143" s="575" t="s">
        <v>431</v>
      </c>
      <c r="M143" s="576">
        <v>20</v>
      </c>
      <c r="N143" s="577">
        <v>16500</v>
      </c>
      <c r="O143" s="577">
        <f>'Detalle Compras Septiembre 2026'!G579</f>
        <v>330000</v>
      </c>
      <c r="P143" s="600"/>
    </row>
    <row r="144" spans="9:16" hidden="1" x14ac:dyDescent="0.25">
      <c r="I144" s="579">
        <v>16</v>
      </c>
      <c r="J144" s="579" t="s">
        <v>432</v>
      </c>
      <c r="K144" s="575" t="s">
        <v>433</v>
      </c>
      <c r="L144" s="575" t="s">
        <v>434</v>
      </c>
      <c r="M144" s="576">
        <v>1</v>
      </c>
      <c r="N144" s="577">
        <v>70900</v>
      </c>
      <c r="O144" s="577">
        <f>'Detalle Compras Septiembre 2026'!G613</f>
        <v>70900</v>
      </c>
      <c r="P144" s="600"/>
    </row>
    <row r="145" spans="9:16" x14ac:dyDescent="0.25">
      <c r="I145" s="579">
        <v>16</v>
      </c>
      <c r="J145" s="579" t="s">
        <v>435</v>
      </c>
      <c r="K145" s="575" t="s">
        <v>271</v>
      </c>
      <c r="L145" s="575" t="s">
        <v>436</v>
      </c>
      <c r="M145" s="576">
        <v>5</v>
      </c>
      <c r="N145" s="577">
        <v>24000</v>
      </c>
      <c r="O145" s="577">
        <f>'Detalle Compras Septiembre 2026'!G644</f>
        <v>120000</v>
      </c>
      <c r="P145" s="600"/>
    </row>
    <row r="146" spans="9:16" x14ac:dyDescent="0.25">
      <c r="I146" s="579">
        <v>16</v>
      </c>
      <c r="J146" s="579" t="s">
        <v>435</v>
      </c>
      <c r="K146" s="575" t="s">
        <v>267</v>
      </c>
      <c r="L146" s="575" t="s">
        <v>437</v>
      </c>
      <c r="M146" s="576">
        <v>4.9050000000000002</v>
      </c>
      <c r="N146" s="577">
        <v>55000</v>
      </c>
      <c r="O146" s="577">
        <f>'Detalle Compras Septiembre 2026'!G645</f>
        <v>269775</v>
      </c>
      <c r="P146" s="600"/>
    </row>
    <row r="147" spans="9:16" x14ac:dyDescent="0.25">
      <c r="I147" s="579">
        <v>16</v>
      </c>
      <c r="J147" s="579" t="s">
        <v>390</v>
      </c>
      <c r="K147" s="575" t="s">
        <v>438</v>
      </c>
      <c r="L147" s="575" t="s">
        <v>439</v>
      </c>
      <c r="M147" s="576">
        <v>1</v>
      </c>
      <c r="N147" s="577">
        <v>532000</v>
      </c>
      <c r="O147" s="577">
        <f>'Detalle Compras Septiembre 2026'!G722</f>
        <v>532000</v>
      </c>
      <c r="P147" s="600"/>
    </row>
    <row r="148" spans="9:16" x14ac:dyDescent="0.25">
      <c r="I148" s="598" t="s">
        <v>440</v>
      </c>
      <c r="J148" s="598"/>
      <c r="K148" s="594"/>
      <c r="L148" s="594"/>
      <c r="M148" s="596">
        <f>SUM(M143:M147)</f>
        <v>31.905000000000001</v>
      </c>
      <c r="N148" s="597">
        <f>IF(M148&gt;0, O148/M148, 0)</f>
        <v>41456.668233819146</v>
      </c>
      <c r="O148" s="597">
        <f>SUM(O143:O147)</f>
        <v>1322675</v>
      </c>
      <c r="P148" s="600"/>
    </row>
    <row r="149" spans="9:16" x14ac:dyDescent="0.25">
      <c r="I149" s="579">
        <v>17</v>
      </c>
      <c r="J149" s="579" t="s">
        <v>441</v>
      </c>
      <c r="K149" s="575" t="s">
        <v>214</v>
      </c>
      <c r="L149" s="575" t="s">
        <v>442</v>
      </c>
      <c r="M149" s="576">
        <v>22.71</v>
      </c>
      <c r="N149" s="577">
        <v>25900</v>
      </c>
      <c r="O149" s="577">
        <f>'Detalle Compras Septiembre 2026'!G646</f>
        <v>588189</v>
      </c>
      <c r="P149" s="600"/>
    </row>
    <row r="150" spans="9:16" x14ac:dyDescent="0.25">
      <c r="I150" s="579">
        <v>17</v>
      </c>
      <c r="J150" s="579" t="s">
        <v>441</v>
      </c>
      <c r="K150" s="575" t="s">
        <v>443</v>
      </c>
      <c r="L150" s="575" t="s">
        <v>444</v>
      </c>
      <c r="M150" s="576">
        <v>25.2</v>
      </c>
      <c r="N150" s="577">
        <v>23900</v>
      </c>
      <c r="O150" s="577">
        <f>'Detalle Compras Septiembre 2026'!G647</f>
        <v>602280</v>
      </c>
      <c r="P150" s="600"/>
    </row>
    <row r="151" spans="9:16" hidden="1" x14ac:dyDescent="0.25">
      <c r="I151" s="579">
        <v>17</v>
      </c>
      <c r="J151" s="579" t="s">
        <v>441</v>
      </c>
      <c r="K151" s="575" t="s">
        <v>445</v>
      </c>
      <c r="L151" s="575" t="s">
        <v>446</v>
      </c>
      <c r="M151" s="576">
        <v>13.55</v>
      </c>
      <c r="N151" s="577">
        <v>44000</v>
      </c>
      <c r="O151" s="577">
        <f>'Detalle Compras Septiembre 2026'!G649</f>
        <v>596200</v>
      </c>
      <c r="P151" s="600"/>
    </row>
    <row r="152" spans="9:16" hidden="1" x14ac:dyDescent="0.25">
      <c r="I152" s="579">
        <v>17</v>
      </c>
      <c r="J152" s="579" t="s">
        <v>441</v>
      </c>
      <c r="K152" s="575" t="s">
        <v>447</v>
      </c>
      <c r="L152" s="575" t="s">
        <v>448</v>
      </c>
      <c r="M152" s="576">
        <v>10.7</v>
      </c>
      <c r="N152" s="577">
        <v>44000</v>
      </c>
      <c r="O152" s="577">
        <f>'Detalle Compras Septiembre 2026'!G650</f>
        <v>470800</v>
      </c>
      <c r="P152" s="600"/>
    </row>
    <row r="153" spans="9:16" hidden="1" x14ac:dyDescent="0.25">
      <c r="I153" s="579">
        <v>17</v>
      </c>
      <c r="J153" s="579" t="s">
        <v>441</v>
      </c>
      <c r="K153" s="575" t="s">
        <v>449</v>
      </c>
      <c r="L153" s="575" t="s">
        <v>450</v>
      </c>
      <c r="M153" s="576">
        <v>70.2</v>
      </c>
      <c r="N153" s="577">
        <v>21900</v>
      </c>
      <c r="O153" s="577">
        <f>'Detalle Compras Septiembre 2026'!G651</f>
        <v>1537380</v>
      </c>
      <c r="P153" s="600"/>
    </row>
    <row r="154" spans="9:16" hidden="1" x14ac:dyDescent="0.25">
      <c r="I154" s="579">
        <v>17</v>
      </c>
      <c r="J154" s="579" t="s">
        <v>441</v>
      </c>
      <c r="K154" s="575" t="s">
        <v>451</v>
      </c>
      <c r="L154" s="575" t="s">
        <v>452</v>
      </c>
      <c r="M154" s="576">
        <v>27.6</v>
      </c>
      <c r="N154" s="577">
        <v>14500</v>
      </c>
      <c r="O154" s="577">
        <f>'Detalle Compras Septiembre 2026'!G652</f>
        <v>400200</v>
      </c>
      <c r="P154" s="600"/>
    </row>
    <row r="155" spans="9:16" hidden="1" x14ac:dyDescent="0.25">
      <c r="I155" s="579">
        <v>17</v>
      </c>
      <c r="J155" s="579" t="s">
        <v>453</v>
      </c>
      <c r="K155" s="575" t="s">
        <v>454</v>
      </c>
      <c r="L155" s="575" t="s">
        <v>455</v>
      </c>
      <c r="M155" s="576">
        <v>43.5</v>
      </c>
      <c r="N155" s="577">
        <v>6500</v>
      </c>
      <c r="O155" s="577">
        <f>'Detalle Compras Septiembre 2026'!G653</f>
        <v>282750</v>
      </c>
      <c r="P155" s="600"/>
    </row>
    <row r="156" spans="9:16" hidden="1" x14ac:dyDescent="0.25">
      <c r="I156" s="579">
        <v>17</v>
      </c>
      <c r="J156" s="579" t="s">
        <v>456</v>
      </c>
      <c r="K156" s="575" t="s">
        <v>457</v>
      </c>
      <c r="L156" s="575" t="s">
        <v>458</v>
      </c>
      <c r="M156" s="576">
        <v>5</v>
      </c>
      <c r="N156" s="577">
        <v>21500</v>
      </c>
      <c r="O156" s="577">
        <f>'Detalle Compras Septiembre 2026'!G683</f>
        <v>107500</v>
      </c>
      <c r="P156" s="600"/>
    </row>
    <row r="157" spans="9:16" x14ac:dyDescent="0.25">
      <c r="I157" s="579">
        <v>17</v>
      </c>
      <c r="J157" s="579" t="s">
        <v>459</v>
      </c>
      <c r="K157" s="575" t="s">
        <v>460</v>
      </c>
      <c r="L157" s="575" t="s">
        <v>461</v>
      </c>
      <c r="M157" s="576">
        <v>15.2</v>
      </c>
      <c r="N157" s="577">
        <v>18500</v>
      </c>
      <c r="O157" s="577">
        <f>'Detalle Compras Septiembre 2026'!G724</f>
        <v>281200</v>
      </c>
      <c r="P157" s="600"/>
    </row>
    <row r="158" spans="9:16" x14ac:dyDescent="0.25">
      <c r="I158" s="579">
        <v>17</v>
      </c>
      <c r="J158" s="579" t="s">
        <v>462</v>
      </c>
      <c r="K158" s="575" t="s">
        <v>457</v>
      </c>
      <c r="L158" s="575" t="s">
        <v>463</v>
      </c>
      <c r="M158" s="576">
        <v>5.0449999999999999</v>
      </c>
      <c r="N158" s="577">
        <v>22000</v>
      </c>
      <c r="O158" s="577">
        <f>'Detalle Compras Septiembre 2026'!G740</f>
        <v>110990</v>
      </c>
      <c r="P158" s="600"/>
    </row>
    <row r="159" spans="9:16" x14ac:dyDescent="0.25">
      <c r="I159" s="579">
        <v>17</v>
      </c>
      <c r="J159" s="579" t="s">
        <v>462</v>
      </c>
      <c r="K159" s="575" t="s">
        <v>454</v>
      </c>
      <c r="L159" s="575" t="s">
        <v>464</v>
      </c>
      <c r="M159" s="576">
        <v>6.0750000000000002</v>
      </c>
      <c r="N159" s="577">
        <v>18000</v>
      </c>
      <c r="O159" s="577">
        <f>'Detalle Compras Septiembre 2026'!G741</f>
        <v>109350</v>
      </c>
      <c r="P159" s="600"/>
    </row>
    <row r="160" spans="9:16" x14ac:dyDescent="0.25">
      <c r="I160" s="579">
        <v>17</v>
      </c>
      <c r="J160" s="579" t="s">
        <v>462</v>
      </c>
      <c r="K160" s="575" t="s">
        <v>417</v>
      </c>
      <c r="L160" s="575" t="s">
        <v>465</v>
      </c>
      <c r="M160" s="576">
        <v>16.399999999999999</v>
      </c>
      <c r="N160" s="577">
        <v>19000</v>
      </c>
      <c r="O160" s="577">
        <f>'Detalle Compras Septiembre 2026'!G742</f>
        <v>311600</v>
      </c>
      <c r="P160" s="600"/>
    </row>
    <row r="161" spans="9:16" x14ac:dyDescent="0.25">
      <c r="I161" s="595" t="s">
        <v>466</v>
      </c>
      <c r="J161" s="595"/>
      <c r="K161" s="595"/>
      <c r="L161" s="595"/>
      <c r="M161" s="602">
        <f>SUM(M149:M160)</f>
        <v>261.17999999999995</v>
      </c>
      <c r="N161" s="603">
        <f>IF(M161&gt;0, O161/M161, 0)</f>
        <v>20669.419557393372</v>
      </c>
      <c r="O161" s="603">
        <f>SUM(O149:O160)</f>
        <v>5398439</v>
      </c>
      <c r="P161" s="600"/>
    </row>
    <row r="162" spans="9:16" x14ac:dyDescent="0.25">
      <c r="I162" s="579">
        <v>18</v>
      </c>
      <c r="J162" s="579" t="s">
        <v>467</v>
      </c>
      <c r="K162" s="575" t="s">
        <v>468</v>
      </c>
      <c r="L162" s="575" t="s">
        <v>469</v>
      </c>
      <c r="M162" s="576">
        <v>25</v>
      </c>
      <c r="N162" s="577">
        <v>15120</v>
      </c>
      <c r="O162" s="577">
        <f>'Detalle Compras Septiembre 2026'!G588</f>
        <v>378000</v>
      </c>
      <c r="P162" s="600"/>
    </row>
    <row r="163" spans="9:16" x14ac:dyDescent="0.25">
      <c r="I163" s="579">
        <v>18</v>
      </c>
      <c r="J163" s="579" t="s">
        <v>470</v>
      </c>
      <c r="K163" s="575" t="s">
        <v>250</v>
      </c>
      <c r="L163" s="575" t="s">
        <v>471</v>
      </c>
      <c r="M163" s="576">
        <v>40</v>
      </c>
      <c r="N163" s="577">
        <v>18200</v>
      </c>
      <c r="O163" s="577">
        <f>'Detalle Compras Septiembre 2026'!G904</f>
        <v>728000</v>
      </c>
      <c r="P163" s="600"/>
    </row>
    <row r="164" spans="9:16" x14ac:dyDescent="0.25">
      <c r="I164" s="598" t="s">
        <v>472</v>
      </c>
      <c r="J164" s="598"/>
      <c r="K164" s="594"/>
      <c r="L164" s="594"/>
      <c r="M164" s="596">
        <f>SUM(M162:M163)</f>
        <v>65</v>
      </c>
      <c r="N164" s="597">
        <f>IF(M164&gt;0, O164/M164, 0)</f>
        <v>17015.384615384617</v>
      </c>
      <c r="O164" s="597">
        <f>SUM(O162:O163)</f>
        <v>1106000</v>
      </c>
      <c r="P164" s="600"/>
    </row>
    <row r="165" spans="9:16" x14ac:dyDescent="0.25">
      <c r="I165" s="579">
        <v>19</v>
      </c>
      <c r="J165" s="579" t="s">
        <v>473</v>
      </c>
      <c r="K165" s="575" t="s">
        <v>214</v>
      </c>
      <c r="L165" s="575" t="s">
        <v>372</v>
      </c>
      <c r="M165" s="576">
        <v>26.71</v>
      </c>
      <c r="N165" s="577">
        <v>25900</v>
      </c>
      <c r="O165" s="577">
        <f>'Detalle Compras Septiembre 2026'!G783</f>
        <v>691789</v>
      </c>
      <c r="P165" s="600"/>
    </row>
    <row r="166" spans="9:16" x14ac:dyDescent="0.25">
      <c r="I166" s="579">
        <v>19</v>
      </c>
      <c r="J166" s="579" t="s">
        <v>473</v>
      </c>
      <c r="K166" s="575" t="s">
        <v>449</v>
      </c>
      <c r="L166" s="575" t="s">
        <v>374</v>
      </c>
      <c r="M166" s="576">
        <v>100.26</v>
      </c>
      <c r="N166" s="577">
        <v>21900</v>
      </c>
      <c r="O166" s="577">
        <f>'Detalle Compras Septiembre 2026'!G784</f>
        <v>2195694</v>
      </c>
      <c r="P166" s="600"/>
    </row>
    <row r="167" spans="9:16" x14ac:dyDescent="0.25">
      <c r="I167" s="579">
        <v>19</v>
      </c>
      <c r="J167" s="579" t="s">
        <v>473</v>
      </c>
      <c r="K167" s="575" t="s">
        <v>474</v>
      </c>
      <c r="L167" s="575" t="s">
        <v>475</v>
      </c>
      <c r="M167" s="576">
        <v>20.2</v>
      </c>
      <c r="N167" s="577">
        <v>22900</v>
      </c>
      <c r="O167" s="577">
        <f>'Detalle Compras Septiembre 2026'!G785</f>
        <v>462580</v>
      </c>
      <c r="P167" s="600"/>
    </row>
    <row r="168" spans="9:16" x14ac:dyDescent="0.25">
      <c r="I168" s="579">
        <v>19</v>
      </c>
      <c r="J168" s="579" t="s">
        <v>473</v>
      </c>
      <c r="K168" s="575" t="s">
        <v>476</v>
      </c>
      <c r="L168" s="575" t="s">
        <v>477</v>
      </c>
      <c r="M168" s="576">
        <v>16</v>
      </c>
      <c r="N168" s="577">
        <v>44000</v>
      </c>
      <c r="O168" s="577">
        <f>'Detalle Compras Septiembre 2026'!G787</f>
        <v>704000</v>
      </c>
      <c r="P168" s="600"/>
    </row>
    <row r="169" spans="9:16" x14ac:dyDescent="0.25">
      <c r="I169" s="579">
        <v>19</v>
      </c>
      <c r="J169" s="579" t="s">
        <v>473</v>
      </c>
      <c r="K169" s="575" t="s">
        <v>478</v>
      </c>
      <c r="L169" s="575" t="s">
        <v>378</v>
      </c>
      <c r="M169" s="576">
        <v>20.3</v>
      </c>
      <c r="N169" s="577">
        <v>21900</v>
      </c>
      <c r="O169" s="577">
        <f>'Detalle Compras Septiembre 2026'!G788</f>
        <v>444570</v>
      </c>
      <c r="P169" s="600"/>
    </row>
    <row r="170" spans="9:16" x14ac:dyDescent="0.25">
      <c r="I170" s="579">
        <v>19</v>
      </c>
      <c r="J170" s="579" t="s">
        <v>479</v>
      </c>
      <c r="K170" s="575" t="s">
        <v>480</v>
      </c>
      <c r="L170" s="575" t="s">
        <v>481</v>
      </c>
      <c r="M170" s="576">
        <v>9760</v>
      </c>
      <c r="N170" s="577">
        <v>55</v>
      </c>
      <c r="O170" s="577">
        <f>'Detalle Compras Septiembre 2026'!G876</f>
        <v>536800</v>
      </c>
      <c r="P170" s="600"/>
    </row>
    <row r="171" spans="9:16" x14ac:dyDescent="0.25">
      <c r="I171" s="579">
        <v>19</v>
      </c>
      <c r="J171" s="579" t="s">
        <v>479</v>
      </c>
      <c r="K171" s="575" t="s">
        <v>482</v>
      </c>
      <c r="L171" s="575" t="s">
        <v>483</v>
      </c>
      <c r="M171" s="576">
        <v>9027</v>
      </c>
      <c r="N171" s="577">
        <v>23</v>
      </c>
      <c r="O171" s="577">
        <f>'Detalle Compras Septiembre 2026'!G877</f>
        <v>207621</v>
      </c>
      <c r="P171" s="600"/>
    </row>
    <row r="172" spans="9:16" x14ac:dyDescent="0.25">
      <c r="I172" s="595" t="s">
        <v>484</v>
      </c>
      <c r="J172" s="595"/>
      <c r="K172" s="595"/>
      <c r="L172" s="595"/>
      <c r="M172" s="602">
        <f>SUM(M165:M171)</f>
        <v>18970.47</v>
      </c>
      <c r="N172" s="603">
        <f>IF(M172&gt;0, O172/M172, 0)</f>
        <v>276.37976286301813</v>
      </c>
      <c r="O172" s="603">
        <f>SUM(O165:O171)</f>
        <v>5243054</v>
      </c>
      <c r="P172" s="600"/>
    </row>
    <row r="173" spans="9:16" x14ac:dyDescent="0.25">
      <c r="I173" s="579">
        <v>22</v>
      </c>
      <c r="J173" s="579" t="s">
        <v>485</v>
      </c>
      <c r="K173" s="575" t="s">
        <v>486</v>
      </c>
      <c r="L173" s="575" t="s">
        <v>487</v>
      </c>
      <c r="M173" s="576">
        <v>3.556</v>
      </c>
      <c r="N173" s="577">
        <v>9699</v>
      </c>
      <c r="O173" s="577">
        <f>'Detalle Compras Septiembre 2026'!G910</f>
        <v>34493</v>
      </c>
      <c r="P173" s="600"/>
    </row>
    <row r="174" spans="9:16" x14ac:dyDescent="0.25">
      <c r="I174" s="579">
        <v>22</v>
      </c>
      <c r="J174" s="579" t="s">
        <v>485</v>
      </c>
      <c r="K174" s="575" t="s">
        <v>488</v>
      </c>
      <c r="L174" s="575" t="s">
        <v>489</v>
      </c>
      <c r="M174" s="576">
        <v>3.5379999999999998</v>
      </c>
      <c r="N174" s="577">
        <v>17500</v>
      </c>
      <c r="O174" s="577">
        <f>'Detalle Compras Septiembre 2026'!G911</f>
        <v>61915</v>
      </c>
      <c r="P174" s="600"/>
    </row>
    <row r="175" spans="9:16" x14ac:dyDescent="0.25">
      <c r="I175" s="579">
        <v>22</v>
      </c>
      <c r="J175" s="579" t="s">
        <v>490</v>
      </c>
      <c r="K175" s="575" t="s">
        <v>491</v>
      </c>
      <c r="L175" s="575" t="s">
        <v>492</v>
      </c>
      <c r="M175" s="576">
        <v>20</v>
      </c>
      <c r="N175" s="577">
        <v>16500</v>
      </c>
      <c r="O175" s="577">
        <f>'Detalle Compras Septiembre 2026'!G913</f>
        <v>330000</v>
      </c>
      <c r="P175" s="600"/>
    </row>
    <row r="176" spans="9:16" x14ac:dyDescent="0.25">
      <c r="I176" s="579">
        <v>22</v>
      </c>
      <c r="J176" s="579" t="s">
        <v>493</v>
      </c>
      <c r="K176" s="575" t="s">
        <v>494</v>
      </c>
      <c r="L176" s="575" t="s">
        <v>495</v>
      </c>
      <c r="M176" s="576">
        <v>6.75</v>
      </c>
      <c r="N176" s="577">
        <v>54000</v>
      </c>
      <c r="O176" s="577">
        <f>'Detalle Compras Septiembre 2026'!G914</f>
        <v>364500</v>
      </c>
      <c r="P176" s="600"/>
    </row>
    <row r="177" spans="9:16" x14ac:dyDescent="0.25">
      <c r="I177" s="579">
        <v>22</v>
      </c>
      <c r="J177" s="579" t="s">
        <v>496</v>
      </c>
      <c r="K177" s="575" t="s">
        <v>417</v>
      </c>
      <c r="L177" s="575" t="s">
        <v>497</v>
      </c>
      <c r="M177" s="576">
        <v>26.35</v>
      </c>
      <c r="N177" s="577">
        <v>19000</v>
      </c>
      <c r="O177" s="577">
        <f>'Detalle Compras Septiembre 2026'!G915</f>
        <v>500650</v>
      </c>
      <c r="P177" s="600"/>
    </row>
    <row r="178" spans="9:16" x14ac:dyDescent="0.25">
      <c r="I178" s="579">
        <v>22</v>
      </c>
      <c r="J178" s="579" t="s">
        <v>498</v>
      </c>
      <c r="K178" s="575" t="s">
        <v>411</v>
      </c>
      <c r="L178" s="575" t="s">
        <v>499</v>
      </c>
      <c r="M178" s="576">
        <v>5</v>
      </c>
      <c r="N178" s="577">
        <v>34000</v>
      </c>
      <c r="O178" s="577">
        <f>'Detalle Compras Septiembre 2026'!G916</f>
        <v>170000</v>
      </c>
      <c r="P178" s="600"/>
    </row>
    <row r="179" spans="9:16" x14ac:dyDescent="0.25">
      <c r="I179" s="579">
        <v>22</v>
      </c>
      <c r="J179" s="579" t="s">
        <v>498</v>
      </c>
      <c r="K179" s="575" t="s">
        <v>500</v>
      </c>
      <c r="L179" s="575" t="s">
        <v>501</v>
      </c>
      <c r="M179" s="576">
        <v>4.665</v>
      </c>
      <c r="N179" s="577">
        <v>0</v>
      </c>
      <c r="O179" s="577">
        <f>'Detalle Compras Septiembre 2026'!G917</f>
        <v>247245</v>
      </c>
      <c r="P179" s="600"/>
    </row>
    <row r="180" spans="9:16" x14ac:dyDescent="0.25">
      <c r="I180" s="579">
        <v>22</v>
      </c>
      <c r="J180" s="579" t="s">
        <v>502</v>
      </c>
      <c r="K180" s="575" t="s">
        <v>503</v>
      </c>
      <c r="L180" s="575" t="s">
        <v>504</v>
      </c>
      <c r="M180" s="576">
        <v>24.95</v>
      </c>
      <c r="N180" s="577">
        <v>20000</v>
      </c>
      <c r="O180" s="577">
        <f>'Detalle Compras Septiembre 2026'!G918</f>
        <v>499000</v>
      </c>
      <c r="P180" s="600"/>
    </row>
    <row r="181" spans="9:16" x14ac:dyDescent="0.25">
      <c r="I181" s="579">
        <v>22</v>
      </c>
      <c r="J181" s="579" t="s">
        <v>502</v>
      </c>
      <c r="K181" s="575" t="s">
        <v>411</v>
      </c>
      <c r="L181" s="575" t="s">
        <v>504</v>
      </c>
      <c r="M181" s="576">
        <v>3.9950000000000001</v>
      </c>
      <c r="N181" s="577">
        <v>34000</v>
      </c>
      <c r="O181" s="577">
        <f>'Detalle Compras Septiembre 2026'!G919</f>
        <v>135830</v>
      </c>
      <c r="P181" s="600"/>
    </row>
    <row r="182" spans="9:16" x14ac:dyDescent="0.25">
      <c r="I182" s="579">
        <v>22</v>
      </c>
      <c r="J182" s="579" t="s">
        <v>505</v>
      </c>
      <c r="K182" s="575" t="s">
        <v>506</v>
      </c>
      <c r="L182" s="575" t="s">
        <v>507</v>
      </c>
      <c r="M182" s="576">
        <v>22</v>
      </c>
      <c r="N182" s="577">
        <v>6500</v>
      </c>
      <c r="O182" s="577">
        <f>'Detalle Compras Septiembre 2026'!G922</f>
        <v>143000</v>
      </c>
      <c r="P182" s="600"/>
    </row>
    <row r="183" spans="9:16" x14ac:dyDescent="0.25">
      <c r="I183" s="579">
        <v>22</v>
      </c>
      <c r="J183" s="579" t="s">
        <v>505</v>
      </c>
      <c r="K183" s="575" t="s">
        <v>506</v>
      </c>
      <c r="L183" s="575" t="s">
        <v>507</v>
      </c>
      <c r="M183" s="576">
        <v>15</v>
      </c>
      <c r="N183" s="577">
        <v>6500</v>
      </c>
      <c r="O183" s="577">
        <f>'Detalle Compras Septiembre 2026'!G923</f>
        <v>97500</v>
      </c>
      <c r="P183" s="600"/>
    </row>
    <row r="184" spans="9:16" x14ac:dyDescent="0.25">
      <c r="I184" s="579">
        <v>22</v>
      </c>
      <c r="J184" s="579" t="s">
        <v>508</v>
      </c>
      <c r="K184" s="575" t="s">
        <v>509</v>
      </c>
      <c r="L184" s="575" t="s">
        <v>510</v>
      </c>
      <c r="M184" s="576">
        <v>4.3899999999999997</v>
      </c>
      <c r="N184" s="577">
        <v>24900</v>
      </c>
      <c r="O184" s="577">
        <f>'Detalle Compras Septiembre 2026'!G924</f>
        <v>109311</v>
      </c>
      <c r="P184" s="600"/>
    </row>
    <row r="185" spans="9:16" x14ac:dyDescent="0.25">
      <c r="I185" s="595" t="s">
        <v>511</v>
      </c>
      <c r="J185" s="595"/>
      <c r="K185" s="595"/>
      <c r="L185" s="595"/>
      <c r="M185" s="602">
        <f>SUM(M173:M184)</f>
        <v>140.19400000000002</v>
      </c>
      <c r="N185" s="603">
        <f>IF(M185&gt;0, O185/M185, 0)</f>
        <v>19212.263006976045</v>
      </c>
      <c r="O185" s="603">
        <f>SUM(O173:O184)</f>
        <v>2693444</v>
      </c>
      <c r="P185" s="600"/>
    </row>
    <row r="186" spans="9:16" x14ac:dyDescent="0.25">
      <c r="I186" s="579">
        <v>23</v>
      </c>
      <c r="J186" s="579" t="s">
        <v>512</v>
      </c>
      <c r="K186" s="575" t="s">
        <v>513</v>
      </c>
      <c r="L186" s="575" t="s">
        <v>510</v>
      </c>
      <c r="M186" s="576">
        <v>4.2850000000000001</v>
      </c>
      <c r="N186" s="577">
        <v>24900</v>
      </c>
      <c r="O186" s="577">
        <f>'Detalle Compras Septiembre 2026'!G982</f>
        <v>106697</v>
      </c>
      <c r="P186" s="600"/>
    </row>
    <row r="187" spans="9:16" x14ac:dyDescent="0.25">
      <c r="I187" s="579">
        <v>23</v>
      </c>
      <c r="J187" s="579" t="s">
        <v>514</v>
      </c>
      <c r="K187" s="575" t="s">
        <v>214</v>
      </c>
      <c r="L187" s="575" t="s">
        <v>372</v>
      </c>
      <c r="M187" s="576">
        <v>28.2</v>
      </c>
      <c r="N187" s="577">
        <v>25900</v>
      </c>
      <c r="O187" s="577">
        <f>'Detalle Compras Septiembre 2026'!G984</f>
        <v>730380</v>
      </c>
      <c r="P187" s="600"/>
    </row>
    <row r="188" spans="9:16" x14ac:dyDescent="0.25">
      <c r="I188" s="579">
        <v>23</v>
      </c>
      <c r="J188" s="579" t="s">
        <v>514</v>
      </c>
      <c r="K188" s="575" t="s">
        <v>515</v>
      </c>
      <c r="L188" s="575" t="s">
        <v>516</v>
      </c>
      <c r="M188" s="576">
        <v>27.1</v>
      </c>
      <c r="N188" s="577">
        <v>13900</v>
      </c>
      <c r="O188" s="577">
        <f>'Detalle Compras Septiembre 2026'!G985</f>
        <v>376690</v>
      </c>
      <c r="P188" s="600"/>
    </row>
    <row r="189" spans="9:16" x14ac:dyDescent="0.25">
      <c r="I189" s="579">
        <v>23</v>
      </c>
      <c r="J189" s="579" t="s">
        <v>514</v>
      </c>
      <c r="K189" s="575" t="s">
        <v>447</v>
      </c>
      <c r="L189" s="575" t="s">
        <v>517</v>
      </c>
      <c r="M189" s="576">
        <v>14.7</v>
      </c>
      <c r="N189" s="577">
        <v>44000</v>
      </c>
      <c r="O189" s="577">
        <f>'Detalle Compras Septiembre 2026'!G986</f>
        <v>646800</v>
      </c>
      <c r="P189" s="600"/>
    </row>
    <row r="190" spans="9:16" x14ac:dyDescent="0.25">
      <c r="I190" s="579">
        <v>23</v>
      </c>
      <c r="J190" s="579" t="s">
        <v>514</v>
      </c>
      <c r="K190" s="575" t="s">
        <v>449</v>
      </c>
      <c r="L190" s="575" t="s">
        <v>374</v>
      </c>
      <c r="M190" s="576">
        <v>68.87</v>
      </c>
      <c r="N190" s="577">
        <v>21900</v>
      </c>
      <c r="O190" s="577">
        <f>'Detalle Compras Septiembre 2026'!G988</f>
        <v>1508253</v>
      </c>
      <c r="P190" s="600"/>
    </row>
    <row r="191" spans="9:16" x14ac:dyDescent="0.25">
      <c r="I191" s="595" t="s">
        <v>518</v>
      </c>
      <c r="J191" s="595"/>
      <c r="K191" s="595"/>
      <c r="L191" s="595"/>
      <c r="M191" s="602">
        <f>SUM(M186:M190)</f>
        <v>143.155</v>
      </c>
      <c r="N191" s="603">
        <f>IF(M191&gt;0, O191/M191, 0)</f>
        <v>23532.674373930357</v>
      </c>
      <c r="O191" s="603">
        <f>SUM(O186:O190)</f>
        <v>3368820</v>
      </c>
      <c r="P191" s="600"/>
    </row>
    <row r="192" spans="9:16" x14ac:dyDescent="0.25">
      <c r="I192" s="579">
        <v>24</v>
      </c>
      <c r="J192" s="579" t="s">
        <v>519</v>
      </c>
      <c r="K192" s="575" t="s">
        <v>262</v>
      </c>
      <c r="L192" s="575" t="s">
        <v>520</v>
      </c>
      <c r="M192" s="576">
        <v>3.1320000000000001</v>
      </c>
      <c r="N192" s="577">
        <v>20969.990000000002</v>
      </c>
      <c r="O192" s="577">
        <f>'Detalle Compras Septiembre 2026'!G989</f>
        <v>65678</v>
      </c>
      <c r="P192" s="600"/>
    </row>
    <row r="193" spans="9:16" x14ac:dyDescent="0.25">
      <c r="I193" s="579">
        <v>24</v>
      </c>
      <c r="J193" s="579" t="s">
        <v>521</v>
      </c>
      <c r="K193" s="575" t="s">
        <v>454</v>
      </c>
      <c r="L193" s="575" t="s">
        <v>507</v>
      </c>
      <c r="M193" s="576">
        <v>15.3</v>
      </c>
      <c r="N193" s="577">
        <v>6700</v>
      </c>
      <c r="O193" s="577">
        <f>'Detalle Compras Septiembre 2026'!G1003</f>
        <v>102510</v>
      </c>
      <c r="P193" s="600"/>
    </row>
    <row r="194" spans="9:16" x14ac:dyDescent="0.25">
      <c r="I194" s="595" t="s">
        <v>522</v>
      </c>
      <c r="J194" s="595"/>
      <c r="K194" s="595"/>
      <c r="L194" s="595"/>
      <c r="M194" s="602">
        <f>SUM(M192:M193)</f>
        <v>18.432000000000002</v>
      </c>
      <c r="N194" s="603">
        <f>IF(M194&gt;0, O194/M194, 0)</f>
        <v>9124.7829861111095</v>
      </c>
      <c r="O194" s="603">
        <f>SUM(O192:O193)</f>
        <v>168188</v>
      </c>
      <c r="P194" s="600"/>
    </row>
    <row r="195" spans="9:16" x14ac:dyDescent="0.25">
      <c r="I195" s="579">
        <v>25</v>
      </c>
      <c r="J195" s="579" t="s">
        <v>523</v>
      </c>
      <c r="K195" s="575" t="s">
        <v>404</v>
      </c>
      <c r="L195" s="575" t="s">
        <v>461</v>
      </c>
      <c r="M195" s="576">
        <v>22.4</v>
      </c>
      <c r="N195" s="577">
        <v>18500</v>
      </c>
      <c r="O195" s="577">
        <f>'Detalle Compras Septiembre 2026'!G1017</f>
        <v>414400</v>
      </c>
      <c r="P195" s="600"/>
    </row>
    <row r="196" spans="9:16" x14ac:dyDescent="0.25">
      <c r="I196" s="579">
        <v>25</v>
      </c>
      <c r="J196" s="579" t="s">
        <v>524</v>
      </c>
      <c r="K196" s="575" t="s">
        <v>404</v>
      </c>
      <c r="L196" s="575" t="s">
        <v>461</v>
      </c>
      <c r="M196" s="576">
        <v>10.6</v>
      </c>
      <c r="N196" s="577">
        <v>18500</v>
      </c>
      <c r="O196" s="577">
        <f>'Detalle Compras Septiembre 2026'!G1018</f>
        <v>196100</v>
      </c>
      <c r="P196" s="600"/>
    </row>
    <row r="197" spans="9:16" x14ac:dyDescent="0.25">
      <c r="I197" s="579">
        <v>25</v>
      </c>
      <c r="J197" s="579" t="s">
        <v>525</v>
      </c>
      <c r="K197" s="575" t="s">
        <v>526</v>
      </c>
      <c r="L197" s="575" t="s">
        <v>527</v>
      </c>
      <c r="M197" s="576">
        <v>10.5</v>
      </c>
      <c r="N197" s="577">
        <v>6000</v>
      </c>
      <c r="O197" s="577">
        <f>'Detalle Compras Septiembre 2026'!G1019</f>
        <v>63000</v>
      </c>
      <c r="P197" s="600"/>
    </row>
    <row r="198" spans="9:16" x14ac:dyDescent="0.25">
      <c r="I198" s="579">
        <v>25</v>
      </c>
      <c r="J198" s="579" t="s">
        <v>525</v>
      </c>
      <c r="K198" s="575" t="s">
        <v>417</v>
      </c>
      <c r="L198" s="575" t="s">
        <v>465</v>
      </c>
      <c r="M198" s="576">
        <v>17.600000000000001</v>
      </c>
      <c r="N198" s="577">
        <v>19000</v>
      </c>
      <c r="O198" s="577">
        <f>'Detalle Compras Septiembre 2026'!G1020</f>
        <v>334400</v>
      </c>
      <c r="P198" s="600"/>
    </row>
    <row r="199" spans="9:16" x14ac:dyDescent="0.25">
      <c r="I199" s="579">
        <v>25</v>
      </c>
      <c r="J199" s="579" t="s">
        <v>528</v>
      </c>
      <c r="K199" s="575" t="s">
        <v>500</v>
      </c>
      <c r="L199" s="575" t="s">
        <v>529</v>
      </c>
      <c r="M199" s="576">
        <v>7.15</v>
      </c>
      <c r="N199" s="577">
        <v>53000</v>
      </c>
      <c r="O199" s="577">
        <f>'Detalle Compras Septiembre 2026'!G1021</f>
        <v>378950</v>
      </c>
      <c r="P199" s="600"/>
    </row>
    <row r="200" spans="9:16" x14ac:dyDescent="0.25">
      <c r="I200" s="579">
        <v>25</v>
      </c>
      <c r="J200" s="579" t="s">
        <v>528</v>
      </c>
      <c r="K200" s="575" t="s">
        <v>443</v>
      </c>
      <c r="L200" s="575" t="s">
        <v>530</v>
      </c>
      <c r="M200" s="576">
        <v>3.6</v>
      </c>
      <c r="N200" s="577">
        <v>25000</v>
      </c>
      <c r="O200" s="577">
        <f>'Detalle Compras Septiembre 2026'!G1022</f>
        <v>90000</v>
      </c>
      <c r="P200" s="600"/>
    </row>
    <row r="201" spans="9:16" x14ac:dyDescent="0.25">
      <c r="I201" s="579">
        <v>25</v>
      </c>
      <c r="J201" s="579" t="s">
        <v>528</v>
      </c>
      <c r="K201" s="575" t="s">
        <v>382</v>
      </c>
      <c r="L201" s="575" t="s">
        <v>531</v>
      </c>
      <c r="M201" s="576">
        <v>11.6</v>
      </c>
      <c r="N201" s="577">
        <v>19000</v>
      </c>
      <c r="O201" s="577">
        <f>'Detalle Compras Septiembre 2026'!G1023</f>
        <v>220400</v>
      </c>
      <c r="P201" s="600"/>
    </row>
    <row r="202" spans="9:16" x14ac:dyDescent="0.25">
      <c r="I202" s="579">
        <v>25</v>
      </c>
      <c r="J202" s="579" t="s">
        <v>532</v>
      </c>
      <c r="K202" s="575" t="s">
        <v>515</v>
      </c>
      <c r="L202" s="575" t="s">
        <v>471</v>
      </c>
      <c r="M202" s="576">
        <v>20</v>
      </c>
      <c r="N202" s="577">
        <v>18200</v>
      </c>
      <c r="O202" s="577">
        <f>'Detalle Compras Septiembre 2026'!G1024</f>
        <v>364000</v>
      </c>
      <c r="P202" s="600"/>
    </row>
    <row r="203" spans="9:16" x14ac:dyDescent="0.25">
      <c r="I203" s="595" t="s">
        <v>533</v>
      </c>
      <c r="J203" s="595"/>
      <c r="K203" s="595"/>
      <c r="L203" s="595"/>
      <c r="M203" s="602">
        <f>SUM(M195:M202)</f>
        <v>103.44999999999999</v>
      </c>
      <c r="N203" s="603">
        <f>IF(M203&gt;0, O203/M203, 0)</f>
        <v>19925.084581923638</v>
      </c>
      <c r="O203" s="603">
        <f>SUM(O195:O202)</f>
        <v>2061250</v>
      </c>
      <c r="P203" s="600"/>
    </row>
    <row r="204" spans="9:16" x14ac:dyDescent="0.25">
      <c r="I204" s="579">
        <v>26</v>
      </c>
      <c r="J204" s="579" t="s">
        <v>534</v>
      </c>
      <c r="K204" s="575" t="s">
        <v>480</v>
      </c>
      <c r="L204" s="575" t="s">
        <v>481</v>
      </c>
      <c r="M204" s="576">
        <v>7730</v>
      </c>
      <c r="N204" s="577">
        <v>55</v>
      </c>
      <c r="O204" s="577">
        <f>'Detalle Compras Septiembre 2026'!G1033</f>
        <v>425150</v>
      </c>
      <c r="P204" s="600"/>
    </row>
    <row r="205" spans="9:16" x14ac:dyDescent="0.25">
      <c r="I205" s="579">
        <v>26</v>
      </c>
      <c r="J205" s="579" t="s">
        <v>534</v>
      </c>
      <c r="K205" s="575" t="s">
        <v>271</v>
      </c>
      <c r="L205" s="575" t="s">
        <v>271</v>
      </c>
      <c r="M205" s="576">
        <v>5000</v>
      </c>
      <c r="N205" s="577">
        <v>24</v>
      </c>
      <c r="O205" s="577">
        <f>'Detalle Compras Septiembre 2026'!G1034</f>
        <v>120000</v>
      </c>
      <c r="P205" s="600"/>
    </row>
    <row r="206" spans="9:16" x14ac:dyDescent="0.25">
      <c r="I206" s="579">
        <v>26</v>
      </c>
      <c r="J206" s="579" t="s">
        <v>534</v>
      </c>
      <c r="K206" s="575" t="s">
        <v>482</v>
      </c>
      <c r="L206" s="575" t="s">
        <v>483</v>
      </c>
      <c r="M206" s="576">
        <v>4820</v>
      </c>
      <c r="N206" s="577">
        <v>23</v>
      </c>
      <c r="O206" s="577">
        <f>'Detalle Compras Septiembre 2026'!G1035</f>
        <v>110860</v>
      </c>
      <c r="P206" s="600"/>
    </row>
    <row r="207" spans="9:16" x14ac:dyDescent="0.25">
      <c r="I207" s="579">
        <v>26</v>
      </c>
      <c r="J207" s="579" t="s">
        <v>535</v>
      </c>
      <c r="K207" s="575" t="s">
        <v>216</v>
      </c>
      <c r="L207" s="575" t="s">
        <v>376</v>
      </c>
      <c r="M207" s="576">
        <v>15.965</v>
      </c>
      <c r="N207" s="577">
        <v>34500</v>
      </c>
      <c r="O207" s="577">
        <f>'Detalle Compras Septiembre 2026'!G1047</f>
        <v>550793</v>
      </c>
      <c r="P207" s="600"/>
    </row>
    <row r="208" spans="9:16" x14ac:dyDescent="0.25">
      <c r="I208" s="579">
        <v>26</v>
      </c>
      <c r="J208" s="579" t="s">
        <v>535</v>
      </c>
      <c r="K208" s="575" t="s">
        <v>536</v>
      </c>
      <c r="L208" s="575" t="s">
        <v>475</v>
      </c>
      <c r="M208" s="576">
        <v>20.614999999999998</v>
      </c>
      <c r="N208" s="577">
        <v>22900</v>
      </c>
      <c r="O208" s="577">
        <f>'Detalle Compras Septiembre 2026'!G1048</f>
        <v>472084</v>
      </c>
      <c r="P208" s="600"/>
    </row>
    <row r="209" spans="9:16" x14ac:dyDescent="0.25">
      <c r="I209" s="579">
        <v>26</v>
      </c>
      <c r="J209" s="579" t="s">
        <v>535</v>
      </c>
      <c r="K209" s="575" t="s">
        <v>443</v>
      </c>
      <c r="L209" s="575" t="s">
        <v>537</v>
      </c>
      <c r="M209" s="576">
        <v>12.05</v>
      </c>
      <c r="N209" s="577">
        <v>23900</v>
      </c>
      <c r="O209" s="577">
        <f>'Detalle Compras Septiembre 2026'!G1049</f>
        <v>287995</v>
      </c>
      <c r="P209" s="600"/>
    </row>
    <row r="210" spans="9:16" x14ac:dyDescent="0.25">
      <c r="I210" s="595" t="s">
        <v>538</v>
      </c>
      <c r="J210" s="595"/>
      <c r="K210" s="595"/>
      <c r="L210" s="595"/>
      <c r="M210" s="602">
        <f>SUM(M204:M209)</f>
        <v>17598.63</v>
      </c>
      <c r="N210" s="603">
        <f>IF(M210&gt;0, O210/M210, 0)</f>
        <v>111.7633588523652</v>
      </c>
      <c r="O210" s="603">
        <f>SUM(O204:O209)</f>
        <v>1966882</v>
      </c>
      <c r="P210" s="600"/>
    </row>
    <row r="211" spans="9:16" x14ac:dyDescent="0.25">
      <c r="I211" s="579">
        <v>27</v>
      </c>
      <c r="J211" s="579" t="s">
        <v>539</v>
      </c>
      <c r="K211" s="575" t="s">
        <v>200</v>
      </c>
      <c r="L211" s="575" t="s">
        <v>461</v>
      </c>
      <c r="M211" s="576">
        <v>17.3</v>
      </c>
      <c r="N211" s="577">
        <v>18500</v>
      </c>
      <c r="O211" s="577">
        <f>'Detalle Compras Septiembre 2026'!G1052</f>
        <v>320050</v>
      </c>
      <c r="P211" s="600"/>
    </row>
    <row r="212" spans="9:16" x14ac:dyDescent="0.25">
      <c r="I212" s="595" t="s">
        <v>540</v>
      </c>
      <c r="J212" s="595"/>
      <c r="K212" s="595"/>
      <c r="L212" s="595"/>
      <c r="M212" s="602">
        <f>SUM(M211:M211)</f>
        <v>17.3</v>
      </c>
      <c r="N212" s="603">
        <f>IF(M212&gt;0, O212/M212, 0)</f>
        <v>18500</v>
      </c>
      <c r="O212" s="603">
        <f>SUM(O211:O211)</f>
        <v>320050</v>
      </c>
      <c r="P212" s="600"/>
    </row>
    <row r="213" spans="9:16" x14ac:dyDescent="0.25">
      <c r="I213" s="604" t="s">
        <v>541</v>
      </c>
      <c r="J213" s="604"/>
      <c r="K213" s="604"/>
      <c r="L213" s="604"/>
      <c r="M213" s="605">
        <f>M23+M28+M38+M47+M57+M67+M79+M92+M100+M110+M124+M131+M139+M142+M148+M161+M164+M172+M185+M191+M194+M203+M210+M212</f>
        <v>39339.416000000005</v>
      </c>
      <c r="N213" s="606">
        <f>IF(M213&gt;0, O213/M213, 0)</f>
        <v>1718.7284340977506</v>
      </c>
      <c r="O213" s="606">
        <f>O23+O28+O38+O47+O57+O67+O79+O92+O100+O110+O124+O131+O139+O142+O148+O161+O164+O172+O185+O191+O194+O203+O210+O212</f>
        <v>67613772.859999999</v>
      </c>
      <c r="P213" s="600"/>
    </row>
    <row r="214" spans="9:16" x14ac:dyDescent="0.25">
      <c r="I214" s="600"/>
      <c r="J214" s="600"/>
      <c r="K214" s="600"/>
      <c r="L214" s="600"/>
      <c r="M214" s="600"/>
      <c r="N214" s="600"/>
      <c r="O214" s="600"/>
      <c r="P214" s="600"/>
    </row>
    <row r="215" spans="9:16" x14ac:dyDescent="0.25">
      <c r="I215" s="600"/>
      <c r="J215" s="600"/>
      <c r="K215" s="600"/>
      <c r="L215" s="600"/>
      <c r="M215" s="600"/>
      <c r="N215" s="600"/>
      <c r="O215" s="600"/>
      <c r="P215" s="600"/>
    </row>
    <row r="216" spans="9:16" x14ac:dyDescent="0.25">
      <c r="I216" s="600"/>
      <c r="J216" s="600"/>
      <c r="K216" s="600"/>
      <c r="L216" s="600"/>
      <c r="M216" s="600"/>
      <c r="N216" s="600"/>
      <c r="O216" s="600"/>
      <c r="P216" s="600"/>
    </row>
    <row r="217" spans="9:16" x14ac:dyDescent="0.25">
      <c r="I217" s="600"/>
      <c r="J217" s="600"/>
      <c r="K217" s="600"/>
      <c r="L217" s="600"/>
      <c r="M217" s="600"/>
      <c r="N217" s="600"/>
      <c r="O217" s="600"/>
      <c r="P217" s="600"/>
    </row>
    <row r="218" spans="9:16" x14ac:dyDescent="0.25">
      <c r="I218" s="600"/>
      <c r="J218" s="600"/>
      <c r="K218" s="600"/>
      <c r="L218" s="600"/>
      <c r="M218" s="600"/>
      <c r="N218" s="600"/>
      <c r="O218" s="600"/>
      <c r="P218" s="600"/>
    </row>
    <row r="219" spans="9:16" x14ac:dyDescent="0.25">
      <c r="I219" s="600"/>
      <c r="J219" s="600"/>
      <c r="K219" s="600"/>
      <c r="L219" s="600"/>
      <c r="M219" s="600"/>
      <c r="N219" s="600"/>
      <c r="O219" s="600"/>
      <c r="P219" s="600"/>
    </row>
    <row r="220" spans="9:16" x14ac:dyDescent="0.25">
      <c r="I220" s="600"/>
      <c r="J220" s="600"/>
      <c r="K220" s="600"/>
      <c r="L220" s="600"/>
      <c r="M220" s="600"/>
      <c r="N220" s="600"/>
      <c r="O220" s="600"/>
      <c r="P220" s="600"/>
    </row>
    <row r="221" spans="9:16" x14ac:dyDescent="0.25">
      <c r="I221" s="600"/>
      <c r="J221" s="600"/>
      <c r="K221" s="600"/>
      <c r="L221" s="600"/>
      <c r="M221" s="600"/>
      <c r="N221" s="600"/>
      <c r="O221" s="600"/>
      <c r="P221" s="600"/>
    </row>
    <row r="222" spans="9:16" x14ac:dyDescent="0.25">
      <c r="I222" s="600"/>
      <c r="J222" s="600"/>
      <c r="K222" s="600"/>
      <c r="L222" s="600"/>
      <c r="M222" s="600"/>
      <c r="N222" s="600"/>
      <c r="O222" s="600"/>
      <c r="P222" s="600"/>
    </row>
    <row r="223" spans="9:16" x14ac:dyDescent="0.25">
      <c r="I223" s="600"/>
      <c r="J223" s="600"/>
      <c r="K223" s="600"/>
      <c r="L223" s="600"/>
      <c r="M223" s="600"/>
      <c r="N223" s="600"/>
      <c r="O223" s="600"/>
      <c r="P223" s="600"/>
    </row>
    <row r="224" spans="9:16" x14ac:dyDescent="0.25">
      <c r="I224" s="600"/>
      <c r="J224" s="600"/>
      <c r="K224" s="600"/>
      <c r="L224" s="600"/>
      <c r="M224" s="600"/>
      <c r="N224" s="600"/>
      <c r="O224" s="600"/>
      <c r="P224" s="600"/>
    </row>
    <row r="225" spans="9:16" x14ac:dyDescent="0.25">
      <c r="I225" s="600"/>
      <c r="J225" s="600"/>
      <c r="K225" s="600"/>
      <c r="L225" s="600"/>
      <c r="M225" s="600"/>
      <c r="N225" s="600"/>
      <c r="O225" s="600"/>
      <c r="P225" s="600"/>
    </row>
    <row r="226" spans="9:16" x14ac:dyDescent="0.25">
      <c r="I226" s="600"/>
      <c r="J226" s="600"/>
      <c r="K226" s="600"/>
      <c r="L226" s="600"/>
      <c r="M226" s="600"/>
      <c r="N226" s="600"/>
      <c r="O226" s="600"/>
      <c r="P226" s="600"/>
    </row>
    <row r="227" spans="9:16" x14ac:dyDescent="0.25">
      <c r="I227" s="600"/>
      <c r="J227" s="600"/>
      <c r="K227" s="600"/>
      <c r="L227" s="600"/>
      <c r="M227" s="600"/>
      <c r="N227" s="600"/>
      <c r="O227" s="600"/>
      <c r="P227" s="600"/>
    </row>
    <row r="228" spans="9:16" x14ac:dyDescent="0.25">
      <c r="I228" s="600"/>
      <c r="J228" s="600"/>
      <c r="K228" s="600"/>
      <c r="L228" s="600"/>
      <c r="M228" s="600"/>
      <c r="N228" s="600"/>
      <c r="O228" s="600"/>
      <c r="P228" s="600"/>
    </row>
    <row r="229" spans="9:16" x14ac:dyDescent="0.25">
      <c r="I229" s="600"/>
      <c r="J229" s="600"/>
      <c r="K229" s="600"/>
      <c r="L229" s="600"/>
      <c r="M229" s="600"/>
      <c r="N229" s="600"/>
      <c r="O229" s="600"/>
      <c r="P229" s="600"/>
    </row>
    <row r="230" spans="9:16" x14ac:dyDescent="0.25">
      <c r="I230" s="600"/>
      <c r="J230" s="600"/>
      <c r="K230" s="600"/>
      <c r="L230" s="600"/>
      <c r="M230" s="600"/>
      <c r="N230" s="600"/>
      <c r="O230" s="600"/>
      <c r="P230" s="600"/>
    </row>
    <row r="231" spans="9:16" x14ac:dyDescent="0.25">
      <c r="I231" s="600"/>
      <c r="J231" s="600"/>
      <c r="K231" s="600"/>
      <c r="L231" s="600"/>
      <c r="M231" s="600"/>
      <c r="N231" s="600"/>
      <c r="O231" s="600"/>
      <c r="P231" s="600"/>
    </row>
    <row r="232" spans="9:16" x14ac:dyDescent="0.25">
      <c r="I232" s="600"/>
      <c r="J232" s="600"/>
      <c r="K232" s="600"/>
      <c r="L232" s="600"/>
      <c r="M232" s="600"/>
      <c r="N232" s="600"/>
      <c r="O232" s="600"/>
      <c r="P232" s="600"/>
    </row>
    <row r="233" spans="9:16" x14ac:dyDescent="0.25">
      <c r="I233" s="600"/>
      <c r="J233" s="600"/>
      <c r="K233" s="600"/>
      <c r="L233" s="600"/>
      <c r="M233" s="600"/>
      <c r="N233" s="600"/>
      <c r="O233" s="600"/>
      <c r="P233" s="600"/>
    </row>
    <row r="234" spans="9:16" x14ac:dyDescent="0.25">
      <c r="I234" s="600"/>
      <c r="J234" s="600"/>
      <c r="K234" s="600"/>
      <c r="L234" s="600"/>
      <c r="M234" s="600"/>
      <c r="N234" s="600"/>
      <c r="O234" s="600"/>
      <c r="P234" s="600"/>
    </row>
    <row r="235" spans="9:16" x14ac:dyDescent="0.25">
      <c r="I235" s="600"/>
      <c r="J235" s="600"/>
      <c r="K235" s="600"/>
      <c r="L235" s="600"/>
      <c r="M235" s="600"/>
      <c r="N235" s="600"/>
      <c r="O235" s="600"/>
      <c r="P235" s="600"/>
    </row>
    <row r="236" spans="9:16" x14ac:dyDescent="0.25">
      <c r="I236" s="600"/>
      <c r="J236" s="600"/>
      <c r="K236" s="600"/>
      <c r="L236" s="600"/>
      <c r="M236" s="600"/>
      <c r="N236" s="600"/>
      <c r="O236" s="600"/>
      <c r="P236" s="600"/>
    </row>
    <row r="237" spans="9:16" x14ac:dyDescent="0.25">
      <c r="I237" s="600"/>
      <c r="J237" s="600"/>
      <c r="K237" s="600"/>
      <c r="L237" s="600"/>
      <c r="M237" s="600"/>
      <c r="N237" s="600"/>
      <c r="O237" s="600"/>
      <c r="P237" s="600"/>
    </row>
    <row r="238" spans="9:16" x14ac:dyDescent="0.25">
      <c r="I238" s="600"/>
      <c r="J238" s="600"/>
      <c r="K238" s="600"/>
      <c r="L238" s="600"/>
      <c r="M238" s="600"/>
      <c r="N238" s="600"/>
      <c r="O238" s="600"/>
      <c r="P238" s="600"/>
    </row>
    <row r="239" spans="9:16" x14ac:dyDescent="0.25">
      <c r="I239" s="600"/>
      <c r="J239" s="600"/>
      <c r="K239" s="600"/>
      <c r="L239" s="600"/>
      <c r="M239" s="600"/>
      <c r="N239" s="600"/>
      <c r="O239" s="600"/>
      <c r="P239" s="600"/>
    </row>
    <row r="240" spans="9:16" x14ac:dyDescent="0.25">
      <c r="I240" s="600"/>
      <c r="J240" s="600"/>
      <c r="K240" s="600"/>
      <c r="L240" s="600"/>
      <c r="M240" s="600"/>
      <c r="N240" s="600"/>
      <c r="O240" s="600"/>
      <c r="P240" s="600"/>
    </row>
    <row r="241" spans="9:16" x14ac:dyDescent="0.25">
      <c r="I241" s="600"/>
      <c r="J241" s="600"/>
      <c r="K241" s="600"/>
      <c r="L241" s="600"/>
      <c r="M241" s="600"/>
      <c r="N241" s="600"/>
      <c r="O241" s="600"/>
      <c r="P241" s="600"/>
    </row>
    <row r="242" spans="9:16" x14ac:dyDescent="0.25">
      <c r="I242" s="600"/>
      <c r="J242" s="600"/>
      <c r="K242" s="600"/>
      <c r="L242" s="600"/>
      <c r="M242" s="600"/>
      <c r="N242" s="600"/>
      <c r="O242" s="600"/>
      <c r="P242" s="600"/>
    </row>
    <row r="243" spans="9:16" x14ac:dyDescent="0.25">
      <c r="I243" s="600"/>
      <c r="J243" s="600"/>
      <c r="K243" s="600"/>
      <c r="L243" s="600"/>
      <c r="M243" s="600"/>
      <c r="N243" s="600"/>
      <c r="O243" s="600"/>
      <c r="P243" s="600"/>
    </row>
    <row r="244" spans="9:16" x14ac:dyDescent="0.25">
      <c r="I244" s="600"/>
      <c r="J244" s="600"/>
      <c r="K244" s="600"/>
      <c r="L244" s="600"/>
      <c r="M244" s="600"/>
      <c r="N244" s="600"/>
      <c r="O244" s="600"/>
      <c r="P244" s="600"/>
    </row>
    <row r="245" spans="9:16" x14ac:dyDescent="0.25">
      <c r="I245" s="600"/>
      <c r="J245" s="600"/>
      <c r="K245" s="600"/>
      <c r="L245" s="600"/>
      <c r="M245" s="600"/>
      <c r="N245" s="600"/>
      <c r="O245" s="600"/>
      <c r="P245" s="600"/>
    </row>
    <row r="246" spans="9:16" x14ac:dyDescent="0.25">
      <c r="I246" s="600"/>
      <c r="J246" s="600"/>
      <c r="K246" s="600"/>
      <c r="L246" s="600"/>
      <c r="M246" s="600"/>
      <c r="N246" s="600"/>
      <c r="O246" s="600"/>
      <c r="P246" s="600"/>
    </row>
    <row r="247" spans="9:16" x14ac:dyDescent="0.25">
      <c r="I247" s="600"/>
      <c r="J247" s="600"/>
      <c r="K247" s="600"/>
      <c r="L247" s="600"/>
      <c r="M247" s="600"/>
      <c r="N247" s="600"/>
      <c r="O247" s="600"/>
      <c r="P247" s="600"/>
    </row>
    <row r="248" spans="9:16" x14ac:dyDescent="0.25">
      <c r="I248" s="600"/>
      <c r="J248" s="600"/>
      <c r="K248" s="600"/>
      <c r="L248" s="600"/>
      <c r="M248" s="600"/>
      <c r="N248" s="600"/>
      <c r="O248" s="600"/>
      <c r="P248" s="600"/>
    </row>
    <row r="249" spans="9:16" x14ac:dyDescent="0.25">
      <c r="I249" s="600"/>
      <c r="J249" s="600"/>
      <c r="K249" s="600"/>
      <c r="L249" s="600"/>
      <c r="M249" s="600"/>
      <c r="N249" s="600"/>
      <c r="O249" s="600"/>
      <c r="P249" s="600"/>
    </row>
    <row r="250" spans="9:16" x14ac:dyDescent="0.25">
      <c r="I250" s="600"/>
      <c r="J250" s="600"/>
      <c r="K250" s="600"/>
      <c r="L250" s="600"/>
      <c r="M250" s="600"/>
      <c r="N250" s="600"/>
      <c r="O250" s="600"/>
      <c r="P250" s="600"/>
    </row>
    <row r="251" spans="9:16" x14ac:dyDescent="0.25">
      <c r="I251" s="600"/>
      <c r="J251" s="600"/>
      <c r="K251" s="600"/>
      <c r="L251" s="600"/>
      <c r="M251" s="600"/>
      <c r="N251" s="600"/>
      <c r="O251" s="600"/>
      <c r="P251" s="600"/>
    </row>
    <row r="252" spans="9:16" x14ac:dyDescent="0.25">
      <c r="I252" s="600"/>
      <c r="J252" s="600"/>
      <c r="K252" s="600"/>
      <c r="L252" s="600"/>
      <c r="M252" s="600"/>
      <c r="N252" s="600"/>
      <c r="O252" s="600"/>
      <c r="P252" s="600"/>
    </row>
    <row r="253" spans="9:16" x14ac:dyDescent="0.25">
      <c r="I253" s="600"/>
      <c r="J253" s="600"/>
      <c r="K253" s="600"/>
      <c r="L253" s="600"/>
      <c r="M253" s="600"/>
      <c r="N253" s="600"/>
      <c r="O253" s="600"/>
      <c r="P253" s="600"/>
    </row>
    <row r="254" spans="9:16" x14ac:dyDescent="0.25">
      <c r="I254" s="600"/>
      <c r="J254" s="600"/>
      <c r="K254" s="600"/>
      <c r="L254" s="600"/>
      <c r="M254" s="600"/>
      <c r="N254" s="600"/>
      <c r="O254" s="600"/>
      <c r="P254" s="600"/>
    </row>
    <row r="255" spans="9:16" x14ac:dyDescent="0.25">
      <c r="I255" s="600"/>
      <c r="J255" s="600"/>
      <c r="K255" s="600"/>
      <c r="L255" s="600"/>
      <c r="M255" s="600"/>
      <c r="N255" s="600"/>
      <c r="O255" s="600"/>
      <c r="P255" s="600"/>
    </row>
    <row r="256" spans="9:16" x14ac:dyDescent="0.25">
      <c r="I256" s="600"/>
      <c r="J256" s="600"/>
      <c r="K256" s="600"/>
      <c r="L256" s="600"/>
      <c r="M256" s="600"/>
      <c r="N256" s="600"/>
      <c r="O256" s="600"/>
      <c r="P256" s="600"/>
    </row>
    <row r="257" spans="9:16" x14ac:dyDescent="0.25">
      <c r="I257" s="600"/>
      <c r="J257" s="600"/>
      <c r="K257" s="600"/>
      <c r="L257" s="600"/>
      <c r="M257" s="600"/>
      <c r="N257" s="600"/>
      <c r="O257" s="600"/>
      <c r="P257" s="600"/>
    </row>
    <row r="258" spans="9:16" x14ac:dyDescent="0.25">
      <c r="I258" s="600"/>
      <c r="J258" s="600"/>
      <c r="K258" s="600"/>
      <c r="L258" s="600"/>
      <c r="M258" s="600"/>
      <c r="N258" s="600"/>
      <c r="O258" s="600"/>
      <c r="P258" s="600"/>
    </row>
    <row r="259" spans="9:16" x14ac:dyDescent="0.25">
      <c r="I259" s="600"/>
      <c r="J259" s="600"/>
      <c r="K259" s="600"/>
      <c r="L259" s="600"/>
      <c r="M259" s="600"/>
      <c r="N259" s="600"/>
      <c r="O259" s="600"/>
      <c r="P259" s="600"/>
    </row>
    <row r="260" spans="9:16" x14ac:dyDescent="0.25">
      <c r="I260" s="600"/>
      <c r="J260" s="600"/>
      <c r="K260" s="600"/>
      <c r="L260" s="600"/>
      <c r="M260" s="600"/>
      <c r="N260" s="600"/>
      <c r="O260" s="600"/>
      <c r="P260" s="600"/>
    </row>
    <row r="261" spans="9:16" x14ac:dyDescent="0.25">
      <c r="I261" s="600"/>
      <c r="J261" s="600"/>
      <c r="K261" s="600"/>
      <c r="L261" s="600"/>
      <c r="M261" s="600"/>
      <c r="N261" s="600"/>
      <c r="O261" s="600"/>
      <c r="P261" s="600"/>
    </row>
    <row r="262" spans="9:16" x14ac:dyDescent="0.25">
      <c r="I262" s="600"/>
      <c r="J262" s="600"/>
      <c r="K262" s="600"/>
      <c r="L262" s="600"/>
      <c r="M262" s="600"/>
      <c r="N262" s="600"/>
      <c r="O262" s="600"/>
      <c r="P262" s="600"/>
    </row>
    <row r="263" spans="9:16" x14ac:dyDescent="0.25">
      <c r="I263" s="600"/>
      <c r="J263" s="600"/>
      <c r="K263" s="600"/>
      <c r="L263" s="600"/>
      <c r="M263" s="600"/>
      <c r="N263" s="600"/>
      <c r="O263" s="600"/>
      <c r="P263" s="600"/>
    </row>
    <row r="264" spans="9:16" x14ac:dyDescent="0.25">
      <c r="I264" s="600"/>
      <c r="J264" s="600"/>
      <c r="K264" s="600"/>
      <c r="L264" s="600"/>
      <c r="M264" s="600"/>
      <c r="N264" s="600"/>
      <c r="O264" s="600"/>
      <c r="P264" s="600"/>
    </row>
    <row r="265" spans="9:16" x14ac:dyDescent="0.25">
      <c r="I265" s="600"/>
      <c r="J265" s="600"/>
      <c r="K265" s="600"/>
      <c r="L265" s="600"/>
      <c r="M265" s="600"/>
      <c r="N265" s="600"/>
      <c r="O265" s="600"/>
      <c r="P265" s="600"/>
    </row>
    <row r="266" spans="9:16" x14ac:dyDescent="0.25">
      <c r="I266" s="600"/>
      <c r="J266" s="600"/>
      <c r="K266" s="600"/>
      <c r="L266" s="600"/>
      <c r="M266" s="600"/>
      <c r="N266" s="600"/>
      <c r="O266" s="600"/>
      <c r="P266" s="600"/>
    </row>
    <row r="267" spans="9:16" x14ac:dyDescent="0.25">
      <c r="I267" s="600"/>
      <c r="J267" s="600"/>
      <c r="K267" s="600"/>
      <c r="L267" s="600"/>
      <c r="M267" s="600"/>
      <c r="N267" s="600"/>
      <c r="O267" s="600"/>
      <c r="P267" s="600"/>
    </row>
    <row r="268" spans="9:16" x14ac:dyDescent="0.25">
      <c r="I268" s="600"/>
      <c r="J268" s="600"/>
      <c r="K268" s="600"/>
      <c r="L268" s="600"/>
      <c r="M268" s="600"/>
      <c r="N268" s="600"/>
      <c r="O268" s="600"/>
      <c r="P268" s="600"/>
    </row>
    <row r="269" spans="9:16" x14ac:dyDescent="0.25">
      <c r="I269" s="600"/>
      <c r="J269" s="600"/>
      <c r="K269" s="600"/>
      <c r="L269" s="600"/>
      <c r="M269" s="600"/>
      <c r="N269" s="600"/>
      <c r="O269" s="600"/>
      <c r="P269" s="600"/>
    </row>
    <row r="270" spans="9:16" x14ac:dyDescent="0.25">
      <c r="I270" s="600"/>
      <c r="J270" s="600"/>
      <c r="K270" s="600"/>
      <c r="L270" s="600"/>
      <c r="M270" s="600"/>
      <c r="N270" s="600"/>
      <c r="O270" s="600"/>
      <c r="P270" s="600"/>
    </row>
    <row r="271" spans="9:16" x14ac:dyDescent="0.25">
      <c r="I271" s="600"/>
      <c r="J271" s="600"/>
      <c r="K271" s="600"/>
      <c r="L271" s="600"/>
      <c r="M271" s="600"/>
      <c r="N271" s="600"/>
      <c r="O271" s="600"/>
      <c r="P271" s="600"/>
    </row>
    <row r="272" spans="9:16" x14ac:dyDescent="0.25">
      <c r="I272" s="600"/>
      <c r="J272" s="600"/>
      <c r="K272" s="600"/>
      <c r="L272" s="600"/>
      <c r="M272" s="600"/>
      <c r="N272" s="600"/>
      <c r="O272" s="600"/>
      <c r="P272" s="600"/>
    </row>
    <row r="273" spans="9:16" x14ac:dyDescent="0.25">
      <c r="I273" s="600"/>
      <c r="J273" s="600"/>
      <c r="K273" s="600"/>
      <c r="L273" s="600"/>
      <c r="M273" s="600"/>
      <c r="N273" s="600"/>
      <c r="O273" s="600"/>
      <c r="P273" s="600"/>
    </row>
    <row r="274" spans="9:16" x14ac:dyDescent="0.25">
      <c r="I274" s="600"/>
      <c r="J274" s="600"/>
      <c r="K274" s="600"/>
      <c r="L274" s="600"/>
      <c r="M274" s="600"/>
      <c r="N274" s="600"/>
      <c r="O274" s="600"/>
      <c r="P274" s="600"/>
    </row>
    <row r="275" spans="9:16" x14ac:dyDescent="0.25">
      <c r="I275" s="600"/>
      <c r="J275" s="600"/>
      <c r="K275" s="600"/>
      <c r="L275" s="600"/>
      <c r="M275" s="600"/>
      <c r="N275" s="600"/>
      <c r="O275" s="600"/>
      <c r="P275" s="600"/>
    </row>
    <row r="276" spans="9:16" x14ac:dyDescent="0.25">
      <c r="I276" s="600"/>
      <c r="J276" s="600"/>
      <c r="K276" s="600"/>
      <c r="L276" s="600"/>
      <c r="M276" s="600"/>
      <c r="N276" s="600"/>
      <c r="O276" s="600"/>
      <c r="P276" s="600"/>
    </row>
    <row r="277" spans="9:16" x14ac:dyDescent="0.25">
      <c r="I277" s="600"/>
      <c r="J277" s="600"/>
      <c r="K277" s="600"/>
      <c r="L277" s="600"/>
      <c r="M277" s="600"/>
      <c r="N277" s="600"/>
      <c r="O277" s="600"/>
      <c r="P277" s="600"/>
    </row>
    <row r="278" spans="9:16" x14ac:dyDescent="0.25">
      <c r="I278" s="600"/>
      <c r="J278" s="600"/>
      <c r="K278" s="600"/>
      <c r="L278" s="600"/>
      <c r="M278" s="600"/>
      <c r="N278" s="600"/>
      <c r="O278" s="600"/>
      <c r="P278" s="600"/>
    </row>
    <row r="279" spans="9:16" x14ac:dyDescent="0.25">
      <c r="I279" s="600"/>
      <c r="J279" s="600"/>
      <c r="K279" s="600"/>
      <c r="L279" s="600"/>
      <c r="M279" s="600"/>
      <c r="N279" s="600"/>
      <c r="O279" s="600"/>
      <c r="P279" s="600"/>
    </row>
    <row r="280" spans="9:16" x14ac:dyDescent="0.25">
      <c r="I280" s="600"/>
      <c r="J280" s="600"/>
      <c r="K280" s="600"/>
      <c r="L280" s="600"/>
      <c r="M280" s="600"/>
      <c r="N280" s="600"/>
      <c r="O280" s="600"/>
      <c r="P280" s="600"/>
    </row>
    <row r="281" spans="9:16" x14ac:dyDescent="0.25">
      <c r="I281" s="600"/>
      <c r="J281" s="600"/>
      <c r="K281" s="600"/>
      <c r="L281" s="600"/>
      <c r="M281" s="600"/>
      <c r="N281" s="600"/>
      <c r="O281" s="600"/>
      <c r="P281" s="600"/>
    </row>
    <row r="282" spans="9:16" x14ac:dyDescent="0.25">
      <c r="I282" s="600"/>
      <c r="J282" s="600"/>
      <c r="K282" s="600"/>
      <c r="L282" s="600"/>
      <c r="M282" s="600"/>
      <c r="N282" s="600"/>
      <c r="O282" s="600"/>
      <c r="P282" s="600"/>
    </row>
    <row r="283" spans="9:16" x14ac:dyDescent="0.25">
      <c r="I283" s="600"/>
      <c r="J283" s="600"/>
      <c r="K283" s="600"/>
      <c r="L283" s="600"/>
      <c r="M283" s="600"/>
      <c r="N283" s="600"/>
      <c r="O283" s="600"/>
      <c r="P283" s="600"/>
    </row>
    <row r="284" spans="9:16" x14ac:dyDescent="0.25">
      <c r="I284" s="600"/>
      <c r="J284" s="600"/>
      <c r="K284" s="600"/>
      <c r="L284" s="600"/>
      <c r="M284" s="600"/>
      <c r="N284" s="600"/>
      <c r="O284" s="600"/>
      <c r="P284" s="600"/>
    </row>
    <row r="285" spans="9:16" x14ac:dyDescent="0.25">
      <c r="I285" s="600"/>
      <c r="J285" s="600"/>
      <c r="K285" s="600"/>
      <c r="L285" s="600"/>
      <c r="M285" s="600"/>
      <c r="N285" s="600"/>
      <c r="O285" s="600"/>
      <c r="P285" s="600"/>
    </row>
    <row r="286" spans="9:16" x14ac:dyDescent="0.25">
      <c r="I286" s="600"/>
      <c r="J286" s="600"/>
      <c r="K286" s="600"/>
      <c r="L286" s="600"/>
      <c r="M286" s="600"/>
      <c r="N286" s="600"/>
      <c r="O286" s="600"/>
      <c r="P286" s="600"/>
    </row>
    <row r="287" spans="9:16" x14ac:dyDescent="0.25">
      <c r="I287" s="600"/>
      <c r="J287" s="600"/>
      <c r="K287" s="600"/>
      <c r="L287" s="600"/>
      <c r="M287" s="600"/>
      <c r="N287" s="600"/>
      <c r="O287" s="600"/>
      <c r="P287" s="600"/>
    </row>
    <row r="288" spans="9:16" x14ac:dyDescent="0.25">
      <c r="I288" s="600"/>
      <c r="J288" s="600"/>
      <c r="K288" s="600"/>
      <c r="L288" s="600"/>
      <c r="M288" s="600"/>
      <c r="N288" s="600"/>
      <c r="O288" s="600"/>
      <c r="P288" s="600"/>
    </row>
    <row r="289" spans="9:16" x14ac:dyDescent="0.25">
      <c r="I289" s="600"/>
      <c r="J289" s="600"/>
      <c r="K289" s="600"/>
      <c r="L289" s="600"/>
      <c r="M289" s="600"/>
      <c r="N289" s="600"/>
      <c r="O289" s="600"/>
      <c r="P289" s="600"/>
    </row>
    <row r="290" spans="9:16" x14ac:dyDescent="0.25">
      <c r="I290" s="600"/>
      <c r="J290" s="600"/>
      <c r="K290" s="600"/>
      <c r="L290" s="600"/>
      <c r="M290" s="600"/>
      <c r="N290" s="600"/>
      <c r="O290" s="600"/>
      <c r="P290" s="600"/>
    </row>
    <row r="291" spans="9:16" x14ac:dyDescent="0.25">
      <c r="I291" s="600"/>
      <c r="J291" s="600"/>
      <c r="K291" s="600"/>
      <c r="L291" s="600"/>
      <c r="M291" s="600"/>
      <c r="N291" s="600"/>
      <c r="O291" s="600"/>
      <c r="P291" s="600"/>
    </row>
    <row r="292" spans="9:16" x14ac:dyDescent="0.25">
      <c r="I292" s="600"/>
      <c r="J292" s="600"/>
      <c r="K292" s="600"/>
      <c r="L292" s="600"/>
      <c r="M292" s="600"/>
      <c r="N292" s="600"/>
      <c r="O292" s="600"/>
      <c r="P292" s="600"/>
    </row>
    <row r="293" spans="9:16" x14ac:dyDescent="0.25">
      <c r="I293" s="600"/>
      <c r="J293" s="600"/>
      <c r="K293" s="600"/>
      <c r="L293" s="600"/>
      <c r="M293" s="600"/>
      <c r="N293" s="600"/>
      <c r="O293" s="600"/>
      <c r="P293" s="600"/>
    </row>
    <row r="294" spans="9:16" x14ac:dyDescent="0.25">
      <c r="I294" s="600"/>
      <c r="J294" s="600"/>
      <c r="K294" s="600"/>
      <c r="L294" s="600"/>
      <c r="M294" s="600"/>
      <c r="N294" s="600"/>
      <c r="O294" s="600"/>
      <c r="P294" s="600"/>
    </row>
    <row r="295" spans="9:16" x14ac:dyDescent="0.25">
      <c r="I295" s="600"/>
      <c r="J295" s="600"/>
      <c r="K295" s="600"/>
      <c r="L295" s="600"/>
      <c r="M295" s="600"/>
      <c r="N295" s="600"/>
      <c r="O295" s="600"/>
      <c r="P295" s="600"/>
    </row>
    <row r="296" spans="9:16" x14ac:dyDescent="0.25">
      <c r="I296" s="600"/>
      <c r="J296" s="600"/>
      <c r="K296" s="600"/>
      <c r="L296" s="600"/>
      <c r="M296" s="600"/>
      <c r="N296" s="600"/>
      <c r="O296" s="600"/>
      <c r="P296" s="600"/>
    </row>
    <row r="297" spans="9:16" x14ac:dyDescent="0.25">
      <c r="I297" s="600"/>
      <c r="J297" s="600"/>
      <c r="K297" s="600"/>
      <c r="L297" s="600"/>
      <c r="M297" s="600"/>
      <c r="N297" s="600"/>
      <c r="O297" s="600"/>
      <c r="P297" s="600"/>
    </row>
    <row r="298" spans="9:16" x14ac:dyDescent="0.25">
      <c r="I298" s="600"/>
      <c r="J298" s="600"/>
      <c r="K298" s="600"/>
      <c r="L298" s="600"/>
      <c r="M298" s="600"/>
      <c r="N298" s="600"/>
      <c r="O298" s="600"/>
      <c r="P298" s="600"/>
    </row>
    <row r="299" spans="9:16" x14ac:dyDescent="0.25">
      <c r="I299" s="600"/>
      <c r="J299" s="600"/>
      <c r="K299" s="600"/>
      <c r="L299" s="600"/>
      <c r="M299" s="600"/>
      <c r="N299" s="600"/>
      <c r="O299" s="600"/>
      <c r="P299" s="600"/>
    </row>
    <row r="300" spans="9:16" x14ac:dyDescent="0.25">
      <c r="I300" s="600"/>
      <c r="J300" s="600"/>
      <c r="K300" s="600"/>
      <c r="L300" s="600"/>
      <c r="M300" s="600"/>
      <c r="N300" s="600"/>
      <c r="O300" s="600"/>
      <c r="P300" s="600"/>
    </row>
    <row r="301" spans="9:16" x14ac:dyDescent="0.25">
      <c r="I301" s="600"/>
      <c r="J301" s="600"/>
      <c r="K301" s="600"/>
      <c r="L301" s="600"/>
      <c r="M301" s="600"/>
      <c r="N301" s="600"/>
      <c r="O301" s="600"/>
      <c r="P301" s="600"/>
    </row>
    <row r="302" spans="9:16" x14ac:dyDescent="0.25">
      <c r="I302" s="600"/>
      <c r="J302" s="600"/>
      <c r="K302" s="600"/>
      <c r="L302" s="600"/>
      <c r="M302" s="600"/>
      <c r="N302" s="600"/>
      <c r="O302" s="600"/>
      <c r="P302" s="600"/>
    </row>
    <row r="303" spans="9:16" x14ac:dyDescent="0.25">
      <c r="I303" s="600"/>
      <c r="J303" s="600"/>
      <c r="K303" s="600"/>
      <c r="L303" s="600"/>
      <c r="M303" s="600"/>
      <c r="N303" s="600"/>
      <c r="O303" s="600"/>
      <c r="P303" s="600"/>
    </row>
    <row r="304" spans="9:16" x14ac:dyDescent="0.25">
      <c r="I304" s="600"/>
      <c r="J304" s="600"/>
      <c r="K304" s="600"/>
      <c r="L304" s="600"/>
      <c r="M304" s="600"/>
      <c r="N304" s="600"/>
      <c r="O304" s="600"/>
      <c r="P304" s="600"/>
    </row>
    <row r="305" spans="9:16" x14ac:dyDescent="0.25">
      <c r="I305" s="600"/>
      <c r="J305" s="600"/>
      <c r="K305" s="600"/>
      <c r="L305" s="600"/>
      <c r="M305" s="600"/>
      <c r="N305" s="600"/>
      <c r="O305" s="600"/>
      <c r="P305" s="600"/>
    </row>
    <row r="306" spans="9:16" x14ac:dyDescent="0.25">
      <c r="I306" s="600"/>
      <c r="J306" s="600"/>
      <c r="K306" s="600"/>
      <c r="L306" s="600"/>
      <c r="M306" s="600"/>
      <c r="N306" s="600"/>
      <c r="O306" s="600"/>
      <c r="P306" s="600"/>
    </row>
    <row r="307" spans="9:16" x14ac:dyDescent="0.25">
      <c r="I307" s="600"/>
      <c r="J307" s="600"/>
      <c r="K307" s="600"/>
      <c r="L307" s="600"/>
      <c r="M307" s="600"/>
      <c r="N307" s="600"/>
      <c r="O307" s="600"/>
      <c r="P307" s="600"/>
    </row>
    <row r="308" spans="9:16" x14ac:dyDescent="0.25">
      <c r="I308" s="600"/>
      <c r="J308" s="600"/>
      <c r="K308" s="600"/>
      <c r="L308" s="600"/>
      <c r="M308" s="600"/>
      <c r="N308" s="600"/>
      <c r="O308" s="600"/>
      <c r="P308" s="600"/>
    </row>
    <row r="309" spans="9:16" x14ac:dyDescent="0.25">
      <c r="I309" s="600"/>
      <c r="J309" s="600"/>
      <c r="K309" s="600"/>
      <c r="L309" s="600"/>
      <c r="M309" s="600"/>
      <c r="N309" s="600"/>
      <c r="O309" s="600"/>
      <c r="P309" s="600"/>
    </row>
    <row r="310" spans="9:16" x14ac:dyDescent="0.25">
      <c r="I310" s="600"/>
      <c r="J310" s="600"/>
      <c r="K310" s="600"/>
      <c r="L310" s="600"/>
      <c r="M310" s="600"/>
      <c r="N310" s="600"/>
      <c r="O310" s="600"/>
      <c r="P310" s="600"/>
    </row>
    <row r="311" spans="9:16" x14ac:dyDescent="0.25">
      <c r="I311" s="600"/>
      <c r="J311" s="600"/>
      <c r="K311" s="600"/>
      <c r="L311" s="600"/>
      <c r="M311" s="600"/>
      <c r="N311" s="600"/>
      <c r="O311" s="600"/>
      <c r="P311" s="600"/>
    </row>
    <row r="312" spans="9:16" x14ac:dyDescent="0.25">
      <c r="I312" s="600"/>
      <c r="J312" s="600"/>
      <c r="K312" s="600"/>
      <c r="L312" s="600"/>
      <c r="M312" s="600"/>
      <c r="N312" s="600"/>
      <c r="O312" s="600"/>
      <c r="P312" s="600"/>
    </row>
  </sheetData>
  <autoFilter ref="I9:O156" xr:uid="{00000000-0009-0000-0000-000002000000}">
    <filterColumn colId="3">
      <filters>
        <filter val="CAMARON DE CULTIVO PRECOCIDO 91-110P (Carnes Los Monos - YP24244)"/>
        <filter val="CAMARON DE CULTIVO PRECOCIDO 91-110P (Carnes Los Monos - YP24314)"/>
        <filter val="COSTILLA DE CERDO (Distribuidora de Carnes ET Los Monos - Factura YP24490)"/>
        <filter val="COSTILLA DE CERDO IBP 244L (Carnes Los Monos - YP24314)"/>
        <filter val="COSTILLA DE CERDO IBP 244M (Carnes Los Monos - YP24140)"/>
        <filter val="COSTILLA DE RES DELANTERA (Carnes Los Monos - YP24244)"/>
        <filter val="COSTILLA SAN LUIS JUNIOR T/M (Carnes Los Monos - YP24244)"/>
        <filter val="LENGUA DE RES (Distribuidora de Carnes ET Los Monos - Factura YP24490)"/>
        <filter val="LENGUA DE RES IMP X KL (Carnes Los Monos - YP24140)"/>
        <filter val="LENGUA DE RES IMP X KL (Carnes Los Monos - YP24314)"/>
        <filter val="LOMO CARACHO (Distribuidora de Carnes ET Los Monos - Factura YP24490)"/>
        <filter val="LOMO CARACHO PORCIONADO PARRILLA (Carnes Los Monos - YP24244)"/>
        <filter val="MORRILLO DE RES (Carnes Los Monos - MY8683)"/>
        <filter val="PUNTA DE ANCA CERDO (Distribuidora de Carnes ET Los Monos - Factura YP24490)"/>
        <filter val="PUNTA DE ANCA IMP PORC. PARRILLA (Carnes Los Monos - YP24244)"/>
        <filter val="SOBACO (Carnes Los Monos - MY8683)"/>
        <filter val="SOBACO (Carnes Los Monos - YP24140)"/>
        <filter val="SOBACO (Carnes Los Monos - YP24244)"/>
        <filter val="SOBACO (Carnes Los Monos - YP24314)"/>
        <filter val="SOBACO (Distribuidora de Carnes ET Los Monos - Factura YP24490)"/>
        <filter val="SOBREBARRIGA DELGADA (Carnes Los Monos - MY8683)"/>
        <filter val="SOBREBARRIGA DELGADA (Carnes Los Monos - YP24140)"/>
        <filter val="SOBREBARRIGA DELGADA (Carnes Los Monos - YP24244)"/>
        <filter val="TOCINETA BARRIL (Carnes Los Monos - YP24152)"/>
        <filter val="TOCINETA BARRIL (Carnes Los Monos - YP24244)"/>
        <filter val="TOCINETA BARRIL (Carnes Los Monos - YP24314)"/>
        <filter val="TOCINETA BARRIL (Distribuidora de Carnes ET Los Monos - Factura YP24490)"/>
        <filter val="TROZOS DE PECHUGA (Carnes Los Monos - YP24314)"/>
      </filters>
    </filterColumn>
  </autoFilter>
  <mergeCells count="8">
    <mergeCell ref="B2:H2"/>
    <mergeCell ref="B3:H3"/>
    <mergeCell ref="D6:E6"/>
    <mergeCell ref="B6:C6"/>
    <mergeCell ref="I8:O8"/>
    <mergeCell ref="B5:C5"/>
    <mergeCell ref="D5:E5"/>
    <mergeCell ref="B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442"/>
  <sheetViews>
    <sheetView topLeftCell="A55" workbookViewId="0">
      <selection activeCell="R12" sqref="R12"/>
    </sheetView>
  </sheetViews>
  <sheetFormatPr baseColWidth="10" defaultColWidth="8.7109375" defaultRowHeight="15" x14ac:dyDescent="0.25"/>
  <cols>
    <col min="1" max="1" width="4" style="565" customWidth="1"/>
    <col min="2" max="2" width="8" style="565" customWidth="1"/>
    <col min="3" max="3" width="20" style="565" customWidth="1"/>
    <col min="4" max="4" width="28" style="565" customWidth="1"/>
    <col min="5" max="5" width="38" style="565" customWidth="1"/>
    <col min="6" max="6" width="15.42578125" style="565" bestFit="1" customWidth="1"/>
    <col min="7" max="7" width="16" style="565" customWidth="1"/>
    <col min="8" max="8" width="18" style="565" customWidth="1"/>
    <col min="9" max="9" width="3.42578125" style="565" bestFit="1" customWidth="1"/>
    <col min="10" max="10" width="21.85546875" style="565" bestFit="1" customWidth="1"/>
    <col min="11" max="11" width="25.5703125" style="565" bestFit="1" customWidth="1"/>
    <col min="12" max="12" width="53" style="565" bestFit="1" customWidth="1"/>
    <col min="13" max="13" width="14" style="565" bestFit="1" customWidth="1"/>
    <col min="14" max="14" width="18.42578125" style="565" bestFit="1" customWidth="1"/>
    <col min="15" max="15" width="9.85546875" style="565" bestFit="1" customWidth="1"/>
    <col min="16" max="16" width="17.28515625" style="565" bestFit="1" customWidth="1"/>
    <col min="17" max="17" width="18.140625" style="565" bestFit="1" customWidth="1"/>
    <col min="18" max="18" width="16.85546875" style="565" bestFit="1" customWidth="1"/>
  </cols>
  <sheetData>
    <row r="2" spans="2:21" ht="27.95" customHeight="1" x14ac:dyDescent="0.25">
      <c r="B2" s="677" t="s">
        <v>542</v>
      </c>
      <c r="C2" s="642"/>
      <c r="D2" s="642"/>
      <c r="E2" s="642"/>
      <c r="F2" s="642"/>
      <c r="G2" s="642"/>
      <c r="H2" s="642"/>
    </row>
    <row r="3" spans="2:21" ht="18" customHeight="1" x14ac:dyDescent="0.25">
      <c r="B3" s="678" t="s">
        <v>543</v>
      </c>
      <c r="C3" s="642"/>
      <c r="D3" s="642"/>
      <c r="E3" s="642"/>
      <c r="F3" s="642"/>
      <c r="G3" s="642"/>
      <c r="H3" s="642"/>
    </row>
    <row r="5" spans="2:21" ht="18" customHeight="1" x14ac:dyDescent="0.25">
      <c r="B5" s="682" t="s">
        <v>544</v>
      </c>
      <c r="C5" s="672"/>
      <c r="D5" s="682" t="s">
        <v>545</v>
      </c>
      <c r="E5" s="672"/>
      <c r="F5" s="570" t="s">
        <v>546</v>
      </c>
      <c r="G5" s="570" t="s">
        <v>547</v>
      </c>
      <c r="H5" s="570" t="s">
        <v>178</v>
      </c>
    </row>
    <row r="6" spans="2:21" ht="24" customHeight="1" x14ac:dyDescent="0.25">
      <c r="B6" s="680">
        <v>5929256.0700000022</v>
      </c>
      <c r="C6" s="672"/>
      <c r="D6" s="679">
        <v>1478</v>
      </c>
      <c r="E6" s="672"/>
      <c r="F6" s="569">
        <v>4011.6752841677958</v>
      </c>
      <c r="G6" s="274">
        <v>95</v>
      </c>
      <c r="H6" s="275">
        <v>3.4819477577237239E-2</v>
      </c>
    </row>
    <row r="8" spans="2:21" x14ac:dyDescent="0.25">
      <c r="B8" s="683" t="s">
        <v>548</v>
      </c>
      <c r="C8" s="642"/>
      <c r="D8" s="642"/>
      <c r="E8" s="642"/>
      <c r="F8" s="642"/>
      <c r="G8" s="642"/>
      <c r="I8" s="681" t="s">
        <v>549</v>
      </c>
      <c r="J8" s="642"/>
      <c r="K8" s="642"/>
      <c r="L8" s="642"/>
      <c r="M8" s="642"/>
      <c r="N8" s="642"/>
      <c r="O8" s="642"/>
      <c r="P8" s="642"/>
      <c r="Q8" s="642"/>
      <c r="R8" s="642"/>
      <c r="S8" s="24"/>
      <c r="T8" s="24"/>
      <c r="U8" s="24"/>
    </row>
    <row r="9" spans="2:21" ht="21.95" customHeight="1" x14ac:dyDescent="0.25">
      <c r="B9" s="15" t="s">
        <v>48</v>
      </c>
      <c r="C9" s="15" t="s">
        <v>181</v>
      </c>
      <c r="D9" s="15" t="s">
        <v>550</v>
      </c>
      <c r="E9" s="15" t="s">
        <v>551</v>
      </c>
      <c r="F9" s="15" t="s">
        <v>184</v>
      </c>
      <c r="G9" s="15" t="s">
        <v>552</v>
      </c>
      <c r="I9" s="30" t="s">
        <v>48</v>
      </c>
      <c r="J9" s="30" t="s">
        <v>185</v>
      </c>
      <c r="K9" s="30" t="s">
        <v>553</v>
      </c>
      <c r="L9" s="30" t="s">
        <v>554</v>
      </c>
      <c r="M9" s="30" t="s">
        <v>555</v>
      </c>
      <c r="N9" s="30" t="s">
        <v>556</v>
      </c>
      <c r="O9" s="30" t="s">
        <v>557</v>
      </c>
      <c r="P9" s="30" t="s">
        <v>558</v>
      </c>
      <c r="Q9" s="30" t="s">
        <v>559</v>
      </c>
      <c r="R9" s="30" t="s">
        <v>560</v>
      </c>
      <c r="S9" s="24"/>
      <c r="T9" s="24"/>
      <c r="U9" s="24"/>
    </row>
    <row r="10" spans="2:21" ht="18" customHeight="1" x14ac:dyDescent="0.25">
      <c r="B10" s="7">
        <v>1</v>
      </c>
      <c r="C10" s="265">
        <v>411700</v>
      </c>
      <c r="D10" s="16">
        <v>5</v>
      </c>
      <c r="E10" s="265">
        <v>82340</v>
      </c>
      <c r="F10" s="266">
        <v>5.4219886628574437E-2</v>
      </c>
      <c r="G10" s="9">
        <v>4</v>
      </c>
      <c r="I10" s="579">
        <v>1</v>
      </c>
      <c r="J10" s="579" t="s">
        <v>561</v>
      </c>
      <c r="K10" s="575" t="s">
        <v>562</v>
      </c>
      <c r="L10" s="575" t="s">
        <v>563</v>
      </c>
      <c r="M10" s="576">
        <v>1</v>
      </c>
      <c r="N10" s="577">
        <v>92200</v>
      </c>
      <c r="O10" s="574">
        <v>1</v>
      </c>
      <c r="P10" s="607">
        <f>M10*O10</f>
        <v>1</v>
      </c>
      <c r="Q10" s="577">
        <f t="shared" ref="Q10:Q41" si="0">IF(P10&gt;0, R10/P10, 0)</f>
        <v>92200</v>
      </c>
      <c r="R10" s="577">
        <f>'Detalle Compras Septiembre 2026'!G18</f>
        <v>92200</v>
      </c>
      <c r="S10" s="600"/>
      <c r="T10" s="24"/>
      <c r="U10" s="24"/>
    </row>
    <row r="11" spans="2:21" ht="18" customHeight="1" x14ac:dyDescent="0.25">
      <c r="B11" s="17">
        <v>2</v>
      </c>
      <c r="C11" s="276">
        <v>162100</v>
      </c>
      <c r="D11" s="18">
        <v>4</v>
      </c>
      <c r="E11" s="276">
        <v>40525</v>
      </c>
      <c r="F11" s="277">
        <v>2.1348174939256542E-2</v>
      </c>
      <c r="G11" s="19">
        <v>3</v>
      </c>
      <c r="I11" s="579">
        <v>1</v>
      </c>
      <c r="J11" s="579" t="s">
        <v>561</v>
      </c>
      <c r="K11" s="575" t="s">
        <v>564</v>
      </c>
      <c r="L11" s="575" t="s">
        <v>565</v>
      </c>
      <c r="M11" s="576">
        <v>1</v>
      </c>
      <c r="N11" s="577">
        <v>77500</v>
      </c>
      <c r="O11" s="574">
        <v>1</v>
      </c>
      <c r="P11" s="607">
        <f>M11*O11</f>
        <v>1</v>
      </c>
      <c r="Q11" s="577">
        <f t="shared" si="0"/>
        <v>77500</v>
      </c>
      <c r="R11" s="577">
        <f>'Detalle Compras Septiembre 2026'!G19</f>
        <v>77500</v>
      </c>
      <c r="S11" s="600"/>
      <c r="T11" s="24"/>
      <c r="U11" s="24"/>
    </row>
    <row r="12" spans="2:21" ht="18" customHeight="1" x14ac:dyDescent="0.25">
      <c r="B12" s="7">
        <v>3</v>
      </c>
      <c r="C12" s="265">
        <v>970600</v>
      </c>
      <c r="D12" s="16">
        <v>360</v>
      </c>
      <c r="E12" s="265">
        <v>2696.1111111111109</v>
      </c>
      <c r="F12" s="266">
        <v>0.12782565450982361</v>
      </c>
      <c r="G12" s="9">
        <v>8</v>
      </c>
      <c r="I12" s="579">
        <v>1</v>
      </c>
      <c r="J12" s="579" t="s">
        <v>561</v>
      </c>
      <c r="K12" s="575" t="s">
        <v>566</v>
      </c>
      <c r="L12" s="575" t="s">
        <v>567</v>
      </c>
      <c r="M12" s="576">
        <v>1</v>
      </c>
      <c r="N12" s="577">
        <v>93000</v>
      </c>
      <c r="O12" s="574">
        <v>1</v>
      </c>
      <c r="P12" s="607">
        <f>M12*O12</f>
        <v>1</v>
      </c>
      <c r="Q12" s="577">
        <f t="shared" si="0"/>
        <v>93000</v>
      </c>
      <c r="R12" s="577">
        <f>'Detalle Compras Septiembre 2026'!G20</f>
        <v>93000</v>
      </c>
      <c r="S12" s="600"/>
      <c r="T12" s="24"/>
      <c r="U12" s="24"/>
    </row>
    <row r="13" spans="2:21" ht="18" customHeight="1" x14ac:dyDescent="0.25">
      <c r="B13" s="17">
        <v>4</v>
      </c>
      <c r="C13" s="276">
        <v>140975</v>
      </c>
      <c r="D13" s="18">
        <v>7</v>
      </c>
      <c r="E13" s="276">
        <v>20139.28571428571</v>
      </c>
      <c r="F13" s="277">
        <v>1.8566063923884581E-2</v>
      </c>
      <c r="G13" s="19">
        <v>2</v>
      </c>
      <c r="I13" s="579">
        <v>1</v>
      </c>
      <c r="J13" s="579" t="s">
        <v>561</v>
      </c>
      <c r="K13" s="575" t="s">
        <v>568</v>
      </c>
      <c r="L13" s="575" t="s">
        <v>569</v>
      </c>
      <c r="M13" s="576">
        <v>2</v>
      </c>
      <c r="N13" s="577">
        <v>74500</v>
      </c>
      <c r="O13" s="574">
        <v>1</v>
      </c>
      <c r="P13" s="607">
        <f>M13*O13</f>
        <v>2</v>
      </c>
      <c r="Q13" s="577">
        <f t="shared" si="0"/>
        <v>74500</v>
      </c>
      <c r="R13" s="577">
        <f>'Detalle Compras Septiembre 2026'!G21</f>
        <v>149000</v>
      </c>
      <c r="S13" s="600"/>
      <c r="T13" s="24"/>
      <c r="U13" s="24"/>
    </row>
    <row r="14" spans="2:21" ht="18" customHeight="1" x14ac:dyDescent="0.25">
      <c r="B14" s="7">
        <v>5</v>
      </c>
      <c r="C14" s="265">
        <v>386504.07</v>
      </c>
      <c r="D14" s="16">
        <v>4695</v>
      </c>
      <c r="E14" s="265">
        <v>82.322485623003203</v>
      </c>
      <c r="F14" s="266">
        <v>5.0901644053637597E-2</v>
      </c>
      <c r="G14" s="9">
        <v>15</v>
      </c>
      <c r="I14" s="594" t="s">
        <v>570</v>
      </c>
      <c r="J14" s="595"/>
      <c r="K14" s="595"/>
      <c r="L14" s="595"/>
      <c r="M14" s="596">
        <f>SUM(M10:M13)</f>
        <v>5</v>
      </c>
      <c r="N14" s="597">
        <f>IF(M14&gt;0, R14/M14, 0)</f>
        <v>82340</v>
      </c>
      <c r="O14" s="608" t="s">
        <v>44</v>
      </c>
      <c r="P14" s="609">
        <f>SUM(P10:P13)</f>
        <v>5</v>
      </c>
      <c r="Q14" s="597">
        <f t="shared" si="0"/>
        <v>82340</v>
      </c>
      <c r="R14" s="597">
        <f>SUM(R10:R13)</f>
        <v>411700</v>
      </c>
      <c r="S14" s="600"/>
      <c r="T14" s="24"/>
      <c r="U14" s="24"/>
    </row>
    <row r="15" spans="2:21" ht="18" customHeight="1" x14ac:dyDescent="0.25">
      <c r="B15" s="17">
        <v>6</v>
      </c>
      <c r="C15" s="276">
        <v>0</v>
      </c>
      <c r="D15" s="18">
        <v>0</v>
      </c>
      <c r="E15" s="276">
        <v>0</v>
      </c>
      <c r="F15" s="277">
        <v>0</v>
      </c>
      <c r="G15" s="19">
        <v>0</v>
      </c>
      <c r="I15" s="579">
        <v>2</v>
      </c>
      <c r="J15" s="579" t="s">
        <v>571</v>
      </c>
      <c r="K15" s="575" t="s">
        <v>572</v>
      </c>
      <c r="L15" s="575" t="s">
        <v>573</v>
      </c>
      <c r="M15" s="576">
        <v>2</v>
      </c>
      <c r="N15" s="577">
        <v>39000</v>
      </c>
      <c r="O15" s="574">
        <v>1</v>
      </c>
      <c r="P15" s="607">
        <f>M15*O15</f>
        <v>2</v>
      </c>
      <c r="Q15" s="577">
        <f t="shared" si="0"/>
        <v>39000</v>
      </c>
      <c r="R15" s="577">
        <f>'Detalle Compras Septiembre 2026'!G29</f>
        <v>78000</v>
      </c>
      <c r="S15" s="600"/>
      <c r="T15" s="24"/>
      <c r="U15" s="24"/>
    </row>
    <row r="16" spans="2:21" ht="18" customHeight="1" x14ac:dyDescent="0.25">
      <c r="B16" s="7">
        <v>7</v>
      </c>
      <c r="C16" s="265">
        <v>73000</v>
      </c>
      <c r="D16" s="16">
        <v>11</v>
      </c>
      <c r="E16" s="265">
        <v>6636.363636363636</v>
      </c>
      <c r="F16" s="266">
        <v>9.6139220886226236E-3</v>
      </c>
      <c r="G16" s="9">
        <v>4</v>
      </c>
      <c r="I16" s="579">
        <v>2</v>
      </c>
      <c r="J16" s="579" t="s">
        <v>571</v>
      </c>
      <c r="K16" s="575" t="s">
        <v>574</v>
      </c>
      <c r="L16" s="575" t="s">
        <v>575</v>
      </c>
      <c r="M16" s="576">
        <v>1</v>
      </c>
      <c r="N16" s="577">
        <v>32500</v>
      </c>
      <c r="O16" s="574">
        <v>1</v>
      </c>
      <c r="P16" s="607">
        <f>M16*O16</f>
        <v>1</v>
      </c>
      <c r="Q16" s="577">
        <f t="shared" si="0"/>
        <v>32500</v>
      </c>
      <c r="R16" s="577">
        <f>'Detalle Compras Septiembre 2026'!G30</f>
        <v>32500</v>
      </c>
      <c r="S16" s="600"/>
      <c r="T16" s="24"/>
      <c r="U16" s="24"/>
    </row>
    <row r="17" spans="2:21" ht="18" customHeight="1" x14ac:dyDescent="0.25">
      <c r="B17" s="17">
        <v>8</v>
      </c>
      <c r="C17" s="276">
        <v>29000</v>
      </c>
      <c r="D17" s="18">
        <v>4</v>
      </c>
      <c r="E17" s="276">
        <v>7250</v>
      </c>
      <c r="F17" s="277">
        <v>3.8192293228774812E-3</v>
      </c>
      <c r="G17" s="19">
        <v>2</v>
      </c>
      <c r="I17" s="579">
        <v>2</v>
      </c>
      <c r="J17" s="579" t="s">
        <v>571</v>
      </c>
      <c r="K17" s="575" t="s">
        <v>576</v>
      </c>
      <c r="L17" s="575" t="s">
        <v>577</v>
      </c>
      <c r="M17" s="576">
        <v>1</v>
      </c>
      <c r="N17" s="577">
        <v>51600</v>
      </c>
      <c r="O17" s="574">
        <v>1</v>
      </c>
      <c r="P17" s="607">
        <f>M17*O17</f>
        <v>1</v>
      </c>
      <c r="Q17" s="577">
        <f t="shared" si="0"/>
        <v>51600</v>
      </c>
      <c r="R17" s="577">
        <f>'Detalle Compras Septiembre 2026'!G31</f>
        <v>51600</v>
      </c>
      <c r="S17" s="600"/>
      <c r="T17" s="24"/>
      <c r="U17" s="24"/>
    </row>
    <row r="18" spans="2:21" ht="18" customHeight="1" x14ac:dyDescent="0.25">
      <c r="B18" s="7">
        <v>9</v>
      </c>
      <c r="C18" s="265">
        <v>1723770</v>
      </c>
      <c r="D18" s="16">
        <v>8423</v>
      </c>
      <c r="E18" s="265">
        <v>204.65036210376351</v>
      </c>
      <c r="F18" s="266">
        <v>0.22701630792746599</v>
      </c>
      <c r="G18" s="9">
        <v>26</v>
      </c>
      <c r="I18" s="594" t="s">
        <v>578</v>
      </c>
      <c r="J18" s="595"/>
      <c r="K18" s="595"/>
      <c r="L18" s="595"/>
      <c r="M18" s="596">
        <f>SUM(M15:M17)</f>
        <v>4</v>
      </c>
      <c r="N18" s="597">
        <f>IF(M18&gt;0, R18/M18, 0)</f>
        <v>40525</v>
      </c>
      <c r="O18" s="608" t="s">
        <v>44</v>
      </c>
      <c r="P18" s="609">
        <f>SUM(P15:P17)</f>
        <v>4</v>
      </c>
      <c r="Q18" s="597">
        <f t="shared" si="0"/>
        <v>40525</v>
      </c>
      <c r="R18" s="597">
        <f>SUM(R15:R17)</f>
        <v>162100</v>
      </c>
      <c r="S18" s="600"/>
      <c r="T18" s="24"/>
      <c r="U18" s="24"/>
    </row>
    <row r="19" spans="2:21" ht="18" customHeight="1" x14ac:dyDescent="0.25">
      <c r="B19" s="17">
        <v>10</v>
      </c>
      <c r="C19" s="276">
        <v>918471</v>
      </c>
      <c r="D19" s="18">
        <v>37</v>
      </c>
      <c r="E19" s="276">
        <v>24823.54054054054</v>
      </c>
      <c r="F19" s="277">
        <v>0.12096039225560699</v>
      </c>
      <c r="G19" s="19">
        <v>9</v>
      </c>
      <c r="I19" s="579">
        <v>3</v>
      </c>
      <c r="J19" s="579" t="s">
        <v>579</v>
      </c>
      <c r="K19" s="575" t="s">
        <v>580</v>
      </c>
      <c r="L19" s="575" t="s">
        <v>581</v>
      </c>
      <c r="M19" s="576">
        <v>1</v>
      </c>
      <c r="N19" s="577">
        <v>32000</v>
      </c>
      <c r="O19" s="574">
        <v>24</v>
      </c>
      <c r="P19" s="607">
        <f t="shared" ref="P19:P26" si="1">M19*O19</f>
        <v>24</v>
      </c>
      <c r="Q19" s="577">
        <f t="shared" si="0"/>
        <v>1333.3333333333333</v>
      </c>
      <c r="R19" s="577">
        <f>'Detalle Compras Septiembre 2026'!G71</f>
        <v>32000</v>
      </c>
      <c r="S19" s="600"/>
      <c r="T19" s="24"/>
      <c r="U19" s="24"/>
    </row>
    <row r="20" spans="2:21" ht="18" customHeight="1" x14ac:dyDescent="0.25">
      <c r="B20" s="7">
        <v>11</v>
      </c>
      <c r="C20" s="265">
        <v>34000</v>
      </c>
      <c r="D20" s="16">
        <v>5</v>
      </c>
      <c r="E20" s="265">
        <v>6800</v>
      </c>
      <c r="F20" s="266">
        <v>4.4777171371667016E-3</v>
      </c>
      <c r="G20" s="9">
        <v>2</v>
      </c>
      <c r="I20" s="579">
        <v>3</v>
      </c>
      <c r="J20" s="579" t="s">
        <v>579</v>
      </c>
      <c r="K20" s="575" t="s">
        <v>582</v>
      </c>
      <c r="L20" s="575" t="s">
        <v>583</v>
      </c>
      <c r="M20" s="576">
        <v>2</v>
      </c>
      <c r="N20" s="577">
        <v>65000</v>
      </c>
      <c r="O20" s="574">
        <v>12</v>
      </c>
      <c r="P20" s="607">
        <f t="shared" si="1"/>
        <v>24</v>
      </c>
      <c r="Q20" s="577">
        <f t="shared" si="0"/>
        <v>5416.666666666667</v>
      </c>
      <c r="R20" s="577">
        <f>'Detalle Compras Septiembre 2026'!G72</f>
        <v>130000</v>
      </c>
      <c r="S20" s="600"/>
      <c r="T20" s="24"/>
      <c r="U20" s="24"/>
    </row>
    <row r="21" spans="2:21" ht="18" customHeight="1" x14ac:dyDescent="0.25">
      <c r="B21" s="17">
        <v>12</v>
      </c>
      <c r="C21" s="276">
        <v>83000</v>
      </c>
      <c r="D21" s="18">
        <v>4</v>
      </c>
      <c r="E21" s="276">
        <v>20750</v>
      </c>
      <c r="F21" s="277">
        <v>1.093089771720107E-2</v>
      </c>
      <c r="G21" s="19">
        <v>4</v>
      </c>
      <c r="I21" s="579">
        <v>3</v>
      </c>
      <c r="J21" s="579" t="s">
        <v>579</v>
      </c>
      <c r="K21" s="575" t="s">
        <v>584</v>
      </c>
      <c r="L21" s="575" t="s">
        <v>585</v>
      </c>
      <c r="M21" s="576">
        <v>2</v>
      </c>
      <c r="N21" s="577">
        <v>65000</v>
      </c>
      <c r="O21" s="574">
        <v>12</v>
      </c>
      <c r="P21" s="607">
        <f t="shared" si="1"/>
        <v>24</v>
      </c>
      <c r="Q21" s="577">
        <f t="shared" si="0"/>
        <v>5416.666666666667</v>
      </c>
      <c r="R21" s="577">
        <f>'Detalle Compras Septiembre 2026'!G73</f>
        <v>130000</v>
      </c>
      <c r="S21" s="600"/>
      <c r="T21" s="24"/>
      <c r="U21" s="24"/>
    </row>
    <row r="22" spans="2:21" ht="18" customHeight="1" x14ac:dyDescent="0.25">
      <c r="B22" s="7">
        <v>13</v>
      </c>
      <c r="C22" s="265">
        <v>126500</v>
      </c>
      <c r="D22" s="16">
        <v>78</v>
      </c>
      <c r="E22" s="265">
        <v>1621.7948717948721</v>
      </c>
      <c r="F22" s="266">
        <v>1.6659741701517291E-2</v>
      </c>
      <c r="G22" s="9">
        <v>2</v>
      </c>
      <c r="I22" s="579">
        <v>3</v>
      </c>
      <c r="J22" s="579" t="s">
        <v>579</v>
      </c>
      <c r="K22" s="575" t="s">
        <v>586</v>
      </c>
      <c r="L22" s="575" t="s">
        <v>587</v>
      </c>
      <c r="M22" s="576">
        <v>10</v>
      </c>
      <c r="N22" s="577">
        <v>28800</v>
      </c>
      <c r="O22" s="574">
        <v>12</v>
      </c>
      <c r="P22" s="607">
        <f t="shared" si="1"/>
        <v>120</v>
      </c>
      <c r="Q22" s="577">
        <f t="shared" si="0"/>
        <v>2400</v>
      </c>
      <c r="R22" s="577">
        <f>'Detalle Compras Septiembre 2026'!G74</f>
        <v>288000</v>
      </c>
      <c r="S22" s="600"/>
      <c r="T22" s="24"/>
      <c r="U22" s="24"/>
    </row>
    <row r="23" spans="2:21" ht="18" customHeight="1" x14ac:dyDescent="0.25">
      <c r="B23" s="17">
        <v>14</v>
      </c>
      <c r="C23" s="276">
        <v>0</v>
      </c>
      <c r="D23" s="18">
        <v>0</v>
      </c>
      <c r="E23" s="276">
        <v>0</v>
      </c>
      <c r="F23" s="277">
        <v>0</v>
      </c>
      <c r="G23" s="19">
        <v>0</v>
      </c>
      <c r="I23" s="579">
        <v>3</v>
      </c>
      <c r="J23" s="579" t="s">
        <v>579</v>
      </c>
      <c r="K23" s="575" t="s">
        <v>588</v>
      </c>
      <c r="L23" s="575" t="s">
        <v>589</v>
      </c>
      <c r="M23" s="576">
        <v>8</v>
      </c>
      <c r="N23" s="577">
        <v>30000</v>
      </c>
      <c r="O23" s="574">
        <v>12</v>
      </c>
      <c r="P23" s="607">
        <f t="shared" si="1"/>
        <v>96</v>
      </c>
      <c r="Q23" s="577">
        <f t="shared" si="0"/>
        <v>2500</v>
      </c>
      <c r="R23" s="577">
        <f>'Detalle Compras Septiembre 2026'!G75</f>
        <v>240000</v>
      </c>
      <c r="S23" s="600"/>
      <c r="T23" s="24"/>
      <c r="U23" s="24"/>
    </row>
    <row r="24" spans="2:21" ht="18" customHeight="1" x14ac:dyDescent="0.25">
      <c r="B24" s="7">
        <v>15</v>
      </c>
      <c r="C24" s="265">
        <v>38436</v>
      </c>
      <c r="D24" s="16">
        <v>6</v>
      </c>
      <c r="E24" s="265">
        <v>6406</v>
      </c>
      <c r="F24" s="266">
        <v>5.0619275260040987E-3</v>
      </c>
      <c r="G24" s="9">
        <v>3</v>
      </c>
      <c r="I24" s="579">
        <v>3</v>
      </c>
      <c r="J24" s="579" t="s">
        <v>590</v>
      </c>
      <c r="K24" s="575" t="s">
        <v>591</v>
      </c>
      <c r="L24" s="575" t="s">
        <v>592</v>
      </c>
      <c r="M24" s="576">
        <v>2</v>
      </c>
      <c r="N24" s="577">
        <v>25100</v>
      </c>
      <c r="O24" s="574">
        <v>12</v>
      </c>
      <c r="P24" s="607">
        <f t="shared" si="1"/>
        <v>24</v>
      </c>
      <c r="Q24" s="577">
        <f t="shared" si="0"/>
        <v>2091.6666666666665</v>
      </c>
      <c r="R24" s="577">
        <f>'Detalle Compras Septiembre 2026'!G76</f>
        <v>50200</v>
      </c>
      <c r="S24" s="600"/>
      <c r="T24" s="24"/>
      <c r="U24" s="24"/>
    </row>
    <row r="25" spans="2:21" ht="18" customHeight="1" x14ac:dyDescent="0.25">
      <c r="B25" s="17">
        <v>16</v>
      </c>
      <c r="C25" s="276">
        <v>34000</v>
      </c>
      <c r="D25" s="18">
        <v>1</v>
      </c>
      <c r="E25" s="276">
        <v>34000</v>
      </c>
      <c r="F25" s="277">
        <v>4.4777171371667016E-3</v>
      </c>
      <c r="G25" s="19">
        <v>1</v>
      </c>
      <c r="I25" s="579">
        <v>3</v>
      </c>
      <c r="J25" s="579" t="s">
        <v>590</v>
      </c>
      <c r="K25" s="575" t="s">
        <v>591</v>
      </c>
      <c r="L25" s="575" t="s">
        <v>593</v>
      </c>
      <c r="M25" s="576">
        <v>2</v>
      </c>
      <c r="N25" s="577">
        <v>25100</v>
      </c>
      <c r="O25" s="574">
        <v>12</v>
      </c>
      <c r="P25" s="607">
        <f t="shared" si="1"/>
        <v>24</v>
      </c>
      <c r="Q25" s="577">
        <f t="shared" si="0"/>
        <v>2091.6666666666665</v>
      </c>
      <c r="R25" s="577">
        <f>'Detalle Compras Septiembre 2026'!G77</f>
        <v>50200</v>
      </c>
      <c r="S25" s="600"/>
      <c r="T25" s="24"/>
      <c r="U25" s="24"/>
    </row>
    <row r="26" spans="2:21" ht="18" customHeight="1" x14ac:dyDescent="0.25">
      <c r="B26" s="7">
        <v>17</v>
      </c>
      <c r="C26" s="265">
        <v>249000</v>
      </c>
      <c r="D26" s="16">
        <v>61</v>
      </c>
      <c r="E26" s="265">
        <v>4081.967213114754</v>
      </c>
      <c r="F26" s="266">
        <v>3.27926931516032E-2</v>
      </c>
      <c r="G26" s="9">
        <v>3</v>
      </c>
      <c r="I26" s="579">
        <v>3</v>
      </c>
      <c r="J26" s="579" t="s">
        <v>590</v>
      </c>
      <c r="K26" s="575" t="s">
        <v>591</v>
      </c>
      <c r="L26" s="575" t="s">
        <v>594</v>
      </c>
      <c r="M26" s="576">
        <v>2</v>
      </c>
      <c r="N26" s="577">
        <v>25100</v>
      </c>
      <c r="O26" s="574">
        <v>12</v>
      </c>
      <c r="P26" s="607">
        <f t="shared" si="1"/>
        <v>24</v>
      </c>
      <c r="Q26" s="577">
        <f t="shared" si="0"/>
        <v>2091.6666666666665</v>
      </c>
      <c r="R26" s="577">
        <f>'Detalle Compras Septiembre 2026'!G78</f>
        <v>50200</v>
      </c>
      <c r="S26" s="600"/>
      <c r="T26" s="24"/>
      <c r="U26" s="24"/>
    </row>
    <row r="27" spans="2:21" ht="18" customHeight="1" x14ac:dyDescent="0.25">
      <c r="B27" s="17">
        <v>18</v>
      </c>
      <c r="C27" s="276">
        <v>548200</v>
      </c>
      <c r="D27" s="18">
        <v>8</v>
      </c>
      <c r="E27" s="276">
        <v>68525</v>
      </c>
      <c r="F27" s="277">
        <v>7.2196603958670169E-2</v>
      </c>
      <c r="G27" s="19">
        <v>7</v>
      </c>
      <c r="I27" s="594" t="s">
        <v>595</v>
      </c>
      <c r="J27" s="595"/>
      <c r="K27" s="595"/>
      <c r="L27" s="595"/>
      <c r="M27" s="596">
        <f>SUM(M19:M26)</f>
        <v>29</v>
      </c>
      <c r="N27" s="597">
        <f>IF(M27&gt;0, R27/M27, 0)</f>
        <v>33468.965517241377</v>
      </c>
      <c r="O27" s="608" t="s">
        <v>44</v>
      </c>
      <c r="P27" s="609">
        <f>SUM(P19:P26)</f>
        <v>360</v>
      </c>
      <c r="Q27" s="597">
        <f t="shared" si="0"/>
        <v>2696.1111111111113</v>
      </c>
      <c r="R27" s="597">
        <f>SUM(R19:R26)</f>
        <v>970600</v>
      </c>
      <c r="S27" s="600"/>
      <c r="T27" s="24"/>
      <c r="U27" s="24"/>
    </row>
    <row r="28" spans="2:21" ht="18" customHeight="1" x14ac:dyDescent="0.25">
      <c r="B28" s="7">
        <v>19</v>
      </c>
      <c r="C28" s="265">
        <v>0</v>
      </c>
      <c r="D28" s="16">
        <v>0</v>
      </c>
      <c r="E28" s="265">
        <v>0</v>
      </c>
      <c r="F28" s="266">
        <v>0</v>
      </c>
      <c r="G28" s="9">
        <v>0</v>
      </c>
      <c r="I28" s="579">
        <v>4</v>
      </c>
      <c r="J28" s="579" t="s">
        <v>596</v>
      </c>
      <c r="K28" s="575" t="s">
        <v>597</v>
      </c>
      <c r="L28" s="575" t="s">
        <v>598</v>
      </c>
      <c r="M28" s="576">
        <v>5</v>
      </c>
      <c r="N28" s="577">
        <v>24395</v>
      </c>
      <c r="O28" s="574">
        <v>1</v>
      </c>
      <c r="P28" s="607">
        <f>M28*O28</f>
        <v>5</v>
      </c>
      <c r="Q28" s="577">
        <f t="shared" si="0"/>
        <v>24395</v>
      </c>
      <c r="R28" s="577">
        <f>'Detalle Compras Septiembre 2026'!G528</f>
        <v>121975</v>
      </c>
      <c r="S28" s="600"/>
      <c r="T28" s="24"/>
      <c r="U28" s="24"/>
    </row>
    <row r="29" spans="2:21" ht="18" customHeight="1" x14ac:dyDescent="0.25">
      <c r="B29" s="17">
        <v>20</v>
      </c>
      <c r="C29" s="276">
        <v>0</v>
      </c>
      <c r="D29" s="18">
        <v>0</v>
      </c>
      <c r="E29" s="276">
        <v>0</v>
      </c>
      <c r="F29" s="277">
        <v>0</v>
      </c>
      <c r="G29" s="19">
        <v>0</v>
      </c>
      <c r="I29" s="579">
        <v>4</v>
      </c>
      <c r="J29" s="579" t="s">
        <v>599</v>
      </c>
      <c r="K29" s="575" t="s">
        <v>600</v>
      </c>
      <c r="L29" s="575" t="s">
        <v>601</v>
      </c>
      <c r="M29" s="576">
        <v>2</v>
      </c>
      <c r="N29" s="577">
        <v>9500</v>
      </c>
      <c r="O29" s="574">
        <v>1</v>
      </c>
      <c r="P29" s="607">
        <f>M29*O29</f>
        <v>2</v>
      </c>
      <c r="Q29" s="577">
        <f t="shared" si="0"/>
        <v>9500</v>
      </c>
      <c r="R29" s="577">
        <f>'Detalle Compras Septiembre 2026'!G568</f>
        <v>19000</v>
      </c>
      <c r="S29" s="600"/>
      <c r="T29" s="24"/>
      <c r="U29" s="24"/>
    </row>
    <row r="30" spans="2:21" ht="18" customHeight="1" x14ac:dyDescent="0.25">
      <c r="B30" s="7">
        <v>21</v>
      </c>
      <c r="C30" s="265">
        <v>248000</v>
      </c>
      <c r="D30" s="16">
        <v>1512</v>
      </c>
      <c r="E30" s="265">
        <v>164.021164021164</v>
      </c>
      <c r="F30" s="266">
        <v>3.2660995588745363E-2</v>
      </c>
      <c r="G30" s="9">
        <v>6</v>
      </c>
      <c r="I30" s="598" t="s">
        <v>602</v>
      </c>
      <c r="J30" s="598"/>
      <c r="K30" s="594"/>
      <c r="L30" s="594"/>
      <c r="M30" s="596">
        <f>SUM(M28:M29)</f>
        <v>7</v>
      </c>
      <c r="N30" s="597">
        <f>IF(M30&gt;0, R30/M30, 0)</f>
        <v>20139.285714285714</v>
      </c>
      <c r="O30" s="610" t="s">
        <v>44</v>
      </c>
      <c r="P30" s="609">
        <f>SUM(P28:P29)</f>
        <v>7</v>
      </c>
      <c r="Q30" s="597">
        <f t="shared" si="0"/>
        <v>20139.285714285714</v>
      </c>
      <c r="R30" s="597">
        <f>SUM(R28:R29)</f>
        <v>140975</v>
      </c>
      <c r="S30" s="600"/>
      <c r="T30" s="24"/>
      <c r="U30" s="24"/>
    </row>
    <row r="31" spans="2:21" ht="18" customHeight="1" x14ac:dyDescent="0.25">
      <c r="B31" s="17">
        <v>22</v>
      </c>
      <c r="C31" s="276">
        <v>0</v>
      </c>
      <c r="D31" s="18">
        <v>0</v>
      </c>
      <c r="E31" s="276">
        <v>0</v>
      </c>
      <c r="F31" s="277">
        <v>0</v>
      </c>
      <c r="G31" s="19">
        <v>0</v>
      </c>
      <c r="I31" s="579">
        <v>5</v>
      </c>
      <c r="J31" s="579" t="s">
        <v>603</v>
      </c>
      <c r="K31" s="575" t="s">
        <v>604</v>
      </c>
      <c r="L31" s="575" t="s">
        <v>605</v>
      </c>
      <c r="M31" s="576">
        <v>5</v>
      </c>
      <c r="N31" s="577">
        <v>1820.73</v>
      </c>
      <c r="O31" s="574">
        <v>1</v>
      </c>
      <c r="P31" s="607">
        <f t="shared" ref="P31:P45" si="2">M31*O31</f>
        <v>5</v>
      </c>
      <c r="Q31" s="577">
        <f t="shared" si="0"/>
        <v>1820.73</v>
      </c>
      <c r="R31" s="577">
        <f>'Detalle Compras Septiembre 2026'!G512</f>
        <v>9103.65</v>
      </c>
      <c r="S31" s="600"/>
      <c r="T31" s="24"/>
      <c r="U31" s="24"/>
    </row>
    <row r="32" spans="2:21" ht="18" customHeight="1" x14ac:dyDescent="0.25">
      <c r="B32" s="7">
        <v>23</v>
      </c>
      <c r="C32" s="265">
        <v>0</v>
      </c>
      <c r="D32" s="16">
        <v>0</v>
      </c>
      <c r="E32" s="265">
        <v>0</v>
      </c>
      <c r="F32" s="266">
        <v>0</v>
      </c>
      <c r="G32" s="9">
        <v>0</v>
      </c>
      <c r="I32" s="579">
        <v>5</v>
      </c>
      <c r="J32" s="579" t="s">
        <v>603</v>
      </c>
      <c r="K32" s="575" t="s">
        <v>606</v>
      </c>
      <c r="L32" s="575" t="s">
        <v>607</v>
      </c>
      <c r="M32" s="576">
        <v>5</v>
      </c>
      <c r="N32" s="577">
        <v>1820.73</v>
      </c>
      <c r="O32" s="574">
        <v>1</v>
      </c>
      <c r="P32" s="607">
        <f t="shared" si="2"/>
        <v>5</v>
      </c>
      <c r="Q32" s="577">
        <f t="shared" si="0"/>
        <v>1820.73</v>
      </c>
      <c r="R32" s="577">
        <f>'Detalle Compras Septiembre 2026'!G513</f>
        <v>9103.65</v>
      </c>
      <c r="S32" s="600"/>
      <c r="T32" s="24"/>
      <c r="U32" s="24"/>
    </row>
    <row r="33" spans="2:21" ht="18" customHeight="1" x14ac:dyDescent="0.25">
      <c r="B33" s="17">
        <v>24</v>
      </c>
      <c r="C33" s="276">
        <v>285500</v>
      </c>
      <c r="D33" s="18">
        <v>174</v>
      </c>
      <c r="E33" s="276">
        <v>1640.80459770115</v>
      </c>
      <c r="F33" s="277">
        <v>3.759965419591451E-2</v>
      </c>
      <c r="G33" s="19">
        <v>6</v>
      </c>
      <c r="I33" s="579">
        <v>5</v>
      </c>
      <c r="J33" s="579" t="s">
        <v>603</v>
      </c>
      <c r="K33" s="575" t="s">
        <v>608</v>
      </c>
      <c r="L33" s="575" t="s">
        <v>609</v>
      </c>
      <c r="M33" s="576">
        <v>5</v>
      </c>
      <c r="N33" s="577">
        <v>1820.73</v>
      </c>
      <c r="O33" s="574">
        <v>1</v>
      </c>
      <c r="P33" s="607">
        <f t="shared" si="2"/>
        <v>5</v>
      </c>
      <c r="Q33" s="577">
        <f t="shared" si="0"/>
        <v>1820.73</v>
      </c>
      <c r="R33" s="577">
        <f>'Detalle Compras Septiembre 2026'!G514</f>
        <v>9103.65</v>
      </c>
      <c r="S33" s="600"/>
      <c r="T33" s="24"/>
      <c r="U33" s="24"/>
    </row>
    <row r="34" spans="2:21" ht="18" customHeight="1" x14ac:dyDescent="0.25">
      <c r="B34" s="7">
        <v>25</v>
      </c>
      <c r="C34" s="265">
        <v>672600</v>
      </c>
      <c r="D34" s="16">
        <v>16</v>
      </c>
      <c r="E34" s="265">
        <v>42037.5</v>
      </c>
      <c r="F34" s="266">
        <v>8.8579780778185985E-2</v>
      </c>
      <c r="G34" s="9">
        <v>16</v>
      </c>
      <c r="I34" s="579">
        <v>5</v>
      </c>
      <c r="J34" s="579" t="s">
        <v>603</v>
      </c>
      <c r="K34" s="575" t="s">
        <v>610</v>
      </c>
      <c r="L34" s="575" t="s">
        <v>611</v>
      </c>
      <c r="M34" s="576">
        <v>6</v>
      </c>
      <c r="N34" s="577">
        <v>1890.76</v>
      </c>
      <c r="O34" s="574">
        <v>12</v>
      </c>
      <c r="P34" s="607">
        <f t="shared" si="2"/>
        <v>72</v>
      </c>
      <c r="Q34" s="577">
        <f t="shared" si="0"/>
        <v>157.56333333333333</v>
      </c>
      <c r="R34" s="577">
        <f>'Detalle Compras Septiembre 2026'!G515</f>
        <v>11344.56</v>
      </c>
      <c r="S34" s="600"/>
      <c r="T34" s="24"/>
      <c r="U34" s="24"/>
    </row>
    <row r="35" spans="2:21" ht="18" customHeight="1" x14ac:dyDescent="0.25">
      <c r="B35" s="17">
        <v>26</v>
      </c>
      <c r="C35" s="276">
        <v>457798.87</v>
      </c>
      <c r="D35" s="18">
        <v>4887</v>
      </c>
      <c r="E35" s="276">
        <v>93.676871291180689</v>
      </c>
      <c r="F35" s="277">
        <v>6.0290995458075029E-2</v>
      </c>
      <c r="G35" s="19">
        <v>11</v>
      </c>
      <c r="I35" s="579">
        <v>5</v>
      </c>
      <c r="J35" s="579" t="s">
        <v>603</v>
      </c>
      <c r="K35" s="575" t="s">
        <v>612</v>
      </c>
      <c r="L35" s="575" t="s">
        <v>613</v>
      </c>
      <c r="M35" s="576">
        <v>6</v>
      </c>
      <c r="N35" s="577">
        <v>1890.76</v>
      </c>
      <c r="O35" s="574">
        <v>12</v>
      </c>
      <c r="P35" s="607">
        <f t="shared" si="2"/>
        <v>72</v>
      </c>
      <c r="Q35" s="577">
        <f t="shared" si="0"/>
        <v>157.56333333333333</v>
      </c>
      <c r="R35" s="577">
        <f>'Detalle Compras Septiembre 2026'!G516</f>
        <v>11344.56</v>
      </c>
      <c r="S35" s="600"/>
      <c r="T35" s="24"/>
      <c r="U35" s="24"/>
    </row>
    <row r="36" spans="2:21" ht="18" customHeight="1" x14ac:dyDescent="0.25">
      <c r="B36" s="7">
        <v>27</v>
      </c>
      <c r="C36" s="265">
        <v>0</v>
      </c>
      <c r="D36" s="16">
        <v>0</v>
      </c>
      <c r="E36" s="265">
        <v>0</v>
      </c>
      <c r="F36" s="266">
        <v>0</v>
      </c>
      <c r="G36" s="9">
        <v>0</v>
      </c>
      <c r="I36" s="579">
        <v>5</v>
      </c>
      <c r="J36" s="579" t="s">
        <v>603</v>
      </c>
      <c r="K36" s="575" t="s">
        <v>614</v>
      </c>
      <c r="L36" s="575" t="s">
        <v>615</v>
      </c>
      <c r="M36" s="576">
        <v>6</v>
      </c>
      <c r="N36" s="577">
        <v>3151.26</v>
      </c>
      <c r="O36" s="574">
        <v>12</v>
      </c>
      <c r="P36" s="607">
        <f t="shared" si="2"/>
        <v>72</v>
      </c>
      <c r="Q36" s="577">
        <f t="shared" si="0"/>
        <v>262.60500000000002</v>
      </c>
      <c r="R36" s="577">
        <f>'Detalle Compras Septiembre 2026'!G517</f>
        <v>18907.560000000001</v>
      </c>
      <c r="S36" s="600"/>
      <c r="T36" s="24"/>
      <c r="U36" s="24"/>
    </row>
    <row r="37" spans="2:21" ht="18" customHeight="1" x14ac:dyDescent="0.25">
      <c r="B37" s="17">
        <v>28</v>
      </c>
      <c r="C37" s="276">
        <v>0</v>
      </c>
      <c r="D37" s="18">
        <v>0</v>
      </c>
      <c r="E37" s="276">
        <v>0</v>
      </c>
      <c r="F37" s="277">
        <v>0</v>
      </c>
      <c r="G37" s="19">
        <v>0</v>
      </c>
      <c r="I37" s="579">
        <v>5</v>
      </c>
      <c r="J37" s="579" t="s">
        <v>603</v>
      </c>
      <c r="K37" s="575" t="s">
        <v>616</v>
      </c>
      <c r="L37" s="575" t="s">
        <v>617</v>
      </c>
      <c r="M37" s="576">
        <v>6</v>
      </c>
      <c r="N37" s="577">
        <v>3151.26</v>
      </c>
      <c r="O37" s="574">
        <v>12</v>
      </c>
      <c r="P37" s="607">
        <f t="shared" si="2"/>
        <v>72</v>
      </c>
      <c r="Q37" s="577">
        <f t="shared" si="0"/>
        <v>262.60500000000002</v>
      </c>
      <c r="R37" s="577">
        <f>'Detalle Compras Septiembre 2026'!G518</f>
        <v>18907.560000000001</v>
      </c>
      <c r="S37" s="600"/>
      <c r="T37" s="24"/>
      <c r="U37" s="24"/>
    </row>
    <row r="38" spans="2:21" ht="18" customHeight="1" x14ac:dyDescent="0.25">
      <c r="B38" s="7">
        <v>29</v>
      </c>
      <c r="C38" s="265">
        <v>0</v>
      </c>
      <c r="D38" s="16">
        <v>0</v>
      </c>
      <c r="E38" s="265">
        <v>0</v>
      </c>
      <c r="F38" s="266">
        <v>0</v>
      </c>
      <c r="G38" s="9">
        <v>0</v>
      </c>
      <c r="I38" s="579">
        <v>5</v>
      </c>
      <c r="J38" s="579" t="s">
        <v>603</v>
      </c>
      <c r="K38" s="575" t="s">
        <v>618</v>
      </c>
      <c r="L38" s="575" t="s">
        <v>619</v>
      </c>
      <c r="M38" s="576">
        <v>15</v>
      </c>
      <c r="N38" s="577">
        <v>1450.98</v>
      </c>
      <c r="O38" s="574">
        <v>30</v>
      </c>
      <c r="P38" s="607">
        <f t="shared" si="2"/>
        <v>450</v>
      </c>
      <c r="Q38" s="577">
        <f t="shared" si="0"/>
        <v>48.366</v>
      </c>
      <c r="R38" s="577">
        <f>'Detalle Compras Septiembre 2026'!G519</f>
        <v>21764.7</v>
      </c>
      <c r="S38" s="600"/>
      <c r="T38" s="24"/>
      <c r="U38" s="24"/>
    </row>
    <row r="39" spans="2:21" ht="18" customHeight="1" x14ac:dyDescent="0.25">
      <c r="B39" s="17">
        <v>30</v>
      </c>
      <c r="C39" s="276">
        <v>0</v>
      </c>
      <c r="D39" s="18">
        <v>0</v>
      </c>
      <c r="E39" s="276">
        <v>0</v>
      </c>
      <c r="F39" s="277">
        <v>0</v>
      </c>
      <c r="G39" s="19">
        <v>0</v>
      </c>
      <c r="I39" s="579">
        <v>5</v>
      </c>
      <c r="J39" s="579" t="s">
        <v>603</v>
      </c>
      <c r="K39" s="575" t="s">
        <v>620</v>
      </c>
      <c r="L39" s="575" t="s">
        <v>621</v>
      </c>
      <c r="M39" s="576">
        <v>15</v>
      </c>
      <c r="N39" s="577">
        <v>1450.98</v>
      </c>
      <c r="O39" s="574">
        <v>30</v>
      </c>
      <c r="P39" s="607">
        <f t="shared" si="2"/>
        <v>450</v>
      </c>
      <c r="Q39" s="577">
        <f t="shared" si="0"/>
        <v>48.366</v>
      </c>
      <c r="R39" s="577">
        <f>'Detalle Compras Septiembre 2026'!G520</f>
        <v>21764.7</v>
      </c>
      <c r="S39" s="600"/>
      <c r="T39" s="24"/>
      <c r="U39" s="24"/>
    </row>
    <row r="40" spans="2:21" ht="18" customHeight="1" x14ac:dyDescent="0.25">
      <c r="B40" s="23" t="s">
        <v>60</v>
      </c>
      <c r="C40" s="278">
        <v>7593154.9400000004</v>
      </c>
      <c r="D40" s="20">
        <v>20298</v>
      </c>
      <c r="E40" s="278">
        <v>374.08389693565869</v>
      </c>
      <c r="F40" s="279">
        <v>1</v>
      </c>
      <c r="G40" s="21">
        <v>134</v>
      </c>
      <c r="I40" s="579">
        <v>5</v>
      </c>
      <c r="J40" s="579" t="s">
        <v>603</v>
      </c>
      <c r="K40" s="575" t="s">
        <v>622</v>
      </c>
      <c r="L40" s="575" t="s">
        <v>623</v>
      </c>
      <c r="M40" s="576">
        <v>15</v>
      </c>
      <c r="N40" s="577">
        <v>1450.98</v>
      </c>
      <c r="O40" s="574">
        <v>30</v>
      </c>
      <c r="P40" s="607">
        <f t="shared" si="2"/>
        <v>450</v>
      </c>
      <c r="Q40" s="577">
        <f t="shared" si="0"/>
        <v>48.366</v>
      </c>
      <c r="R40" s="577">
        <f>'Detalle Compras Septiembre 2026'!G521</f>
        <v>21764.7</v>
      </c>
      <c r="S40" s="600"/>
      <c r="T40" s="24"/>
      <c r="U40" s="24"/>
    </row>
    <row r="41" spans="2:21" ht="18" customHeight="1" x14ac:dyDescent="0.25">
      <c r="I41" s="579">
        <v>5</v>
      </c>
      <c r="J41" s="579" t="s">
        <v>603</v>
      </c>
      <c r="K41" s="575" t="s">
        <v>624</v>
      </c>
      <c r="L41" s="575" t="s">
        <v>625</v>
      </c>
      <c r="M41" s="576">
        <v>15</v>
      </c>
      <c r="N41" s="577">
        <v>1450.98</v>
      </c>
      <c r="O41" s="574">
        <v>30</v>
      </c>
      <c r="P41" s="607">
        <f t="shared" si="2"/>
        <v>450</v>
      </c>
      <c r="Q41" s="577">
        <f t="shared" si="0"/>
        <v>48.366</v>
      </c>
      <c r="R41" s="577">
        <f>'Detalle Compras Septiembre 2026'!G522</f>
        <v>21764.7</v>
      </c>
      <c r="S41" s="600"/>
    </row>
    <row r="42" spans="2:21" ht="18" customHeight="1" x14ac:dyDescent="0.25">
      <c r="I42" s="579">
        <v>5</v>
      </c>
      <c r="J42" s="579" t="s">
        <v>603</v>
      </c>
      <c r="K42" s="575" t="s">
        <v>626</v>
      </c>
      <c r="L42" s="575" t="s">
        <v>627</v>
      </c>
      <c r="M42" s="576">
        <v>12</v>
      </c>
      <c r="N42" s="577">
        <v>3151.26</v>
      </c>
      <c r="O42" s="574">
        <v>12</v>
      </c>
      <c r="P42" s="607">
        <f t="shared" si="2"/>
        <v>144</v>
      </c>
      <c r="Q42" s="577">
        <f t="shared" ref="Q42:Q73" si="3">IF(P42&gt;0, R42/P42, 0)</f>
        <v>262.60500000000002</v>
      </c>
      <c r="R42" s="577">
        <f>'Detalle Compras Septiembre 2026'!G523</f>
        <v>37815.120000000003</v>
      </c>
      <c r="S42" s="600"/>
    </row>
    <row r="43" spans="2:21" ht="18" customHeight="1" x14ac:dyDescent="0.25">
      <c r="I43" s="579">
        <v>5</v>
      </c>
      <c r="J43" s="579" t="s">
        <v>603</v>
      </c>
      <c r="K43" s="575" t="s">
        <v>628</v>
      </c>
      <c r="L43" s="575" t="s">
        <v>629</v>
      </c>
      <c r="M43" s="576">
        <v>12</v>
      </c>
      <c r="N43" s="577">
        <v>3151.26</v>
      </c>
      <c r="O43" s="579">
        <v>12</v>
      </c>
      <c r="P43" s="607">
        <f t="shared" si="2"/>
        <v>144</v>
      </c>
      <c r="Q43" s="577">
        <f t="shared" si="3"/>
        <v>262.60500000000002</v>
      </c>
      <c r="R43" s="577">
        <f>'Detalle Compras Septiembre 2026'!G524</f>
        <v>37815.120000000003</v>
      </c>
      <c r="S43" s="600"/>
    </row>
    <row r="44" spans="2:21" ht="18" customHeight="1" x14ac:dyDescent="0.25">
      <c r="I44" s="579">
        <v>5</v>
      </c>
      <c r="J44" s="579" t="s">
        <v>603</v>
      </c>
      <c r="K44" s="575" t="s">
        <v>630</v>
      </c>
      <c r="L44" s="575" t="s">
        <v>631</v>
      </c>
      <c r="M44" s="576">
        <v>48</v>
      </c>
      <c r="N44" s="577">
        <v>1333.33</v>
      </c>
      <c r="O44" s="574">
        <v>24</v>
      </c>
      <c r="P44" s="607">
        <f t="shared" si="2"/>
        <v>1152</v>
      </c>
      <c r="Q44" s="577">
        <f t="shared" si="3"/>
        <v>55.555416666666666</v>
      </c>
      <c r="R44" s="577">
        <f>'Detalle Compras Septiembre 2026'!G525</f>
        <v>63999.839999999997</v>
      </c>
      <c r="S44" s="600"/>
    </row>
    <row r="45" spans="2:21" ht="18" customHeight="1" x14ac:dyDescent="0.25">
      <c r="I45" s="579">
        <v>5</v>
      </c>
      <c r="J45" s="579" t="s">
        <v>603</v>
      </c>
      <c r="K45" s="575" t="s">
        <v>632</v>
      </c>
      <c r="L45" s="575" t="s">
        <v>633</v>
      </c>
      <c r="M45" s="576">
        <v>48</v>
      </c>
      <c r="N45" s="577">
        <v>1500</v>
      </c>
      <c r="O45" s="574">
        <v>24</v>
      </c>
      <c r="P45" s="607">
        <f t="shared" si="2"/>
        <v>1152</v>
      </c>
      <c r="Q45" s="577">
        <f t="shared" si="3"/>
        <v>62.5</v>
      </c>
      <c r="R45" s="577">
        <f>'Detalle Compras Septiembre 2026'!G526</f>
        <v>72000</v>
      </c>
      <c r="S45" s="600"/>
    </row>
    <row r="46" spans="2:21" ht="18" customHeight="1" x14ac:dyDescent="0.25">
      <c r="I46" s="598" t="s">
        <v>634</v>
      </c>
      <c r="J46" s="598"/>
      <c r="K46" s="594"/>
      <c r="L46" s="594"/>
      <c r="M46" s="596">
        <f>SUM(M31:M45)</f>
        <v>219</v>
      </c>
      <c r="N46" s="597">
        <f>IF(M46&gt;0, R46/M46, 0)</f>
        <v>1764.8587671232876</v>
      </c>
      <c r="O46" s="610" t="s">
        <v>44</v>
      </c>
      <c r="P46" s="609">
        <f>SUM(P31:P45)</f>
        <v>4695</v>
      </c>
      <c r="Q46" s="597">
        <f t="shared" si="3"/>
        <v>82.322485623003203</v>
      </c>
      <c r="R46" s="597">
        <f>SUM(R31:R45)</f>
        <v>386504.07</v>
      </c>
      <c r="S46" s="600"/>
    </row>
    <row r="47" spans="2:21" ht="18" customHeight="1" x14ac:dyDescent="0.25">
      <c r="I47" s="579">
        <v>7</v>
      </c>
      <c r="J47" s="579" t="s">
        <v>635</v>
      </c>
      <c r="K47" s="575" t="s">
        <v>600</v>
      </c>
      <c r="L47" s="575" t="s">
        <v>601</v>
      </c>
      <c r="M47" s="576">
        <v>2</v>
      </c>
      <c r="N47" s="577">
        <v>9500</v>
      </c>
      <c r="O47" s="574">
        <v>1</v>
      </c>
      <c r="P47" s="607">
        <f>M47*O47</f>
        <v>2</v>
      </c>
      <c r="Q47" s="577">
        <f t="shared" si="3"/>
        <v>9500</v>
      </c>
      <c r="R47" s="577">
        <f>'Detalle Compras Septiembre 2026'!G564</f>
        <v>19000</v>
      </c>
      <c r="S47" s="600"/>
    </row>
    <row r="48" spans="2:21" ht="18" customHeight="1" x14ac:dyDescent="0.25">
      <c r="I48" s="579">
        <v>7</v>
      </c>
      <c r="J48" s="579" t="s">
        <v>635</v>
      </c>
      <c r="K48" s="575" t="s">
        <v>636</v>
      </c>
      <c r="L48" s="575" t="s">
        <v>637</v>
      </c>
      <c r="M48" s="576">
        <v>4</v>
      </c>
      <c r="N48" s="577">
        <v>5000</v>
      </c>
      <c r="O48" s="574">
        <v>1</v>
      </c>
      <c r="P48" s="607">
        <f>M48*O48</f>
        <v>4</v>
      </c>
      <c r="Q48" s="577">
        <f t="shared" si="3"/>
        <v>5000</v>
      </c>
      <c r="R48" s="577">
        <f>'Detalle Compras Septiembre 2026'!G565</f>
        <v>20000</v>
      </c>
      <c r="S48" s="600"/>
    </row>
    <row r="49" spans="9:19" ht="20.100000000000001" customHeight="1" x14ac:dyDescent="0.25">
      <c r="I49" s="579">
        <v>7</v>
      </c>
      <c r="J49" s="579" t="s">
        <v>638</v>
      </c>
      <c r="K49" s="575" t="s">
        <v>600</v>
      </c>
      <c r="L49" s="575" t="s">
        <v>601</v>
      </c>
      <c r="M49" s="576">
        <v>2</v>
      </c>
      <c r="N49" s="577">
        <v>9500</v>
      </c>
      <c r="O49" s="579">
        <v>1</v>
      </c>
      <c r="P49" s="607">
        <f>M49*O49</f>
        <v>2</v>
      </c>
      <c r="Q49" s="577">
        <f t="shared" si="3"/>
        <v>9500</v>
      </c>
      <c r="R49" s="577">
        <f>'Detalle Compras Septiembre 2026'!G566</f>
        <v>19000</v>
      </c>
      <c r="S49" s="600"/>
    </row>
    <row r="50" spans="9:19" x14ac:dyDescent="0.25">
      <c r="I50" s="579">
        <v>7</v>
      </c>
      <c r="J50" s="579" t="s">
        <v>638</v>
      </c>
      <c r="K50" s="575" t="s">
        <v>636</v>
      </c>
      <c r="L50" s="575" t="s">
        <v>637</v>
      </c>
      <c r="M50" s="576">
        <v>3</v>
      </c>
      <c r="N50" s="577">
        <v>5000</v>
      </c>
      <c r="O50" s="574">
        <v>1</v>
      </c>
      <c r="P50" s="607">
        <f>M50*O50</f>
        <v>3</v>
      </c>
      <c r="Q50" s="577">
        <f t="shared" si="3"/>
        <v>5000</v>
      </c>
      <c r="R50" s="577">
        <f>'Detalle Compras Septiembre 2026'!G567</f>
        <v>15000</v>
      </c>
      <c r="S50" s="600"/>
    </row>
    <row r="51" spans="9:19" x14ac:dyDescent="0.25">
      <c r="I51" s="598" t="s">
        <v>639</v>
      </c>
      <c r="J51" s="598"/>
      <c r="K51" s="594"/>
      <c r="L51" s="594"/>
      <c r="M51" s="596">
        <f>SUM(M47:M50)</f>
        <v>11</v>
      </c>
      <c r="N51" s="597">
        <f>IF(M51&gt;0, R51/M51, 0)</f>
        <v>6636.363636363636</v>
      </c>
      <c r="O51" s="610" t="s">
        <v>44</v>
      </c>
      <c r="P51" s="609">
        <f>SUM(P47:P50)</f>
        <v>11</v>
      </c>
      <c r="Q51" s="597">
        <f t="shared" si="3"/>
        <v>6636.363636363636</v>
      </c>
      <c r="R51" s="597">
        <f>SUM(R47:R50)</f>
        <v>73000</v>
      </c>
      <c r="S51" s="600"/>
    </row>
    <row r="52" spans="9:19" x14ac:dyDescent="0.25">
      <c r="I52" s="579">
        <v>8</v>
      </c>
      <c r="J52" s="579" t="s">
        <v>640</v>
      </c>
      <c r="K52" s="575" t="s">
        <v>641</v>
      </c>
      <c r="L52" s="575" t="s">
        <v>601</v>
      </c>
      <c r="M52" s="576">
        <v>2</v>
      </c>
      <c r="N52" s="577">
        <v>9500</v>
      </c>
      <c r="O52" s="574">
        <v>1</v>
      </c>
      <c r="P52" s="607">
        <f>M52*O52</f>
        <v>2</v>
      </c>
      <c r="Q52" s="577">
        <f t="shared" si="3"/>
        <v>9500</v>
      </c>
      <c r="R52" s="577">
        <f>'Detalle Compras Septiembre 2026'!G550</f>
        <v>19000</v>
      </c>
      <c r="S52" s="600"/>
    </row>
    <row r="53" spans="9:19" x14ac:dyDescent="0.25">
      <c r="I53" s="579">
        <v>8</v>
      </c>
      <c r="J53" s="579" t="s">
        <v>642</v>
      </c>
      <c r="K53" s="575" t="s">
        <v>643</v>
      </c>
      <c r="L53" s="575" t="s">
        <v>637</v>
      </c>
      <c r="M53" s="576">
        <v>2</v>
      </c>
      <c r="N53" s="577">
        <v>5000</v>
      </c>
      <c r="O53" s="574">
        <v>1</v>
      </c>
      <c r="P53" s="607">
        <f>M53*O53</f>
        <v>2</v>
      </c>
      <c r="Q53" s="577">
        <f t="shared" si="3"/>
        <v>5000</v>
      </c>
      <c r="R53" s="577">
        <f>'Detalle Compras Septiembre 2026'!G551</f>
        <v>10000</v>
      </c>
      <c r="S53" s="600"/>
    </row>
    <row r="54" spans="9:19" x14ac:dyDescent="0.25">
      <c r="I54" s="594" t="s">
        <v>644</v>
      </c>
      <c r="J54" s="595"/>
      <c r="K54" s="595"/>
      <c r="L54" s="595"/>
      <c r="M54" s="596">
        <f>SUM(M52:M53)</f>
        <v>4</v>
      </c>
      <c r="N54" s="597">
        <f>IF(M54&gt;0, R54/M54, 0)</f>
        <v>7250</v>
      </c>
      <c r="O54" s="598" t="s">
        <v>44</v>
      </c>
      <c r="P54" s="609">
        <f>SUM(P52:P53)</f>
        <v>4</v>
      </c>
      <c r="Q54" s="597">
        <f t="shared" si="3"/>
        <v>7250</v>
      </c>
      <c r="R54" s="597">
        <f>SUM(R52:R53)</f>
        <v>29000</v>
      </c>
      <c r="S54" s="600"/>
    </row>
    <row r="55" spans="9:19" x14ac:dyDescent="0.25">
      <c r="I55" s="579">
        <v>9</v>
      </c>
      <c r="J55" s="579" t="s">
        <v>645</v>
      </c>
      <c r="K55" s="575" t="s">
        <v>646</v>
      </c>
      <c r="L55" s="575" t="s">
        <v>647</v>
      </c>
      <c r="M55" s="576">
        <v>720</v>
      </c>
      <c r="N55" s="577">
        <v>700</v>
      </c>
      <c r="O55" s="574">
        <v>1</v>
      </c>
      <c r="P55" s="607">
        <f t="shared" ref="P55:P80" si="4">M55*O55</f>
        <v>720</v>
      </c>
      <c r="Q55" s="577">
        <f t="shared" si="3"/>
        <v>700</v>
      </c>
      <c r="R55" s="577">
        <f>'Detalle Compras Septiembre 2026'!G280</f>
        <v>504000</v>
      </c>
      <c r="S55" s="600"/>
    </row>
    <row r="56" spans="9:19" x14ac:dyDescent="0.25">
      <c r="I56" s="579">
        <v>9</v>
      </c>
      <c r="J56" s="579" t="s">
        <v>648</v>
      </c>
      <c r="K56" s="575" t="s">
        <v>649</v>
      </c>
      <c r="L56" s="575" t="s">
        <v>650</v>
      </c>
      <c r="M56" s="576">
        <v>7</v>
      </c>
      <c r="N56" s="577">
        <v>2166.67</v>
      </c>
      <c r="O56" s="574">
        <v>1</v>
      </c>
      <c r="P56" s="607">
        <f t="shared" si="4"/>
        <v>7</v>
      </c>
      <c r="Q56" s="577">
        <f t="shared" si="3"/>
        <v>2166.6685714285713</v>
      </c>
      <c r="R56" s="577">
        <f>'Detalle Compras Septiembre 2026'!G296</f>
        <v>15166.68</v>
      </c>
      <c r="S56" s="600"/>
    </row>
    <row r="57" spans="9:19" x14ac:dyDescent="0.25">
      <c r="I57" s="579">
        <v>9</v>
      </c>
      <c r="J57" s="579" t="s">
        <v>648</v>
      </c>
      <c r="K57" s="575" t="s">
        <v>651</v>
      </c>
      <c r="L57" s="575" t="s">
        <v>652</v>
      </c>
      <c r="M57" s="576">
        <v>8</v>
      </c>
      <c r="N57" s="577">
        <v>2166.67</v>
      </c>
      <c r="O57" s="579">
        <v>1</v>
      </c>
      <c r="P57" s="607">
        <f t="shared" si="4"/>
        <v>8</v>
      </c>
      <c r="Q57" s="577">
        <f t="shared" si="3"/>
        <v>2166.6687499999998</v>
      </c>
      <c r="R57" s="577">
        <f>'Detalle Compras Septiembre 2026'!G297</f>
        <v>17333.349999999999</v>
      </c>
      <c r="S57" s="600"/>
    </row>
    <row r="58" spans="9:19" x14ac:dyDescent="0.25">
      <c r="I58" s="579">
        <v>9</v>
      </c>
      <c r="J58" s="579" t="s">
        <v>648</v>
      </c>
      <c r="K58" s="575" t="s">
        <v>653</v>
      </c>
      <c r="L58" s="575" t="s">
        <v>654</v>
      </c>
      <c r="M58" s="576">
        <v>15</v>
      </c>
      <c r="N58" s="577">
        <v>2166.67</v>
      </c>
      <c r="O58" s="579">
        <v>1</v>
      </c>
      <c r="P58" s="607">
        <f t="shared" si="4"/>
        <v>15</v>
      </c>
      <c r="Q58" s="577">
        <f t="shared" si="3"/>
        <v>2166.6686666666665</v>
      </c>
      <c r="R58" s="577">
        <f>'Detalle Compras Septiembre 2026'!G298</f>
        <v>32500.03</v>
      </c>
      <c r="S58" s="600"/>
    </row>
    <row r="59" spans="9:19" x14ac:dyDescent="0.25">
      <c r="I59" s="579">
        <v>9</v>
      </c>
      <c r="J59" s="579" t="s">
        <v>648</v>
      </c>
      <c r="K59" s="575" t="s">
        <v>655</v>
      </c>
      <c r="L59" s="575" t="s">
        <v>656</v>
      </c>
      <c r="M59" s="576">
        <v>24</v>
      </c>
      <c r="N59" s="577">
        <v>1500</v>
      </c>
      <c r="O59" s="579">
        <v>24</v>
      </c>
      <c r="P59" s="607">
        <f t="shared" si="4"/>
        <v>576</v>
      </c>
      <c r="Q59" s="577">
        <f t="shared" si="3"/>
        <v>62.5</v>
      </c>
      <c r="R59" s="577">
        <f>'Detalle Compras Septiembre 2026'!G299</f>
        <v>36000</v>
      </c>
      <c r="S59" s="600"/>
    </row>
    <row r="60" spans="9:19" x14ac:dyDescent="0.25">
      <c r="I60" s="579">
        <v>9</v>
      </c>
      <c r="J60" s="579" t="s">
        <v>648</v>
      </c>
      <c r="K60" s="575" t="s">
        <v>657</v>
      </c>
      <c r="L60" s="575" t="s">
        <v>658</v>
      </c>
      <c r="M60" s="576">
        <v>48</v>
      </c>
      <c r="N60" s="577">
        <v>1333.33</v>
      </c>
      <c r="O60" s="579">
        <v>24</v>
      </c>
      <c r="P60" s="607">
        <f t="shared" si="4"/>
        <v>1152</v>
      </c>
      <c r="Q60" s="577">
        <f t="shared" si="3"/>
        <v>55.555416666666666</v>
      </c>
      <c r="R60" s="577">
        <f>'Detalle Compras Septiembre 2026'!G300</f>
        <v>63999.839999999997</v>
      </c>
      <c r="S60" s="600"/>
    </row>
    <row r="61" spans="9:19" x14ac:dyDescent="0.25">
      <c r="I61" s="579">
        <v>9</v>
      </c>
      <c r="J61" s="579" t="s">
        <v>648</v>
      </c>
      <c r="K61" s="575" t="s">
        <v>659</v>
      </c>
      <c r="L61" s="575" t="s">
        <v>660</v>
      </c>
      <c r="M61" s="576">
        <v>90</v>
      </c>
      <c r="N61" s="577">
        <v>1916.67</v>
      </c>
      <c r="O61" s="579">
        <v>30</v>
      </c>
      <c r="P61" s="607">
        <f t="shared" si="4"/>
        <v>2700</v>
      </c>
      <c r="Q61" s="577">
        <f t="shared" si="3"/>
        <v>63.888999999999996</v>
      </c>
      <c r="R61" s="577">
        <f>'Detalle Compras Septiembre 2026'!G301</f>
        <v>172500.3</v>
      </c>
      <c r="S61" s="600"/>
    </row>
    <row r="62" spans="9:19" x14ac:dyDescent="0.25">
      <c r="I62" s="579">
        <v>9</v>
      </c>
      <c r="J62" s="579" t="s">
        <v>648</v>
      </c>
      <c r="K62" s="575" t="s">
        <v>661</v>
      </c>
      <c r="L62" s="575" t="s">
        <v>662</v>
      </c>
      <c r="M62" s="576">
        <v>15</v>
      </c>
      <c r="N62" s="577">
        <v>1726.67</v>
      </c>
      <c r="O62" s="579">
        <v>30</v>
      </c>
      <c r="P62" s="607">
        <f t="shared" si="4"/>
        <v>450</v>
      </c>
      <c r="Q62" s="577">
        <f t="shared" si="3"/>
        <v>57.555533333333337</v>
      </c>
      <c r="R62" s="577">
        <f>'Detalle Compras Septiembre 2026'!G302</f>
        <v>25899.99</v>
      </c>
      <c r="S62" s="600"/>
    </row>
    <row r="63" spans="9:19" x14ac:dyDescent="0.25">
      <c r="I63" s="579">
        <v>9</v>
      </c>
      <c r="J63" s="579" t="s">
        <v>648</v>
      </c>
      <c r="K63" s="575" t="s">
        <v>663</v>
      </c>
      <c r="L63" s="575" t="s">
        <v>664</v>
      </c>
      <c r="M63" s="576">
        <v>15</v>
      </c>
      <c r="N63" s="577">
        <v>1726.67</v>
      </c>
      <c r="O63" s="579">
        <v>30</v>
      </c>
      <c r="P63" s="607">
        <f t="shared" si="4"/>
        <v>450</v>
      </c>
      <c r="Q63" s="577">
        <f t="shared" si="3"/>
        <v>57.555533333333337</v>
      </c>
      <c r="R63" s="577">
        <f>'Detalle Compras Septiembre 2026'!G303</f>
        <v>25899.99</v>
      </c>
      <c r="S63" s="600"/>
    </row>
    <row r="64" spans="9:19" x14ac:dyDescent="0.25">
      <c r="I64" s="579">
        <v>9</v>
      </c>
      <c r="J64" s="579" t="s">
        <v>648</v>
      </c>
      <c r="K64" s="575" t="s">
        <v>665</v>
      </c>
      <c r="L64" s="575" t="s">
        <v>666</v>
      </c>
      <c r="M64" s="576">
        <v>15</v>
      </c>
      <c r="N64" s="577">
        <v>1726.67</v>
      </c>
      <c r="O64" s="579">
        <v>30</v>
      </c>
      <c r="P64" s="607">
        <f t="shared" si="4"/>
        <v>450</v>
      </c>
      <c r="Q64" s="577">
        <f t="shared" si="3"/>
        <v>57.555533333333337</v>
      </c>
      <c r="R64" s="577">
        <f>'Detalle Compras Septiembre 2026'!G304</f>
        <v>25899.99</v>
      </c>
      <c r="S64" s="600"/>
    </row>
    <row r="65" spans="9:19" x14ac:dyDescent="0.25">
      <c r="I65" s="579">
        <v>9</v>
      </c>
      <c r="J65" s="579" t="s">
        <v>648</v>
      </c>
      <c r="K65" s="575" t="s">
        <v>667</v>
      </c>
      <c r="L65" s="575" t="s">
        <v>668</v>
      </c>
      <c r="M65" s="576">
        <v>15</v>
      </c>
      <c r="N65" s="577">
        <v>1726.67</v>
      </c>
      <c r="O65" s="579">
        <v>30</v>
      </c>
      <c r="P65" s="607">
        <f t="shared" si="4"/>
        <v>450</v>
      </c>
      <c r="Q65" s="577">
        <f t="shared" si="3"/>
        <v>57.555533333333337</v>
      </c>
      <c r="R65" s="577">
        <f>'Detalle Compras Septiembre 2026'!G305</f>
        <v>25899.99</v>
      </c>
      <c r="S65" s="600"/>
    </row>
    <row r="66" spans="9:19" x14ac:dyDescent="0.25">
      <c r="I66" s="579">
        <v>9</v>
      </c>
      <c r="J66" s="579" t="s">
        <v>648</v>
      </c>
      <c r="K66" s="575" t="s">
        <v>669</v>
      </c>
      <c r="L66" s="575" t="s">
        <v>670</v>
      </c>
      <c r="M66" s="576">
        <v>30</v>
      </c>
      <c r="N66" s="577">
        <v>1500</v>
      </c>
      <c r="O66" s="579">
        <v>30</v>
      </c>
      <c r="P66" s="607">
        <f t="shared" si="4"/>
        <v>900</v>
      </c>
      <c r="Q66" s="577">
        <f t="shared" si="3"/>
        <v>49.999833333333335</v>
      </c>
      <c r="R66" s="577">
        <f>'Detalle Compras Septiembre 2026'!G306</f>
        <v>44999.85</v>
      </c>
      <c r="S66" s="600"/>
    </row>
    <row r="67" spans="9:19" x14ac:dyDescent="0.25">
      <c r="I67" s="579">
        <v>9</v>
      </c>
      <c r="J67" s="579" t="s">
        <v>648</v>
      </c>
      <c r="K67" s="575" t="s">
        <v>671</v>
      </c>
      <c r="L67" s="575" t="s">
        <v>672</v>
      </c>
      <c r="M67" s="576">
        <v>12</v>
      </c>
      <c r="N67" s="577">
        <v>3750</v>
      </c>
      <c r="O67" s="579">
        <v>12</v>
      </c>
      <c r="P67" s="607">
        <f t="shared" si="4"/>
        <v>144</v>
      </c>
      <c r="Q67" s="577">
        <f t="shared" si="3"/>
        <v>312.49993055555552</v>
      </c>
      <c r="R67" s="577">
        <f>'Detalle Compras Septiembre 2026'!G307</f>
        <v>44999.99</v>
      </c>
      <c r="S67" s="600"/>
    </row>
    <row r="68" spans="9:19" x14ac:dyDescent="0.25">
      <c r="I68" s="579">
        <v>9</v>
      </c>
      <c r="J68" s="579" t="s">
        <v>648</v>
      </c>
      <c r="K68" s="575" t="s">
        <v>673</v>
      </c>
      <c r="L68" s="575" t="s">
        <v>674</v>
      </c>
      <c r="M68" s="576">
        <v>12</v>
      </c>
      <c r="N68" s="577">
        <v>3750</v>
      </c>
      <c r="O68" s="579">
        <v>12</v>
      </c>
      <c r="P68" s="607">
        <f t="shared" si="4"/>
        <v>144</v>
      </c>
      <c r="Q68" s="577">
        <f t="shared" si="3"/>
        <v>312.49993055555552</v>
      </c>
      <c r="R68" s="577">
        <f>'Detalle Compras Septiembre 2026'!G308</f>
        <v>44999.99</v>
      </c>
      <c r="S68" s="600"/>
    </row>
    <row r="69" spans="9:19" x14ac:dyDescent="0.25">
      <c r="I69" s="579">
        <v>9</v>
      </c>
      <c r="J69" s="579" t="s">
        <v>648</v>
      </c>
      <c r="K69" s="575" t="s">
        <v>675</v>
      </c>
      <c r="L69" s="575" t="s">
        <v>676</v>
      </c>
      <c r="M69" s="576">
        <v>12</v>
      </c>
      <c r="N69" s="577">
        <v>3750</v>
      </c>
      <c r="O69" s="579">
        <v>12</v>
      </c>
      <c r="P69" s="607">
        <f t="shared" si="4"/>
        <v>144</v>
      </c>
      <c r="Q69" s="577">
        <f t="shared" si="3"/>
        <v>312.50006944444448</v>
      </c>
      <c r="R69" s="577">
        <f>'Detalle Compras Septiembre 2026'!G309</f>
        <v>45000.01</v>
      </c>
      <c r="S69" s="600"/>
    </row>
    <row r="70" spans="9:19" x14ac:dyDescent="0.25">
      <c r="I70" s="579">
        <v>9</v>
      </c>
      <c r="J70" s="579" t="s">
        <v>677</v>
      </c>
      <c r="K70" s="575" t="s">
        <v>643</v>
      </c>
      <c r="L70" s="575" t="s">
        <v>637</v>
      </c>
      <c r="M70" s="576">
        <v>2</v>
      </c>
      <c r="N70" s="577">
        <v>5000</v>
      </c>
      <c r="O70" s="579">
        <v>1</v>
      </c>
      <c r="P70" s="607">
        <f t="shared" si="4"/>
        <v>2</v>
      </c>
      <c r="Q70" s="577">
        <f t="shared" si="3"/>
        <v>5000</v>
      </c>
      <c r="R70" s="577">
        <f>'Detalle Compras Septiembre 2026'!G534</f>
        <v>10000</v>
      </c>
      <c r="S70" s="600"/>
    </row>
    <row r="71" spans="9:19" x14ac:dyDescent="0.25">
      <c r="I71" s="579">
        <v>9</v>
      </c>
      <c r="J71" s="579" t="s">
        <v>678</v>
      </c>
      <c r="K71" s="575" t="s">
        <v>679</v>
      </c>
      <c r="L71" s="575" t="s">
        <v>680</v>
      </c>
      <c r="M71" s="576">
        <v>5</v>
      </c>
      <c r="N71" s="577">
        <v>26000</v>
      </c>
      <c r="O71" s="579">
        <v>1</v>
      </c>
      <c r="P71" s="607">
        <f t="shared" si="4"/>
        <v>5</v>
      </c>
      <c r="Q71" s="577">
        <f t="shared" si="3"/>
        <v>26000</v>
      </c>
      <c r="R71" s="577">
        <f>'Detalle Compras Septiembre 2026'!G535</f>
        <v>130000</v>
      </c>
      <c r="S71" s="600"/>
    </row>
    <row r="72" spans="9:19" x14ac:dyDescent="0.25">
      <c r="I72" s="579">
        <v>9</v>
      </c>
      <c r="J72" s="579" t="s">
        <v>681</v>
      </c>
      <c r="K72" s="575" t="s">
        <v>682</v>
      </c>
      <c r="L72" s="575" t="s">
        <v>683</v>
      </c>
      <c r="M72" s="576">
        <v>1</v>
      </c>
      <c r="N72" s="577">
        <v>44900</v>
      </c>
      <c r="O72" s="579">
        <v>1</v>
      </c>
      <c r="P72" s="607">
        <f t="shared" si="4"/>
        <v>1</v>
      </c>
      <c r="Q72" s="577">
        <f t="shared" si="3"/>
        <v>44900</v>
      </c>
      <c r="R72" s="577">
        <f>'Detalle Compras Septiembre 2026'!G540</f>
        <v>44900</v>
      </c>
      <c r="S72" s="600"/>
    </row>
    <row r="73" spans="9:19" x14ac:dyDescent="0.25">
      <c r="I73" s="579">
        <v>9</v>
      </c>
      <c r="J73" s="579" t="s">
        <v>684</v>
      </c>
      <c r="K73" s="575" t="s">
        <v>685</v>
      </c>
      <c r="L73" s="575" t="s">
        <v>686</v>
      </c>
      <c r="M73" s="576">
        <v>5</v>
      </c>
      <c r="N73" s="577">
        <v>3160</v>
      </c>
      <c r="O73" s="579">
        <v>1</v>
      </c>
      <c r="P73" s="607">
        <f t="shared" si="4"/>
        <v>5</v>
      </c>
      <c r="Q73" s="577">
        <f t="shared" si="3"/>
        <v>3160</v>
      </c>
      <c r="R73" s="577">
        <f>'Detalle Compras Septiembre 2026'!G542</f>
        <v>15800</v>
      </c>
      <c r="S73" s="600"/>
    </row>
    <row r="74" spans="9:19" x14ac:dyDescent="0.25">
      <c r="I74" s="579">
        <v>9</v>
      </c>
      <c r="J74" s="579" t="s">
        <v>684</v>
      </c>
      <c r="K74" s="575" t="s">
        <v>687</v>
      </c>
      <c r="L74" s="575" t="s">
        <v>688</v>
      </c>
      <c r="M74" s="576">
        <v>5</v>
      </c>
      <c r="N74" s="577">
        <v>2510</v>
      </c>
      <c r="O74" s="579">
        <v>1</v>
      </c>
      <c r="P74" s="607">
        <f t="shared" si="4"/>
        <v>5</v>
      </c>
      <c r="Q74" s="577">
        <f t="shared" ref="Q74:Q105" si="5">IF(P74&gt;0, R74/P74, 0)</f>
        <v>2510</v>
      </c>
      <c r="R74" s="577">
        <f>'Detalle Compras Septiembre 2026'!G543</f>
        <v>12550</v>
      </c>
      <c r="S74" s="600"/>
    </row>
    <row r="75" spans="9:19" x14ac:dyDescent="0.25">
      <c r="I75" s="579">
        <v>9</v>
      </c>
      <c r="J75" s="579" t="s">
        <v>684</v>
      </c>
      <c r="K75" s="575" t="s">
        <v>689</v>
      </c>
      <c r="L75" s="575" t="s">
        <v>690</v>
      </c>
      <c r="M75" s="576">
        <v>2</v>
      </c>
      <c r="N75" s="577">
        <v>18200</v>
      </c>
      <c r="O75" s="579">
        <v>1</v>
      </c>
      <c r="P75" s="607">
        <f t="shared" si="4"/>
        <v>2</v>
      </c>
      <c r="Q75" s="577">
        <f t="shared" si="5"/>
        <v>18200</v>
      </c>
      <c r="R75" s="577">
        <f>'Detalle Compras Septiembre 2026'!G544</f>
        <v>36400</v>
      </c>
      <c r="S75" s="600"/>
    </row>
    <row r="76" spans="9:19" x14ac:dyDescent="0.25">
      <c r="I76" s="579">
        <v>9</v>
      </c>
      <c r="J76" s="579" t="s">
        <v>684</v>
      </c>
      <c r="K76" s="575" t="s">
        <v>691</v>
      </c>
      <c r="L76" s="575" t="s">
        <v>692</v>
      </c>
      <c r="M76" s="576">
        <v>70</v>
      </c>
      <c r="N76" s="577">
        <v>4180</v>
      </c>
      <c r="O76" s="579">
        <v>1</v>
      </c>
      <c r="P76" s="607">
        <f t="shared" si="4"/>
        <v>70</v>
      </c>
      <c r="Q76" s="577">
        <f t="shared" si="5"/>
        <v>4180</v>
      </c>
      <c r="R76" s="577">
        <f>'Detalle Compras Septiembre 2026'!G545</f>
        <v>292600</v>
      </c>
      <c r="S76" s="600"/>
    </row>
    <row r="77" spans="9:19" x14ac:dyDescent="0.25">
      <c r="I77" s="579">
        <v>9</v>
      </c>
      <c r="J77" s="579" t="s">
        <v>684</v>
      </c>
      <c r="K77" s="575" t="s">
        <v>693</v>
      </c>
      <c r="L77" s="575" t="s">
        <v>694</v>
      </c>
      <c r="M77" s="576">
        <v>6</v>
      </c>
      <c r="N77" s="577">
        <v>1100</v>
      </c>
      <c r="O77" s="579">
        <v>1</v>
      </c>
      <c r="P77" s="607">
        <f t="shared" si="4"/>
        <v>6</v>
      </c>
      <c r="Q77" s="577">
        <f t="shared" si="5"/>
        <v>1100</v>
      </c>
      <c r="R77" s="577">
        <f>'Detalle Compras Septiembre 2026'!G546</f>
        <v>6600</v>
      </c>
      <c r="S77" s="600"/>
    </row>
    <row r="78" spans="9:19" x14ac:dyDescent="0.25">
      <c r="I78" s="579">
        <v>9</v>
      </c>
      <c r="J78" s="579" t="s">
        <v>684</v>
      </c>
      <c r="K78" s="575" t="s">
        <v>695</v>
      </c>
      <c r="L78" s="575" t="s">
        <v>696</v>
      </c>
      <c r="M78" s="576">
        <v>6</v>
      </c>
      <c r="N78" s="577">
        <v>2510</v>
      </c>
      <c r="O78" s="579">
        <v>1</v>
      </c>
      <c r="P78" s="607">
        <f t="shared" si="4"/>
        <v>6</v>
      </c>
      <c r="Q78" s="577">
        <f t="shared" si="5"/>
        <v>2510</v>
      </c>
      <c r="R78" s="577">
        <f>'Detalle Compras Septiembre 2026'!G547</f>
        <v>15060</v>
      </c>
      <c r="S78" s="600"/>
    </row>
    <row r="79" spans="9:19" x14ac:dyDescent="0.25">
      <c r="I79" s="579">
        <v>9</v>
      </c>
      <c r="J79" s="579" t="s">
        <v>684</v>
      </c>
      <c r="K79" s="575" t="s">
        <v>697</v>
      </c>
      <c r="L79" s="575" t="s">
        <v>698</v>
      </c>
      <c r="M79" s="576">
        <v>5</v>
      </c>
      <c r="N79" s="577">
        <v>3160</v>
      </c>
      <c r="O79" s="579">
        <v>1</v>
      </c>
      <c r="P79" s="607">
        <f t="shared" si="4"/>
        <v>5</v>
      </c>
      <c r="Q79" s="577">
        <f t="shared" si="5"/>
        <v>3160</v>
      </c>
      <c r="R79" s="577">
        <f>'Detalle Compras Septiembre 2026'!G548</f>
        <v>15800</v>
      </c>
      <c r="S79" s="600"/>
    </row>
    <row r="80" spans="9:19" x14ac:dyDescent="0.25">
      <c r="I80" s="579">
        <v>9</v>
      </c>
      <c r="J80" s="579" t="s">
        <v>684</v>
      </c>
      <c r="K80" s="575" t="s">
        <v>699</v>
      </c>
      <c r="L80" s="575" t="s">
        <v>700</v>
      </c>
      <c r="M80" s="576">
        <v>6</v>
      </c>
      <c r="N80" s="577">
        <v>3160</v>
      </c>
      <c r="O80" s="579">
        <v>1</v>
      </c>
      <c r="P80" s="607">
        <f t="shared" si="4"/>
        <v>6</v>
      </c>
      <c r="Q80" s="577">
        <f t="shared" si="5"/>
        <v>3160</v>
      </c>
      <c r="R80" s="577">
        <f>'Detalle Compras Septiembre 2026'!G549</f>
        <v>18960</v>
      </c>
      <c r="S80" s="600"/>
    </row>
    <row r="81" spans="9:19" x14ac:dyDescent="0.25">
      <c r="I81" s="595" t="s">
        <v>701</v>
      </c>
      <c r="J81" s="595"/>
      <c r="K81" s="595"/>
      <c r="L81" s="595"/>
      <c r="M81" s="602">
        <f>SUM(M55:M80)</f>
        <v>1151</v>
      </c>
      <c r="N81" s="603">
        <f>IF(M81&gt;0, R81/M81, 0)</f>
        <v>1497.6281494352736</v>
      </c>
      <c r="O81" s="598" t="s">
        <v>44</v>
      </c>
      <c r="P81" s="611">
        <f>SUM(P55:P80)</f>
        <v>8423</v>
      </c>
      <c r="Q81" s="603">
        <f t="shared" si="5"/>
        <v>204.65036210376351</v>
      </c>
      <c r="R81" s="603">
        <f>SUM(R55:R80)</f>
        <v>1723770</v>
      </c>
      <c r="S81" s="600"/>
    </row>
    <row r="82" spans="9:19" x14ac:dyDescent="0.25">
      <c r="I82" s="579">
        <v>10</v>
      </c>
      <c r="J82" s="579" t="s">
        <v>318</v>
      </c>
      <c r="K82" s="575" t="s">
        <v>702</v>
      </c>
      <c r="L82" s="575" t="s">
        <v>702</v>
      </c>
      <c r="M82" s="576">
        <v>1</v>
      </c>
      <c r="N82" s="577">
        <v>329500</v>
      </c>
      <c r="O82" s="579">
        <v>1</v>
      </c>
      <c r="P82" s="607">
        <f t="shared" ref="P82:P90" si="6">M82*O82</f>
        <v>1</v>
      </c>
      <c r="Q82" s="577">
        <f t="shared" si="5"/>
        <v>329500</v>
      </c>
      <c r="R82" s="577">
        <f>'Detalle Compras Septiembre 2026'!G355</f>
        <v>329500</v>
      </c>
      <c r="S82" s="600"/>
    </row>
    <row r="83" spans="9:19" x14ac:dyDescent="0.25">
      <c r="I83" s="579">
        <v>10</v>
      </c>
      <c r="J83" s="579" t="s">
        <v>703</v>
      </c>
      <c r="K83" s="575" t="s">
        <v>704</v>
      </c>
      <c r="L83" s="575" t="s">
        <v>705</v>
      </c>
      <c r="M83" s="576">
        <v>1</v>
      </c>
      <c r="N83" s="577">
        <v>10504</v>
      </c>
      <c r="O83" s="579">
        <v>1</v>
      </c>
      <c r="P83" s="607">
        <f t="shared" si="6"/>
        <v>1</v>
      </c>
      <c r="Q83" s="577">
        <f t="shared" si="5"/>
        <v>10504</v>
      </c>
      <c r="R83" s="577">
        <f>'Detalle Compras Septiembre 2026'!G367</f>
        <v>10504</v>
      </c>
      <c r="S83" s="600"/>
    </row>
    <row r="84" spans="9:19" x14ac:dyDescent="0.25">
      <c r="I84" s="579">
        <v>10</v>
      </c>
      <c r="J84" s="579" t="s">
        <v>706</v>
      </c>
      <c r="K84" s="575" t="s">
        <v>707</v>
      </c>
      <c r="L84" s="575" t="s">
        <v>708</v>
      </c>
      <c r="M84" s="576">
        <v>1</v>
      </c>
      <c r="N84" s="577">
        <v>12000</v>
      </c>
      <c r="O84" s="579">
        <v>1</v>
      </c>
      <c r="P84" s="607">
        <f t="shared" si="6"/>
        <v>1</v>
      </c>
      <c r="Q84" s="577">
        <f t="shared" si="5"/>
        <v>12000</v>
      </c>
      <c r="R84" s="577">
        <f>'Detalle Compras Septiembre 2026'!G368</f>
        <v>12000</v>
      </c>
      <c r="S84" s="600"/>
    </row>
    <row r="85" spans="9:19" x14ac:dyDescent="0.25">
      <c r="I85" s="579">
        <v>10</v>
      </c>
      <c r="J85" s="579" t="s">
        <v>709</v>
      </c>
      <c r="K85" s="575" t="s">
        <v>710</v>
      </c>
      <c r="L85" s="575" t="s">
        <v>711</v>
      </c>
      <c r="M85" s="576">
        <v>1</v>
      </c>
      <c r="N85" s="577">
        <v>33782</v>
      </c>
      <c r="O85" s="579">
        <v>12</v>
      </c>
      <c r="P85" s="607">
        <f t="shared" si="6"/>
        <v>12</v>
      </c>
      <c r="Q85" s="577">
        <f t="shared" si="5"/>
        <v>2815.1666666666665</v>
      </c>
      <c r="R85" s="577">
        <f>'Detalle Compras Septiembre 2026'!G369</f>
        <v>33782</v>
      </c>
      <c r="S85" s="600"/>
    </row>
    <row r="86" spans="9:19" x14ac:dyDescent="0.25">
      <c r="I86" s="579">
        <v>10</v>
      </c>
      <c r="J86" s="579" t="s">
        <v>712</v>
      </c>
      <c r="K86" s="575" t="s">
        <v>713</v>
      </c>
      <c r="L86" s="575" t="s">
        <v>714</v>
      </c>
      <c r="M86" s="576">
        <v>1</v>
      </c>
      <c r="N86" s="577">
        <v>37815</v>
      </c>
      <c r="O86" s="579">
        <v>12</v>
      </c>
      <c r="P86" s="607">
        <f t="shared" si="6"/>
        <v>12</v>
      </c>
      <c r="Q86" s="577">
        <f t="shared" si="5"/>
        <v>3151.25</v>
      </c>
      <c r="R86" s="577">
        <f>'Detalle Compras Septiembre 2026'!G370</f>
        <v>37815</v>
      </c>
      <c r="S86" s="600"/>
    </row>
    <row r="87" spans="9:19" x14ac:dyDescent="0.25">
      <c r="I87" s="579">
        <v>10</v>
      </c>
      <c r="J87" s="579" t="s">
        <v>715</v>
      </c>
      <c r="K87" s="575" t="s">
        <v>716</v>
      </c>
      <c r="L87" s="575" t="s">
        <v>717</v>
      </c>
      <c r="M87" s="576">
        <v>1</v>
      </c>
      <c r="N87" s="577">
        <v>264500</v>
      </c>
      <c r="O87" s="579">
        <v>1</v>
      </c>
      <c r="P87" s="607">
        <f t="shared" si="6"/>
        <v>1</v>
      </c>
      <c r="Q87" s="577">
        <f t="shared" si="5"/>
        <v>264500</v>
      </c>
      <c r="R87" s="577">
        <f>'Detalle Compras Septiembre 2026'!G501</f>
        <v>264500</v>
      </c>
      <c r="S87" s="600"/>
    </row>
    <row r="88" spans="9:19" x14ac:dyDescent="0.25">
      <c r="I88" s="579">
        <v>10</v>
      </c>
      <c r="J88" s="579" t="s">
        <v>718</v>
      </c>
      <c r="K88" s="575" t="s">
        <v>719</v>
      </c>
      <c r="L88" s="575" t="s">
        <v>720</v>
      </c>
      <c r="M88" s="576">
        <v>1</v>
      </c>
      <c r="N88" s="577">
        <v>65000</v>
      </c>
      <c r="O88" s="579">
        <v>1</v>
      </c>
      <c r="P88" s="607">
        <f t="shared" si="6"/>
        <v>1</v>
      </c>
      <c r="Q88" s="577">
        <f t="shared" si="5"/>
        <v>65000</v>
      </c>
      <c r="R88" s="577">
        <f>'Detalle Compras Septiembre 2026'!G502</f>
        <v>65000</v>
      </c>
      <c r="S88" s="600"/>
    </row>
    <row r="89" spans="9:19" x14ac:dyDescent="0.25">
      <c r="I89" s="579">
        <v>10</v>
      </c>
      <c r="J89" s="579" t="s">
        <v>721</v>
      </c>
      <c r="K89" s="575" t="s">
        <v>722</v>
      </c>
      <c r="L89" s="575" t="s">
        <v>723</v>
      </c>
      <c r="M89" s="576">
        <v>2</v>
      </c>
      <c r="N89" s="577">
        <v>9500</v>
      </c>
      <c r="O89" s="579">
        <v>1</v>
      </c>
      <c r="P89" s="607">
        <f t="shared" si="6"/>
        <v>2</v>
      </c>
      <c r="Q89" s="577">
        <f t="shared" si="5"/>
        <v>9500</v>
      </c>
      <c r="R89" s="577">
        <f>'Detalle Compras Septiembre 2026'!G506</f>
        <v>19000</v>
      </c>
      <c r="S89" s="600"/>
    </row>
    <row r="90" spans="9:19" x14ac:dyDescent="0.25">
      <c r="I90" s="579">
        <v>10</v>
      </c>
      <c r="J90" s="579" t="s">
        <v>724</v>
      </c>
      <c r="K90" s="575" t="s">
        <v>597</v>
      </c>
      <c r="L90" s="575" t="s">
        <v>598</v>
      </c>
      <c r="M90" s="576">
        <v>6</v>
      </c>
      <c r="N90" s="577">
        <v>24395</v>
      </c>
      <c r="O90" s="579">
        <v>1</v>
      </c>
      <c r="P90" s="607">
        <f t="shared" si="6"/>
        <v>6</v>
      </c>
      <c r="Q90" s="577">
        <f t="shared" si="5"/>
        <v>24395</v>
      </c>
      <c r="R90" s="577">
        <f>'Detalle Compras Septiembre 2026'!G527</f>
        <v>146370</v>
      </c>
      <c r="S90" s="600"/>
    </row>
    <row r="91" spans="9:19" x14ac:dyDescent="0.25">
      <c r="I91" s="595" t="s">
        <v>725</v>
      </c>
      <c r="J91" s="595"/>
      <c r="K91" s="595"/>
      <c r="L91" s="595"/>
      <c r="M91" s="602">
        <f>SUM(M82:M90)</f>
        <v>15</v>
      </c>
      <c r="N91" s="603">
        <f>IF(M91&gt;0, R91/M91, 0)</f>
        <v>61231.4</v>
      </c>
      <c r="O91" s="598" t="s">
        <v>44</v>
      </c>
      <c r="P91" s="611">
        <f>SUM(P82:P90)</f>
        <v>37</v>
      </c>
      <c r="Q91" s="603">
        <f t="shared" si="5"/>
        <v>24823.54054054054</v>
      </c>
      <c r="R91" s="603">
        <f>SUM(R82:R90)</f>
        <v>918471</v>
      </c>
      <c r="S91" s="600"/>
    </row>
    <row r="92" spans="9:19" x14ac:dyDescent="0.25">
      <c r="I92" s="579">
        <v>11</v>
      </c>
      <c r="J92" s="579" t="s">
        <v>726</v>
      </c>
      <c r="K92" s="575" t="s">
        <v>727</v>
      </c>
      <c r="L92" s="575" t="s">
        <v>601</v>
      </c>
      <c r="M92" s="576">
        <v>2</v>
      </c>
      <c r="N92" s="577">
        <v>9500</v>
      </c>
      <c r="O92" s="579">
        <v>1</v>
      </c>
      <c r="P92" s="607">
        <f>M92*O92</f>
        <v>2</v>
      </c>
      <c r="Q92" s="577">
        <f t="shared" si="5"/>
        <v>9500</v>
      </c>
      <c r="R92" s="577">
        <f>'Detalle Compras Septiembre 2026'!G498</f>
        <v>19000</v>
      </c>
      <c r="S92" s="600"/>
    </row>
    <row r="93" spans="9:19" x14ac:dyDescent="0.25">
      <c r="I93" s="579">
        <v>11</v>
      </c>
      <c r="J93" s="579" t="s">
        <v>726</v>
      </c>
      <c r="K93" s="575" t="s">
        <v>728</v>
      </c>
      <c r="L93" s="575" t="s">
        <v>637</v>
      </c>
      <c r="M93" s="576">
        <v>3</v>
      </c>
      <c r="N93" s="577">
        <v>5000</v>
      </c>
      <c r="O93" s="579">
        <v>1</v>
      </c>
      <c r="P93" s="607">
        <f>M93*O93</f>
        <v>3</v>
      </c>
      <c r="Q93" s="577">
        <f t="shared" si="5"/>
        <v>5000</v>
      </c>
      <c r="R93" s="577">
        <f>'Detalle Compras Septiembre 2026'!G499</f>
        <v>15000</v>
      </c>
      <c r="S93" s="600"/>
    </row>
    <row r="94" spans="9:19" x14ac:dyDescent="0.25">
      <c r="I94" s="595" t="s">
        <v>729</v>
      </c>
      <c r="J94" s="595"/>
      <c r="K94" s="595"/>
      <c r="L94" s="595"/>
      <c r="M94" s="602">
        <f>SUM(M92:M93)</f>
        <v>5</v>
      </c>
      <c r="N94" s="603">
        <f>IF(M94&gt;0, R94/M94, 0)</f>
        <v>6800</v>
      </c>
      <c r="O94" s="598" t="s">
        <v>44</v>
      </c>
      <c r="P94" s="611">
        <f>SUM(P92:P93)</f>
        <v>5</v>
      </c>
      <c r="Q94" s="603">
        <f t="shared" si="5"/>
        <v>6800</v>
      </c>
      <c r="R94" s="603">
        <f>SUM(R92:R93)</f>
        <v>34000</v>
      </c>
      <c r="S94" s="600"/>
    </row>
    <row r="95" spans="9:19" x14ac:dyDescent="0.25">
      <c r="I95" s="579">
        <v>12</v>
      </c>
      <c r="J95" s="579" t="s">
        <v>730</v>
      </c>
      <c r="K95" s="575" t="s">
        <v>731</v>
      </c>
      <c r="L95" s="575" t="s">
        <v>732</v>
      </c>
      <c r="M95" s="576">
        <v>1</v>
      </c>
      <c r="N95" s="577">
        <v>20750</v>
      </c>
      <c r="O95" s="579">
        <v>1</v>
      </c>
      <c r="P95" s="607">
        <f>M95*O95</f>
        <v>1</v>
      </c>
      <c r="Q95" s="577">
        <f t="shared" si="5"/>
        <v>20750</v>
      </c>
      <c r="R95" s="577">
        <f>'Detalle Compras Septiembre 2026'!G460</f>
        <v>20750</v>
      </c>
      <c r="S95" s="600"/>
    </row>
    <row r="96" spans="9:19" x14ac:dyDescent="0.25">
      <c r="I96" s="579">
        <v>12</v>
      </c>
      <c r="J96" s="579" t="s">
        <v>730</v>
      </c>
      <c r="K96" s="575" t="s">
        <v>731</v>
      </c>
      <c r="L96" s="575" t="s">
        <v>733</v>
      </c>
      <c r="M96" s="576">
        <v>1</v>
      </c>
      <c r="N96" s="577">
        <v>20750</v>
      </c>
      <c r="O96" s="579">
        <v>1</v>
      </c>
      <c r="P96" s="607">
        <f>M96*O96</f>
        <v>1</v>
      </c>
      <c r="Q96" s="577">
        <f t="shared" si="5"/>
        <v>20750</v>
      </c>
      <c r="R96" s="577">
        <f>'Detalle Compras Septiembre 2026'!G461</f>
        <v>20750</v>
      </c>
      <c r="S96" s="600"/>
    </row>
    <row r="97" spans="9:19" x14ac:dyDescent="0.25">
      <c r="I97" s="579">
        <v>12</v>
      </c>
      <c r="J97" s="579" t="s">
        <v>730</v>
      </c>
      <c r="K97" s="575" t="s">
        <v>731</v>
      </c>
      <c r="L97" s="575" t="s">
        <v>734</v>
      </c>
      <c r="M97" s="576">
        <v>1</v>
      </c>
      <c r="N97" s="577">
        <v>20750</v>
      </c>
      <c r="O97" s="579">
        <v>1</v>
      </c>
      <c r="P97" s="607">
        <f>M97*O97</f>
        <v>1</v>
      </c>
      <c r="Q97" s="577">
        <f t="shared" si="5"/>
        <v>20750</v>
      </c>
      <c r="R97" s="577">
        <f>'Detalle Compras Septiembre 2026'!G462</f>
        <v>20750</v>
      </c>
      <c r="S97" s="600"/>
    </row>
    <row r="98" spans="9:19" x14ac:dyDescent="0.25">
      <c r="I98" s="579">
        <v>12</v>
      </c>
      <c r="J98" s="579" t="s">
        <v>730</v>
      </c>
      <c r="K98" s="575" t="s">
        <v>731</v>
      </c>
      <c r="L98" s="575" t="s">
        <v>735</v>
      </c>
      <c r="M98" s="576">
        <v>1</v>
      </c>
      <c r="N98" s="577">
        <v>20750</v>
      </c>
      <c r="O98" s="579">
        <v>1</v>
      </c>
      <c r="P98" s="607">
        <f>M98*O98</f>
        <v>1</v>
      </c>
      <c r="Q98" s="577">
        <f t="shared" si="5"/>
        <v>20750</v>
      </c>
      <c r="R98" s="577">
        <f>'Detalle Compras Septiembre 2026'!G463</f>
        <v>20750</v>
      </c>
      <c r="S98" s="600"/>
    </row>
    <row r="99" spans="9:19" x14ac:dyDescent="0.25">
      <c r="I99" s="595" t="s">
        <v>736</v>
      </c>
      <c r="J99" s="595"/>
      <c r="K99" s="595"/>
      <c r="L99" s="595"/>
      <c r="M99" s="602">
        <f>SUM(M95:M98)</f>
        <v>4</v>
      </c>
      <c r="N99" s="603">
        <f>IF(M99&gt;0, R99/M99, 0)</f>
        <v>20750</v>
      </c>
      <c r="O99" s="598" t="s">
        <v>44</v>
      </c>
      <c r="P99" s="611">
        <f>SUM(P95:P98)</f>
        <v>4</v>
      </c>
      <c r="Q99" s="603">
        <f t="shared" si="5"/>
        <v>20750</v>
      </c>
      <c r="R99" s="603">
        <f>SUM(R95:R98)</f>
        <v>83000</v>
      </c>
      <c r="S99" s="600"/>
    </row>
    <row r="100" spans="9:19" x14ac:dyDescent="0.25">
      <c r="I100" s="579">
        <v>13</v>
      </c>
      <c r="J100" s="579" t="s">
        <v>737</v>
      </c>
      <c r="K100" s="575" t="s">
        <v>738</v>
      </c>
      <c r="L100" s="575" t="s">
        <v>739</v>
      </c>
      <c r="M100" s="576">
        <v>2</v>
      </c>
      <c r="N100" s="577">
        <v>32000</v>
      </c>
      <c r="O100" s="579">
        <v>24</v>
      </c>
      <c r="P100" s="607">
        <f>M100*O100</f>
        <v>48</v>
      </c>
      <c r="Q100" s="577">
        <f t="shared" si="5"/>
        <v>1333.3333333333333</v>
      </c>
      <c r="R100" s="577">
        <f>'Detalle Compras Septiembre 2026'!G468</f>
        <v>64000</v>
      </c>
      <c r="S100" s="600"/>
    </row>
    <row r="101" spans="9:19" x14ac:dyDescent="0.25">
      <c r="I101" s="579">
        <v>13</v>
      </c>
      <c r="J101" s="579" t="s">
        <v>740</v>
      </c>
      <c r="K101" s="575" t="s">
        <v>741</v>
      </c>
      <c r="L101" s="575" t="s">
        <v>742</v>
      </c>
      <c r="M101" s="576">
        <v>1</v>
      </c>
      <c r="N101" s="577">
        <v>62500</v>
      </c>
      <c r="O101" s="579">
        <v>30</v>
      </c>
      <c r="P101" s="607">
        <f>M101*O101</f>
        <v>30</v>
      </c>
      <c r="Q101" s="577">
        <f t="shared" si="5"/>
        <v>2083.3333333333335</v>
      </c>
      <c r="R101" s="577">
        <f>'Detalle Compras Septiembre 2026'!G469</f>
        <v>62500</v>
      </c>
      <c r="S101" s="600"/>
    </row>
    <row r="102" spans="9:19" x14ac:dyDescent="0.25">
      <c r="I102" s="595" t="s">
        <v>743</v>
      </c>
      <c r="J102" s="595"/>
      <c r="K102" s="595"/>
      <c r="L102" s="595"/>
      <c r="M102" s="602">
        <f>SUM(M100:M101)</f>
        <v>3</v>
      </c>
      <c r="N102" s="603">
        <f>IF(M102&gt;0, R102/M102, 0)</f>
        <v>42166.666666666664</v>
      </c>
      <c r="O102" s="598" t="s">
        <v>44</v>
      </c>
      <c r="P102" s="611">
        <f>SUM(P100:P101)</f>
        <v>78</v>
      </c>
      <c r="Q102" s="603">
        <f t="shared" si="5"/>
        <v>1621.7948717948718</v>
      </c>
      <c r="R102" s="603">
        <f>SUM(R100:R101)</f>
        <v>126500</v>
      </c>
      <c r="S102" s="600"/>
    </row>
    <row r="103" spans="9:19" x14ac:dyDescent="0.25">
      <c r="I103" s="579">
        <v>15</v>
      </c>
      <c r="J103" s="579" t="s">
        <v>744</v>
      </c>
      <c r="K103" s="575" t="s">
        <v>745</v>
      </c>
      <c r="L103" s="575" t="s">
        <v>746</v>
      </c>
      <c r="M103" s="576">
        <v>4</v>
      </c>
      <c r="N103" s="577">
        <v>1309</v>
      </c>
      <c r="O103" s="579">
        <v>1</v>
      </c>
      <c r="P103" s="607">
        <f>M103*O103</f>
        <v>4</v>
      </c>
      <c r="Q103" s="577">
        <f t="shared" si="5"/>
        <v>1309</v>
      </c>
      <c r="R103" s="577">
        <f>'Detalle Compras Septiembre 2026'!G574</f>
        <v>5236</v>
      </c>
      <c r="S103" s="600"/>
    </row>
    <row r="104" spans="9:19" x14ac:dyDescent="0.25">
      <c r="I104" s="579">
        <v>15</v>
      </c>
      <c r="J104" s="579" t="s">
        <v>747</v>
      </c>
      <c r="K104" s="575" t="s">
        <v>748</v>
      </c>
      <c r="L104" s="575" t="s">
        <v>749</v>
      </c>
      <c r="M104" s="576">
        <v>1</v>
      </c>
      <c r="N104" s="577">
        <v>19000</v>
      </c>
      <c r="O104" s="579">
        <v>1</v>
      </c>
      <c r="P104" s="607">
        <f>M104*O104</f>
        <v>1</v>
      </c>
      <c r="Q104" s="577">
        <f t="shared" si="5"/>
        <v>19000</v>
      </c>
      <c r="R104" s="577">
        <f>'Detalle Compras Septiembre 2026'!G594</f>
        <v>19000</v>
      </c>
      <c r="S104" s="600"/>
    </row>
    <row r="105" spans="9:19" x14ac:dyDescent="0.25">
      <c r="I105" s="579">
        <v>15</v>
      </c>
      <c r="J105" s="579" t="s">
        <v>750</v>
      </c>
      <c r="K105" s="575" t="s">
        <v>751</v>
      </c>
      <c r="L105" s="575" t="s">
        <v>752</v>
      </c>
      <c r="M105" s="576">
        <v>1</v>
      </c>
      <c r="N105" s="577">
        <v>14200</v>
      </c>
      <c r="O105" s="579">
        <v>1</v>
      </c>
      <c r="P105" s="607">
        <f>M105*O105</f>
        <v>1</v>
      </c>
      <c r="Q105" s="577">
        <f t="shared" si="5"/>
        <v>14200</v>
      </c>
      <c r="R105" s="577">
        <f>'Detalle Compras Septiembre 2026'!G595</f>
        <v>14200</v>
      </c>
      <c r="S105" s="600"/>
    </row>
    <row r="106" spans="9:19" x14ac:dyDescent="0.25">
      <c r="I106" s="595" t="s">
        <v>753</v>
      </c>
      <c r="J106" s="595"/>
      <c r="K106" s="595"/>
      <c r="L106" s="595"/>
      <c r="M106" s="602">
        <f>SUM(M103:M105)</f>
        <v>6</v>
      </c>
      <c r="N106" s="603">
        <f>IF(M106&gt;0, R106/M106, 0)</f>
        <v>6406</v>
      </c>
      <c r="O106" s="598" t="s">
        <v>44</v>
      </c>
      <c r="P106" s="611">
        <f>SUM(P103:P105)</f>
        <v>6</v>
      </c>
      <c r="Q106" s="603">
        <f t="shared" ref="Q106:Q137" si="7">IF(P106&gt;0, R106/P106, 0)</f>
        <v>6406</v>
      </c>
      <c r="R106" s="603">
        <f>SUM(R103:R105)</f>
        <v>38436</v>
      </c>
      <c r="S106" s="600"/>
    </row>
    <row r="107" spans="9:19" x14ac:dyDescent="0.25">
      <c r="I107" s="579">
        <v>16</v>
      </c>
      <c r="J107" s="579" t="s">
        <v>754</v>
      </c>
      <c r="K107" s="575" t="s">
        <v>748</v>
      </c>
      <c r="L107" s="575" t="s">
        <v>755</v>
      </c>
      <c r="M107" s="576">
        <v>1</v>
      </c>
      <c r="N107" s="577">
        <v>34000</v>
      </c>
      <c r="O107" s="579">
        <v>1</v>
      </c>
      <c r="P107" s="607">
        <f>M107*O107</f>
        <v>1</v>
      </c>
      <c r="Q107" s="577">
        <f t="shared" si="7"/>
        <v>34000</v>
      </c>
      <c r="R107" s="577">
        <f>'Detalle Compras Septiembre 2026'!G606</f>
        <v>34000</v>
      </c>
      <c r="S107" s="600"/>
    </row>
    <row r="108" spans="9:19" x14ac:dyDescent="0.25">
      <c r="I108" s="595" t="s">
        <v>756</v>
      </c>
      <c r="J108" s="595"/>
      <c r="K108" s="595"/>
      <c r="L108" s="595"/>
      <c r="M108" s="602">
        <f>SUM(M107:M107)</f>
        <v>1</v>
      </c>
      <c r="N108" s="603">
        <f>IF(M108&gt;0, R108/M108, 0)</f>
        <v>34000</v>
      </c>
      <c r="O108" s="598" t="s">
        <v>44</v>
      </c>
      <c r="P108" s="611">
        <f>SUM(P107:P107)</f>
        <v>1</v>
      </c>
      <c r="Q108" s="603">
        <f t="shared" si="7"/>
        <v>34000</v>
      </c>
      <c r="R108" s="603">
        <f>SUM(R107:R107)</f>
        <v>34000</v>
      </c>
      <c r="S108" s="600"/>
    </row>
    <row r="109" spans="9:19" x14ac:dyDescent="0.25">
      <c r="I109" s="579">
        <v>17</v>
      </c>
      <c r="J109" s="579" t="s">
        <v>757</v>
      </c>
      <c r="K109" s="575" t="s">
        <v>758</v>
      </c>
      <c r="L109" s="575" t="s">
        <v>759</v>
      </c>
      <c r="M109" s="576">
        <v>2</v>
      </c>
      <c r="N109" s="577">
        <v>57800</v>
      </c>
      <c r="O109" s="579">
        <v>12</v>
      </c>
      <c r="P109" s="607">
        <f>M109*O109</f>
        <v>24</v>
      </c>
      <c r="Q109" s="577">
        <f t="shared" si="7"/>
        <v>4816.666666666667</v>
      </c>
      <c r="R109" s="577">
        <f>'Detalle Compras Septiembre 2026'!G580</f>
        <v>115600</v>
      </c>
      <c r="S109" s="600"/>
    </row>
    <row r="110" spans="9:19" x14ac:dyDescent="0.25">
      <c r="I110" s="579">
        <v>17</v>
      </c>
      <c r="J110" s="579" t="s">
        <v>757</v>
      </c>
      <c r="K110" s="575" t="s">
        <v>760</v>
      </c>
      <c r="L110" s="575" t="s">
        <v>761</v>
      </c>
      <c r="M110" s="576">
        <v>3</v>
      </c>
      <c r="N110" s="577">
        <v>34800</v>
      </c>
      <c r="O110" s="579">
        <v>12</v>
      </c>
      <c r="P110" s="607">
        <f>M110*O110</f>
        <v>36</v>
      </c>
      <c r="Q110" s="577">
        <f t="shared" si="7"/>
        <v>2900</v>
      </c>
      <c r="R110" s="577">
        <f>'Detalle Compras Septiembre 2026'!G581</f>
        <v>104400</v>
      </c>
      <c r="S110" s="600"/>
    </row>
    <row r="111" spans="9:19" x14ac:dyDescent="0.25">
      <c r="I111" s="579">
        <v>17</v>
      </c>
      <c r="J111" s="579" t="s">
        <v>762</v>
      </c>
      <c r="K111" s="575" t="s">
        <v>748</v>
      </c>
      <c r="L111" s="575" t="s">
        <v>763</v>
      </c>
      <c r="M111" s="576">
        <v>1</v>
      </c>
      <c r="N111" s="577">
        <v>29000</v>
      </c>
      <c r="O111" s="579">
        <v>1</v>
      </c>
      <c r="P111" s="607">
        <f>M111*O111</f>
        <v>1</v>
      </c>
      <c r="Q111" s="577">
        <f t="shared" si="7"/>
        <v>29000</v>
      </c>
      <c r="R111" s="577">
        <f>'Detalle Compras Septiembre 2026'!G615</f>
        <v>29000</v>
      </c>
      <c r="S111" s="600"/>
    </row>
    <row r="112" spans="9:19" x14ac:dyDescent="0.25">
      <c r="I112" s="595" t="s">
        <v>764</v>
      </c>
      <c r="J112" s="595"/>
      <c r="K112" s="595"/>
      <c r="L112" s="595"/>
      <c r="M112" s="602">
        <f>SUM(M109:M111)</f>
        <v>6</v>
      </c>
      <c r="N112" s="603">
        <f>IF(M112&gt;0, R112/M112, 0)</f>
        <v>41500</v>
      </c>
      <c r="O112" s="598" t="s">
        <v>44</v>
      </c>
      <c r="P112" s="611">
        <f>SUM(P109:P111)</f>
        <v>61</v>
      </c>
      <c r="Q112" s="603">
        <f t="shared" si="7"/>
        <v>4081.967213114754</v>
      </c>
      <c r="R112" s="603">
        <f>SUM(R109:R111)</f>
        <v>249000</v>
      </c>
      <c r="S112" s="600"/>
    </row>
    <row r="113" spans="9:19" x14ac:dyDescent="0.25">
      <c r="I113" s="579">
        <v>18</v>
      </c>
      <c r="J113" s="579" t="s">
        <v>765</v>
      </c>
      <c r="K113" s="575" t="s">
        <v>766</v>
      </c>
      <c r="L113" s="575" t="s">
        <v>767</v>
      </c>
      <c r="M113" s="576">
        <v>2</v>
      </c>
      <c r="N113" s="577">
        <v>74500</v>
      </c>
      <c r="O113" s="579">
        <v>1</v>
      </c>
      <c r="P113" s="607">
        <f t="shared" ref="P113:P119" si="8">M113*O113</f>
        <v>2</v>
      </c>
      <c r="Q113" s="577">
        <f t="shared" si="7"/>
        <v>74500</v>
      </c>
      <c r="R113" s="577">
        <f>'Detalle Compras Septiembre 2026'!G582</f>
        <v>149000</v>
      </c>
      <c r="S113" s="600"/>
    </row>
    <row r="114" spans="9:19" x14ac:dyDescent="0.25">
      <c r="I114" s="579">
        <v>18</v>
      </c>
      <c r="J114" s="579" t="s">
        <v>765</v>
      </c>
      <c r="K114" s="575" t="s">
        <v>768</v>
      </c>
      <c r="L114" s="575" t="s">
        <v>769</v>
      </c>
      <c r="M114" s="576">
        <v>1</v>
      </c>
      <c r="N114" s="577">
        <v>77500</v>
      </c>
      <c r="O114" s="579">
        <v>1</v>
      </c>
      <c r="P114" s="607">
        <f t="shared" si="8"/>
        <v>1</v>
      </c>
      <c r="Q114" s="577">
        <f t="shared" si="7"/>
        <v>77500</v>
      </c>
      <c r="R114" s="577">
        <f>'Detalle Compras Septiembre 2026'!G583</f>
        <v>77500</v>
      </c>
      <c r="S114" s="600"/>
    </row>
    <row r="115" spans="9:19" x14ac:dyDescent="0.25">
      <c r="I115" s="579">
        <v>18</v>
      </c>
      <c r="J115" s="579" t="s">
        <v>765</v>
      </c>
      <c r="K115" s="575" t="s">
        <v>770</v>
      </c>
      <c r="L115" s="575" t="s">
        <v>771</v>
      </c>
      <c r="M115" s="576">
        <v>1</v>
      </c>
      <c r="N115" s="577">
        <v>92200</v>
      </c>
      <c r="O115" s="579">
        <v>1</v>
      </c>
      <c r="P115" s="607">
        <f t="shared" si="8"/>
        <v>1</v>
      </c>
      <c r="Q115" s="577">
        <f t="shared" si="7"/>
        <v>92200</v>
      </c>
      <c r="R115" s="577">
        <f>'Detalle Compras Septiembre 2026'!G584</f>
        <v>92200</v>
      </c>
      <c r="S115" s="600"/>
    </row>
    <row r="116" spans="9:19" x14ac:dyDescent="0.25">
      <c r="I116" s="579">
        <v>18</v>
      </c>
      <c r="J116" s="579" t="s">
        <v>765</v>
      </c>
      <c r="K116" s="575" t="s">
        <v>772</v>
      </c>
      <c r="L116" s="575" t="s">
        <v>773</v>
      </c>
      <c r="M116" s="576">
        <v>1</v>
      </c>
      <c r="N116" s="577">
        <v>93000</v>
      </c>
      <c r="O116" s="579">
        <v>1</v>
      </c>
      <c r="P116" s="607">
        <f t="shared" si="8"/>
        <v>1</v>
      </c>
      <c r="Q116" s="577">
        <f t="shared" si="7"/>
        <v>93000</v>
      </c>
      <c r="R116" s="577">
        <f>'Detalle Compras Septiembre 2026'!G585</f>
        <v>93000</v>
      </c>
      <c r="S116" s="600"/>
    </row>
    <row r="117" spans="9:19" x14ac:dyDescent="0.25">
      <c r="I117" s="579">
        <v>18</v>
      </c>
      <c r="J117" s="579" t="s">
        <v>765</v>
      </c>
      <c r="K117" s="575" t="s">
        <v>774</v>
      </c>
      <c r="L117" s="575" t="s">
        <v>775</v>
      </c>
      <c r="M117" s="576">
        <v>1</v>
      </c>
      <c r="N117" s="577">
        <v>51600</v>
      </c>
      <c r="O117" s="579">
        <v>1</v>
      </c>
      <c r="P117" s="607">
        <f t="shared" si="8"/>
        <v>1</v>
      </c>
      <c r="Q117" s="577">
        <f t="shared" si="7"/>
        <v>51600</v>
      </c>
      <c r="R117" s="577">
        <f>'Detalle Compras Septiembre 2026'!G586</f>
        <v>51600</v>
      </c>
      <c r="S117" s="600"/>
    </row>
    <row r="118" spans="9:19" x14ac:dyDescent="0.25">
      <c r="I118" s="579">
        <v>18</v>
      </c>
      <c r="J118" s="579" t="s">
        <v>765</v>
      </c>
      <c r="K118" s="575" t="s">
        <v>776</v>
      </c>
      <c r="L118" s="575" t="s">
        <v>777</v>
      </c>
      <c r="M118" s="576">
        <v>1</v>
      </c>
      <c r="N118" s="577">
        <v>60900</v>
      </c>
      <c r="O118" s="579">
        <v>1</v>
      </c>
      <c r="P118" s="607">
        <f t="shared" si="8"/>
        <v>1</v>
      </c>
      <c r="Q118" s="577">
        <f t="shared" si="7"/>
        <v>60900</v>
      </c>
      <c r="R118" s="577">
        <f>'Detalle Compras Septiembre 2026'!G587</f>
        <v>60900</v>
      </c>
      <c r="S118" s="600"/>
    </row>
    <row r="119" spans="9:19" x14ac:dyDescent="0.25">
      <c r="I119" s="579">
        <v>18</v>
      </c>
      <c r="J119" s="579" t="s">
        <v>778</v>
      </c>
      <c r="K119" s="575" t="s">
        <v>748</v>
      </c>
      <c r="L119" s="575" t="s">
        <v>779</v>
      </c>
      <c r="M119" s="576">
        <v>1</v>
      </c>
      <c r="N119" s="577">
        <v>24000</v>
      </c>
      <c r="O119" s="579">
        <v>1</v>
      </c>
      <c r="P119" s="607">
        <f t="shared" si="8"/>
        <v>1</v>
      </c>
      <c r="Q119" s="577">
        <f t="shared" si="7"/>
        <v>24000</v>
      </c>
      <c r="R119" s="577">
        <f>'Detalle Compras Septiembre 2026'!G628</f>
        <v>24000</v>
      </c>
      <c r="S119" s="600"/>
    </row>
    <row r="120" spans="9:19" x14ac:dyDescent="0.25">
      <c r="I120" s="595" t="s">
        <v>780</v>
      </c>
      <c r="J120" s="595"/>
      <c r="K120" s="595"/>
      <c r="L120" s="595"/>
      <c r="M120" s="602">
        <f>SUM(M113:M119)</f>
        <v>8</v>
      </c>
      <c r="N120" s="603">
        <f>IF(M120&gt;0, R120/M120, 0)</f>
        <v>68525</v>
      </c>
      <c r="O120" s="598" t="s">
        <v>44</v>
      </c>
      <c r="P120" s="611">
        <f>SUM(P113:P119)</f>
        <v>8</v>
      </c>
      <c r="Q120" s="603">
        <f t="shared" si="7"/>
        <v>68525</v>
      </c>
      <c r="R120" s="603">
        <f>SUM(R113:R119)</f>
        <v>548200</v>
      </c>
      <c r="S120" s="600"/>
    </row>
    <row r="121" spans="9:19" x14ac:dyDescent="0.25">
      <c r="I121" s="579">
        <v>21</v>
      </c>
      <c r="J121" s="579" t="s">
        <v>781</v>
      </c>
      <c r="K121" s="575" t="s">
        <v>760</v>
      </c>
      <c r="L121" s="575" t="s">
        <v>782</v>
      </c>
      <c r="M121" s="576">
        <v>2</v>
      </c>
      <c r="N121" s="577">
        <v>30000</v>
      </c>
      <c r="O121" s="579">
        <v>12</v>
      </c>
      <c r="P121" s="607">
        <f t="shared" ref="P121:P126" si="9">M121*O121</f>
        <v>24</v>
      </c>
      <c r="Q121" s="577">
        <f t="shared" si="7"/>
        <v>2500</v>
      </c>
      <c r="R121" s="577">
        <f>'Detalle Compras Septiembre 2026'!G881</f>
        <v>60000</v>
      </c>
      <c r="S121" s="600"/>
    </row>
    <row r="122" spans="9:19" x14ac:dyDescent="0.25">
      <c r="I122" s="579">
        <v>21</v>
      </c>
      <c r="J122" s="579" t="s">
        <v>781</v>
      </c>
      <c r="K122" s="575" t="s">
        <v>783</v>
      </c>
      <c r="L122" s="575" t="s">
        <v>739</v>
      </c>
      <c r="M122" s="576">
        <v>1</v>
      </c>
      <c r="N122" s="577">
        <v>32000</v>
      </c>
      <c r="O122" s="579">
        <v>24</v>
      </c>
      <c r="P122" s="607">
        <f t="shared" si="9"/>
        <v>24</v>
      </c>
      <c r="Q122" s="577">
        <f t="shared" si="7"/>
        <v>1333.3333333333333</v>
      </c>
      <c r="R122" s="577">
        <f>'Detalle Compras Septiembre 2026'!G882</f>
        <v>32000</v>
      </c>
      <c r="S122" s="600"/>
    </row>
    <row r="123" spans="9:19" x14ac:dyDescent="0.25">
      <c r="I123" s="579">
        <v>21</v>
      </c>
      <c r="J123" s="579" t="s">
        <v>781</v>
      </c>
      <c r="K123" s="575" t="s">
        <v>784</v>
      </c>
      <c r="L123" s="575" t="s">
        <v>785</v>
      </c>
      <c r="M123" s="576">
        <v>1</v>
      </c>
      <c r="N123" s="577">
        <v>32000</v>
      </c>
      <c r="O123" s="579">
        <v>24</v>
      </c>
      <c r="P123" s="607">
        <f t="shared" si="9"/>
        <v>24</v>
      </c>
      <c r="Q123" s="577">
        <f t="shared" si="7"/>
        <v>1333.3333333333333</v>
      </c>
      <c r="R123" s="577">
        <f>'Detalle Compras Septiembre 2026'!G883</f>
        <v>32000</v>
      </c>
      <c r="S123" s="600"/>
    </row>
    <row r="124" spans="9:19" x14ac:dyDescent="0.25">
      <c r="I124" s="579">
        <v>21</v>
      </c>
      <c r="J124" s="579" t="s">
        <v>781</v>
      </c>
      <c r="K124" s="575" t="s">
        <v>786</v>
      </c>
      <c r="L124" s="575" t="s">
        <v>787</v>
      </c>
      <c r="M124" s="576">
        <v>24</v>
      </c>
      <c r="N124" s="577">
        <v>2500</v>
      </c>
      <c r="O124" s="579">
        <v>12</v>
      </c>
      <c r="P124" s="607">
        <f t="shared" si="9"/>
        <v>288</v>
      </c>
      <c r="Q124" s="577">
        <f t="shared" si="7"/>
        <v>208.33333333333334</v>
      </c>
      <c r="R124" s="577">
        <f>'Detalle Compras Septiembre 2026'!G896</f>
        <v>60000</v>
      </c>
      <c r="S124" s="600"/>
    </row>
    <row r="125" spans="9:19" x14ac:dyDescent="0.25">
      <c r="I125" s="579">
        <v>21</v>
      </c>
      <c r="J125" s="579" t="s">
        <v>781</v>
      </c>
      <c r="K125" s="575" t="s">
        <v>788</v>
      </c>
      <c r="L125" s="575" t="s">
        <v>789</v>
      </c>
      <c r="M125" s="576">
        <v>24</v>
      </c>
      <c r="N125" s="577">
        <v>1333.3333</v>
      </c>
      <c r="O125" s="579">
        <v>24</v>
      </c>
      <c r="P125" s="607">
        <f t="shared" si="9"/>
        <v>576</v>
      </c>
      <c r="Q125" s="577">
        <f t="shared" si="7"/>
        <v>55.555555555555557</v>
      </c>
      <c r="R125" s="577">
        <f>'Detalle Compras Septiembre 2026'!G897</f>
        <v>32000</v>
      </c>
      <c r="S125" s="600"/>
    </row>
    <row r="126" spans="9:19" x14ac:dyDescent="0.25">
      <c r="I126" s="579">
        <v>21</v>
      </c>
      <c r="J126" s="579" t="s">
        <v>781</v>
      </c>
      <c r="K126" s="575" t="s">
        <v>790</v>
      </c>
      <c r="L126" s="575" t="s">
        <v>791</v>
      </c>
      <c r="M126" s="576">
        <v>24</v>
      </c>
      <c r="N126" s="577">
        <v>1333.3333</v>
      </c>
      <c r="O126" s="579">
        <v>24</v>
      </c>
      <c r="P126" s="607">
        <f t="shared" si="9"/>
        <v>576</v>
      </c>
      <c r="Q126" s="577">
        <f t="shared" si="7"/>
        <v>55.555555555555557</v>
      </c>
      <c r="R126" s="577">
        <f>'Detalle Compras Septiembre 2026'!G898</f>
        <v>32000</v>
      </c>
      <c r="S126" s="600"/>
    </row>
    <row r="127" spans="9:19" x14ac:dyDescent="0.25">
      <c r="I127" s="595" t="s">
        <v>792</v>
      </c>
      <c r="J127" s="595"/>
      <c r="K127" s="595"/>
      <c r="L127" s="595"/>
      <c r="M127" s="602">
        <f>SUM(M121:M126)</f>
        <v>76</v>
      </c>
      <c r="N127" s="603">
        <f>IF(M127&gt;0, R127/M127, 0)</f>
        <v>3263.1578947368421</v>
      </c>
      <c r="O127" s="598" t="s">
        <v>44</v>
      </c>
      <c r="P127" s="611">
        <f>SUM(P121:P126)</f>
        <v>1512</v>
      </c>
      <c r="Q127" s="603">
        <f t="shared" si="7"/>
        <v>164.02116402116403</v>
      </c>
      <c r="R127" s="603">
        <f>SUM(R121:R126)</f>
        <v>248000</v>
      </c>
      <c r="S127" s="600"/>
    </row>
    <row r="128" spans="9:19" x14ac:dyDescent="0.25">
      <c r="I128" s="579">
        <v>24</v>
      </c>
      <c r="J128" s="579" t="s">
        <v>793</v>
      </c>
      <c r="K128" s="575" t="s">
        <v>760</v>
      </c>
      <c r="L128" s="575" t="s">
        <v>782</v>
      </c>
      <c r="M128" s="576">
        <v>2</v>
      </c>
      <c r="N128" s="577">
        <v>30000</v>
      </c>
      <c r="O128" s="579">
        <v>12</v>
      </c>
      <c r="P128" s="607">
        <f t="shared" ref="P128:P133" si="10">M128*O128</f>
        <v>24</v>
      </c>
      <c r="Q128" s="577">
        <f t="shared" si="7"/>
        <v>2500</v>
      </c>
      <c r="R128" s="577">
        <f>'Detalle Compras Septiembre 2026'!G998</f>
        <v>60000</v>
      </c>
      <c r="S128" s="600"/>
    </row>
    <row r="129" spans="9:19" x14ac:dyDescent="0.25">
      <c r="I129" s="579">
        <v>24</v>
      </c>
      <c r="J129" s="579" t="s">
        <v>793</v>
      </c>
      <c r="K129" s="575" t="s">
        <v>794</v>
      </c>
      <c r="L129" s="575" t="s">
        <v>742</v>
      </c>
      <c r="M129" s="576">
        <v>1</v>
      </c>
      <c r="N129" s="577">
        <v>62500</v>
      </c>
      <c r="O129" s="579">
        <v>30</v>
      </c>
      <c r="P129" s="607">
        <f t="shared" si="10"/>
        <v>30</v>
      </c>
      <c r="Q129" s="577">
        <f t="shared" si="7"/>
        <v>2083.3333333333335</v>
      </c>
      <c r="R129" s="577">
        <f>'Detalle Compras Septiembre 2026'!G999</f>
        <v>62500</v>
      </c>
      <c r="S129" s="600"/>
    </row>
    <row r="130" spans="9:19" x14ac:dyDescent="0.25">
      <c r="I130" s="579">
        <v>24</v>
      </c>
      <c r="J130" s="579" t="s">
        <v>793</v>
      </c>
      <c r="K130" s="575" t="s">
        <v>783</v>
      </c>
      <c r="L130" s="575" t="s">
        <v>739</v>
      </c>
      <c r="M130" s="576">
        <v>1</v>
      </c>
      <c r="N130" s="577">
        <v>32000</v>
      </c>
      <c r="O130" s="579">
        <v>24</v>
      </c>
      <c r="P130" s="607">
        <f t="shared" si="10"/>
        <v>24</v>
      </c>
      <c r="Q130" s="577">
        <f t="shared" si="7"/>
        <v>1333.3333333333333</v>
      </c>
      <c r="R130" s="577">
        <f>'Detalle Compras Septiembre 2026'!G1000</f>
        <v>32000</v>
      </c>
      <c r="S130" s="600"/>
    </row>
    <row r="131" spans="9:19" x14ac:dyDescent="0.25">
      <c r="I131" s="579">
        <v>24</v>
      </c>
      <c r="J131" s="579" t="s">
        <v>793</v>
      </c>
      <c r="K131" s="575" t="s">
        <v>784</v>
      </c>
      <c r="L131" s="575" t="s">
        <v>785</v>
      </c>
      <c r="M131" s="576">
        <v>3</v>
      </c>
      <c r="N131" s="577">
        <v>32000</v>
      </c>
      <c r="O131" s="579">
        <v>24</v>
      </c>
      <c r="P131" s="607">
        <f t="shared" si="10"/>
        <v>72</v>
      </c>
      <c r="Q131" s="577">
        <f t="shared" si="7"/>
        <v>1333.3333333333333</v>
      </c>
      <c r="R131" s="577">
        <f>'Detalle Compras Septiembre 2026'!G1001</f>
        <v>96000</v>
      </c>
      <c r="S131" s="600"/>
    </row>
    <row r="132" spans="9:19" x14ac:dyDescent="0.25">
      <c r="I132" s="579">
        <v>24</v>
      </c>
      <c r="J132" s="579" t="s">
        <v>793</v>
      </c>
      <c r="K132" s="575" t="s">
        <v>758</v>
      </c>
      <c r="L132" s="575" t="s">
        <v>795</v>
      </c>
      <c r="M132" s="576">
        <v>1</v>
      </c>
      <c r="N132" s="577">
        <v>65000</v>
      </c>
      <c r="O132" s="579">
        <v>12</v>
      </c>
      <c r="P132" s="607">
        <f t="shared" si="10"/>
        <v>12</v>
      </c>
      <c r="Q132" s="577">
        <f t="shared" si="7"/>
        <v>5416.666666666667</v>
      </c>
      <c r="R132" s="577">
        <f>'Detalle Compras Septiembre 2026'!G1002</f>
        <v>65000</v>
      </c>
      <c r="S132" s="600"/>
    </row>
    <row r="133" spans="9:19" x14ac:dyDescent="0.25">
      <c r="I133" s="579">
        <v>24</v>
      </c>
      <c r="J133" s="579" t="s">
        <v>796</v>
      </c>
      <c r="K133" s="575" t="s">
        <v>760</v>
      </c>
      <c r="L133" s="575" t="s">
        <v>782</v>
      </c>
      <c r="M133" s="576">
        <v>1</v>
      </c>
      <c r="N133" s="577">
        <v>30000</v>
      </c>
      <c r="O133" s="579">
        <v>12</v>
      </c>
      <c r="P133" s="607">
        <f t="shared" si="10"/>
        <v>12</v>
      </c>
      <c r="Q133" s="577">
        <f t="shared" si="7"/>
        <v>-2500</v>
      </c>
      <c r="R133" s="577">
        <f>'Detalle Compras Septiembre 2026'!G1006</f>
        <v>-30000</v>
      </c>
      <c r="S133" s="600"/>
    </row>
    <row r="134" spans="9:19" x14ac:dyDescent="0.25">
      <c r="I134" s="595" t="s">
        <v>797</v>
      </c>
      <c r="J134" s="595"/>
      <c r="K134" s="595"/>
      <c r="L134" s="595"/>
      <c r="M134" s="602">
        <f>SUM(M128:M133)</f>
        <v>9</v>
      </c>
      <c r="N134" s="603">
        <f>IF(M134&gt;0, R134/M134, 0)</f>
        <v>31722.222222222223</v>
      </c>
      <c r="O134" s="598" t="s">
        <v>44</v>
      </c>
      <c r="P134" s="611">
        <f>SUM(P128:P133)</f>
        <v>174</v>
      </c>
      <c r="Q134" s="603">
        <f t="shared" si="7"/>
        <v>1640.8045977011495</v>
      </c>
      <c r="R134" s="603">
        <f>SUM(R128:R133)</f>
        <v>285500</v>
      </c>
      <c r="S134" s="600"/>
    </row>
    <row r="135" spans="9:19" x14ac:dyDescent="0.25">
      <c r="I135" s="579">
        <v>25</v>
      </c>
      <c r="J135" s="579" t="s">
        <v>798</v>
      </c>
      <c r="K135" s="575" t="s">
        <v>799</v>
      </c>
      <c r="L135" s="575" t="s">
        <v>800</v>
      </c>
      <c r="M135" s="576">
        <v>1</v>
      </c>
      <c r="N135" s="577">
        <v>19900</v>
      </c>
      <c r="O135" s="579">
        <v>1</v>
      </c>
      <c r="P135" s="607">
        <f t="shared" ref="P135:P150" si="11">M135*O135</f>
        <v>1</v>
      </c>
      <c r="Q135" s="577">
        <f t="shared" si="7"/>
        <v>19900</v>
      </c>
      <c r="R135" s="577">
        <f>'Detalle Compras Septiembre 2026'!G1007</f>
        <v>19900</v>
      </c>
      <c r="S135" s="600"/>
    </row>
    <row r="136" spans="9:19" x14ac:dyDescent="0.25">
      <c r="I136" s="579">
        <v>25</v>
      </c>
      <c r="J136" s="579" t="s">
        <v>798</v>
      </c>
      <c r="K136" s="575" t="s">
        <v>799</v>
      </c>
      <c r="L136" s="575" t="s">
        <v>801</v>
      </c>
      <c r="M136" s="576">
        <v>1</v>
      </c>
      <c r="N136" s="577">
        <v>19900</v>
      </c>
      <c r="O136" s="579">
        <v>1</v>
      </c>
      <c r="P136" s="607">
        <f t="shared" si="11"/>
        <v>1</v>
      </c>
      <c r="Q136" s="577">
        <f t="shared" si="7"/>
        <v>19900</v>
      </c>
      <c r="R136" s="577">
        <f>'Detalle Compras Septiembre 2026'!G1008</f>
        <v>19900</v>
      </c>
      <c r="S136" s="600"/>
    </row>
    <row r="137" spans="9:19" x14ac:dyDescent="0.25">
      <c r="I137" s="579">
        <v>25</v>
      </c>
      <c r="J137" s="579" t="s">
        <v>798</v>
      </c>
      <c r="K137" s="575" t="s">
        <v>799</v>
      </c>
      <c r="L137" s="575" t="s">
        <v>802</v>
      </c>
      <c r="M137" s="576">
        <v>1</v>
      </c>
      <c r="N137" s="577">
        <v>19900</v>
      </c>
      <c r="O137" s="579">
        <v>1</v>
      </c>
      <c r="P137" s="607">
        <f t="shared" si="11"/>
        <v>1</v>
      </c>
      <c r="Q137" s="577">
        <f t="shared" si="7"/>
        <v>19900</v>
      </c>
      <c r="R137" s="577">
        <f>'Detalle Compras Septiembre 2026'!G1009</f>
        <v>19900</v>
      </c>
      <c r="S137" s="600"/>
    </row>
    <row r="138" spans="9:19" x14ac:dyDescent="0.25">
      <c r="I138" s="579">
        <v>25</v>
      </c>
      <c r="J138" s="579" t="s">
        <v>798</v>
      </c>
      <c r="K138" s="575" t="s">
        <v>799</v>
      </c>
      <c r="L138" s="575" t="s">
        <v>803</v>
      </c>
      <c r="M138" s="576">
        <v>1</v>
      </c>
      <c r="N138" s="577">
        <v>19900</v>
      </c>
      <c r="O138" s="579">
        <v>1</v>
      </c>
      <c r="P138" s="607">
        <f t="shared" si="11"/>
        <v>1</v>
      </c>
      <c r="Q138" s="577">
        <f t="shared" ref="Q138:Q164" si="12">IF(P138&gt;0, R138/P138, 0)</f>
        <v>19900</v>
      </c>
      <c r="R138" s="577">
        <f>'Detalle Compras Septiembre 2026'!G1010</f>
        <v>19900</v>
      </c>
      <c r="S138" s="600"/>
    </row>
    <row r="139" spans="9:19" x14ac:dyDescent="0.25">
      <c r="I139" s="579">
        <v>25</v>
      </c>
      <c r="J139" s="579" t="s">
        <v>798</v>
      </c>
      <c r="K139" s="575" t="s">
        <v>799</v>
      </c>
      <c r="L139" s="575" t="s">
        <v>804</v>
      </c>
      <c r="M139" s="576">
        <v>1</v>
      </c>
      <c r="N139" s="577">
        <v>19900</v>
      </c>
      <c r="O139" s="579">
        <v>1</v>
      </c>
      <c r="P139" s="607">
        <f t="shared" si="11"/>
        <v>1</v>
      </c>
      <c r="Q139" s="577">
        <f t="shared" si="12"/>
        <v>19900</v>
      </c>
      <c r="R139" s="577">
        <f>'Detalle Compras Septiembre 2026'!G1011</f>
        <v>19900</v>
      </c>
      <c r="S139" s="600"/>
    </row>
    <row r="140" spans="9:19" x14ac:dyDescent="0.25">
      <c r="I140" s="579">
        <v>25</v>
      </c>
      <c r="J140" s="579" t="s">
        <v>798</v>
      </c>
      <c r="K140" s="575" t="s">
        <v>805</v>
      </c>
      <c r="L140" s="575" t="s">
        <v>806</v>
      </c>
      <c r="M140" s="576">
        <v>1</v>
      </c>
      <c r="N140" s="577">
        <v>19900</v>
      </c>
      <c r="O140" s="579">
        <v>1</v>
      </c>
      <c r="P140" s="607">
        <f t="shared" si="11"/>
        <v>1</v>
      </c>
      <c r="Q140" s="577">
        <f t="shared" si="12"/>
        <v>19900</v>
      </c>
      <c r="R140" s="577">
        <f>'Detalle Compras Septiembre 2026'!G1012</f>
        <v>19900</v>
      </c>
      <c r="S140" s="600"/>
    </row>
    <row r="141" spans="9:19" x14ac:dyDescent="0.25">
      <c r="I141" s="579">
        <v>25</v>
      </c>
      <c r="J141" s="579" t="s">
        <v>798</v>
      </c>
      <c r="K141" s="575" t="s">
        <v>805</v>
      </c>
      <c r="L141" s="575" t="s">
        <v>807</v>
      </c>
      <c r="M141" s="576">
        <v>1</v>
      </c>
      <c r="N141" s="577">
        <v>19900</v>
      </c>
      <c r="O141" s="579">
        <v>1</v>
      </c>
      <c r="P141" s="607">
        <f t="shared" si="11"/>
        <v>1</v>
      </c>
      <c r="Q141" s="577">
        <f t="shared" si="12"/>
        <v>19900</v>
      </c>
      <c r="R141" s="577">
        <f>'Detalle Compras Septiembre 2026'!G1013</f>
        <v>19900</v>
      </c>
      <c r="S141" s="600"/>
    </row>
    <row r="142" spans="9:19" x14ac:dyDescent="0.25">
      <c r="I142" s="579">
        <v>25</v>
      </c>
      <c r="J142" s="579" t="s">
        <v>798</v>
      </c>
      <c r="K142" s="575" t="s">
        <v>805</v>
      </c>
      <c r="L142" s="575" t="s">
        <v>808</v>
      </c>
      <c r="M142" s="576">
        <v>1</v>
      </c>
      <c r="N142" s="577">
        <v>19900</v>
      </c>
      <c r="O142" s="579">
        <v>1</v>
      </c>
      <c r="P142" s="607">
        <f t="shared" si="11"/>
        <v>1</v>
      </c>
      <c r="Q142" s="577">
        <f t="shared" si="12"/>
        <v>19900</v>
      </c>
      <c r="R142" s="577">
        <f>'Detalle Compras Septiembre 2026'!G1014</f>
        <v>19900</v>
      </c>
      <c r="S142" s="600"/>
    </row>
    <row r="143" spans="9:19" x14ac:dyDescent="0.25">
      <c r="I143" s="579">
        <v>25</v>
      </c>
      <c r="J143" s="579" t="s">
        <v>798</v>
      </c>
      <c r="K143" s="575" t="s">
        <v>805</v>
      </c>
      <c r="L143" s="575" t="s">
        <v>809</v>
      </c>
      <c r="M143" s="576">
        <v>1</v>
      </c>
      <c r="N143" s="577">
        <v>19900</v>
      </c>
      <c r="O143" s="579">
        <v>1</v>
      </c>
      <c r="P143" s="607">
        <f t="shared" si="11"/>
        <v>1</v>
      </c>
      <c r="Q143" s="577">
        <f t="shared" si="12"/>
        <v>19900</v>
      </c>
      <c r="R143" s="577">
        <f>'Detalle Compras Septiembre 2026'!G1015</f>
        <v>19900</v>
      </c>
      <c r="S143" s="600"/>
    </row>
    <row r="144" spans="9:19" x14ac:dyDescent="0.25">
      <c r="I144" s="579">
        <v>25</v>
      </c>
      <c r="J144" s="579" t="s">
        <v>798</v>
      </c>
      <c r="K144" s="575" t="s">
        <v>805</v>
      </c>
      <c r="L144" s="575" t="s">
        <v>810</v>
      </c>
      <c r="M144" s="576">
        <v>1</v>
      </c>
      <c r="N144" s="577">
        <v>19900</v>
      </c>
      <c r="O144" s="579">
        <v>1</v>
      </c>
      <c r="P144" s="607">
        <f t="shared" si="11"/>
        <v>1</v>
      </c>
      <c r="Q144" s="577">
        <f t="shared" si="12"/>
        <v>19900</v>
      </c>
      <c r="R144" s="577">
        <f>'Detalle Compras Septiembre 2026'!G1016</f>
        <v>19900</v>
      </c>
      <c r="S144" s="600"/>
    </row>
    <row r="145" spans="9:19" x14ac:dyDescent="0.25">
      <c r="I145" s="579">
        <v>25</v>
      </c>
      <c r="J145" s="579" t="s">
        <v>811</v>
      </c>
      <c r="K145" s="575" t="s">
        <v>812</v>
      </c>
      <c r="L145" s="575" t="s">
        <v>813</v>
      </c>
      <c r="M145" s="576">
        <v>1</v>
      </c>
      <c r="N145" s="577">
        <v>93000</v>
      </c>
      <c r="O145" s="579">
        <v>1</v>
      </c>
      <c r="P145" s="607">
        <f t="shared" si="11"/>
        <v>1</v>
      </c>
      <c r="Q145" s="577">
        <f t="shared" si="12"/>
        <v>93000</v>
      </c>
      <c r="R145" s="577">
        <f>'Detalle Compras Septiembre 2026'!G1026</f>
        <v>93000</v>
      </c>
      <c r="S145" s="600"/>
    </row>
    <row r="146" spans="9:19" x14ac:dyDescent="0.25">
      <c r="I146" s="579">
        <v>25</v>
      </c>
      <c r="J146" s="579" t="s">
        <v>811</v>
      </c>
      <c r="K146" s="575" t="s">
        <v>814</v>
      </c>
      <c r="L146" s="575" t="s">
        <v>815</v>
      </c>
      <c r="M146" s="576">
        <v>1</v>
      </c>
      <c r="N146" s="577">
        <v>92200</v>
      </c>
      <c r="O146" s="579">
        <v>1</v>
      </c>
      <c r="P146" s="607">
        <f t="shared" si="11"/>
        <v>1</v>
      </c>
      <c r="Q146" s="577">
        <f t="shared" si="12"/>
        <v>92200</v>
      </c>
      <c r="R146" s="577">
        <f>'Detalle Compras Septiembre 2026'!G1027</f>
        <v>92200</v>
      </c>
      <c r="S146" s="600"/>
    </row>
    <row r="147" spans="9:19" x14ac:dyDescent="0.25">
      <c r="I147" s="579">
        <v>25</v>
      </c>
      <c r="J147" s="579" t="s">
        <v>811</v>
      </c>
      <c r="K147" s="575" t="s">
        <v>816</v>
      </c>
      <c r="L147" s="575" t="s">
        <v>817</v>
      </c>
      <c r="M147" s="576">
        <v>1</v>
      </c>
      <c r="N147" s="577">
        <v>77500</v>
      </c>
      <c r="O147" s="579">
        <v>1</v>
      </c>
      <c r="P147" s="607">
        <f t="shared" si="11"/>
        <v>1</v>
      </c>
      <c r="Q147" s="577">
        <f t="shared" si="12"/>
        <v>77500</v>
      </c>
      <c r="R147" s="577">
        <f>'Detalle Compras Septiembre 2026'!G1028</f>
        <v>77500</v>
      </c>
      <c r="S147" s="600"/>
    </row>
    <row r="148" spans="9:19" x14ac:dyDescent="0.25">
      <c r="I148" s="579">
        <v>25</v>
      </c>
      <c r="J148" s="579" t="s">
        <v>811</v>
      </c>
      <c r="K148" s="575" t="s">
        <v>818</v>
      </c>
      <c r="L148" s="575" t="s">
        <v>819</v>
      </c>
      <c r="M148" s="576">
        <v>1</v>
      </c>
      <c r="N148" s="577">
        <v>74500</v>
      </c>
      <c r="O148" s="579">
        <v>1</v>
      </c>
      <c r="P148" s="607">
        <f t="shared" si="11"/>
        <v>1</v>
      </c>
      <c r="Q148" s="577">
        <f t="shared" si="12"/>
        <v>74500</v>
      </c>
      <c r="R148" s="577">
        <f>'Detalle Compras Septiembre 2026'!G1029</f>
        <v>74500</v>
      </c>
      <c r="S148" s="600"/>
    </row>
    <row r="149" spans="9:19" x14ac:dyDescent="0.25">
      <c r="I149" s="579">
        <v>25</v>
      </c>
      <c r="J149" s="579" t="s">
        <v>811</v>
      </c>
      <c r="K149" s="575" t="s">
        <v>820</v>
      </c>
      <c r="L149" s="575" t="s">
        <v>821</v>
      </c>
      <c r="M149" s="576">
        <v>1</v>
      </c>
      <c r="N149" s="577">
        <v>75500</v>
      </c>
      <c r="O149" s="579">
        <v>1</v>
      </c>
      <c r="P149" s="607">
        <f t="shared" si="11"/>
        <v>1</v>
      </c>
      <c r="Q149" s="577">
        <f t="shared" si="12"/>
        <v>75500</v>
      </c>
      <c r="R149" s="577">
        <f>'Detalle Compras Septiembre 2026'!G1030</f>
        <v>75500</v>
      </c>
      <c r="S149" s="600"/>
    </row>
    <row r="150" spans="9:19" x14ac:dyDescent="0.25">
      <c r="I150" s="579">
        <v>25</v>
      </c>
      <c r="J150" s="579" t="s">
        <v>811</v>
      </c>
      <c r="K150" s="575" t="s">
        <v>822</v>
      </c>
      <c r="L150" s="575" t="s">
        <v>823</v>
      </c>
      <c r="M150" s="576">
        <v>1</v>
      </c>
      <c r="N150" s="577">
        <v>60900</v>
      </c>
      <c r="O150" s="579">
        <v>1</v>
      </c>
      <c r="P150" s="607">
        <f t="shared" si="11"/>
        <v>1</v>
      </c>
      <c r="Q150" s="577">
        <f t="shared" si="12"/>
        <v>60900</v>
      </c>
      <c r="R150" s="577">
        <f>'Detalle Compras Septiembre 2026'!G1031</f>
        <v>60900</v>
      </c>
      <c r="S150" s="600"/>
    </row>
    <row r="151" spans="9:19" x14ac:dyDescent="0.25">
      <c r="I151" s="595" t="s">
        <v>824</v>
      </c>
      <c r="J151" s="595"/>
      <c r="K151" s="595"/>
      <c r="L151" s="595"/>
      <c r="M151" s="602">
        <f>SUM(M135:M150)</f>
        <v>16</v>
      </c>
      <c r="N151" s="603">
        <f>IF(M151&gt;0, R151/M151, 0)</f>
        <v>42037.5</v>
      </c>
      <c r="O151" s="598" t="s">
        <v>44</v>
      </c>
      <c r="P151" s="611">
        <f>SUM(P135:P150)</f>
        <v>16</v>
      </c>
      <c r="Q151" s="603">
        <f t="shared" si="12"/>
        <v>42037.5</v>
      </c>
      <c r="R151" s="603">
        <f>SUM(R135:R150)</f>
        <v>672600</v>
      </c>
      <c r="S151" s="600"/>
    </row>
    <row r="152" spans="9:19" x14ac:dyDescent="0.25">
      <c r="I152" s="579">
        <v>26</v>
      </c>
      <c r="J152" s="579" t="s">
        <v>825</v>
      </c>
      <c r="K152" s="575" t="s">
        <v>679</v>
      </c>
      <c r="L152" s="575" t="s">
        <v>826</v>
      </c>
      <c r="M152" s="576">
        <v>3</v>
      </c>
      <c r="N152" s="577">
        <v>26000</v>
      </c>
      <c r="O152" s="579">
        <v>1</v>
      </c>
      <c r="P152" s="607">
        <f t="shared" ref="P152:P162" si="13">M152*O152</f>
        <v>3</v>
      </c>
      <c r="Q152" s="577">
        <f t="shared" si="12"/>
        <v>26000</v>
      </c>
      <c r="R152" s="577">
        <f>'Detalle Compras Septiembre 2026'!G1032</f>
        <v>78000</v>
      </c>
      <c r="S152" s="600"/>
    </row>
    <row r="153" spans="9:19" x14ac:dyDescent="0.25">
      <c r="I153" s="579">
        <v>26</v>
      </c>
      <c r="J153" s="579" t="s">
        <v>827</v>
      </c>
      <c r="K153" s="575" t="s">
        <v>828</v>
      </c>
      <c r="L153" s="575" t="s">
        <v>829</v>
      </c>
      <c r="M153" s="576">
        <v>24</v>
      </c>
      <c r="N153" s="577">
        <v>1500</v>
      </c>
      <c r="O153" s="579">
        <v>24</v>
      </c>
      <c r="P153" s="607">
        <f t="shared" si="13"/>
        <v>576</v>
      </c>
      <c r="Q153" s="577">
        <f t="shared" si="12"/>
        <v>62.5</v>
      </c>
      <c r="R153" s="577">
        <f>'Detalle Compras Septiembre 2026'!G1037</f>
        <v>36000</v>
      </c>
      <c r="S153" s="600"/>
    </row>
    <row r="154" spans="9:19" x14ac:dyDescent="0.25">
      <c r="I154" s="579">
        <v>26</v>
      </c>
      <c r="J154" s="579" t="s">
        <v>827</v>
      </c>
      <c r="K154" s="575" t="s">
        <v>830</v>
      </c>
      <c r="L154" s="575" t="s">
        <v>831</v>
      </c>
      <c r="M154" s="576">
        <v>60</v>
      </c>
      <c r="N154" s="577">
        <v>1916.67</v>
      </c>
      <c r="O154" s="579">
        <v>30</v>
      </c>
      <c r="P154" s="607">
        <f t="shared" si="13"/>
        <v>1800</v>
      </c>
      <c r="Q154" s="577">
        <f t="shared" si="12"/>
        <v>63.888999999999996</v>
      </c>
      <c r="R154" s="577">
        <f>'Detalle Compras Septiembre 2026'!G1038</f>
        <v>115000.2</v>
      </c>
      <c r="S154" s="600"/>
    </row>
    <row r="155" spans="9:19" x14ac:dyDescent="0.25">
      <c r="I155" s="579">
        <v>26</v>
      </c>
      <c r="J155" s="579" t="s">
        <v>827</v>
      </c>
      <c r="K155" s="575" t="s">
        <v>832</v>
      </c>
      <c r="L155" s="575" t="s">
        <v>833</v>
      </c>
      <c r="M155" s="576">
        <v>6</v>
      </c>
      <c r="N155" s="577">
        <v>3250</v>
      </c>
      <c r="O155" s="579">
        <v>12</v>
      </c>
      <c r="P155" s="607">
        <f t="shared" si="13"/>
        <v>72</v>
      </c>
      <c r="Q155" s="577">
        <f t="shared" si="12"/>
        <v>270.83305555555557</v>
      </c>
      <c r="R155" s="577">
        <f>'Detalle Compras Septiembre 2026'!G1039</f>
        <v>19499.98</v>
      </c>
      <c r="S155" s="600"/>
    </row>
    <row r="156" spans="9:19" x14ac:dyDescent="0.25">
      <c r="I156" s="579">
        <v>26</v>
      </c>
      <c r="J156" s="579" t="s">
        <v>827</v>
      </c>
      <c r="K156" s="575" t="s">
        <v>834</v>
      </c>
      <c r="L156" s="575" t="s">
        <v>835</v>
      </c>
      <c r="M156" s="576">
        <v>6</v>
      </c>
      <c r="N156" s="577">
        <v>3250</v>
      </c>
      <c r="O156" s="579">
        <v>12</v>
      </c>
      <c r="P156" s="607">
        <f t="shared" si="13"/>
        <v>72</v>
      </c>
      <c r="Q156" s="577">
        <f t="shared" si="12"/>
        <v>270.83305555555557</v>
      </c>
      <c r="R156" s="577">
        <f>'Detalle Compras Septiembre 2026'!G1040</f>
        <v>19499.98</v>
      </c>
      <c r="S156" s="600"/>
    </row>
    <row r="157" spans="9:19" x14ac:dyDescent="0.25">
      <c r="I157" s="579">
        <v>26</v>
      </c>
      <c r="J157" s="579" t="s">
        <v>827</v>
      </c>
      <c r="K157" s="575" t="s">
        <v>836</v>
      </c>
      <c r="L157" s="575" t="s">
        <v>837</v>
      </c>
      <c r="M157" s="576">
        <v>15</v>
      </c>
      <c r="N157" s="577">
        <v>1726.67</v>
      </c>
      <c r="O157" s="579">
        <v>30</v>
      </c>
      <c r="P157" s="607">
        <f t="shared" si="13"/>
        <v>450</v>
      </c>
      <c r="Q157" s="577">
        <f t="shared" si="12"/>
        <v>57.555533333333337</v>
      </c>
      <c r="R157" s="577">
        <f>'Detalle Compras Septiembre 2026'!G1041</f>
        <v>25899.99</v>
      </c>
      <c r="S157" s="600"/>
    </row>
    <row r="158" spans="9:19" x14ac:dyDescent="0.25">
      <c r="I158" s="579">
        <v>26</v>
      </c>
      <c r="J158" s="579" t="s">
        <v>827</v>
      </c>
      <c r="K158" s="575" t="s">
        <v>838</v>
      </c>
      <c r="L158" s="575" t="s">
        <v>839</v>
      </c>
      <c r="M158" s="576">
        <v>15</v>
      </c>
      <c r="N158" s="577">
        <v>1726.67</v>
      </c>
      <c r="O158" s="579">
        <v>30</v>
      </c>
      <c r="P158" s="607">
        <f t="shared" si="13"/>
        <v>450</v>
      </c>
      <c r="Q158" s="577">
        <f t="shared" si="12"/>
        <v>57.555533333333337</v>
      </c>
      <c r="R158" s="577">
        <f>'Detalle Compras Septiembre 2026'!G1042</f>
        <v>25899.99</v>
      </c>
      <c r="S158" s="600"/>
    </row>
    <row r="159" spans="9:19" x14ac:dyDescent="0.25">
      <c r="I159" s="579">
        <v>26</v>
      </c>
      <c r="J159" s="579" t="s">
        <v>827</v>
      </c>
      <c r="K159" s="575" t="s">
        <v>840</v>
      </c>
      <c r="L159" s="575" t="s">
        <v>841</v>
      </c>
      <c r="M159" s="576">
        <v>12</v>
      </c>
      <c r="N159" s="577">
        <v>2250</v>
      </c>
      <c r="O159" s="579">
        <v>12</v>
      </c>
      <c r="P159" s="607">
        <f t="shared" si="13"/>
        <v>144</v>
      </c>
      <c r="Q159" s="577">
        <f t="shared" si="12"/>
        <v>187.50034722222222</v>
      </c>
      <c r="R159" s="577">
        <f>'Detalle Compras Septiembre 2026'!G1043</f>
        <v>27000.05</v>
      </c>
      <c r="S159" s="600"/>
    </row>
    <row r="160" spans="9:19" x14ac:dyDescent="0.25">
      <c r="I160" s="579">
        <v>26</v>
      </c>
      <c r="J160" s="579" t="s">
        <v>827</v>
      </c>
      <c r="K160" s="575" t="s">
        <v>842</v>
      </c>
      <c r="L160" s="575" t="s">
        <v>843</v>
      </c>
      <c r="M160" s="576">
        <v>12</v>
      </c>
      <c r="N160" s="577">
        <v>2708.22</v>
      </c>
      <c r="O160" s="579">
        <v>12</v>
      </c>
      <c r="P160" s="607">
        <f t="shared" si="13"/>
        <v>144</v>
      </c>
      <c r="Q160" s="577">
        <f t="shared" si="12"/>
        <v>225.68534722222222</v>
      </c>
      <c r="R160" s="577">
        <f>'Detalle Compras Septiembre 2026'!G1044</f>
        <v>32498.69</v>
      </c>
      <c r="S160" s="600"/>
    </row>
    <row r="161" spans="9:19" x14ac:dyDescent="0.25">
      <c r="I161" s="579">
        <v>26</v>
      </c>
      <c r="J161" s="579" t="s">
        <v>827</v>
      </c>
      <c r="K161" s="575" t="s">
        <v>844</v>
      </c>
      <c r="L161" s="575" t="s">
        <v>845</v>
      </c>
      <c r="M161" s="576">
        <v>2</v>
      </c>
      <c r="N161" s="577">
        <v>3250</v>
      </c>
      <c r="O161" s="579">
        <v>12</v>
      </c>
      <c r="P161" s="607">
        <f t="shared" si="13"/>
        <v>24</v>
      </c>
      <c r="Q161" s="577">
        <f t="shared" si="12"/>
        <v>270.83291666666668</v>
      </c>
      <c r="R161" s="577">
        <f>'Detalle Compras Septiembre 2026'!G1045</f>
        <v>6499.99</v>
      </c>
      <c r="S161" s="600"/>
    </row>
    <row r="162" spans="9:19" x14ac:dyDescent="0.25">
      <c r="I162" s="579">
        <v>26</v>
      </c>
      <c r="J162" s="579" t="s">
        <v>827</v>
      </c>
      <c r="K162" s="575" t="s">
        <v>828</v>
      </c>
      <c r="L162" s="575" t="s">
        <v>846</v>
      </c>
      <c r="M162" s="576">
        <v>48</v>
      </c>
      <c r="N162" s="577">
        <v>1500</v>
      </c>
      <c r="O162" s="579">
        <v>24</v>
      </c>
      <c r="P162" s="607">
        <f t="shared" si="13"/>
        <v>1152</v>
      </c>
      <c r="Q162" s="577">
        <f t="shared" si="12"/>
        <v>62.5</v>
      </c>
      <c r="R162" s="577">
        <f>'Detalle Compras Septiembre 2026'!G1046</f>
        <v>72000</v>
      </c>
      <c r="S162" s="600"/>
    </row>
    <row r="163" spans="9:19" x14ac:dyDescent="0.25">
      <c r="I163" s="595" t="s">
        <v>847</v>
      </c>
      <c r="J163" s="595"/>
      <c r="K163" s="595"/>
      <c r="L163" s="595"/>
      <c r="M163" s="602">
        <f>SUM(M152:M162)</f>
        <v>203</v>
      </c>
      <c r="N163" s="603">
        <f>IF(M163&gt;0, R163/M163, 0)</f>
        <v>2255.1668472906404</v>
      </c>
      <c r="O163" s="598" t="s">
        <v>44</v>
      </c>
      <c r="P163" s="611">
        <f>SUM(P152:P162)</f>
        <v>4887</v>
      </c>
      <c r="Q163" s="603">
        <f t="shared" si="12"/>
        <v>93.676871291180689</v>
      </c>
      <c r="R163" s="603">
        <f>SUM(R152:R162)</f>
        <v>457798.87</v>
      </c>
      <c r="S163" s="600"/>
    </row>
    <row r="164" spans="9:19" x14ac:dyDescent="0.25">
      <c r="I164" s="604" t="s">
        <v>848</v>
      </c>
      <c r="J164" s="604"/>
      <c r="K164" s="604"/>
      <c r="L164" s="604"/>
      <c r="M164" s="605">
        <f>M14+M18+M27+M30+M46+M51+M54+M81+M91+M94+M99+M102+M106+M108+M112+M120+M127+M134+M151+M163</f>
        <v>1782</v>
      </c>
      <c r="N164" s="606">
        <f>IF(M164&gt;0, R164/M164, 0)</f>
        <v>4261.0297081930421</v>
      </c>
      <c r="O164" s="612" t="s">
        <v>44</v>
      </c>
      <c r="P164" s="613">
        <f>P14+P18+P27+P30+P46+P51+P54+P81+P91+P94+P99+P102+P106+P108+P112+P120+P127+P134+P151+P163</f>
        <v>20298</v>
      </c>
      <c r="Q164" s="606">
        <f t="shared" si="12"/>
        <v>374.08389693565869</v>
      </c>
      <c r="R164" s="606">
        <f>R14+R18+R27+R30+R46+R51+R54+R81+R91+R94+R99+R102+R106+R108+R112+R120+R127+R134+R151+R163</f>
        <v>7593154.9400000004</v>
      </c>
      <c r="S164" s="600"/>
    </row>
    <row r="165" spans="9:19" x14ac:dyDescent="0.25">
      <c r="I165" s="600"/>
      <c r="J165" s="600"/>
      <c r="K165" s="600"/>
      <c r="L165" s="600"/>
      <c r="M165" s="600"/>
      <c r="N165" s="600"/>
      <c r="O165" s="600"/>
      <c r="P165" s="600"/>
      <c r="Q165" s="600"/>
      <c r="R165" s="600"/>
      <c r="S165" s="600"/>
    </row>
    <row r="166" spans="9:19" x14ac:dyDescent="0.25">
      <c r="I166" s="600"/>
      <c r="J166" s="600"/>
      <c r="K166" s="600"/>
      <c r="L166" s="600"/>
      <c r="M166" s="600"/>
      <c r="N166" s="600"/>
      <c r="O166" s="600"/>
      <c r="P166" s="600"/>
      <c r="Q166" s="600"/>
      <c r="R166" s="600"/>
      <c r="S166" s="600"/>
    </row>
    <row r="167" spans="9:19" x14ac:dyDescent="0.25">
      <c r="I167" s="600"/>
      <c r="J167" s="600"/>
      <c r="K167" s="600"/>
      <c r="L167" s="600"/>
      <c r="M167" s="600"/>
      <c r="N167" s="600"/>
      <c r="O167" s="600"/>
      <c r="P167" s="600"/>
      <c r="Q167" s="600"/>
      <c r="R167" s="600"/>
      <c r="S167" s="600"/>
    </row>
    <row r="168" spans="9:19" x14ac:dyDescent="0.25">
      <c r="I168" s="600"/>
      <c r="J168" s="600"/>
      <c r="K168" s="600"/>
      <c r="L168" s="600"/>
      <c r="M168" s="600"/>
      <c r="N168" s="600"/>
      <c r="O168" s="600"/>
      <c r="P168" s="600"/>
      <c r="Q168" s="600"/>
      <c r="R168" s="600"/>
      <c r="S168" s="600"/>
    </row>
    <row r="169" spans="9:19" x14ac:dyDescent="0.25">
      <c r="I169" s="600"/>
      <c r="J169" s="600"/>
      <c r="K169" s="600"/>
      <c r="L169" s="600"/>
      <c r="M169" s="600"/>
      <c r="N169" s="600"/>
      <c r="O169" s="600"/>
      <c r="P169" s="600"/>
      <c r="Q169" s="600"/>
      <c r="R169" s="600"/>
      <c r="S169" s="600"/>
    </row>
    <row r="170" spans="9:19" x14ac:dyDescent="0.25">
      <c r="I170" s="600"/>
      <c r="J170" s="600"/>
      <c r="K170" s="600"/>
      <c r="L170" s="600"/>
      <c r="M170" s="600"/>
      <c r="N170" s="600"/>
      <c r="O170" s="600"/>
      <c r="P170" s="600"/>
      <c r="Q170" s="600"/>
      <c r="R170" s="600"/>
      <c r="S170" s="600"/>
    </row>
    <row r="171" spans="9:19" x14ac:dyDescent="0.25">
      <c r="I171" s="600"/>
      <c r="J171" s="600"/>
      <c r="K171" s="600"/>
      <c r="L171" s="600"/>
      <c r="M171" s="600"/>
      <c r="N171" s="600"/>
      <c r="O171" s="600"/>
      <c r="P171" s="600"/>
      <c r="Q171" s="600"/>
      <c r="R171" s="600"/>
      <c r="S171" s="600"/>
    </row>
    <row r="172" spans="9:19" x14ac:dyDescent="0.25">
      <c r="I172" s="600"/>
      <c r="J172" s="600"/>
      <c r="K172" s="600"/>
      <c r="L172" s="600"/>
      <c r="M172" s="600"/>
      <c r="N172" s="600"/>
      <c r="O172" s="600"/>
      <c r="P172" s="600"/>
      <c r="Q172" s="600"/>
      <c r="R172" s="600"/>
      <c r="S172" s="600"/>
    </row>
    <row r="173" spans="9:19" x14ac:dyDescent="0.25">
      <c r="I173" s="600"/>
      <c r="J173" s="600"/>
      <c r="K173" s="600"/>
      <c r="L173" s="600"/>
      <c r="M173" s="600"/>
      <c r="N173" s="600"/>
      <c r="O173" s="600"/>
      <c r="P173" s="600"/>
      <c r="Q173" s="600"/>
      <c r="R173" s="600"/>
      <c r="S173" s="600"/>
    </row>
    <row r="174" spans="9:19" x14ac:dyDescent="0.25">
      <c r="I174" s="600"/>
      <c r="J174" s="600"/>
      <c r="K174" s="600"/>
      <c r="L174" s="600"/>
      <c r="M174" s="600"/>
      <c r="N174" s="600"/>
      <c r="O174" s="600"/>
      <c r="P174" s="600"/>
      <c r="Q174" s="600"/>
      <c r="R174" s="600"/>
      <c r="S174" s="600"/>
    </row>
    <row r="175" spans="9:19" x14ac:dyDescent="0.25">
      <c r="I175" s="600"/>
      <c r="J175" s="600"/>
      <c r="K175" s="600"/>
      <c r="L175" s="600"/>
      <c r="M175" s="600"/>
      <c r="N175" s="600"/>
      <c r="O175" s="600"/>
      <c r="P175" s="600"/>
      <c r="Q175" s="600"/>
      <c r="R175" s="600"/>
      <c r="S175" s="600"/>
    </row>
    <row r="176" spans="9:19" x14ac:dyDescent="0.25">
      <c r="I176" s="600"/>
      <c r="J176" s="600"/>
      <c r="K176" s="600"/>
      <c r="L176" s="600"/>
      <c r="M176" s="600"/>
      <c r="N176" s="600"/>
      <c r="O176" s="600"/>
      <c r="P176" s="600"/>
      <c r="Q176" s="600"/>
      <c r="R176" s="600"/>
      <c r="S176" s="600"/>
    </row>
    <row r="177" spans="9:19" x14ac:dyDescent="0.25">
      <c r="I177" s="600"/>
      <c r="J177" s="600"/>
      <c r="K177" s="600"/>
      <c r="L177" s="600"/>
      <c r="M177" s="600"/>
      <c r="N177" s="600"/>
      <c r="O177" s="600"/>
      <c r="P177" s="600"/>
      <c r="Q177" s="600"/>
      <c r="R177" s="600"/>
      <c r="S177" s="600"/>
    </row>
    <row r="178" spans="9:19" x14ac:dyDescent="0.25">
      <c r="I178" s="600"/>
      <c r="J178" s="600"/>
      <c r="K178" s="600"/>
      <c r="L178" s="600"/>
      <c r="M178" s="600"/>
      <c r="N178" s="600"/>
      <c r="O178" s="600"/>
      <c r="P178" s="600"/>
      <c r="Q178" s="600"/>
      <c r="R178" s="600"/>
      <c r="S178" s="600"/>
    </row>
    <row r="179" spans="9:19" x14ac:dyDescent="0.25">
      <c r="I179" s="600"/>
      <c r="J179" s="600"/>
      <c r="K179" s="600"/>
      <c r="L179" s="600"/>
      <c r="M179" s="600"/>
      <c r="N179" s="600"/>
      <c r="O179" s="600"/>
      <c r="P179" s="600"/>
      <c r="Q179" s="600"/>
      <c r="R179" s="600"/>
      <c r="S179" s="600"/>
    </row>
    <row r="180" spans="9:19" x14ac:dyDescent="0.25">
      <c r="I180" s="600"/>
      <c r="J180" s="600"/>
      <c r="K180" s="600"/>
      <c r="L180" s="600"/>
      <c r="M180" s="600"/>
      <c r="N180" s="600"/>
      <c r="O180" s="600"/>
      <c r="P180" s="600"/>
      <c r="Q180" s="600"/>
      <c r="R180" s="600"/>
      <c r="S180" s="600"/>
    </row>
    <row r="181" spans="9:19" x14ac:dyDescent="0.25">
      <c r="I181" s="600"/>
      <c r="J181" s="600"/>
      <c r="K181" s="600"/>
      <c r="L181" s="600"/>
      <c r="M181" s="600"/>
      <c r="N181" s="600"/>
      <c r="O181" s="600"/>
      <c r="P181" s="600"/>
      <c r="Q181" s="600"/>
      <c r="R181" s="600"/>
      <c r="S181" s="600"/>
    </row>
    <row r="182" spans="9:19" x14ac:dyDescent="0.25">
      <c r="I182" s="600"/>
      <c r="J182" s="600"/>
      <c r="K182" s="600"/>
      <c r="L182" s="600"/>
      <c r="M182" s="600"/>
      <c r="N182" s="600"/>
      <c r="O182" s="600"/>
      <c r="P182" s="600"/>
      <c r="Q182" s="600"/>
      <c r="R182" s="600"/>
      <c r="S182" s="600"/>
    </row>
    <row r="183" spans="9:19" x14ac:dyDescent="0.25">
      <c r="I183" s="600"/>
      <c r="J183" s="600"/>
      <c r="K183" s="600"/>
      <c r="L183" s="600"/>
      <c r="M183" s="600"/>
      <c r="N183" s="600"/>
      <c r="O183" s="600"/>
      <c r="P183" s="600"/>
      <c r="Q183" s="600"/>
      <c r="R183" s="600"/>
      <c r="S183" s="600"/>
    </row>
    <row r="184" spans="9:19" x14ac:dyDescent="0.25">
      <c r="I184" s="600"/>
      <c r="J184" s="600"/>
      <c r="K184" s="600"/>
      <c r="L184" s="600"/>
      <c r="M184" s="600"/>
      <c r="N184" s="600"/>
      <c r="O184" s="600"/>
      <c r="P184" s="600"/>
      <c r="Q184" s="600"/>
      <c r="R184" s="600"/>
      <c r="S184" s="600"/>
    </row>
    <row r="185" spans="9:19" x14ac:dyDescent="0.25">
      <c r="I185" s="600"/>
      <c r="J185" s="600"/>
      <c r="K185" s="600"/>
      <c r="L185" s="600"/>
      <c r="M185" s="600"/>
      <c r="N185" s="600"/>
      <c r="O185" s="600"/>
      <c r="P185" s="600"/>
      <c r="Q185" s="600"/>
      <c r="R185" s="600"/>
      <c r="S185" s="600"/>
    </row>
    <row r="186" spans="9:19" x14ac:dyDescent="0.25">
      <c r="I186" s="600"/>
      <c r="J186" s="600"/>
      <c r="K186" s="600"/>
      <c r="L186" s="600"/>
      <c r="M186" s="600"/>
      <c r="N186" s="600"/>
      <c r="O186" s="600"/>
      <c r="P186" s="600"/>
      <c r="Q186" s="600"/>
      <c r="R186" s="600"/>
      <c r="S186" s="600"/>
    </row>
    <row r="187" spans="9:19" x14ac:dyDescent="0.25">
      <c r="I187" s="600"/>
      <c r="J187" s="600"/>
      <c r="K187" s="600"/>
      <c r="L187" s="600"/>
      <c r="M187" s="600"/>
      <c r="N187" s="600"/>
      <c r="O187" s="600"/>
      <c r="P187" s="600"/>
      <c r="Q187" s="600"/>
      <c r="R187" s="600"/>
      <c r="S187" s="600"/>
    </row>
    <row r="188" spans="9:19" x14ac:dyDescent="0.25">
      <c r="I188" s="600"/>
      <c r="J188" s="600"/>
      <c r="K188" s="600"/>
      <c r="L188" s="600"/>
      <c r="M188" s="600"/>
      <c r="N188" s="600"/>
      <c r="O188" s="600"/>
      <c r="P188" s="600"/>
      <c r="Q188" s="600"/>
      <c r="R188" s="600"/>
      <c r="S188" s="600"/>
    </row>
    <row r="189" spans="9:19" x14ac:dyDescent="0.25">
      <c r="I189" s="600"/>
      <c r="J189" s="600"/>
      <c r="K189" s="600"/>
      <c r="L189" s="600"/>
      <c r="M189" s="600"/>
      <c r="N189" s="600"/>
      <c r="O189" s="600"/>
      <c r="P189" s="600"/>
      <c r="Q189" s="600"/>
      <c r="R189" s="600"/>
      <c r="S189" s="600"/>
    </row>
    <row r="190" spans="9:19" x14ac:dyDescent="0.25">
      <c r="I190" s="600"/>
      <c r="J190" s="600"/>
      <c r="K190" s="600"/>
      <c r="L190" s="600"/>
      <c r="M190" s="600"/>
      <c r="N190" s="600"/>
      <c r="O190" s="600"/>
      <c r="P190" s="600"/>
      <c r="Q190" s="600"/>
      <c r="R190" s="600"/>
      <c r="S190" s="600"/>
    </row>
    <row r="191" spans="9:19" x14ac:dyDescent="0.25">
      <c r="I191" s="600"/>
      <c r="J191" s="600"/>
      <c r="K191" s="600"/>
      <c r="L191" s="600"/>
      <c r="M191" s="600"/>
      <c r="N191" s="600"/>
      <c r="O191" s="600"/>
      <c r="P191" s="600"/>
      <c r="Q191" s="600"/>
      <c r="R191" s="600"/>
      <c r="S191" s="600"/>
    </row>
    <row r="192" spans="9:19" x14ac:dyDescent="0.25">
      <c r="I192" s="600"/>
      <c r="J192" s="600"/>
      <c r="K192" s="600"/>
      <c r="L192" s="600"/>
      <c r="M192" s="600"/>
      <c r="N192" s="600"/>
      <c r="O192" s="600"/>
      <c r="P192" s="600"/>
      <c r="Q192" s="600"/>
      <c r="R192" s="600"/>
      <c r="S192" s="600"/>
    </row>
    <row r="193" spans="9:19" x14ac:dyDescent="0.25">
      <c r="I193" s="600"/>
      <c r="J193" s="600"/>
      <c r="K193" s="600"/>
      <c r="L193" s="600"/>
      <c r="M193" s="600"/>
      <c r="N193" s="600"/>
      <c r="O193" s="600"/>
      <c r="P193" s="600"/>
      <c r="Q193" s="600"/>
      <c r="R193" s="600"/>
      <c r="S193" s="600"/>
    </row>
    <row r="194" spans="9:19" x14ac:dyDescent="0.25">
      <c r="I194" s="600"/>
      <c r="J194" s="600"/>
      <c r="K194" s="600"/>
      <c r="L194" s="600"/>
      <c r="M194" s="600"/>
      <c r="N194" s="600"/>
      <c r="O194" s="600"/>
      <c r="P194" s="600"/>
      <c r="Q194" s="600"/>
      <c r="R194" s="600"/>
      <c r="S194" s="600"/>
    </row>
    <row r="195" spans="9:19" x14ac:dyDescent="0.25">
      <c r="I195" s="600"/>
      <c r="J195" s="600"/>
      <c r="K195" s="600"/>
      <c r="L195" s="600"/>
      <c r="M195" s="600"/>
      <c r="N195" s="600"/>
      <c r="O195" s="600"/>
      <c r="P195" s="600"/>
      <c r="Q195" s="600"/>
      <c r="R195" s="600"/>
      <c r="S195" s="600"/>
    </row>
    <row r="196" spans="9:19" x14ac:dyDescent="0.25">
      <c r="I196" s="600"/>
      <c r="J196" s="600"/>
      <c r="K196" s="600"/>
      <c r="L196" s="600"/>
      <c r="M196" s="600"/>
      <c r="N196" s="600"/>
      <c r="O196" s="600"/>
      <c r="P196" s="600"/>
      <c r="Q196" s="600"/>
      <c r="R196" s="600"/>
      <c r="S196" s="600"/>
    </row>
    <row r="197" spans="9:19" x14ac:dyDescent="0.25">
      <c r="I197" s="600"/>
      <c r="J197" s="600"/>
      <c r="K197" s="600"/>
      <c r="L197" s="600"/>
      <c r="M197" s="600"/>
      <c r="N197" s="600"/>
      <c r="O197" s="600"/>
      <c r="P197" s="600"/>
      <c r="Q197" s="600"/>
      <c r="R197" s="600"/>
      <c r="S197" s="600"/>
    </row>
    <row r="198" spans="9:19" x14ac:dyDescent="0.25">
      <c r="I198" s="600"/>
      <c r="J198" s="600"/>
      <c r="K198" s="600"/>
      <c r="L198" s="600"/>
      <c r="M198" s="600"/>
      <c r="N198" s="600"/>
      <c r="O198" s="600"/>
      <c r="P198" s="600"/>
      <c r="Q198" s="600"/>
      <c r="R198" s="600"/>
      <c r="S198" s="600"/>
    </row>
    <row r="199" spans="9:19" x14ac:dyDescent="0.25">
      <c r="I199" s="600"/>
      <c r="J199" s="600"/>
      <c r="K199" s="600"/>
      <c r="L199" s="600"/>
      <c r="M199" s="600"/>
      <c r="N199" s="600"/>
      <c r="O199" s="600"/>
      <c r="P199" s="600"/>
      <c r="Q199" s="600"/>
      <c r="R199" s="600"/>
      <c r="S199" s="600"/>
    </row>
    <row r="200" spans="9:19" x14ac:dyDescent="0.25">
      <c r="I200" s="600"/>
      <c r="J200" s="600"/>
      <c r="K200" s="600"/>
      <c r="L200" s="600"/>
      <c r="M200" s="600"/>
      <c r="N200" s="600"/>
      <c r="O200" s="600"/>
      <c r="P200" s="600"/>
      <c r="Q200" s="600"/>
      <c r="R200" s="600"/>
      <c r="S200" s="600"/>
    </row>
    <row r="201" spans="9:19" x14ac:dyDescent="0.25">
      <c r="I201" s="600"/>
      <c r="J201" s="600"/>
      <c r="K201" s="600"/>
      <c r="L201" s="600"/>
      <c r="M201" s="600"/>
      <c r="N201" s="600"/>
      <c r="O201" s="600"/>
      <c r="P201" s="600"/>
      <c r="Q201" s="600"/>
      <c r="R201" s="600"/>
      <c r="S201" s="600"/>
    </row>
    <row r="202" spans="9:19" x14ac:dyDescent="0.25">
      <c r="I202" s="600"/>
      <c r="J202" s="600"/>
      <c r="K202" s="600"/>
      <c r="L202" s="600"/>
      <c r="M202" s="600"/>
      <c r="N202" s="600"/>
      <c r="O202" s="600"/>
      <c r="P202" s="600"/>
      <c r="Q202" s="600"/>
      <c r="R202" s="600"/>
      <c r="S202" s="600"/>
    </row>
    <row r="203" spans="9:19" x14ac:dyDescent="0.25">
      <c r="I203" s="600"/>
      <c r="J203" s="600"/>
      <c r="K203" s="600"/>
      <c r="L203" s="600"/>
      <c r="M203" s="600"/>
      <c r="N203" s="600"/>
      <c r="O203" s="600"/>
      <c r="P203" s="600"/>
      <c r="Q203" s="600"/>
      <c r="R203" s="600"/>
      <c r="S203" s="600"/>
    </row>
    <row r="204" spans="9:19" x14ac:dyDescent="0.25">
      <c r="I204" s="600"/>
      <c r="J204" s="600"/>
      <c r="K204" s="600"/>
      <c r="L204" s="600"/>
      <c r="M204" s="600"/>
      <c r="N204" s="600"/>
      <c r="O204" s="600"/>
      <c r="P204" s="600"/>
      <c r="Q204" s="600"/>
      <c r="R204" s="600"/>
      <c r="S204" s="600"/>
    </row>
    <row r="205" spans="9:19" x14ac:dyDescent="0.25">
      <c r="I205" s="600"/>
      <c r="J205" s="600"/>
      <c r="K205" s="600"/>
      <c r="L205" s="600"/>
      <c r="M205" s="600"/>
      <c r="N205" s="600"/>
      <c r="O205" s="600"/>
      <c r="P205" s="600"/>
      <c r="Q205" s="600"/>
      <c r="R205" s="600"/>
      <c r="S205" s="600"/>
    </row>
    <row r="206" spans="9:19" x14ac:dyDescent="0.25">
      <c r="I206" s="600"/>
      <c r="J206" s="600"/>
      <c r="K206" s="600"/>
      <c r="L206" s="600"/>
      <c r="M206" s="600"/>
      <c r="N206" s="600"/>
      <c r="O206" s="600"/>
      <c r="P206" s="600"/>
      <c r="Q206" s="600"/>
      <c r="R206" s="600"/>
      <c r="S206" s="600"/>
    </row>
    <row r="207" spans="9:19" x14ac:dyDescent="0.25">
      <c r="I207" s="600"/>
      <c r="J207" s="600"/>
      <c r="K207" s="600"/>
      <c r="L207" s="600"/>
      <c r="M207" s="600"/>
      <c r="N207" s="600"/>
      <c r="O207" s="600"/>
      <c r="P207" s="600"/>
      <c r="Q207" s="600"/>
      <c r="R207" s="600"/>
      <c r="S207" s="600"/>
    </row>
    <row r="208" spans="9:19" x14ac:dyDescent="0.25">
      <c r="I208" s="600"/>
      <c r="J208" s="600"/>
      <c r="K208" s="600"/>
      <c r="L208" s="600"/>
      <c r="M208" s="600"/>
      <c r="N208" s="600"/>
      <c r="O208" s="600"/>
      <c r="P208" s="600"/>
      <c r="Q208" s="600"/>
      <c r="R208" s="600"/>
      <c r="S208" s="600"/>
    </row>
    <row r="209" spans="9:19" x14ac:dyDescent="0.25">
      <c r="I209" s="600"/>
      <c r="J209" s="600"/>
      <c r="K209" s="600"/>
      <c r="L209" s="600"/>
      <c r="M209" s="600"/>
      <c r="N209" s="600"/>
      <c r="O209" s="600"/>
      <c r="P209" s="600"/>
      <c r="Q209" s="600"/>
      <c r="R209" s="600"/>
      <c r="S209" s="600"/>
    </row>
    <row r="210" spans="9:19" x14ac:dyDescent="0.25">
      <c r="I210" s="600"/>
      <c r="J210" s="600"/>
      <c r="K210" s="600"/>
      <c r="L210" s="600"/>
      <c r="M210" s="600"/>
      <c r="N210" s="600"/>
      <c r="O210" s="600"/>
      <c r="P210" s="600"/>
      <c r="Q210" s="600"/>
      <c r="R210" s="600"/>
      <c r="S210" s="600"/>
    </row>
    <row r="211" spans="9:19" x14ac:dyDescent="0.25">
      <c r="I211" s="600"/>
      <c r="J211" s="600"/>
      <c r="K211" s="600"/>
      <c r="L211" s="600"/>
      <c r="M211" s="600"/>
      <c r="N211" s="600"/>
      <c r="O211" s="600"/>
      <c r="P211" s="600"/>
      <c r="Q211" s="600"/>
      <c r="R211" s="600"/>
      <c r="S211" s="600"/>
    </row>
    <row r="212" spans="9:19" x14ac:dyDescent="0.25">
      <c r="I212" s="600"/>
      <c r="J212" s="600"/>
      <c r="K212" s="600"/>
      <c r="L212" s="600"/>
      <c r="M212" s="600"/>
      <c r="N212" s="600"/>
      <c r="O212" s="600"/>
      <c r="P212" s="600"/>
      <c r="Q212" s="600"/>
      <c r="R212" s="600"/>
      <c r="S212" s="600"/>
    </row>
    <row r="213" spans="9:19" x14ac:dyDescent="0.25">
      <c r="I213" s="600"/>
      <c r="J213" s="600"/>
      <c r="K213" s="600"/>
      <c r="L213" s="600"/>
      <c r="M213" s="600"/>
      <c r="N213" s="600"/>
      <c r="O213" s="600"/>
      <c r="P213" s="600"/>
      <c r="Q213" s="600"/>
      <c r="R213" s="600"/>
      <c r="S213" s="600"/>
    </row>
    <row r="214" spans="9:19" x14ac:dyDescent="0.25">
      <c r="I214" s="600"/>
      <c r="J214" s="600"/>
      <c r="K214" s="600"/>
      <c r="L214" s="600"/>
      <c r="M214" s="600"/>
      <c r="N214" s="600"/>
      <c r="O214" s="600"/>
      <c r="P214" s="600"/>
      <c r="Q214" s="600"/>
      <c r="R214" s="600"/>
      <c r="S214" s="600"/>
    </row>
    <row r="215" spans="9:19" x14ac:dyDescent="0.25">
      <c r="I215" s="600"/>
      <c r="J215" s="600"/>
      <c r="K215" s="600"/>
      <c r="L215" s="600"/>
      <c r="M215" s="600"/>
      <c r="N215" s="600"/>
      <c r="O215" s="600"/>
      <c r="P215" s="600"/>
      <c r="Q215" s="600"/>
      <c r="R215" s="600"/>
      <c r="S215" s="600"/>
    </row>
    <row r="216" spans="9:19" x14ac:dyDescent="0.25">
      <c r="I216" s="600"/>
      <c r="J216" s="600"/>
      <c r="K216" s="600"/>
      <c r="L216" s="600"/>
      <c r="M216" s="600"/>
      <c r="N216" s="600"/>
      <c r="O216" s="600"/>
      <c r="P216" s="600"/>
      <c r="Q216" s="600"/>
      <c r="R216" s="600"/>
      <c r="S216" s="600"/>
    </row>
    <row r="217" spans="9:19" x14ac:dyDescent="0.25">
      <c r="I217" s="600"/>
      <c r="J217" s="600"/>
      <c r="K217" s="600"/>
      <c r="L217" s="600"/>
      <c r="M217" s="600"/>
      <c r="N217" s="600"/>
      <c r="O217" s="600"/>
      <c r="P217" s="600"/>
      <c r="Q217" s="600"/>
      <c r="R217" s="600"/>
      <c r="S217" s="600"/>
    </row>
    <row r="218" spans="9:19" x14ac:dyDescent="0.25">
      <c r="I218" s="600"/>
      <c r="J218" s="600"/>
      <c r="K218" s="600"/>
      <c r="L218" s="600"/>
      <c r="M218" s="600"/>
      <c r="N218" s="600"/>
      <c r="O218" s="600"/>
      <c r="P218" s="600"/>
      <c r="Q218" s="600"/>
      <c r="R218" s="600"/>
      <c r="S218" s="600"/>
    </row>
    <row r="219" spans="9:19" x14ac:dyDescent="0.25">
      <c r="I219" s="600"/>
      <c r="J219" s="600"/>
      <c r="K219" s="600"/>
      <c r="L219" s="600"/>
      <c r="M219" s="600"/>
      <c r="N219" s="600"/>
      <c r="O219" s="600"/>
      <c r="P219" s="600"/>
      <c r="Q219" s="600"/>
      <c r="R219" s="600"/>
      <c r="S219" s="600"/>
    </row>
    <row r="220" spans="9:19" x14ac:dyDescent="0.25">
      <c r="I220" s="600"/>
      <c r="J220" s="600"/>
      <c r="K220" s="600"/>
      <c r="L220" s="600"/>
      <c r="M220" s="600"/>
      <c r="N220" s="600"/>
      <c r="O220" s="600"/>
      <c r="P220" s="600"/>
      <c r="Q220" s="600"/>
      <c r="R220" s="600"/>
      <c r="S220" s="600"/>
    </row>
    <row r="221" spans="9:19" x14ac:dyDescent="0.25">
      <c r="I221" s="600"/>
      <c r="J221" s="600"/>
      <c r="K221" s="600"/>
      <c r="L221" s="600"/>
      <c r="M221" s="600"/>
      <c r="N221" s="600"/>
      <c r="O221" s="600"/>
      <c r="P221" s="600"/>
      <c r="Q221" s="600"/>
      <c r="R221" s="600"/>
      <c r="S221" s="600"/>
    </row>
    <row r="222" spans="9:19" x14ac:dyDescent="0.25">
      <c r="I222" s="600"/>
      <c r="J222" s="600"/>
      <c r="K222" s="600"/>
      <c r="L222" s="600"/>
      <c r="M222" s="600"/>
      <c r="N222" s="600"/>
      <c r="O222" s="600"/>
      <c r="P222" s="600"/>
      <c r="Q222" s="600"/>
      <c r="R222" s="600"/>
      <c r="S222" s="600"/>
    </row>
    <row r="223" spans="9:19" x14ac:dyDescent="0.25">
      <c r="I223" s="600"/>
      <c r="J223" s="600"/>
      <c r="K223" s="600"/>
      <c r="L223" s="600"/>
      <c r="M223" s="600"/>
      <c r="N223" s="600"/>
      <c r="O223" s="600"/>
      <c r="P223" s="600"/>
      <c r="Q223" s="600"/>
      <c r="R223" s="600"/>
      <c r="S223" s="600"/>
    </row>
    <row r="224" spans="9:19" x14ac:dyDescent="0.25">
      <c r="I224" s="600"/>
      <c r="J224" s="600"/>
      <c r="K224" s="600"/>
      <c r="L224" s="600"/>
      <c r="M224" s="600"/>
      <c r="N224" s="600"/>
      <c r="O224" s="600"/>
      <c r="P224" s="600"/>
      <c r="Q224" s="600"/>
      <c r="R224" s="600"/>
      <c r="S224" s="600"/>
    </row>
    <row r="225" spans="9:19" x14ac:dyDescent="0.25">
      <c r="I225" s="600"/>
      <c r="J225" s="600"/>
      <c r="K225" s="600"/>
      <c r="L225" s="600"/>
      <c r="M225" s="600"/>
      <c r="N225" s="600"/>
      <c r="O225" s="600"/>
      <c r="P225" s="600"/>
      <c r="Q225" s="600"/>
      <c r="R225" s="600"/>
      <c r="S225" s="600"/>
    </row>
    <row r="226" spans="9:19" x14ac:dyDescent="0.25">
      <c r="I226" s="600"/>
      <c r="J226" s="600"/>
      <c r="K226" s="600"/>
      <c r="L226" s="600"/>
      <c r="M226" s="600"/>
      <c r="N226" s="600"/>
      <c r="O226" s="600"/>
      <c r="P226" s="600"/>
      <c r="Q226" s="600"/>
      <c r="R226" s="600"/>
      <c r="S226" s="600"/>
    </row>
    <row r="227" spans="9:19" x14ac:dyDescent="0.25">
      <c r="I227" s="600"/>
      <c r="J227" s="600"/>
      <c r="K227" s="600"/>
      <c r="L227" s="600"/>
      <c r="M227" s="600"/>
      <c r="N227" s="600"/>
      <c r="O227" s="600"/>
      <c r="P227" s="600"/>
      <c r="Q227" s="600"/>
      <c r="R227" s="600"/>
      <c r="S227" s="600"/>
    </row>
    <row r="228" spans="9:19" x14ac:dyDescent="0.25">
      <c r="I228" s="600"/>
      <c r="J228" s="600"/>
      <c r="K228" s="600"/>
      <c r="L228" s="600"/>
      <c r="M228" s="600"/>
      <c r="N228" s="600"/>
      <c r="O228" s="600"/>
      <c r="P228" s="600"/>
      <c r="Q228" s="600"/>
      <c r="R228" s="600"/>
      <c r="S228" s="600"/>
    </row>
    <row r="229" spans="9:19" x14ac:dyDescent="0.25">
      <c r="I229" s="600"/>
      <c r="J229" s="600"/>
      <c r="K229" s="600"/>
      <c r="L229" s="600"/>
      <c r="M229" s="600"/>
      <c r="N229" s="600"/>
      <c r="O229" s="600"/>
      <c r="P229" s="600"/>
      <c r="Q229" s="600"/>
      <c r="R229" s="600"/>
      <c r="S229" s="600"/>
    </row>
    <row r="230" spans="9:19" x14ac:dyDescent="0.25">
      <c r="I230" s="600"/>
      <c r="J230" s="600"/>
      <c r="K230" s="600"/>
      <c r="L230" s="600"/>
      <c r="M230" s="600"/>
      <c r="N230" s="600"/>
      <c r="O230" s="600"/>
      <c r="P230" s="600"/>
      <c r="Q230" s="600"/>
      <c r="R230" s="600"/>
      <c r="S230" s="600"/>
    </row>
    <row r="231" spans="9:19" x14ac:dyDescent="0.25">
      <c r="I231" s="600"/>
      <c r="J231" s="600"/>
      <c r="K231" s="600"/>
      <c r="L231" s="600"/>
      <c r="M231" s="600"/>
      <c r="N231" s="600"/>
      <c r="O231" s="600"/>
      <c r="P231" s="600"/>
      <c r="Q231" s="600"/>
      <c r="R231" s="600"/>
      <c r="S231" s="600"/>
    </row>
    <row r="232" spans="9:19" x14ac:dyDescent="0.25">
      <c r="I232" s="600"/>
      <c r="J232" s="600"/>
      <c r="K232" s="600"/>
      <c r="L232" s="600"/>
      <c r="M232" s="600"/>
      <c r="N232" s="600"/>
      <c r="O232" s="600"/>
      <c r="P232" s="600"/>
      <c r="Q232" s="600"/>
      <c r="R232" s="600"/>
      <c r="S232" s="600"/>
    </row>
    <row r="233" spans="9:19" x14ac:dyDescent="0.25">
      <c r="I233" s="600"/>
      <c r="J233" s="600"/>
      <c r="K233" s="600"/>
      <c r="L233" s="600"/>
      <c r="M233" s="600"/>
      <c r="N233" s="600"/>
      <c r="O233" s="600"/>
      <c r="P233" s="600"/>
      <c r="Q233" s="600"/>
      <c r="R233" s="600"/>
      <c r="S233" s="600"/>
    </row>
    <row r="234" spans="9:19" x14ac:dyDescent="0.25">
      <c r="I234" s="600"/>
      <c r="J234" s="600"/>
      <c r="K234" s="600"/>
      <c r="L234" s="600"/>
      <c r="M234" s="600"/>
      <c r="N234" s="600"/>
      <c r="O234" s="600"/>
      <c r="P234" s="600"/>
      <c r="Q234" s="600"/>
      <c r="R234" s="600"/>
      <c r="S234" s="600"/>
    </row>
    <row r="235" spans="9:19" x14ac:dyDescent="0.25">
      <c r="I235" s="600"/>
      <c r="J235" s="600"/>
      <c r="K235" s="600"/>
      <c r="L235" s="600"/>
      <c r="M235" s="600"/>
      <c r="N235" s="600"/>
      <c r="O235" s="600"/>
      <c r="P235" s="600"/>
      <c r="Q235" s="600"/>
      <c r="R235" s="600"/>
      <c r="S235" s="600"/>
    </row>
    <row r="236" spans="9:19" x14ac:dyDescent="0.25">
      <c r="I236" s="600"/>
      <c r="J236" s="600"/>
      <c r="K236" s="600"/>
      <c r="L236" s="600"/>
      <c r="M236" s="600"/>
      <c r="N236" s="600"/>
      <c r="O236" s="600"/>
      <c r="P236" s="600"/>
      <c r="Q236" s="600"/>
      <c r="R236" s="600"/>
      <c r="S236" s="600"/>
    </row>
    <row r="237" spans="9:19" x14ac:dyDescent="0.25">
      <c r="I237" s="600"/>
      <c r="J237" s="600"/>
      <c r="K237" s="600"/>
      <c r="L237" s="600"/>
      <c r="M237" s="600"/>
      <c r="N237" s="600"/>
      <c r="O237" s="600"/>
      <c r="P237" s="600"/>
      <c r="Q237" s="600"/>
      <c r="R237" s="600"/>
      <c r="S237" s="600"/>
    </row>
    <row r="238" spans="9:19" x14ac:dyDescent="0.25">
      <c r="I238" s="600"/>
      <c r="J238" s="600"/>
      <c r="K238" s="600"/>
      <c r="L238" s="600"/>
      <c r="M238" s="600"/>
      <c r="N238" s="600"/>
      <c r="O238" s="600"/>
      <c r="P238" s="600"/>
      <c r="Q238" s="600"/>
      <c r="R238" s="600"/>
      <c r="S238" s="600"/>
    </row>
    <row r="239" spans="9:19" x14ac:dyDescent="0.25">
      <c r="I239" s="600"/>
      <c r="J239" s="600"/>
      <c r="K239" s="600"/>
      <c r="L239" s="600"/>
      <c r="M239" s="600"/>
      <c r="N239" s="600"/>
      <c r="O239" s="600"/>
      <c r="P239" s="600"/>
      <c r="Q239" s="600"/>
      <c r="R239" s="600"/>
      <c r="S239" s="600"/>
    </row>
    <row r="240" spans="9:19" x14ac:dyDescent="0.25">
      <c r="I240" s="600"/>
      <c r="J240" s="600"/>
      <c r="K240" s="600"/>
      <c r="L240" s="600"/>
      <c r="M240" s="600"/>
      <c r="N240" s="600"/>
      <c r="O240" s="600"/>
      <c r="P240" s="600"/>
      <c r="Q240" s="600"/>
      <c r="R240" s="600"/>
      <c r="S240" s="600"/>
    </row>
    <row r="241" spans="9:19" x14ac:dyDescent="0.25">
      <c r="I241" s="600"/>
      <c r="J241" s="600"/>
      <c r="K241" s="600"/>
      <c r="L241" s="600"/>
      <c r="M241" s="600"/>
      <c r="N241" s="600"/>
      <c r="O241" s="600"/>
      <c r="P241" s="600"/>
      <c r="Q241" s="600"/>
      <c r="R241" s="600"/>
      <c r="S241" s="600"/>
    </row>
    <row r="242" spans="9:19" x14ac:dyDescent="0.25">
      <c r="I242" s="600"/>
      <c r="J242" s="600"/>
      <c r="K242" s="600"/>
      <c r="L242" s="600"/>
      <c r="M242" s="600"/>
      <c r="N242" s="600"/>
      <c r="O242" s="600"/>
      <c r="P242" s="600"/>
      <c r="Q242" s="600"/>
      <c r="R242" s="600"/>
      <c r="S242" s="600"/>
    </row>
    <row r="243" spans="9:19" x14ac:dyDescent="0.25">
      <c r="I243" s="600"/>
      <c r="J243" s="600"/>
      <c r="K243" s="600"/>
      <c r="L243" s="600"/>
      <c r="M243" s="600"/>
      <c r="N243" s="600"/>
      <c r="O243" s="600"/>
      <c r="P243" s="600"/>
      <c r="Q243" s="600"/>
      <c r="R243" s="600"/>
      <c r="S243" s="600"/>
    </row>
    <row r="244" spans="9:19" x14ac:dyDescent="0.25">
      <c r="I244" s="600"/>
      <c r="J244" s="600"/>
      <c r="K244" s="600"/>
      <c r="L244" s="600"/>
      <c r="M244" s="600"/>
      <c r="N244" s="600"/>
      <c r="O244" s="600"/>
      <c r="P244" s="600"/>
      <c r="Q244" s="600"/>
      <c r="R244" s="600"/>
      <c r="S244" s="600"/>
    </row>
    <row r="245" spans="9:19" x14ac:dyDescent="0.25">
      <c r="I245" s="600"/>
      <c r="J245" s="600"/>
      <c r="K245" s="600"/>
      <c r="L245" s="600"/>
      <c r="M245" s="600"/>
      <c r="N245" s="600"/>
      <c r="O245" s="600"/>
      <c r="P245" s="600"/>
      <c r="Q245" s="600"/>
      <c r="R245" s="600"/>
      <c r="S245" s="600"/>
    </row>
    <row r="246" spans="9:19" x14ac:dyDescent="0.25">
      <c r="I246" s="600"/>
      <c r="J246" s="600"/>
      <c r="K246" s="600"/>
      <c r="L246" s="600"/>
      <c r="M246" s="600"/>
      <c r="N246" s="600"/>
      <c r="O246" s="600"/>
      <c r="P246" s="600"/>
      <c r="Q246" s="600"/>
      <c r="R246" s="600"/>
      <c r="S246" s="600"/>
    </row>
    <row r="247" spans="9:19" x14ac:dyDescent="0.25">
      <c r="I247" s="600"/>
      <c r="J247" s="600"/>
      <c r="K247" s="600"/>
      <c r="L247" s="600"/>
      <c r="M247" s="600"/>
      <c r="N247" s="600"/>
      <c r="O247" s="600"/>
      <c r="P247" s="600"/>
      <c r="Q247" s="600"/>
      <c r="R247" s="600"/>
      <c r="S247" s="600"/>
    </row>
    <row r="248" spans="9:19" x14ac:dyDescent="0.25">
      <c r="I248" s="600"/>
      <c r="J248" s="600"/>
      <c r="K248" s="600"/>
      <c r="L248" s="600"/>
      <c r="M248" s="600"/>
      <c r="N248" s="600"/>
      <c r="O248" s="600"/>
      <c r="P248" s="600"/>
      <c r="Q248" s="600"/>
      <c r="R248" s="600"/>
      <c r="S248" s="600"/>
    </row>
    <row r="249" spans="9:19" x14ac:dyDescent="0.25">
      <c r="I249" s="600"/>
      <c r="J249" s="600"/>
      <c r="K249" s="600"/>
      <c r="L249" s="600"/>
      <c r="M249" s="600"/>
      <c r="N249" s="600"/>
      <c r="O249" s="600"/>
      <c r="P249" s="600"/>
      <c r="Q249" s="600"/>
      <c r="R249" s="600"/>
      <c r="S249" s="600"/>
    </row>
    <row r="250" spans="9:19" x14ac:dyDescent="0.25">
      <c r="I250" s="600"/>
      <c r="J250" s="600"/>
      <c r="K250" s="600"/>
      <c r="L250" s="600"/>
      <c r="M250" s="600"/>
      <c r="N250" s="600"/>
      <c r="O250" s="600"/>
      <c r="P250" s="600"/>
      <c r="Q250" s="600"/>
      <c r="R250" s="600"/>
      <c r="S250" s="600"/>
    </row>
    <row r="251" spans="9:19" x14ac:dyDescent="0.25">
      <c r="I251" s="600"/>
      <c r="J251" s="600"/>
      <c r="K251" s="600"/>
      <c r="L251" s="600"/>
      <c r="M251" s="600"/>
      <c r="N251" s="600"/>
      <c r="O251" s="600"/>
      <c r="P251" s="600"/>
      <c r="Q251" s="600"/>
      <c r="R251" s="600"/>
      <c r="S251" s="600"/>
    </row>
    <row r="252" spans="9:19" x14ac:dyDescent="0.25">
      <c r="I252" s="600"/>
      <c r="J252" s="600"/>
      <c r="K252" s="600"/>
      <c r="L252" s="600"/>
      <c r="M252" s="600"/>
      <c r="N252" s="600"/>
      <c r="O252" s="600"/>
      <c r="P252" s="600"/>
      <c r="Q252" s="600"/>
      <c r="R252" s="600"/>
      <c r="S252" s="600"/>
    </row>
    <row r="253" spans="9:19" x14ac:dyDescent="0.25">
      <c r="I253" s="600"/>
      <c r="J253" s="600"/>
      <c r="K253" s="600"/>
      <c r="L253" s="600"/>
      <c r="M253" s="600"/>
      <c r="N253" s="600"/>
      <c r="O253" s="600"/>
      <c r="P253" s="600"/>
      <c r="Q253" s="600"/>
      <c r="R253" s="600"/>
      <c r="S253" s="600"/>
    </row>
    <row r="254" spans="9:19" x14ac:dyDescent="0.25">
      <c r="I254" s="600"/>
      <c r="J254" s="600"/>
      <c r="K254" s="600"/>
      <c r="L254" s="600"/>
      <c r="M254" s="600"/>
      <c r="N254" s="600"/>
      <c r="O254" s="600"/>
      <c r="P254" s="600"/>
      <c r="Q254" s="600"/>
      <c r="R254" s="600"/>
      <c r="S254" s="600"/>
    </row>
    <row r="255" spans="9:19" x14ac:dyDescent="0.25">
      <c r="I255" s="600"/>
      <c r="J255" s="600"/>
      <c r="K255" s="600"/>
      <c r="L255" s="600"/>
      <c r="M255" s="600"/>
      <c r="N255" s="600"/>
      <c r="O255" s="600"/>
      <c r="P255" s="600"/>
      <c r="Q255" s="600"/>
      <c r="R255" s="600"/>
      <c r="S255" s="600"/>
    </row>
    <row r="256" spans="9:19" x14ac:dyDescent="0.25">
      <c r="I256" s="600"/>
      <c r="J256" s="600"/>
      <c r="K256" s="600"/>
      <c r="L256" s="600"/>
      <c r="M256" s="600"/>
      <c r="N256" s="600"/>
      <c r="O256" s="600"/>
      <c r="P256" s="600"/>
      <c r="Q256" s="600"/>
      <c r="R256" s="600"/>
      <c r="S256" s="600"/>
    </row>
    <row r="257" spans="9:19" x14ac:dyDescent="0.25">
      <c r="I257" s="600"/>
      <c r="J257" s="600"/>
      <c r="K257" s="600"/>
      <c r="L257" s="600"/>
      <c r="M257" s="600"/>
      <c r="N257" s="600"/>
      <c r="O257" s="600"/>
      <c r="P257" s="600"/>
      <c r="Q257" s="600"/>
      <c r="R257" s="600"/>
      <c r="S257" s="600"/>
    </row>
    <row r="258" spans="9:19" x14ac:dyDescent="0.25">
      <c r="I258" s="600"/>
      <c r="J258" s="600"/>
      <c r="K258" s="600"/>
      <c r="L258" s="600"/>
      <c r="M258" s="600"/>
      <c r="N258" s="600"/>
      <c r="O258" s="600"/>
      <c r="P258" s="600"/>
      <c r="Q258" s="600"/>
      <c r="R258" s="600"/>
      <c r="S258" s="600"/>
    </row>
    <row r="259" spans="9:19" x14ac:dyDescent="0.25">
      <c r="I259" s="600"/>
      <c r="J259" s="600"/>
      <c r="K259" s="600"/>
      <c r="L259" s="600"/>
      <c r="M259" s="600"/>
      <c r="N259" s="600"/>
      <c r="O259" s="600"/>
      <c r="P259" s="600"/>
      <c r="Q259" s="600"/>
      <c r="R259" s="600"/>
      <c r="S259" s="600"/>
    </row>
    <row r="260" spans="9:19" x14ac:dyDescent="0.25">
      <c r="I260" s="600"/>
      <c r="J260" s="600"/>
      <c r="K260" s="600"/>
      <c r="L260" s="600"/>
      <c r="M260" s="600"/>
      <c r="N260" s="600"/>
      <c r="O260" s="600"/>
      <c r="P260" s="600"/>
      <c r="Q260" s="600"/>
      <c r="R260" s="600"/>
      <c r="S260" s="600"/>
    </row>
    <row r="261" spans="9:19" x14ac:dyDescent="0.25">
      <c r="I261" s="600"/>
      <c r="J261" s="600"/>
      <c r="K261" s="600"/>
      <c r="L261" s="600"/>
      <c r="M261" s="600"/>
      <c r="N261" s="600"/>
      <c r="O261" s="600"/>
      <c r="P261" s="600"/>
      <c r="Q261" s="600"/>
      <c r="R261" s="600"/>
      <c r="S261" s="600"/>
    </row>
    <row r="262" spans="9:19" x14ac:dyDescent="0.25">
      <c r="I262" s="600"/>
      <c r="J262" s="600"/>
      <c r="K262" s="600"/>
      <c r="L262" s="600"/>
      <c r="M262" s="600"/>
      <c r="N262" s="600"/>
      <c r="O262" s="600"/>
      <c r="P262" s="600"/>
      <c r="Q262" s="600"/>
      <c r="R262" s="600"/>
      <c r="S262" s="600"/>
    </row>
    <row r="263" spans="9:19" x14ac:dyDescent="0.25">
      <c r="I263" s="600"/>
      <c r="J263" s="600"/>
      <c r="K263" s="600"/>
      <c r="L263" s="600"/>
      <c r="M263" s="600"/>
      <c r="N263" s="600"/>
      <c r="O263" s="600"/>
      <c r="P263" s="600"/>
      <c r="Q263" s="600"/>
      <c r="R263" s="600"/>
      <c r="S263" s="600"/>
    </row>
    <row r="264" spans="9:19" x14ac:dyDescent="0.25">
      <c r="I264" s="600"/>
      <c r="J264" s="600"/>
      <c r="K264" s="600"/>
      <c r="L264" s="600"/>
      <c r="M264" s="600"/>
      <c r="N264" s="600"/>
      <c r="O264" s="600"/>
      <c r="P264" s="600"/>
      <c r="Q264" s="600"/>
      <c r="R264" s="600"/>
      <c r="S264" s="600"/>
    </row>
    <row r="265" spans="9:19" x14ac:dyDescent="0.25">
      <c r="I265" s="600"/>
      <c r="J265" s="600"/>
      <c r="K265" s="600"/>
      <c r="L265" s="600"/>
      <c r="M265" s="600"/>
      <c r="N265" s="600"/>
      <c r="O265" s="600"/>
      <c r="P265" s="600"/>
      <c r="Q265" s="600"/>
      <c r="R265" s="600"/>
      <c r="S265" s="600"/>
    </row>
    <row r="266" spans="9:19" x14ac:dyDescent="0.25">
      <c r="I266" s="600"/>
      <c r="J266" s="600"/>
      <c r="K266" s="600"/>
      <c r="L266" s="600"/>
      <c r="M266" s="600"/>
      <c r="N266" s="600"/>
      <c r="O266" s="600"/>
      <c r="P266" s="600"/>
      <c r="Q266" s="600"/>
      <c r="R266" s="600"/>
      <c r="S266" s="600"/>
    </row>
    <row r="267" spans="9:19" x14ac:dyDescent="0.25">
      <c r="I267" s="600"/>
      <c r="J267" s="600"/>
      <c r="K267" s="600"/>
      <c r="L267" s="600"/>
      <c r="M267" s="600"/>
      <c r="N267" s="600"/>
      <c r="O267" s="600"/>
      <c r="P267" s="600"/>
      <c r="Q267" s="600"/>
      <c r="R267" s="600"/>
      <c r="S267" s="600"/>
    </row>
    <row r="268" spans="9:19" x14ac:dyDescent="0.25">
      <c r="I268" s="600"/>
      <c r="J268" s="600"/>
      <c r="K268" s="600"/>
      <c r="L268" s="600"/>
      <c r="M268" s="600"/>
      <c r="N268" s="600"/>
      <c r="O268" s="600"/>
      <c r="P268" s="600"/>
      <c r="Q268" s="600"/>
      <c r="R268" s="600"/>
      <c r="S268" s="600"/>
    </row>
    <row r="269" spans="9:19" x14ac:dyDescent="0.25">
      <c r="I269" s="600"/>
      <c r="J269" s="600"/>
      <c r="K269" s="600"/>
      <c r="L269" s="600"/>
      <c r="M269" s="600"/>
      <c r="N269" s="600"/>
      <c r="O269" s="600"/>
      <c r="P269" s="600"/>
      <c r="Q269" s="600"/>
      <c r="R269" s="600"/>
      <c r="S269" s="600"/>
    </row>
    <row r="270" spans="9:19" x14ac:dyDescent="0.25">
      <c r="I270" s="600"/>
      <c r="J270" s="600"/>
      <c r="K270" s="600"/>
      <c r="L270" s="600"/>
      <c r="M270" s="600"/>
      <c r="N270" s="600"/>
      <c r="O270" s="600"/>
      <c r="P270" s="600"/>
      <c r="Q270" s="600"/>
      <c r="R270" s="600"/>
      <c r="S270" s="600"/>
    </row>
    <row r="271" spans="9:19" x14ac:dyDescent="0.25">
      <c r="I271" s="600"/>
      <c r="J271" s="600"/>
      <c r="K271" s="600"/>
      <c r="L271" s="600"/>
      <c r="M271" s="600"/>
      <c r="N271" s="600"/>
      <c r="O271" s="600"/>
      <c r="P271" s="600"/>
      <c r="Q271" s="600"/>
      <c r="R271" s="600"/>
      <c r="S271" s="600"/>
    </row>
    <row r="272" spans="9:19" x14ac:dyDescent="0.25">
      <c r="I272" s="600"/>
      <c r="J272" s="600"/>
      <c r="K272" s="600"/>
      <c r="L272" s="600"/>
      <c r="M272" s="600"/>
      <c r="N272" s="600"/>
      <c r="O272" s="600"/>
      <c r="P272" s="600"/>
      <c r="Q272" s="600"/>
      <c r="R272" s="600"/>
      <c r="S272" s="600"/>
    </row>
    <row r="273" spans="9:19" x14ac:dyDescent="0.25">
      <c r="I273" s="600"/>
      <c r="J273" s="600"/>
      <c r="K273" s="600"/>
      <c r="L273" s="600"/>
      <c r="M273" s="600"/>
      <c r="N273" s="600"/>
      <c r="O273" s="600"/>
      <c r="P273" s="600"/>
      <c r="Q273" s="600"/>
      <c r="R273" s="600"/>
      <c r="S273" s="600"/>
    </row>
    <row r="274" spans="9:19" x14ac:dyDescent="0.25">
      <c r="I274" s="600"/>
      <c r="J274" s="600"/>
      <c r="K274" s="600"/>
      <c r="L274" s="600"/>
      <c r="M274" s="600"/>
      <c r="N274" s="600"/>
      <c r="O274" s="600"/>
      <c r="P274" s="600"/>
      <c r="Q274" s="600"/>
      <c r="R274" s="600"/>
      <c r="S274" s="600"/>
    </row>
    <row r="275" spans="9:19" x14ac:dyDescent="0.25">
      <c r="I275" s="600"/>
      <c r="J275" s="600"/>
      <c r="K275" s="600"/>
      <c r="L275" s="600"/>
      <c r="M275" s="600"/>
      <c r="N275" s="600"/>
      <c r="O275" s="600"/>
      <c r="P275" s="600"/>
      <c r="Q275" s="600"/>
      <c r="R275" s="600"/>
      <c r="S275" s="600"/>
    </row>
    <row r="276" spans="9:19" x14ac:dyDescent="0.25">
      <c r="I276" s="600"/>
      <c r="J276" s="600"/>
      <c r="K276" s="600"/>
      <c r="L276" s="600"/>
      <c r="M276" s="600"/>
      <c r="N276" s="600"/>
      <c r="O276" s="600"/>
      <c r="P276" s="600"/>
      <c r="Q276" s="600"/>
      <c r="R276" s="600"/>
      <c r="S276" s="600"/>
    </row>
    <row r="277" spans="9:19" x14ac:dyDescent="0.25">
      <c r="I277" s="600"/>
      <c r="J277" s="600"/>
      <c r="K277" s="600"/>
      <c r="L277" s="600"/>
      <c r="M277" s="600"/>
      <c r="N277" s="600"/>
      <c r="O277" s="600"/>
      <c r="P277" s="600"/>
      <c r="Q277" s="600"/>
      <c r="R277" s="600"/>
      <c r="S277" s="600"/>
    </row>
    <row r="278" spans="9:19" x14ac:dyDescent="0.25">
      <c r="I278" s="600"/>
      <c r="J278" s="600"/>
      <c r="K278" s="600"/>
      <c r="L278" s="600"/>
      <c r="M278" s="600"/>
      <c r="N278" s="600"/>
      <c r="O278" s="600"/>
      <c r="P278" s="600"/>
      <c r="Q278" s="600"/>
      <c r="R278" s="600"/>
      <c r="S278" s="600"/>
    </row>
    <row r="279" spans="9:19" x14ac:dyDescent="0.25">
      <c r="I279" s="600"/>
      <c r="J279" s="600"/>
      <c r="K279" s="600"/>
      <c r="L279" s="600"/>
      <c r="M279" s="600"/>
      <c r="N279" s="600"/>
      <c r="O279" s="600"/>
      <c r="P279" s="600"/>
      <c r="Q279" s="600"/>
      <c r="R279" s="600"/>
      <c r="S279" s="600"/>
    </row>
    <row r="280" spans="9:19" x14ac:dyDescent="0.25">
      <c r="I280" s="600"/>
      <c r="J280" s="600"/>
      <c r="K280" s="600"/>
      <c r="L280" s="600"/>
      <c r="M280" s="600"/>
      <c r="N280" s="600"/>
      <c r="O280" s="600"/>
      <c r="P280" s="600"/>
      <c r="Q280" s="600"/>
      <c r="R280" s="600"/>
      <c r="S280" s="600"/>
    </row>
    <row r="281" spans="9:19" x14ac:dyDescent="0.25">
      <c r="I281" s="600"/>
      <c r="J281" s="600"/>
      <c r="K281" s="600"/>
      <c r="L281" s="600"/>
      <c r="M281" s="600"/>
      <c r="N281" s="600"/>
      <c r="O281" s="600"/>
      <c r="P281" s="600"/>
      <c r="Q281" s="600"/>
      <c r="R281" s="600"/>
      <c r="S281" s="600"/>
    </row>
    <row r="282" spans="9:19" x14ac:dyDescent="0.25">
      <c r="I282" s="600"/>
      <c r="J282" s="600"/>
      <c r="K282" s="600"/>
      <c r="L282" s="600"/>
      <c r="M282" s="600"/>
      <c r="N282" s="600"/>
      <c r="O282" s="600"/>
      <c r="P282" s="600"/>
      <c r="Q282" s="600"/>
      <c r="R282" s="600"/>
      <c r="S282" s="600"/>
    </row>
    <row r="283" spans="9:19" x14ac:dyDescent="0.25">
      <c r="I283" s="600"/>
      <c r="J283" s="600"/>
      <c r="K283" s="600"/>
      <c r="L283" s="600"/>
      <c r="M283" s="600"/>
      <c r="N283" s="600"/>
      <c r="O283" s="600"/>
      <c r="P283" s="600"/>
      <c r="Q283" s="600"/>
      <c r="R283" s="600"/>
      <c r="S283" s="600"/>
    </row>
    <row r="284" spans="9:19" x14ac:dyDescent="0.25">
      <c r="I284" s="600"/>
      <c r="J284" s="600"/>
      <c r="K284" s="600"/>
      <c r="L284" s="600"/>
      <c r="M284" s="600"/>
      <c r="N284" s="600"/>
      <c r="O284" s="600"/>
      <c r="P284" s="600"/>
      <c r="Q284" s="600"/>
      <c r="R284" s="600"/>
      <c r="S284" s="600"/>
    </row>
    <row r="285" spans="9:19" x14ac:dyDescent="0.25">
      <c r="I285" s="600"/>
      <c r="J285" s="600"/>
      <c r="K285" s="600"/>
      <c r="L285" s="600"/>
      <c r="M285" s="600"/>
      <c r="N285" s="600"/>
      <c r="O285" s="600"/>
      <c r="P285" s="600"/>
      <c r="Q285" s="600"/>
      <c r="R285" s="600"/>
      <c r="S285" s="600"/>
    </row>
    <row r="286" spans="9:19" x14ac:dyDescent="0.25">
      <c r="I286" s="600"/>
      <c r="J286" s="600"/>
      <c r="K286" s="600"/>
      <c r="L286" s="600"/>
      <c r="M286" s="600"/>
      <c r="N286" s="600"/>
      <c r="O286" s="600"/>
      <c r="P286" s="600"/>
      <c r="Q286" s="600"/>
      <c r="R286" s="600"/>
      <c r="S286" s="600"/>
    </row>
    <row r="287" spans="9:19" x14ac:dyDescent="0.25">
      <c r="I287" s="600"/>
      <c r="J287" s="600"/>
      <c r="K287" s="600"/>
      <c r="L287" s="600"/>
      <c r="M287" s="600"/>
      <c r="N287" s="600"/>
      <c r="O287" s="600"/>
      <c r="P287" s="600"/>
      <c r="Q287" s="600"/>
      <c r="R287" s="600"/>
      <c r="S287" s="600"/>
    </row>
    <row r="288" spans="9:19" x14ac:dyDescent="0.25">
      <c r="I288" s="600"/>
      <c r="J288" s="600"/>
      <c r="K288" s="600"/>
      <c r="L288" s="600"/>
      <c r="M288" s="600"/>
      <c r="N288" s="600"/>
      <c r="O288" s="600"/>
      <c r="P288" s="600"/>
      <c r="Q288" s="600"/>
      <c r="R288" s="600"/>
      <c r="S288" s="600"/>
    </row>
    <row r="289" spans="9:19" x14ac:dyDescent="0.25">
      <c r="I289" s="600"/>
      <c r="J289" s="600"/>
      <c r="K289" s="600"/>
      <c r="L289" s="600"/>
      <c r="M289" s="600"/>
      <c r="N289" s="600"/>
      <c r="O289" s="600"/>
      <c r="P289" s="600"/>
      <c r="Q289" s="600"/>
      <c r="R289" s="600"/>
      <c r="S289" s="600"/>
    </row>
    <row r="290" spans="9:19" x14ac:dyDescent="0.25">
      <c r="I290" s="600"/>
      <c r="J290" s="600"/>
      <c r="K290" s="600"/>
      <c r="L290" s="600"/>
      <c r="M290" s="600"/>
      <c r="N290" s="600"/>
      <c r="O290" s="600"/>
      <c r="P290" s="600"/>
      <c r="Q290" s="600"/>
      <c r="R290" s="600"/>
      <c r="S290" s="600"/>
    </row>
    <row r="291" spans="9:19" x14ac:dyDescent="0.25">
      <c r="I291" s="600"/>
      <c r="J291" s="600"/>
      <c r="K291" s="600"/>
      <c r="L291" s="600"/>
      <c r="M291" s="600"/>
      <c r="N291" s="600"/>
      <c r="O291" s="600"/>
      <c r="P291" s="600"/>
      <c r="Q291" s="600"/>
      <c r="R291" s="600"/>
      <c r="S291" s="600"/>
    </row>
    <row r="292" spans="9:19" x14ac:dyDescent="0.25">
      <c r="I292" s="600"/>
      <c r="J292" s="600"/>
      <c r="K292" s="600"/>
      <c r="L292" s="600"/>
      <c r="M292" s="600"/>
      <c r="N292" s="600"/>
      <c r="O292" s="600"/>
      <c r="P292" s="600"/>
      <c r="Q292" s="600"/>
      <c r="R292" s="600"/>
      <c r="S292" s="600"/>
    </row>
    <row r="293" spans="9:19" x14ac:dyDescent="0.25">
      <c r="I293" s="600"/>
      <c r="J293" s="600"/>
      <c r="K293" s="600"/>
      <c r="L293" s="600"/>
      <c r="M293" s="600"/>
      <c r="N293" s="600"/>
      <c r="O293" s="600"/>
      <c r="P293" s="600"/>
      <c r="Q293" s="600"/>
      <c r="R293" s="600"/>
      <c r="S293" s="600"/>
    </row>
    <row r="294" spans="9:19" x14ac:dyDescent="0.25">
      <c r="I294" s="600"/>
      <c r="J294" s="600"/>
      <c r="K294" s="600"/>
      <c r="L294" s="600"/>
      <c r="M294" s="600"/>
      <c r="N294" s="600"/>
      <c r="O294" s="600"/>
      <c r="P294" s="600"/>
      <c r="Q294" s="600"/>
      <c r="R294" s="600"/>
      <c r="S294" s="600"/>
    </row>
    <row r="295" spans="9:19" x14ac:dyDescent="0.25">
      <c r="I295" s="600"/>
      <c r="J295" s="600"/>
      <c r="K295" s="600"/>
      <c r="L295" s="600"/>
      <c r="M295" s="600"/>
      <c r="N295" s="600"/>
      <c r="O295" s="600"/>
      <c r="P295" s="600"/>
      <c r="Q295" s="600"/>
      <c r="R295" s="600"/>
      <c r="S295" s="600"/>
    </row>
    <row r="296" spans="9:19" x14ac:dyDescent="0.25">
      <c r="I296" s="600"/>
      <c r="J296" s="600"/>
      <c r="K296" s="600"/>
      <c r="L296" s="600"/>
      <c r="M296" s="600"/>
      <c r="N296" s="600"/>
      <c r="O296" s="600"/>
      <c r="P296" s="600"/>
      <c r="Q296" s="600"/>
      <c r="R296" s="600"/>
      <c r="S296" s="600"/>
    </row>
    <row r="297" spans="9:19" x14ac:dyDescent="0.25">
      <c r="I297" s="600"/>
      <c r="J297" s="600"/>
      <c r="K297" s="600"/>
      <c r="L297" s="600"/>
      <c r="M297" s="600"/>
      <c r="N297" s="600"/>
      <c r="O297" s="600"/>
      <c r="P297" s="600"/>
      <c r="Q297" s="600"/>
      <c r="R297" s="600"/>
      <c r="S297" s="600"/>
    </row>
    <row r="298" spans="9:19" x14ac:dyDescent="0.25">
      <c r="I298" s="600"/>
      <c r="J298" s="600"/>
      <c r="K298" s="600"/>
      <c r="L298" s="600"/>
      <c r="M298" s="600"/>
      <c r="N298" s="600"/>
      <c r="O298" s="600"/>
      <c r="P298" s="600"/>
      <c r="Q298" s="600"/>
      <c r="R298" s="600"/>
      <c r="S298" s="600"/>
    </row>
    <row r="299" spans="9:19" x14ac:dyDescent="0.25">
      <c r="I299" s="600"/>
      <c r="J299" s="600"/>
      <c r="K299" s="600"/>
      <c r="L299" s="600"/>
      <c r="M299" s="600"/>
      <c r="N299" s="600"/>
      <c r="O299" s="600"/>
      <c r="P299" s="600"/>
      <c r="Q299" s="600"/>
      <c r="R299" s="600"/>
      <c r="S299" s="600"/>
    </row>
    <row r="300" spans="9:19" x14ac:dyDescent="0.25">
      <c r="I300" s="600"/>
      <c r="J300" s="600"/>
      <c r="K300" s="600"/>
      <c r="L300" s="600"/>
      <c r="M300" s="600"/>
      <c r="N300" s="600"/>
      <c r="O300" s="600"/>
      <c r="P300" s="600"/>
      <c r="Q300" s="600"/>
      <c r="R300" s="600"/>
      <c r="S300" s="600"/>
    </row>
    <row r="301" spans="9:19" x14ac:dyDescent="0.25">
      <c r="I301" s="600"/>
      <c r="J301" s="600"/>
      <c r="K301" s="600"/>
      <c r="L301" s="600"/>
      <c r="M301" s="600"/>
      <c r="N301" s="600"/>
      <c r="O301" s="600"/>
      <c r="P301" s="600"/>
      <c r="Q301" s="600"/>
      <c r="R301" s="600"/>
      <c r="S301" s="600"/>
    </row>
    <row r="302" spans="9:19" x14ac:dyDescent="0.25">
      <c r="I302" s="600"/>
      <c r="J302" s="600"/>
      <c r="K302" s="600"/>
      <c r="L302" s="600"/>
      <c r="M302" s="600"/>
      <c r="N302" s="600"/>
      <c r="O302" s="600"/>
      <c r="P302" s="600"/>
      <c r="Q302" s="600"/>
      <c r="R302" s="600"/>
      <c r="S302" s="600"/>
    </row>
    <row r="303" spans="9:19" x14ac:dyDescent="0.25">
      <c r="I303" s="600"/>
      <c r="J303" s="600"/>
      <c r="K303" s="600"/>
      <c r="L303" s="600"/>
      <c r="M303" s="600"/>
      <c r="N303" s="600"/>
      <c r="O303" s="600"/>
      <c r="P303" s="600"/>
      <c r="Q303" s="600"/>
      <c r="R303" s="600"/>
      <c r="S303" s="600"/>
    </row>
    <row r="304" spans="9:19" x14ac:dyDescent="0.25">
      <c r="I304" s="600"/>
      <c r="J304" s="600"/>
      <c r="K304" s="600"/>
      <c r="L304" s="600"/>
      <c r="M304" s="600"/>
      <c r="N304" s="600"/>
      <c r="O304" s="600"/>
      <c r="P304" s="600"/>
      <c r="Q304" s="600"/>
      <c r="R304" s="600"/>
      <c r="S304" s="600"/>
    </row>
    <row r="305" spans="9:19" x14ac:dyDescent="0.25">
      <c r="I305" s="600"/>
      <c r="J305" s="600"/>
      <c r="K305" s="600"/>
      <c r="L305" s="600"/>
      <c r="M305" s="600"/>
      <c r="N305" s="600"/>
      <c r="O305" s="600"/>
      <c r="P305" s="600"/>
      <c r="Q305" s="600"/>
      <c r="R305" s="600"/>
      <c r="S305" s="600"/>
    </row>
    <row r="306" spans="9:19" x14ac:dyDescent="0.25">
      <c r="I306" s="600"/>
      <c r="J306" s="600"/>
      <c r="K306" s="600"/>
      <c r="L306" s="600"/>
      <c r="M306" s="600"/>
      <c r="N306" s="600"/>
      <c r="O306" s="600"/>
      <c r="P306" s="600"/>
      <c r="Q306" s="600"/>
      <c r="R306" s="600"/>
      <c r="S306" s="600"/>
    </row>
    <row r="307" spans="9:19" x14ac:dyDescent="0.25">
      <c r="I307" s="600"/>
      <c r="J307" s="600"/>
      <c r="K307" s="600"/>
      <c r="L307" s="600"/>
      <c r="M307" s="600"/>
      <c r="N307" s="600"/>
      <c r="O307" s="600"/>
      <c r="P307" s="600"/>
      <c r="Q307" s="600"/>
      <c r="R307" s="600"/>
      <c r="S307" s="600"/>
    </row>
    <row r="308" spans="9:19" x14ac:dyDescent="0.25">
      <c r="I308" s="600"/>
      <c r="J308" s="600"/>
      <c r="K308" s="600"/>
      <c r="L308" s="600"/>
      <c r="M308" s="600"/>
      <c r="N308" s="600"/>
      <c r="O308" s="600"/>
      <c r="P308" s="600"/>
      <c r="Q308" s="600"/>
      <c r="R308" s="600"/>
      <c r="S308" s="600"/>
    </row>
    <row r="309" spans="9:19" x14ac:dyDescent="0.25">
      <c r="I309" s="600"/>
      <c r="J309" s="600"/>
      <c r="K309" s="600"/>
      <c r="L309" s="600"/>
      <c r="M309" s="600"/>
      <c r="N309" s="600"/>
      <c r="O309" s="600"/>
      <c r="P309" s="600"/>
      <c r="Q309" s="600"/>
      <c r="R309" s="600"/>
      <c r="S309" s="600"/>
    </row>
    <row r="310" spans="9:19" x14ac:dyDescent="0.25">
      <c r="I310" s="600"/>
      <c r="J310" s="600"/>
      <c r="K310" s="600"/>
      <c r="L310" s="600"/>
      <c r="M310" s="600"/>
      <c r="N310" s="600"/>
      <c r="O310" s="600"/>
      <c r="P310" s="600"/>
      <c r="Q310" s="600"/>
      <c r="R310" s="600"/>
      <c r="S310" s="600"/>
    </row>
    <row r="311" spans="9:19" x14ac:dyDescent="0.25">
      <c r="I311" s="600"/>
      <c r="J311" s="600"/>
      <c r="K311" s="600"/>
      <c r="L311" s="600"/>
      <c r="M311" s="600"/>
      <c r="N311" s="600"/>
      <c r="O311" s="600"/>
      <c r="P311" s="600"/>
      <c r="Q311" s="600"/>
      <c r="R311" s="600"/>
      <c r="S311" s="600"/>
    </row>
    <row r="312" spans="9:19" x14ac:dyDescent="0.25">
      <c r="I312" s="600"/>
      <c r="J312" s="600"/>
      <c r="K312" s="600"/>
      <c r="L312" s="600"/>
      <c r="M312" s="600"/>
      <c r="N312" s="600"/>
      <c r="O312" s="600"/>
      <c r="P312" s="600"/>
      <c r="Q312" s="600"/>
      <c r="R312" s="600"/>
      <c r="S312" s="600"/>
    </row>
    <row r="313" spans="9:19" x14ac:dyDescent="0.25">
      <c r="I313" s="600"/>
      <c r="J313" s="600"/>
      <c r="K313" s="600"/>
      <c r="L313" s="600"/>
      <c r="M313" s="600"/>
      <c r="N313" s="600"/>
      <c r="O313" s="600"/>
      <c r="P313" s="600"/>
      <c r="Q313" s="600"/>
      <c r="R313" s="600"/>
      <c r="S313" s="600"/>
    </row>
    <row r="314" spans="9:19" x14ac:dyDescent="0.25">
      <c r="I314" s="600"/>
      <c r="J314" s="600"/>
      <c r="K314" s="600"/>
      <c r="L314" s="600"/>
      <c r="M314" s="600"/>
      <c r="N314" s="600"/>
      <c r="O314" s="600"/>
      <c r="P314" s="600"/>
      <c r="Q314" s="600"/>
      <c r="R314" s="600"/>
      <c r="S314" s="600"/>
    </row>
    <row r="315" spans="9:19" x14ac:dyDescent="0.25">
      <c r="I315" s="600"/>
      <c r="J315" s="600"/>
      <c r="K315" s="600"/>
      <c r="L315" s="600"/>
      <c r="M315" s="600"/>
      <c r="N315" s="600"/>
      <c r="O315" s="600"/>
      <c r="P315" s="600"/>
      <c r="Q315" s="600"/>
      <c r="R315" s="600"/>
      <c r="S315" s="600"/>
    </row>
    <row r="316" spans="9:19" x14ac:dyDescent="0.25">
      <c r="I316" s="600"/>
      <c r="J316" s="600"/>
      <c r="K316" s="600"/>
      <c r="L316" s="600"/>
      <c r="M316" s="600"/>
      <c r="N316" s="600"/>
      <c r="O316" s="600"/>
      <c r="P316" s="600"/>
      <c r="Q316" s="600"/>
      <c r="R316" s="600"/>
      <c r="S316" s="600"/>
    </row>
    <row r="317" spans="9:19" x14ac:dyDescent="0.25">
      <c r="I317" s="600"/>
      <c r="J317" s="600"/>
      <c r="K317" s="600"/>
      <c r="L317" s="600"/>
      <c r="M317" s="600"/>
      <c r="N317" s="600"/>
      <c r="O317" s="600"/>
      <c r="P317" s="600"/>
      <c r="Q317" s="600"/>
      <c r="R317" s="600"/>
      <c r="S317" s="600"/>
    </row>
    <row r="318" spans="9:19" x14ac:dyDescent="0.25">
      <c r="I318" s="600"/>
      <c r="J318" s="600"/>
      <c r="K318" s="600"/>
      <c r="L318" s="600"/>
      <c r="M318" s="600"/>
      <c r="N318" s="600"/>
      <c r="O318" s="600"/>
      <c r="P318" s="600"/>
      <c r="Q318" s="600"/>
      <c r="R318" s="600"/>
      <c r="S318" s="600"/>
    </row>
    <row r="319" spans="9:19" x14ac:dyDescent="0.25">
      <c r="I319" s="600"/>
      <c r="J319" s="600"/>
      <c r="K319" s="600"/>
      <c r="L319" s="600"/>
      <c r="M319" s="600"/>
      <c r="N319" s="600"/>
      <c r="O319" s="600"/>
      <c r="P319" s="600"/>
      <c r="Q319" s="600"/>
      <c r="R319" s="600"/>
      <c r="S319" s="600"/>
    </row>
    <row r="320" spans="9:19" x14ac:dyDescent="0.25">
      <c r="I320" s="600"/>
      <c r="J320" s="600"/>
      <c r="K320" s="600"/>
      <c r="L320" s="600"/>
      <c r="M320" s="600"/>
      <c r="N320" s="600"/>
      <c r="O320" s="600"/>
      <c r="P320" s="600"/>
      <c r="Q320" s="600"/>
      <c r="R320" s="600"/>
      <c r="S320" s="600"/>
    </row>
    <row r="321" spans="9:19" x14ac:dyDescent="0.25">
      <c r="I321" s="600"/>
      <c r="J321" s="600"/>
      <c r="K321" s="600"/>
      <c r="L321" s="600"/>
      <c r="M321" s="600"/>
      <c r="N321" s="600"/>
      <c r="O321" s="600"/>
      <c r="P321" s="600"/>
      <c r="Q321" s="600"/>
      <c r="R321" s="600"/>
      <c r="S321" s="600"/>
    </row>
    <row r="322" spans="9:19" x14ac:dyDescent="0.25">
      <c r="I322" s="600"/>
      <c r="J322" s="600"/>
      <c r="K322" s="600"/>
      <c r="L322" s="600"/>
      <c r="M322" s="600"/>
      <c r="N322" s="600"/>
      <c r="O322" s="600"/>
      <c r="P322" s="600"/>
      <c r="Q322" s="600"/>
      <c r="R322" s="600"/>
      <c r="S322" s="600"/>
    </row>
    <row r="323" spans="9:19" x14ac:dyDescent="0.25">
      <c r="I323" s="600"/>
      <c r="J323" s="600"/>
      <c r="K323" s="600"/>
      <c r="L323" s="600"/>
      <c r="M323" s="600"/>
      <c r="N323" s="600"/>
      <c r="O323" s="600"/>
      <c r="P323" s="600"/>
      <c r="Q323" s="600"/>
      <c r="R323" s="600"/>
      <c r="S323" s="600"/>
    </row>
    <row r="324" spans="9:19" x14ac:dyDescent="0.25">
      <c r="I324" s="600"/>
      <c r="J324" s="600"/>
      <c r="K324" s="600"/>
      <c r="L324" s="600"/>
      <c r="M324" s="600"/>
      <c r="N324" s="600"/>
      <c r="O324" s="600"/>
      <c r="P324" s="600"/>
      <c r="Q324" s="600"/>
      <c r="R324" s="600"/>
      <c r="S324" s="600"/>
    </row>
    <row r="325" spans="9:19" x14ac:dyDescent="0.25">
      <c r="I325" s="600"/>
      <c r="J325" s="600"/>
      <c r="K325" s="600"/>
      <c r="L325" s="600"/>
      <c r="M325" s="600"/>
      <c r="N325" s="600"/>
      <c r="O325" s="600"/>
      <c r="P325" s="600"/>
      <c r="Q325" s="600"/>
      <c r="R325" s="600"/>
      <c r="S325" s="600"/>
    </row>
    <row r="326" spans="9:19" x14ac:dyDescent="0.25">
      <c r="I326" s="600"/>
      <c r="J326" s="600"/>
      <c r="K326" s="600"/>
      <c r="L326" s="600"/>
      <c r="M326" s="600"/>
      <c r="N326" s="600"/>
      <c r="O326" s="600"/>
      <c r="P326" s="600"/>
      <c r="Q326" s="600"/>
      <c r="R326" s="600"/>
      <c r="S326" s="600"/>
    </row>
    <row r="327" spans="9:19" x14ac:dyDescent="0.25">
      <c r="I327" s="600"/>
      <c r="J327" s="600"/>
      <c r="K327" s="600"/>
      <c r="L327" s="600"/>
      <c r="M327" s="600"/>
      <c r="N327" s="600"/>
      <c r="O327" s="600"/>
      <c r="P327" s="600"/>
      <c r="Q327" s="600"/>
      <c r="R327" s="600"/>
      <c r="S327" s="600"/>
    </row>
    <row r="328" spans="9:19" x14ac:dyDescent="0.25">
      <c r="I328" s="600"/>
      <c r="J328" s="600"/>
      <c r="K328" s="600"/>
      <c r="L328" s="600"/>
      <c r="M328" s="600"/>
      <c r="N328" s="600"/>
      <c r="O328" s="600"/>
      <c r="P328" s="600"/>
      <c r="Q328" s="600"/>
      <c r="R328" s="600"/>
      <c r="S328" s="600"/>
    </row>
    <row r="329" spans="9:19" x14ac:dyDescent="0.25">
      <c r="I329" s="600"/>
      <c r="J329" s="600"/>
      <c r="K329" s="600"/>
      <c r="L329" s="600"/>
      <c r="M329" s="600"/>
      <c r="N329" s="600"/>
      <c r="O329" s="600"/>
      <c r="P329" s="600"/>
      <c r="Q329" s="600"/>
      <c r="R329" s="600"/>
      <c r="S329" s="600"/>
    </row>
    <row r="330" spans="9:19" x14ac:dyDescent="0.25">
      <c r="I330" s="600"/>
      <c r="J330" s="600"/>
      <c r="K330" s="600"/>
      <c r="L330" s="600"/>
      <c r="M330" s="600"/>
      <c r="N330" s="600"/>
      <c r="O330" s="600"/>
      <c r="P330" s="600"/>
      <c r="Q330" s="600"/>
      <c r="R330" s="600"/>
      <c r="S330" s="600"/>
    </row>
    <row r="331" spans="9:19" x14ac:dyDescent="0.25">
      <c r="I331" s="600"/>
      <c r="J331" s="600"/>
      <c r="K331" s="600"/>
      <c r="L331" s="600"/>
      <c r="M331" s="600"/>
      <c r="N331" s="600"/>
      <c r="O331" s="600"/>
      <c r="P331" s="600"/>
      <c r="Q331" s="600"/>
      <c r="R331" s="600"/>
      <c r="S331" s="600"/>
    </row>
    <row r="332" spans="9:19" x14ac:dyDescent="0.25">
      <c r="I332" s="600"/>
      <c r="J332" s="600"/>
      <c r="K332" s="600"/>
      <c r="L332" s="600"/>
      <c r="M332" s="600"/>
      <c r="N332" s="600"/>
      <c r="O332" s="600"/>
      <c r="P332" s="600"/>
      <c r="Q332" s="600"/>
      <c r="R332" s="600"/>
      <c r="S332" s="600"/>
    </row>
    <row r="333" spans="9:19" x14ac:dyDescent="0.25">
      <c r="I333" s="600"/>
      <c r="J333" s="600"/>
      <c r="K333" s="600"/>
      <c r="L333" s="600"/>
      <c r="M333" s="600"/>
      <c r="N333" s="600"/>
      <c r="O333" s="600"/>
      <c r="P333" s="600"/>
      <c r="Q333" s="600"/>
      <c r="R333" s="600"/>
      <c r="S333" s="600"/>
    </row>
    <row r="334" spans="9:19" x14ac:dyDescent="0.25">
      <c r="I334" s="600"/>
      <c r="J334" s="600"/>
      <c r="K334" s="600"/>
      <c r="L334" s="600"/>
      <c r="M334" s="600"/>
      <c r="N334" s="600"/>
      <c r="O334" s="600"/>
      <c r="P334" s="600"/>
      <c r="Q334" s="600"/>
      <c r="R334" s="600"/>
      <c r="S334" s="600"/>
    </row>
    <row r="335" spans="9:19" x14ac:dyDescent="0.25">
      <c r="I335" s="600"/>
      <c r="J335" s="600"/>
      <c r="K335" s="600"/>
      <c r="L335" s="600"/>
      <c r="M335" s="600"/>
      <c r="N335" s="600"/>
      <c r="O335" s="600"/>
      <c r="P335" s="600"/>
      <c r="Q335" s="600"/>
      <c r="R335" s="600"/>
      <c r="S335" s="600"/>
    </row>
    <row r="336" spans="9:19" x14ac:dyDescent="0.25">
      <c r="I336" s="600"/>
      <c r="J336" s="600"/>
      <c r="K336" s="600"/>
      <c r="L336" s="600"/>
      <c r="M336" s="600"/>
      <c r="N336" s="600"/>
      <c r="O336" s="600"/>
      <c r="P336" s="600"/>
      <c r="Q336" s="600"/>
      <c r="R336" s="600"/>
      <c r="S336" s="600"/>
    </row>
    <row r="337" spans="9:19" x14ac:dyDescent="0.25">
      <c r="I337" s="600"/>
      <c r="J337" s="600"/>
      <c r="K337" s="600"/>
      <c r="L337" s="600"/>
      <c r="M337" s="600"/>
      <c r="N337" s="600"/>
      <c r="O337" s="600"/>
      <c r="P337" s="600"/>
      <c r="Q337" s="600"/>
      <c r="R337" s="600"/>
      <c r="S337" s="600"/>
    </row>
    <row r="338" spans="9:19" x14ac:dyDescent="0.25">
      <c r="I338" s="600"/>
      <c r="J338" s="600"/>
      <c r="K338" s="600"/>
      <c r="L338" s="600"/>
      <c r="M338" s="600"/>
      <c r="N338" s="600"/>
      <c r="O338" s="600"/>
      <c r="P338" s="600"/>
      <c r="Q338" s="600"/>
      <c r="R338" s="600"/>
      <c r="S338" s="600"/>
    </row>
    <row r="339" spans="9:19" x14ac:dyDescent="0.25">
      <c r="I339" s="600"/>
      <c r="J339" s="600"/>
      <c r="K339" s="600"/>
      <c r="L339" s="600"/>
      <c r="M339" s="600"/>
      <c r="N339" s="600"/>
      <c r="O339" s="600"/>
      <c r="P339" s="600"/>
      <c r="Q339" s="600"/>
      <c r="R339" s="600"/>
      <c r="S339" s="600"/>
    </row>
    <row r="340" spans="9:19" x14ac:dyDescent="0.25">
      <c r="I340" s="600"/>
      <c r="J340" s="600"/>
      <c r="K340" s="600"/>
      <c r="L340" s="600"/>
      <c r="M340" s="600"/>
      <c r="N340" s="600"/>
      <c r="O340" s="600"/>
      <c r="P340" s="600"/>
      <c r="Q340" s="600"/>
      <c r="R340" s="600"/>
      <c r="S340" s="600"/>
    </row>
    <row r="341" spans="9:19" x14ac:dyDescent="0.25">
      <c r="I341" s="600"/>
      <c r="J341" s="600"/>
      <c r="K341" s="600"/>
      <c r="L341" s="600"/>
      <c r="M341" s="600"/>
      <c r="N341" s="600"/>
      <c r="O341" s="600"/>
      <c r="P341" s="600"/>
      <c r="Q341" s="600"/>
      <c r="R341" s="600"/>
      <c r="S341" s="600"/>
    </row>
    <row r="342" spans="9:19" x14ac:dyDescent="0.25">
      <c r="I342" s="600"/>
      <c r="J342" s="600"/>
      <c r="K342" s="600"/>
      <c r="L342" s="600"/>
      <c r="M342" s="600"/>
      <c r="N342" s="600"/>
      <c r="O342" s="600"/>
      <c r="P342" s="600"/>
      <c r="Q342" s="600"/>
      <c r="R342" s="600"/>
      <c r="S342" s="600"/>
    </row>
    <row r="343" spans="9:19" x14ac:dyDescent="0.25">
      <c r="I343" s="600"/>
      <c r="J343" s="600"/>
      <c r="K343" s="600"/>
      <c r="L343" s="600"/>
      <c r="M343" s="600"/>
      <c r="N343" s="600"/>
      <c r="O343" s="600"/>
      <c r="P343" s="600"/>
      <c r="Q343" s="600"/>
      <c r="R343" s="600"/>
      <c r="S343" s="600"/>
    </row>
    <row r="344" spans="9:19" x14ac:dyDescent="0.25">
      <c r="I344" s="600"/>
      <c r="J344" s="600"/>
      <c r="K344" s="600"/>
      <c r="L344" s="600"/>
      <c r="M344" s="600"/>
      <c r="N344" s="600"/>
      <c r="O344" s="600"/>
      <c r="P344" s="600"/>
      <c r="Q344" s="600"/>
      <c r="R344" s="600"/>
      <c r="S344" s="600"/>
    </row>
    <row r="345" spans="9:19" x14ac:dyDescent="0.25">
      <c r="I345" s="600"/>
      <c r="J345" s="600"/>
      <c r="K345" s="600"/>
      <c r="L345" s="600"/>
      <c r="M345" s="600"/>
      <c r="N345" s="600"/>
      <c r="O345" s="600"/>
      <c r="P345" s="600"/>
      <c r="Q345" s="600"/>
      <c r="R345" s="600"/>
      <c r="S345" s="600"/>
    </row>
    <row r="346" spans="9:19" x14ac:dyDescent="0.25">
      <c r="I346" s="600"/>
      <c r="J346" s="600"/>
      <c r="K346" s="600"/>
      <c r="L346" s="600"/>
      <c r="M346" s="600"/>
      <c r="N346" s="600"/>
      <c r="O346" s="600"/>
      <c r="P346" s="600"/>
      <c r="Q346" s="600"/>
      <c r="R346" s="600"/>
      <c r="S346" s="600"/>
    </row>
    <row r="347" spans="9:19" x14ac:dyDescent="0.25">
      <c r="I347" s="600"/>
      <c r="J347" s="600"/>
      <c r="K347" s="600"/>
      <c r="L347" s="600"/>
      <c r="M347" s="600"/>
      <c r="N347" s="600"/>
      <c r="O347" s="600"/>
      <c r="P347" s="600"/>
      <c r="Q347" s="600"/>
      <c r="R347" s="600"/>
      <c r="S347" s="600"/>
    </row>
    <row r="348" spans="9:19" x14ac:dyDescent="0.25">
      <c r="I348" s="600"/>
      <c r="J348" s="600"/>
      <c r="K348" s="600"/>
      <c r="L348" s="600"/>
      <c r="M348" s="600"/>
      <c r="N348" s="600"/>
      <c r="O348" s="600"/>
      <c r="P348" s="600"/>
      <c r="Q348" s="600"/>
      <c r="R348" s="600"/>
      <c r="S348" s="600"/>
    </row>
    <row r="349" spans="9:19" x14ac:dyDescent="0.25">
      <c r="I349" s="600"/>
      <c r="J349" s="600"/>
      <c r="K349" s="600"/>
      <c r="L349" s="600"/>
      <c r="M349" s="600"/>
      <c r="N349" s="600"/>
      <c r="O349" s="600"/>
      <c r="P349" s="600"/>
      <c r="Q349" s="600"/>
      <c r="R349" s="600"/>
      <c r="S349" s="600"/>
    </row>
    <row r="350" spans="9:19" x14ac:dyDescent="0.25">
      <c r="I350" s="600"/>
      <c r="J350" s="600"/>
      <c r="K350" s="600"/>
      <c r="L350" s="600"/>
      <c r="M350" s="600"/>
      <c r="N350" s="600"/>
      <c r="O350" s="600"/>
      <c r="P350" s="600"/>
      <c r="Q350" s="600"/>
      <c r="R350" s="600"/>
      <c r="S350" s="600"/>
    </row>
    <row r="351" spans="9:19" x14ac:dyDescent="0.25">
      <c r="I351" s="600"/>
      <c r="J351" s="600"/>
      <c r="K351" s="600"/>
      <c r="L351" s="600"/>
      <c r="M351" s="600"/>
      <c r="N351" s="600"/>
      <c r="O351" s="600"/>
      <c r="P351" s="600"/>
      <c r="Q351" s="600"/>
      <c r="R351" s="600"/>
      <c r="S351" s="600"/>
    </row>
    <row r="352" spans="9:19" x14ac:dyDescent="0.25">
      <c r="I352" s="600"/>
      <c r="J352" s="600"/>
      <c r="K352" s="600"/>
      <c r="L352" s="600"/>
      <c r="M352" s="600"/>
      <c r="N352" s="600"/>
      <c r="O352" s="600"/>
      <c r="P352" s="600"/>
      <c r="Q352" s="600"/>
      <c r="R352" s="600"/>
      <c r="S352" s="600"/>
    </row>
    <row r="353" spans="9:19" x14ac:dyDescent="0.25">
      <c r="I353" s="600"/>
      <c r="J353" s="600"/>
      <c r="K353" s="600"/>
      <c r="L353" s="600"/>
      <c r="M353" s="600"/>
      <c r="N353" s="600"/>
      <c r="O353" s="600"/>
      <c r="P353" s="600"/>
      <c r="Q353" s="600"/>
      <c r="R353" s="600"/>
      <c r="S353" s="600"/>
    </row>
    <row r="354" spans="9:19" x14ac:dyDescent="0.25">
      <c r="I354" s="600"/>
      <c r="J354" s="600"/>
      <c r="K354" s="600"/>
      <c r="L354" s="600"/>
      <c r="M354" s="600"/>
      <c r="N354" s="600"/>
      <c r="O354" s="600"/>
      <c r="P354" s="600"/>
      <c r="Q354" s="600"/>
      <c r="R354" s="600"/>
      <c r="S354" s="600"/>
    </row>
    <row r="355" spans="9:19" x14ac:dyDescent="0.25">
      <c r="I355" s="600"/>
      <c r="J355" s="600"/>
      <c r="K355" s="600"/>
      <c r="L355" s="600"/>
      <c r="M355" s="600"/>
      <c r="N355" s="600"/>
      <c r="O355" s="600"/>
      <c r="P355" s="600"/>
      <c r="Q355" s="600"/>
      <c r="R355" s="600"/>
      <c r="S355" s="600"/>
    </row>
    <row r="356" spans="9:19" x14ac:dyDescent="0.25">
      <c r="I356" s="600"/>
      <c r="J356" s="600"/>
      <c r="K356" s="600"/>
      <c r="L356" s="600"/>
      <c r="M356" s="600"/>
      <c r="N356" s="600"/>
      <c r="O356" s="600"/>
      <c r="P356" s="600"/>
      <c r="Q356" s="600"/>
      <c r="R356" s="600"/>
      <c r="S356" s="600"/>
    </row>
    <row r="357" spans="9:19" x14ac:dyDescent="0.25">
      <c r="I357" s="600"/>
      <c r="J357" s="600"/>
      <c r="K357" s="600"/>
      <c r="L357" s="600"/>
      <c r="M357" s="600"/>
      <c r="N357" s="600"/>
      <c r="O357" s="600"/>
      <c r="P357" s="600"/>
      <c r="Q357" s="600"/>
      <c r="R357" s="600"/>
      <c r="S357" s="600"/>
    </row>
    <row r="358" spans="9:19" x14ac:dyDescent="0.25">
      <c r="I358" s="600"/>
      <c r="J358" s="600"/>
      <c r="K358" s="600"/>
      <c r="L358" s="600"/>
      <c r="M358" s="600"/>
      <c r="N358" s="600"/>
      <c r="O358" s="600"/>
      <c r="P358" s="600"/>
      <c r="Q358" s="600"/>
      <c r="R358" s="600"/>
      <c r="S358" s="600"/>
    </row>
    <row r="359" spans="9:19" x14ac:dyDescent="0.25">
      <c r="I359" s="600"/>
      <c r="J359" s="600"/>
      <c r="K359" s="600"/>
      <c r="L359" s="600"/>
      <c r="M359" s="600"/>
      <c r="N359" s="600"/>
      <c r="O359" s="600"/>
      <c r="P359" s="600"/>
      <c r="Q359" s="600"/>
      <c r="R359" s="600"/>
      <c r="S359" s="600"/>
    </row>
    <row r="360" spans="9:19" x14ac:dyDescent="0.25">
      <c r="I360" s="600"/>
      <c r="J360" s="600"/>
      <c r="K360" s="600"/>
      <c r="L360" s="600"/>
      <c r="M360" s="600"/>
      <c r="N360" s="600"/>
      <c r="O360" s="600"/>
      <c r="P360" s="600"/>
      <c r="Q360" s="600"/>
      <c r="R360" s="600"/>
      <c r="S360" s="600"/>
    </row>
    <row r="361" spans="9:19" x14ac:dyDescent="0.25">
      <c r="I361" s="600"/>
      <c r="J361" s="600"/>
      <c r="K361" s="600"/>
      <c r="L361" s="600"/>
      <c r="M361" s="600"/>
      <c r="N361" s="600"/>
      <c r="O361" s="600"/>
      <c r="P361" s="600"/>
      <c r="Q361" s="600"/>
      <c r="R361" s="600"/>
      <c r="S361" s="600"/>
    </row>
    <row r="362" spans="9:19" x14ac:dyDescent="0.25">
      <c r="I362" s="600"/>
      <c r="J362" s="600"/>
      <c r="K362" s="600"/>
      <c r="L362" s="600"/>
      <c r="M362" s="600"/>
      <c r="N362" s="600"/>
      <c r="O362" s="600"/>
      <c r="P362" s="600"/>
      <c r="Q362" s="600"/>
      <c r="R362" s="600"/>
      <c r="S362" s="600"/>
    </row>
    <row r="363" spans="9:19" x14ac:dyDescent="0.25">
      <c r="I363" s="600"/>
      <c r="J363" s="600"/>
      <c r="K363" s="600"/>
      <c r="L363" s="600"/>
      <c r="M363" s="600"/>
      <c r="N363" s="600"/>
      <c r="O363" s="600"/>
      <c r="P363" s="600"/>
      <c r="Q363" s="600"/>
      <c r="R363" s="600"/>
      <c r="S363" s="600"/>
    </row>
    <row r="364" spans="9:19" x14ac:dyDescent="0.25">
      <c r="I364" s="600"/>
      <c r="J364" s="600"/>
      <c r="K364" s="600"/>
      <c r="L364" s="600"/>
      <c r="M364" s="600"/>
      <c r="N364" s="600"/>
      <c r="O364" s="600"/>
      <c r="P364" s="600"/>
      <c r="Q364" s="600"/>
      <c r="R364" s="600"/>
      <c r="S364" s="600"/>
    </row>
    <row r="365" spans="9:19" x14ac:dyDescent="0.25">
      <c r="I365" s="600"/>
      <c r="J365" s="600"/>
      <c r="K365" s="600"/>
      <c r="L365" s="600"/>
      <c r="M365" s="600"/>
      <c r="N365" s="600"/>
      <c r="O365" s="600"/>
      <c r="P365" s="600"/>
      <c r="Q365" s="600"/>
      <c r="R365" s="600"/>
      <c r="S365" s="600"/>
    </row>
    <row r="366" spans="9:19" x14ac:dyDescent="0.25">
      <c r="I366" s="600"/>
      <c r="J366" s="600"/>
      <c r="K366" s="600"/>
      <c r="L366" s="600"/>
      <c r="M366" s="600"/>
      <c r="N366" s="600"/>
      <c r="O366" s="600"/>
      <c r="P366" s="600"/>
      <c r="Q366" s="600"/>
      <c r="R366" s="600"/>
      <c r="S366" s="600"/>
    </row>
    <row r="367" spans="9:19" x14ac:dyDescent="0.25">
      <c r="I367" s="600"/>
      <c r="J367" s="600"/>
      <c r="K367" s="600"/>
      <c r="L367" s="600"/>
      <c r="M367" s="600"/>
      <c r="N367" s="600"/>
      <c r="O367" s="600"/>
      <c r="P367" s="600"/>
      <c r="Q367" s="600"/>
      <c r="R367" s="600"/>
      <c r="S367" s="600"/>
    </row>
    <row r="368" spans="9:19" x14ac:dyDescent="0.25">
      <c r="I368" s="600"/>
      <c r="J368" s="600"/>
      <c r="K368" s="600"/>
      <c r="L368" s="600"/>
      <c r="M368" s="600"/>
      <c r="N368" s="600"/>
      <c r="O368" s="600"/>
      <c r="P368" s="600"/>
      <c r="Q368" s="600"/>
      <c r="R368" s="600"/>
      <c r="S368" s="600"/>
    </row>
    <row r="369" spans="9:19" x14ac:dyDescent="0.25">
      <c r="I369" s="600"/>
      <c r="J369" s="600"/>
      <c r="K369" s="600"/>
      <c r="L369" s="600"/>
      <c r="M369" s="600"/>
      <c r="N369" s="600"/>
      <c r="O369" s="600"/>
      <c r="P369" s="600"/>
      <c r="Q369" s="600"/>
      <c r="R369" s="600"/>
      <c r="S369" s="600"/>
    </row>
    <row r="370" spans="9:19" x14ac:dyDescent="0.25">
      <c r="I370" s="600"/>
      <c r="J370" s="600"/>
      <c r="K370" s="600"/>
      <c r="L370" s="600"/>
      <c r="M370" s="600"/>
      <c r="N370" s="600"/>
      <c r="O370" s="600"/>
      <c r="P370" s="600"/>
      <c r="Q370" s="600"/>
      <c r="R370" s="600"/>
      <c r="S370" s="600"/>
    </row>
    <row r="371" spans="9:19" x14ac:dyDescent="0.25">
      <c r="I371" s="600"/>
      <c r="J371" s="600"/>
      <c r="K371" s="600"/>
      <c r="L371" s="600"/>
      <c r="M371" s="600"/>
      <c r="N371" s="600"/>
      <c r="O371" s="600"/>
      <c r="P371" s="600"/>
      <c r="Q371" s="600"/>
      <c r="R371" s="600"/>
      <c r="S371" s="600"/>
    </row>
    <row r="372" spans="9:19" x14ac:dyDescent="0.25">
      <c r="I372" s="600"/>
      <c r="J372" s="600"/>
      <c r="K372" s="600"/>
      <c r="L372" s="600"/>
      <c r="M372" s="600"/>
      <c r="N372" s="600"/>
      <c r="O372" s="600"/>
      <c r="P372" s="600"/>
      <c r="Q372" s="600"/>
      <c r="R372" s="600"/>
      <c r="S372" s="600"/>
    </row>
    <row r="373" spans="9:19" x14ac:dyDescent="0.25">
      <c r="I373" s="600"/>
      <c r="J373" s="600"/>
      <c r="K373" s="600"/>
      <c r="L373" s="600"/>
      <c r="M373" s="600"/>
      <c r="N373" s="600"/>
      <c r="O373" s="600"/>
      <c r="P373" s="600"/>
      <c r="Q373" s="600"/>
      <c r="R373" s="600"/>
      <c r="S373" s="600"/>
    </row>
    <row r="374" spans="9:19" x14ac:dyDescent="0.25">
      <c r="I374" s="600"/>
      <c r="J374" s="600"/>
      <c r="K374" s="600"/>
      <c r="L374" s="600"/>
      <c r="M374" s="600"/>
      <c r="N374" s="600"/>
      <c r="O374" s="600"/>
      <c r="P374" s="600"/>
      <c r="Q374" s="600"/>
      <c r="R374" s="600"/>
      <c r="S374" s="600"/>
    </row>
    <row r="375" spans="9:19" x14ac:dyDescent="0.25">
      <c r="I375" s="600"/>
      <c r="J375" s="600"/>
      <c r="K375" s="600"/>
      <c r="L375" s="600"/>
      <c r="M375" s="600"/>
      <c r="N375" s="600"/>
      <c r="O375" s="600"/>
      <c r="P375" s="600"/>
      <c r="Q375" s="600"/>
      <c r="R375" s="600"/>
      <c r="S375" s="600"/>
    </row>
    <row r="376" spans="9:19" x14ac:dyDescent="0.25">
      <c r="I376" s="600"/>
      <c r="J376" s="600"/>
      <c r="K376" s="600"/>
      <c r="L376" s="600"/>
      <c r="M376" s="600"/>
      <c r="N376" s="600"/>
      <c r="O376" s="600"/>
      <c r="P376" s="600"/>
      <c r="Q376" s="600"/>
      <c r="R376" s="600"/>
      <c r="S376" s="600"/>
    </row>
    <row r="377" spans="9:19" x14ac:dyDescent="0.25">
      <c r="I377" s="600"/>
      <c r="J377" s="600"/>
      <c r="K377" s="600"/>
      <c r="L377" s="600"/>
      <c r="M377" s="600"/>
      <c r="N377" s="600"/>
      <c r="O377" s="600"/>
      <c r="P377" s="600"/>
      <c r="Q377" s="600"/>
      <c r="R377" s="600"/>
      <c r="S377" s="600"/>
    </row>
    <row r="378" spans="9:19" x14ac:dyDescent="0.25">
      <c r="I378" s="600"/>
      <c r="J378" s="600"/>
      <c r="K378" s="600"/>
      <c r="L378" s="600"/>
      <c r="M378" s="600"/>
      <c r="N378" s="600"/>
      <c r="O378" s="600"/>
      <c r="P378" s="600"/>
      <c r="Q378" s="600"/>
      <c r="R378" s="600"/>
      <c r="S378" s="600"/>
    </row>
    <row r="379" spans="9:19" x14ac:dyDescent="0.25">
      <c r="I379" s="600"/>
      <c r="J379" s="600"/>
      <c r="K379" s="600"/>
      <c r="L379" s="600"/>
      <c r="M379" s="600"/>
      <c r="N379" s="600"/>
      <c r="O379" s="600"/>
      <c r="P379" s="600"/>
      <c r="Q379" s="600"/>
      <c r="R379" s="600"/>
      <c r="S379" s="600"/>
    </row>
    <row r="380" spans="9:19" x14ac:dyDescent="0.25">
      <c r="I380" s="600"/>
      <c r="J380" s="600"/>
      <c r="K380" s="600"/>
      <c r="L380" s="600"/>
      <c r="M380" s="600"/>
      <c r="N380" s="600"/>
      <c r="O380" s="600"/>
      <c r="P380" s="600"/>
      <c r="Q380" s="600"/>
      <c r="R380" s="600"/>
      <c r="S380" s="600"/>
    </row>
    <row r="381" spans="9:19" x14ac:dyDescent="0.25">
      <c r="I381" s="600"/>
      <c r="J381" s="600"/>
      <c r="K381" s="600"/>
      <c r="L381" s="600"/>
      <c r="M381" s="600"/>
      <c r="N381" s="600"/>
      <c r="O381" s="600"/>
      <c r="P381" s="600"/>
      <c r="Q381" s="600"/>
      <c r="R381" s="600"/>
      <c r="S381" s="600"/>
    </row>
    <row r="382" spans="9:19" x14ac:dyDescent="0.25">
      <c r="I382" s="600"/>
      <c r="J382" s="600"/>
      <c r="K382" s="600"/>
      <c r="L382" s="600"/>
      <c r="M382" s="600"/>
      <c r="N382" s="600"/>
      <c r="O382" s="600"/>
      <c r="P382" s="600"/>
      <c r="Q382" s="600"/>
      <c r="R382" s="600"/>
      <c r="S382" s="600"/>
    </row>
    <row r="383" spans="9:19" x14ac:dyDescent="0.25">
      <c r="I383" s="600"/>
      <c r="J383" s="600"/>
      <c r="K383" s="600"/>
      <c r="L383" s="600"/>
      <c r="M383" s="600"/>
      <c r="N383" s="600"/>
      <c r="O383" s="600"/>
      <c r="P383" s="600"/>
      <c r="Q383" s="600"/>
      <c r="R383" s="600"/>
      <c r="S383" s="600"/>
    </row>
    <row r="384" spans="9:19" x14ac:dyDescent="0.25">
      <c r="I384" s="600"/>
      <c r="J384" s="600"/>
      <c r="K384" s="600"/>
      <c r="L384" s="600"/>
      <c r="M384" s="600"/>
      <c r="N384" s="600"/>
      <c r="O384" s="600"/>
      <c r="P384" s="600"/>
      <c r="Q384" s="600"/>
      <c r="R384" s="600"/>
      <c r="S384" s="600"/>
    </row>
    <row r="385" spans="9:19" x14ac:dyDescent="0.25">
      <c r="I385" s="600"/>
      <c r="J385" s="600"/>
      <c r="K385" s="600"/>
      <c r="L385" s="600"/>
      <c r="M385" s="600"/>
      <c r="N385" s="600"/>
      <c r="O385" s="600"/>
      <c r="P385" s="600"/>
      <c r="Q385" s="600"/>
      <c r="R385" s="600"/>
      <c r="S385" s="600"/>
    </row>
    <row r="386" spans="9:19" x14ac:dyDescent="0.25">
      <c r="I386" s="600"/>
      <c r="J386" s="600"/>
      <c r="K386" s="600"/>
      <c r="L386" s="600"/>
      <c r="M386" s="600"/>
      <c r="N386" s="600"/>
      <c r="O386" s="600"/>
      <c r="P386" s="600"/>
      <c r="Q386" s="600"/>
      <c r="R386" s="600"/>
      <c r="S386" s="600"/>
    </row>
    <row r="387" spans="9:19" x14ac:dyDescent="0.25">
      <c r="I387" s="600"/>
      <c r="J387" s="600"/>
      <c r="K387" s="600"/>
      <c r="L387" s="600"/>
      <c r="M387" s="600"/>
      <c r="N387" s="600"/>
      <c r="O387" s="600"/>
      <c r="P387" s="600"/>
      <c r="Q387" s="600"/>
      <c r="R387" s="600"/>
      <c r="S387" s="600"/>
    </row>
    <row r="388" spans="9:19" x14ac:dyDescent="0.25">
      <c r="I388" s="600"/>
      <c r="J388" s="600"/>
      <c r="K388" s="600"/>
      <c r="L388" s="600"/>
      <c r="M388" s="600"/>
      <c r="N388" s="600"/>
      <c r="O388" s="600"/>
      <c r="P388" s="600"/>
      <c r="Q388" s="600"/>
      <c r="R388" s="600"/>
      <c r="S388" s="600"/>
    </row>
    <row r="389" spans="9:19" x14ac:dyDescent="0.25">
      <c r="I389" s="600"/>
      <c r="J389" s="600"/>
      <c r="K389" s="600"/>
      <c r="L389" s="600"/>
      <c r="M389" s="600"/>
      <c r="N389" s="600"/>
      <c r="O389" s="600"/>
      <c r="P389" s="600"/>
      <c r="Q389" s="600"/>
      <c r="R389" s="600"/>
      <c r="S389" s="600"/>
    </row>
    <row r="390" spans="9:19" x14ac:dyDescent="0.25">
      <c r="I390" s="600"/>
      <c r="J390" s="600"/>
      <c r="K390" s="600"/>
      <c r="L390" s="600"/>
      <c r="M390" s="600"/>
      <c r="N390" s="600"/>
      <c r="O390" s="600"/>
      <c r="P390" s="600"/>
      <c r="Q390" s="600"/>
      <c r="R390" s="600"/>
      <c r="S390" s="600"/>
    </row>
    <row r="391" spans="9:19" x14ac:dyDescent="0.25">
      <c r="I391" s="600"/>
      <c r="J391" s="600"/>
      <c r="K391" s="600"/>
      <c r="L391" s="600"/>
      <c r="M391" s="600"/>
      <c r="N391" s="600"/>
      <c r="O391" s="600"/>
      <c r="P391" s="600"/>
      <c r="Q391" s="600"/>
      <c r="R391" s="600"/>
      <c r="S391" s="600"/>
    </row>
    <row r="392" spans="9:19" x14ac:dyDescent="0.25">
      <c r="I392" s="600"/>
      <c r="J392" s="600"/>
      <c r="K392" s="600"/>
      <c r="L392" s="600"/>
      <c r="M392" s="600"/>
      <c r="N392" s="600"/>
      <c r="O392" s="600"/>
      <c r="P392" s="600"/>
      <c r="Q392" s="600"/>
      <c r="R392" s="600"/>
      <c r="S392" s="600"/>
    </row>
    <row r="393" spans="9:19" x14ac:dyDescent="0.25">
      <c r="I393" s="600"/>
      <c r="J393" s="600"/>
      <c r="K393" s="600"/>
      <c r="L393" s="600"/>
      <c r="M393" s="600"/>
      <c r="N393" s="600"/>
      <c r="O393" s="600"/>
      <c r="P393" s="600"/>
      <c r="Q393" s="600"/>
      <c r="R393" s="600"/>
      <c r="S393" s="600"/>
    </row>
    <row r="394" spans="9:19" x14ac:dyDescent="0.25">
      <c r="I394" s="600"/>
      <c r="J394" s="600"/>
      <c r="K394" s="600"/>
      <c r="L394" s="600"/>
      <c r="M394" s="600"/>
      <c r="N394" s="600"/>
      <c r="O394" s="600"/>
      <c r="P394" s="600"/>
      <c r="Q394" s="600"/>
      <c r="R394" s="600"/>
      <c r="S394" s="600"/>
    </row>
    <row r="395" spans="9:19" x14ac:dyDescent="0.25">
      <c r="I395" s="600"/>
      <c r="J395" s="600"/>
      <c r="K395" s="600"/>
      <c r="L395" s="600"/>
      <c r="M395" s="600"/>
      <c r="N395" s="600"/>
      <c r="O395" s="600"/>
      <c r="P395" s="600"/>
      <c r="Q395" s="600"/>
      <c r="R395" s="600"/>
      <c r="S395" s="600"/>
    </row>
    <row r="396" spans="9:19" x14ac:dyDescent="0.25">
      <c r="I396" s="600"/>
      <c r="J396" s="600"/>
      <c r="K396" s="600"/>
      <c r="L396" s="600"/>
      <c r="M396" s="600"/>
      <c r="N396" s="600"/>
      <c r="O396" s="600"/>
      <c r="P396" s="600"/>
      <c r="Q396" s="600"/>
      <c r="R396" s="600"/>
      <c r="S396" s="600"/>
    </row>
    <row r="397" spans="9:19" x14ac:dyDescent="0.25">
      <c r="I397" s="600"/>
      <c r="J397" s="600"/>
      <c r="K397" s="600"/>
      <c r="L397" s="600"/>
      <c r="M397" s="600"/>
      <c r="N397" s="600"/>
      <c r="O397" s="600"/>
      <c r="P397" s="600"/>
      <c r="Q397" s="600"/>
      <c r="R397" s="600"/>
      <c r="S397" s="600"/>
    </row>
    <row r="398" spans="9:19" x14ac:dyDescent="0.25">
      <c r="I398" s="600"/>
      <c r="J398" s="600"/>
      <c r="K398" s="600"/>
      <c r="L398" s="600"/>
      <c r="M398" s="600"/>
      <c r="N398" s="600"/>
      <c r="O398" s="600"/>
      <c r="P398" s="600"/>
      <c r="Q398" s="600"/>
      <c r="R398" s="600"/>
      <c r="S398" s="600"/>
    </row>
    <row r="399" spans="9:19" x14ac:dyDescent="0.25">
      <c r="I399" s="600"/>
      <c r="J399" s="600"/>
      <c r="K399" s="600"/>
      <c r="L399" s="600"/>
      <c r="M399" s="600"/>
      <c r="N399" s="600"/>
      <c r="O399" s="600"/>
      <c r="P399" s="600"/>
      <c r="Q399" s="600"/>
      <c r="R399" s="600"/>
      <c r="S399" s="600"/>
    </row>
    <row r="400" spans="9:19" x14ac:dyDescent="0.25">
      <c r="I400" s="600"/>
      <c r="J400" s="600"/>
      <c r="K400" s="600"/>
      <c r="L400" s="600"/>
      <c r="M400" s="600"/>
      <c r="N400" s="600"/>
      <c r="O400" s="600"/>
      <c r="P400" s="600"/>
      <c r="Q400" s="600"/>
      <c r="R400" s="600"/>
      <c r="S400" s="600"/>
    </row>
    <row r="401" spans="9:19" x14ac:dyDescent="0.25">
      <c r="I401" s="600"/>
      <c r="J401" s="600"/>
      <c r="K401" s="600"/>
      <c r="L401" s="600"/>
      <c r="M401" s="600"/>
      <c r="N401" s="600"/>
      <c r="O401" s="600"/>
      <c r="P401" s="600"/>
      <c r="Q401" s="600"/>
      <c r="R401" s="600"/>
      <c r="S401" s="600"/>
    </row>
    <row r="402" spans="9:19" x14ac:dyDescent="0.25">
      <c r="I402" s="600"/>
      <c r="J402" s="600"/>
      <c r="K402" s="600"/>
      <c r="L402" s="600"/>
      <c r="M402" s="600"/>
      <c r="N402" s="600"/>
      <c r="O402" s="600"/>
      <c r="P402" s="600"/>
      <c r="Q402" s="600"/>
      <c r="R402" s="600"/>
      <c r="S402" s="600"/>
    </row>
    <row r="403" spans="9:19" x14ac:dyDescent="0.25">
      <c r="I403" s="600"/>
      <c r="J403" s="600"/>
      <c r="K403" s="600"/>
      <c r="L403" s="600"/>
      <c r="M403" s="600"/>
      <c r="N403" s="600"/>
      <c r="O403" s="600"/>
      <c r="P403" s="600"/>
      <c r="Q403" s="600"/>
      <c r="R403" s="600"/>
      <c r="S403" s="600"/>
    </row>
    <row r="404" spans="9:19" x14ac:dyDescent="0.25">
      <c r="I404" s="600"/>
      <c r="J404" s="600"/>
      <c r="K404" s="600"/>
      <c r="L404" s="600"/>
      <c r="M404" s="600"/>
      <c r="N404" s="600"/>
      <c r="O404" s="600"/>
      <c r="P404" s="600"/>
      <c r="Q404" s="600"/>
      <c r="R404" s="600"/>
      <c r="S404" s="600"/>
    </row>
    <row r="405" spans="9:19" x14ac:dyDescent="0.25">
      <c r="I405" s="600"/>
      <c r="J405" s="600"/>
      <c r="K405" s="600"/>
      <c r="L405" s="600"/>
      <c r="M405" s="600"/>
      <c r="N405" s="600"/>
      <c r="O405" s="600"/>
      <c r="P405" s="600"/>
      <c r="Q405" s="600"/>
      <c r="R405" s="600"/>
      <c r="S405" s="600"/>
    </row>
    <row r="406" spans="9:19" x14ac:dyDescent="0.25">
      <c r="I406" s="600"/>
      <c r="J406" s="600"/>
      <c r="K406" s="600"/>
      <c r="L406" s="600"/>
      <c r="M406" s="600"/>
      <c r="N406" s="600"/>
      <c r="O406" s="600"/>
      <c r="P406" s="600"/>
      <c r="Q406" s="600"/>
      <c r="R406" s="600"/>
      <c r="S406" s="600"/>
    </row>
    <row r="407" spans="9:19" x14ac:dyDescent="0.25">
      <c r="I407" s="600"/>
      <c r="J407" s="600"/>
      <c r="K407" s="600"/>
      <c r="L407" s="600"/>
      <c r="M407" s="600"/>
      <c r="N407" s="600"/>
      <c r="O407" s="600"/>
      <c r="P407" s="600"/>
      <c r="Q407" s="600"/>
      <c r="R407" s="600"/>
      <c r="S407" s="600"/>
    </row>
    <row r="408" spans="9:19" x14ac:dyDescent="0.25">
      <c r="I408" s="600"/>
      <c r="J408" s="600"/>
      <c r="K408" s="600"/>
      <c r="L408" s="600"/>
      <c r="M408" s="600"/>
      <c r="N408" s="600"/>
      <c r="O408" s="600"/>
      <c r="P408" s="600"/>
      <c r="Q408" s="600"/>
      <c r="R408" s="600"/>
      <c r="S408" s="600"/>
    </row>
    <row r="409" spans="9:19" x14ac:dyDescent="0.25">
      <c r="I409" s="600"/>
      <c r="J409" s="600"/>
      <c r="K409" s="600"/>
      <c r="L409" s="600"/>
      <c r="M409" s="600"/>
      <c r="N409" s="600"/>
      <c r="O409" s="600"/>
      <c r="P409" s="600"/>
      <c r="Q409" s="600"/>
      <c r="R409" s="600"/>
      <c r="S409" s="600"/>
    </row>
    <row r="410" spans="9:19" x14ac:dyDescent="0.25">
      <c r="I410" s="600"/>
      <c r="J410" s="600"/>
      <c r="K410" s="600"/>
      <c r="L410" s="600"/>
      <c r="M410" s="600"/>
      <c r="N410" s="600"/>
      <c r="O410" s="600"/>
      <c r="P410" s="600"/>
      <c r="Q410" s="600"/>
      <c r="R410" s="600"/>
      <c r="S410" s="600"/>
    </row>
    <row r="411" spans="9:19" x14ac:dyDescent="0.25">
      <c r="I411" s="600"/>
      <c r="J411" s="600"/>
      <c r="K411" s="600"/>
      <c r="L411" s="600"/>
      <c r="M411" s="600"/>
      <c r="N411" s="600"/>
      <c r="O411" s="600"/>
      <c r="P411" s="600"/>
      <c r="Q411" s="600"/>
      <c r="R411" s="600"/>
      <c r="S411" s="600"/>
    </row>
    <row r="412" spans="9:19" x14ac:dyDescent="0.25">
      <c r="I412" s="600"/>
      <c r="J412" s="600"/>
      <c r="K412" s="600"/>
      <c r="L412" s="600"/>
      <c r="M412" s="600"/>
      <c r="N412" s="600"/>
      <c r="O412" s="600"/>
      <c r="P412" s="600"/>
      <c r="Q412" s="600"/>
      <c r="R412" s="600"/>
      <c r="S412" s="600"/>
    </row>
    <row r="413" spans="9:19" x14ac:dyDescent="0.25">
      <c r="I413" s="600"/>
      <c r="J413" s="600"/>
      <c r="K413" s="600"/>
      <c r="L413" s="600"/>
      <c r="M413" s="600"/>
      <c r="N413" s="600"/>
      <c r="O413" s="600"/>
      <c r="P413" s="600"/>
      <c r="Q413" s="600"/>
      <c r="R413" s="600"/>
      <c r="S413" s="600"/>
    </row>
    <row r="414" spans="9:19" x14ac:dyDescent="0.25">
      <c r="I414" s="600"/>
      <c r="J414" s="600"/>
      <c r="K414" s="600"/>
      <c r="L414" s="600"/>
      <c r="M414" s="600"/>
      <c r="N414" s="600"/>
      <c r="O414" s="600"/>
      <c r="P414" s="600"/>
      <c r="Q414" s="600"/>
      <c r="R414" s="600"/>
      <c r="S414" s="600"/>
    </row>
    <row r="415" spans="9:19" x14ac:dyDescent="0.25">
      <c r="I415" s="600"/>
      <c r="J415" s="600"/>
      <c r="K415" s="600"/>
      <c r="L415" s="600"/>
      <c r="M415" s="600"/>
      <c r="N415" s="600"/>
      <c r="O415" s="600"/>
      <c r="P415" s="600"/>
      <c r="Q415" s="600"/>
      <c r="R415" s="600"/>
      <c r="S415" s="600"/>
    </row>
    <row r="416" spans="9:19" x14ac:dyDescent="0.25">
      <c r="I416" s="600"/>
      <c r="J416" s="600"/>
      <c r="K416" s="600"/>
      <c r="L416" s="600"/>
      <c r="M416" s="600"/>
      <c r="N416" s="600"/>
      <c r="O416" s="600"/>
      <c r="P416" s="600"/>
      <c r="Q416" s="600"/>
      <c r="R416" s="600"/>
      <c r="S416" s="600"/>
    </row>
    <row r="417" spans="9:19" x14ac:dyDescent="0.25">
      <c r="I417" s="600"/>
      <c r="J417" s="600"/>
      <c r="K417" s="600"/>
      <c r="L417" s="600"/>
      <c r="M417" s="600"/>
      <c r="N417" s="600"/>
      <c r="O417" s="600"/>
      <c r="P417" s="600"/>
      <c r="Q417" s="600"/>
      <c r="R417" s="600"/>
      <c r="S417" s="600"/>
    </row>
    <row r="418" spans="9:19" x14ac:dyDescent="0.25">
      <c r="I418" s="600"/>
      <c r="J418" s="600"/>
      <c r="K418" s="600"/>
      <c r="L418" s="600"/>
      <c r="M418" s="600"/>
      <c r="N418" s="600"/>
      <c r="O418" s="600"/>
      <c r="P418" s="600"/>
      <c r="Q418" s="600"/>
      <c r="R418" s="600"/>
      <c r="S418" s="600"/>
    </row>
    <row r="419" spans="9:19" x14ac:dyDescent="0.25">
      <c r="I419" s="600"/>
      <c r="J419" s="600"/>
      <c r="K419" s="600"/>
      <c r="L419" s="600"/>
      <c r="M419" s="600"/>
      <c r="N419" s="600"/>
      <c r="O419" s="600"/>
      <c r="P419" s="600"/>
      <c r="Q419" s="600"/>
      <c r="R419" s="600"/>
      <c r="S419" s="600"/>
    </row>
    <row r="420" spans="9:19" x14ac:dyDescent="0.25">
      <c r="I420" s="600"/>
      <c r="J420" s="600"/>
      <c r="K420" s="600"/>
      <c r="L420" s="600"/>
      <c r="M420" s="600"/>
      <c r="N420" s="600"/>
      <c r="O420" s="600"/>
      <c r="P420" s="600"/>
      <c r="Q420" s="600"/>
      <c r="R420" s="600"/>
      <c r="S420" s="600"/>
    </row>
    <row r="421" spans="9:19" x14ac:dyDescent="0.25">
      <c r="I421" s="600"/>
      <c r="J421" s="600"/>
      <c r="K421" s="600"/>
      <c r="L421" s="600"/>
      <c r="M421" s="600"/>
      <c r="N421" s="600"/>
      <c r="O421" s="600"/>
      <c r="P421" s="600"/>
      <c r="Q421" s="600"/>
      <c r="R421" s="600"/>
      <c r="S421" s="600"/>
    </row>
    <row r="422" spans="9:19" x14ac:dyDescent="0.25">
      <c r="I422" s="600"/>
      <c r="J422" s="600"/>
      <c r="K422" s="600"/>
      <c r="L422" s="600"/>
      <c r="M422" s="600"/>
      <c r="N422" s="600"/>
      <c r="O422" s="600"/>
      <c r="P422" s="600"/>
      <c r="Q422" s="600"/>
      <c r="R422" s="600"/>
      <c r="S422" s="600"/>
    </row>
    <row r="423" spans="9:19" x14ac:dyDescent="0.25">
      <c r="I423" s="600"/>
      <c r="J423" s="600"/>
      <c r="K423" s="600"/>
      <c r="L423" s="600"/>
      <c r="M423" s="600"/>
      <c r="N423" s="600"/>
      <c r="O423" s="600"/>
      <c r="P423" s="600"/>
      <c r="Q423" s="600"/>
      <c r="R423" s="600"/>
      <c r="S423" s="600"/>
    </row>
    <row r="424" spans="9:19" x14ac:dyDescent="0.25">
      <c r="I424" s="600"/>
      <c r="J424" s="600"/>
      <c r="K424" s="600"/>
      <c r="L424" s="600"/>
      <c r="M424" s="600"/>
      <c r="N424" s="600"/>
      <c r="O424" s="600"/>
      <c r="P424" s="600"/>
      <c r="Q424" s="600"/>
      <c r="R424" s="600"/>
      <c r="S424" s="600"/>
    </row>
    <row r="425" spans="9:19" x14ac:dyDescent="0.25">
      <c r="I425" s="600"/>
      <c r="J425" s="600"/>
      <c r="K425" s="600"/>
      <c r="L425" s="600"/>
      <c r="M425" s="600"/>
      <c r="N425" s="600"/>
      <c r="O425" s="600"/>
      <c r="P425" s="600"/>
      <c r="Q425" s="600"/>
      <c r="R425" s="600"/>
      <c r="S425" s="600"/>
    </row>
    <row r="426" spans="9:19" x14ac:dyDescent="0.25">
      <c r="I426" s="600"/>
      <c r="J426" s="600"/>
      <c r="K426" s="600"/>
      <c r="L426" s="600"/>
      <c r="M426" s="600"/>
      <c r="N426" s="600"/>
      <c r="O426" s="600"/>
      <c r="P426" s="600"/>
      <c r="Q426" s="600"/>
      <c r="R426" s="600"/>
      <c r="S426" s="600"/>
    </row>
    <row r="427" spans="9:19" x14ac:dyDescent="0.25">
      <c r="I427" s="600"/>
      <c r="J427" s="600"/>
      <c r="K427" s="600"/>
      <c r="L427" s="600"/>
      <c r="M427" s="600"/>
      <c r="N427" s="600"/>
      <c r="O427" s="600"/>
      <c r="P427" s="600"/>
      <c r="Q427" s="600"/>
      <c r="R427" s="600"/>
      <c r="S427" s="600"/>
    </row>
    <row r="428" spans="9:19" x14ac:dyDescent="0.25">
      <c r="I428" s="600"/>
      <c r="J428" s="600"/>
      <c r="K428" s="600"/>
      <c r="L428" s="600"/>
      <c r="M428" s="600"/>
      <c r="N428" s="600"/>
      <c r="O428" s="600"/>
      <c r="P428" s="600"/>
      <c r="Q428" s="600"/>
      <c r="R428" s="600"/>
      <c r="S428" s="600"/>
    </row>
    <row r="429" spans="9:19" x14ac:dyDescent="0.25">
      <c r="I429" s="600"/>
      <c r="J429" s="600"/>
      <c r="K429" s="600"/>
      <c r="L429" s="600"/>
      <c r="M429" s="600"/>
      <c r="N429" s="600"/>
      <c r="O429" s="600"/>
      <c r="P429" s="600"/>
      <c r="Q429" s="600"/>
      <c r="R429" s="600"/>
      <c r="S429" s="600"/>
    </row>
    <row r="430" spans="9:19" x14ac:dyDescent="0.25">
      <c r="I430" s="600"/>
      <c r="J430" s="600"/>
      <c r="K430" s="600"/>
      <c r="L430" s="600"/>
      <c r="M430" s="600"/>
      <c r="N430" s="600"/>
      <c r="O430" s="600"/>
      <c r="P430" s="600"/>
      <c r="Q430" s="600"/>
      <c r="R430" s="600"/>
      <c r="S430" s="600"/>
    </row>
    <row r="431" spans="9:19" x14ac:dyDescent="0.25">
      <c r="I431" s="600"/>
      <c r="J431" s="600"/>
      <c r="K431" s="600"/>
      <c r="L431" s="600"/>
      <c r="M431" s="600"/>
      <c r="N431" s="600"/>
      <c r="O431" s="600"/>
      <c r="P431" s="600"/>
      <c r="Q431" s="600"/>
      <c r="R431" s="600"/>
      <c r="S431" s="600"/>
    </row>
    <row r="432" spans="9:19" x14ac:dyDescent="0.25">
      <c r="I432" s="600"/>
      <c r="J432" s="600"/>
      <c r="K432" s="600"/>
      <c r="L432" s="600"/>
      <c r="M432" s="600"/>
      <c r="N432" s="600"/>
      <c r="O432" s="600"/>
      <c r="P432" s="600"/>
      <c r="Q432" s="600"/>
      <c r="R432" s="600"/>
      <c r="S432" s="600"/>
    </row>
    <row r="433" spans="9:19" x14ac:dyDescent="0.25">
      <c r="I433" s="600"/>
      <c r="J433" s="600"/>
      <c r="K433" s="600"/>
      <c r="L433" s="600"/>
      <c r="M433" s="600"/>
      <c r="N433" s="600"/>
      <c r="O433" s="600"/>
      <c r="P433" s="600"/>
      <c r="Q433" s="600"/>
      <c r="R433" s="600"/>
      <c r="S433" s="600"/>
    </row>
    <row r="434" spans="9:19" x14ac:dyDescent="0.25">
      <c r="I434" s="600"/>
      <c r="J434" s="600"/>
      <c r="K434" s="600"/>
      <c r="L434" s="600"/>
      <c r="M434" s="600"/>
      <c r="N434" s="600"/>
      <c r="O434" s="600"/>
      <c r="P434" s="600"/>
      <c r="Q434" s="600"/>
      <c r="R434" s="600"/>
      <c r="S434" s="600"/>
    </row>
    <row r="435" spans="9:19" x14ac:dyDescent="0.25">
      <c r="I435" s="600"/>
      <c r="J435" s="600"/>
      <c r="K435" s="600"/>
      <c r="L435" s="600"/>
      <c r="M435" s="600"/>
      <c r="N435" s="600"/>
      <c r="O435" s="600"/>
      <c r="P435" s="600"/>
      <c r="Q435" s="600"/>
      <c r="R435" s="600"/>
      <c r="S435" s="600"/>
    </row>
    <row r="436" spans="9:19" x14ac:dyDescent="0.25">
      <c r="I436" s="600"/>
      <c r="J436" s="600"/>
      <c r="K436" s="600"/>
      <c r="L436" s="600"/>
      <c r="M436" s="600"/>
      <c r="N436" s="600"/>
      <c r="O436" s="600"/>
      <c r="P436" s="600"/>
      <c r="Q436" s="600"/>
      <c r="R436" s="600"/>
      <c r="S436" s="600"/>
    </row>
    <row r="437" spans="9:19" x14ac:dyDescent="0.25">
      <c r="I437" s="600"/>
      <c r="J437" s="600"/>
      <c r="K437" s="600"/>
      <c r="L437" s="600"/>
      <c r="M437" s="600"/>
      <c r="N437" s="600"/>
      <c r="O437" s="600"/>
      <c r="P437" s="600"/>
      <c r="Q437" s="600"/>
      <c r="R437" s="600"/>
      <c r="S437" s="600"/>
    </row>
    <row r="438" spans="9:19" x14ac:dyDescent="0.25">
      <c r="I438" s="600"/>
      <c r="J438" s="600"/>
      <c r="K438" s="600"/>
      <c r="L438" s="600"/>
      <c r="M438" s="600"/>
      <c r="N438" s="600"/>
      <c r="O438" s="600"/>
      <c r="P438" s="600"/>
      <c r="Q438" s="600"/>
      <c r="R438" s="600"/>
      <c r="S438" s="600"/>
    </row>
    <row r="439" spans="9:19" x14ac:dyDescent="0.25">
      <c r="I439" s="600"/>
      <c r="J439" s="600"/>
      <c r="K439" s="600"/>
      <c r="L439" s="600"/>
      <c r="M439" s="600"/>
      <c r="N439" s="600"/>
      <c r="O439" s="600"/>
      <c r="P439" s="600"/>
      <c r="Q439" s="600"/>
      <c r="R439" s="600"/>
      <c r="S439" s="600"/>
    </row>
    <row r="440" spans="9:19" x14ac:dyDescent="0.25">
      <c r="I440" s="600"/>
      <c r="J440" s="600"/>
      <c r="K440" s="600"/>
      <c r="L440" s="600"/>
      <c r="M440" s="600"/>
      <c r="N440" s="600"/>
      <c r="O440" s="600"/>
      <c r="P440" s="600"/>
      <c r="Q440" s="600"/>
      <c r="R440" s="600"/>
      <c r="S440" s="600"/>
    </row>
    <row r="441" spans="9:19" x14ac:dyDescent="0.25">
      <c r="I441" s="600"/>
      <c r="J441" s="600"/>
      <c r="K441" s="600"/>
      <c r="L441" s="600"/>
      <c r="M441" s="600"/>
      <c r="N441" s="600"/>
      <c r="O441" s="600"/>
      <c r="P441" s="600"/>
      <c r="Q441" s="600"/>
      <c r="R441" s="600"/>
      <c r="S441" s="600"/>
    </row>
    <row r="442" spans="9:19" x14ac:dyDescent="0.25">
      <c r="I442" s="600"/>
      <c r="J442" s="600"/>
      <c r="K442" s="600"/>
      <c r="L442" s="600"/>
      <c r="M442" s="600"/>
      <c r="N442" s="600"/>
      <c r="O442" s="600"/>
      <c r="P442" s="600"/>
      <c r="Q442" s="600"/>
      <c r="R442" s="600"/>
      <c r="S442" s="600"/>
    </row>
  </sheetData>
  <autoFilter ref="I9:R125" xr:uid="{00000000-0009-0000-0000-000003000000}"/>
  <mergeCells count="8">
    <mergeCell ref="B2:H2"/>
    <mergeCell ref="B3:H3"/>
    <mergeCell ref="D6:E6"/>
    <mergeCell ref="B6:C6"/>
    <mergeCell ref="I8:R8"/>
    <mergeCell ref="B5:C5"/>
    <mergeCell ref="D5:E5"/>
    <mergeCell ref="B8:G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113"/>
  <sheetViews>
    <sheetView workbookViewId="0"/>
  </sheetViews>
  <sheetFormatPr baseColWidth="10" defaultColWidth="9.140625" defaultRowHeight="15" x14ac:dyDescent="0.25"/>
  <cols>
    <col min="1" max="1" width="3" style="565" customWidth="1"/>
    <col min="2" max="2" width="32" style="565" customWidth="1"/>
    <col min="3" max="3" width="25" style="565" customWidth="1"/>
    <col min="4" max="4" width="10" style="565" customWidth="1"/>
    <col min="5" max="5" width="18" style="565" customWidth="1"/>
    <col min="6" max="6" width="10" style="565" customWidth="1"/>
    <col min="7" max="7" width="16" style="565" customWidth="1"/>
    <col min="8" max="8" width="3" style="565" customWidth="1"/>
    <col min="9" max="9" width="6" style="565" customWidth="1"/>
    <col min="10" max="10" width="16" style="565" customWidth="1"/>
    <col min="11" max="11" width="24" style="565" customWidth="1"/>
    <col min="12" max="12" width="22" style="565" customWidth="1"/>
    <col min="13" max="13" width="42" style="565" customWidth="1"/>
    <col min="14" max="14" width="16" style="565" customWidth="1"/>
    <col min="15" max="15" width="20" style="565" customWidth="1"/>
  </cols>
  <sheetData>
    <row r="2" spans="2:15" ht="24" customHeight="1" x14ac:dyDescent="0.35">
      <c r="B2" s="684" t="s">
        <v>0</v>
      </c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</row>
    <row r="3" spans="2:15" ht="18" customHeight="1" x14ac:dyDescent="0.25">
      <c r="B3" s="690" t="s">
        <v>849</v>
      </c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  <c r="N3" s="691"/>
      <c r="O3" s="691"/>
    </row>
    <row r="4" spans="2:15" ht="6" customHeight="1" x14ac:dyDescent="0.25"/>
    <row r="5" spans="2:15" ht="15.95" customHeight="1" x14ac:dyDescent="0.25">
      <c r="B5" s="686" t="s">
        <v>850</v>
      </c>
      <c r="C5" s="687"/>
      <c r="D5" s="687"/>
      <c r="E5" s="686" t="s">
        <v>851</v>
      </c>
      <c r="F5" s="687"/>
      <c r="G5" s="687"/>
      <c r="I5" s="686" t="s">
        <v>852</v>
      </c>
      <c r="J5" s="687"/>
      <c r="K5" s="687"/>
      <c r="L5" s="686" t="s">
        <v>853</v>
      </c>
      <c r="M5" s="687"/>
      <c r="N5" s="687"/>
      <c r="O5" s="614" t="s">
        <v>854</v>
      </c>
    </row>
    <row r="6" spans="2:15" ht="24" customHeight="1" x14ac:dyDescent="0.45">
      <c r="B6" s="694">
        <f>$E$27</f>
        <v>49772637</v>
      </c>
      <c r="C6" s="695"/>
      <c r="D6" s="695"/>
      <c r="E6" s="694">
        <f>$E$11+$E$12</f>
        <v>39220837</v>
      </c>
      <c r="F6" s="695"/>
      <c r="G6" s="695"/>
      <c r="I6" s="694">
        <f>$E$13+$E$14+$E$15+$E$16</f>
        <v>5944800</v>
      </c>
      <c r="J6" s="695"/>
      <c r="K6" s="695"/>
      <c r="L6" s="694">
        <f>SUM(E17:E22)</f>
        <v>3063200</v>
      </c>
      <c r="M6" s="695"/>
      <c r="N6" s="695"/>
      <c r="O6" s="615">
        <f>$D$27</f>
        <v>89</v>
      </c>
    </row>
    <row r="7" spans="2:15" ht="14.1" customHeight="1" x14ac:dyDescent="0.25">
      <c r="B7" s="692" t="s">
        <v>855</v>
      </c>
      <c r="C7" s="693"/>
      <c r="D7" s="693"/>
      <c r="E7" s="692" t="s">
        <v>856</v>
      </c>
      <c r="F7" s="693"/>
      <c r="G7" s="693"/>
      <c r="I7" s="692" t="s">
        <v>857</v>
      </c>
      <c r="J7" s="693"/>
      <c r="K7" s="693"/>
      <c r="L7" s="692" t="s">
        <v>858</v>
      </c>
      <c r="M7" s="693"/>
      <c r="N7" s="693"/>
      <c r="O7" s="616" t="s">
        <v>859</v>
      </c>
    </row>
    <row r="8" spans="2:15" ht="8.1" customHeight="1" x14ac:dyDescent="0.25"/>
    <row r="9" spans="2:15" ht="20.100000000000001" customHeight="1" x14ac:dyDescent="0.25">
      <c r="B9" s="688" t="s">
        <v>860</v>
      </c>
      <c r="C9" s="689"/>
      <c r="D9" s="689"/>
      <c r="E9" s="689"/>
      <c r="F9" s="689"/>
      <c r="G9" s="689"/>
      <c r="I9" s="688" t="s">
        <v>861</v>
      </c>
      <c r="J9" s="689"/>
      <c r="K9" s="689"/>
      <c r="L9" s="689"/>
      <c r="M9" s="689"/>
      <c r="N9" s="689"/>
      <c r="O9" s="689"/>
    </row>
    <row r="10" spans="2:15" ht="20.100000000000001" customHeight="1" x14ac:dyDescent="0.25">
      <c r="B10" s="617" t="s">
        <v>862</v>
      </c>
      <c r="C10" s="617" t="s">
        <v>863</v>
      </c>
      <c r="D10" s="617" t="s">
        <v>864</v>
      </c>
      <c r="E10" s="617" t="s">
        <v>15</v>
      </c>
      <c r="F10" s="617" t="s">
        <v>865</v>
      </c>
      <c r="G10" s="617" t="s">
        <v>866</v>
      </c>
      <c r="I10" s="617" t="s">
        <v>48</v>
      </c>
      <c r="J10" s="617" t="s">
        <v>867</v>
      </c>
      <c r="K10" s="617" t="s">
        <v>868</v>
      </c>
      <c r="L10" s="617" t="s">
        <v>869</v>
      </c>
      <c r="M10" s="617" t="s">
        <v>870</v>
      </c>
      <c r="N10" s="617" t="s">
        <v>871</v>
      </c>
      <c r="O10" s="617" t="s">
        <v>872</v>
      </c>
    </row>
    <row r="11" spans="2:15" x14ac:dyDescent="0.25">
      <c r="B11" s="618" t="s">
        <v>873</v>
      </c>
      <c r="C11" s="618" t="s">
        <v>874</v>
      </c>
      <c r="D11" s="619">
        <f>COUNTIF('Detalle Compras Septiembre 2026'!$H$569:$H$635, "TR-BBVA-1509")</f>
        <v>4</v>
      </c>
      <c r="E11" s="620">
        <f>SUMIF('Detalle Compras Septiembre 2026'!$H$569:$H$635, "TR-BBVA-1509", 'Detalle Compras Septiembre 2026'!$G$569:$G$635)</f>
        <v>4302852</v>
      </c>
      <c r="F11" s="621">
        <f t="shared" ref="F11:F26" si="0">IF($E$27&gt;0, E11/$E$27, 0)</f>
        <v>8.645015131506896E-2</v>
      </c>
      <c r="G11" s="620">
        <f t="shared" ref="G11:G27" si="1">IF(D11&gt;0, E11/D11, 0)</f>
        <v>1075713</v>
      </c>
      <c r="I11" s="622">
        <v>7</v>
      </c>
      <c r="J11" s="622" t="s">
        <v>875</v>
      </c>
      <c r="K11" s="623" t="s">
        <v>876</v>
      </c>
      <c r="L11" s="618" t="s">
        <v>877</v>
      </c>
      <c r="M11" s="618" t="s">
        <v>878</v>
      </c>
      <c r="N11" s="620">
        <f>'Detalle Compras Septiembre 2026'!G174</f>
        <v>90000</v>
      </c>
      <c r="O11" s="622" t="s">
        <v>879</v>
      </c>
    </row>
    <row r="12" spans="2:15" x14ac:dyDescent="0.25">
      <c r="B12" s="624" t="s">
        <v>880</v>
      </c>
      <c r="C12" s="624" t="s">
        <v>881</v>
      </c>
      <c r="D12" s="625">
        <v>3</v>
      </c>
      <c r="E12" s="626">
        <f>'Detalle Compras Septiembre 2026'!$G$377+'Detalle Compras Septiembre 2026'!$G$642+'Detalle Compras Septiembre 2026'!$G$643</f>
        <v>34917985</v>
      </c>
      <c r="F12" s="627">
        <f t="shared" si="0"/>
        <v>0.70154982947759026</v>
      </c>
      <c r="G12" s="626">
        <f t="shared" si="1"/>
        <v>11639328.333333334</v>
      </c>
      <c r="I12" s="628">
        <v>7</v>
      </c>
      <c r="J12" s="628" t="s">
        <v>882</v>
      </c>
      <c r="K12" s="629" t="s">
        <v>876</v>
      </c>
      <c r="L12" s="624" t="s">
        <v>877</v>
      </c>
      <c r="M12" s="624" t="s">
        <v>883</v>
      </c>
      <c r="N12" s="626">
        <f>'Detalle Compras Septiembre 2026'!G185</f>
        <v>74000</v>
      </c>
      <c r="O12" s="628" t="s">
        <v>884</v>
      </c>
    </row>
    <row r="13" spans="2:15" x14ac:dyDescent="0.25">
      <c r="B13" s="618" t="s">
        <v>885</v>
      </c>
      <c r="C13" s="618" t="s">
        <v>886</v>
      </c>
      <c r="D13" s="619">
        <v>3</v>
      </c>
      <c r="E13" s="620">
        <f>'Detalle Compras Septiembre 2026'!$G$374+'Detalle Compras Septiembre 2026'!$G$397+'Detalle Compras Septiembre 2026'!$G$484</f>
        <v>2400000</v>
      </c>
      <c r="F13" s="621">
        <f t="shared" si="0"/>
        <v>4.821926553740763E-2</v>
      </c>
      <c r="G13" s="620">
        <f t="shared" si="1"/>
        <v>800000</v>
      </c>
      <c r="I13" s="622">
        <v>7</v>
      </c>
      <c r="J13" s="622" t="s">
        <v>875</v>
      </c>
      <c r="K13" s="623" t="s">
        <v>887</v>
      </c>
      <c r="L13" s="618" t="s">
        <v>888</v>
      </c>
      <c r="M13" s="618" t="s">
        <v>889</v>
      </c>
      <c r="N13" s="620">
        <f>'Detalle Compras Septiembre 2026'!G190</f>
        <v>66000</v>
      </c>
      <c r="O13" s="622" t="s">
        <v>879</v>
      </c>
    </row>
    <row r="14" spans="2:15" x14ac:dyDescent="0.25">
      <c r="B14" s="624" t="s">
        <v>890</v>
      </c>
      <c r="C14" s="624" t="s">
        <v>891</v>
      </c>
      <c r="D14" s="625">
        <v>2</v>
      </c>
      <c r="E14" s="626">
        <f>'Detalle Compras Septiembre 2026'!$G$344+'Detalle Compras Septiembre 2026'!$G$392</f>
        <v>310000</v>
      </c>
      <c r="F14" s="627">
        <f t="shared" si="0"/>
        <v>6.2283217985818189E-3</v>
      </c>
      <c r="G14" s="626">
        <f t="shared" si="1"/>
        <v>155000</v>
      </c>
      <c r="I14" s="628">
        <v>7</v>
      </c>
      <c r="J14" s="628" t="s">
        <v>875</v>
      </c>
      <c r="K14" s="629" t="s">
        <v>892</v>
      </c>
      <c r="L14" s="624" t="s">
        <v>893</v>
      </c>
      <c r="M14" s="624" t="s">
        <v>894</v>
      </c>
      <c r="N14" s="626">
        <f>'Detalle Compras Septiembre 2026'!G193</f>
        <v>4000</v>
      </c>
      <c r="O14" s="628" t="s">
        <v>895</v>
      </c>
    </row>
    <row r="15" spans="2:15" x14ac:dyDescent="0.25">
      <c r="B15" s="618" t="s">
        <v>896</v>
      </c>
      <c r="C15" s="618" t="s">
        <v>897</v>
      </c>
      <c r="D15" s="619">
        <v>6</v>
      </c>
      <c r="E15" s="620">
        <f>'Detalle Compras Septiembre 2026'!$G$174+'Detalle Compras Septiembre 2026'!$G$185+'Detalle Compras Septiembre 2026'!$G$194+'Detalle Compras Septiembre 2026'!$G$318+'Detalle Compras Septiembre 2026'!$G$692+'Detalle Compras Septiembre 2026'!$G$693</f>
        <v>1740800</v>
      </c>
      <c r="F15" s="621">
        <f t="shared" si="0"/>
        <v>3.4975040603133001E-2</v>
      </c>
      <c r="G15" s="620">
        <f t="shared" si="1"/>
        <v>290133.33333333331</v>
      </c>
      <c r="I15" s="622">
        <v>7</v>
      </c>
      <c r="J15" s="622" t="s">
        <v>875</v>
      </c>
      <c r="K15" s="623" t="s">
        <v>876</v>
      </c>
      <c r="L15" s="618" t="s">
        <v>877</v>
      </c>
      <c r="M15" s="618" t="s">
        <v>898</v>
      </c>
      <c r="N15" s="620">
        <f>'Detalle Compras Septiembre 2026'!G194</f>
        <v>85000</v>
      </c>
      <c r="O15" s="622" t="s">
        <v>899</v>
      </c>
    </row>
    <row r="16" spans="2:15" x14ac:dyDescent="0.25">
      <c r="B16" s="624" t="s">
        <v>900</v>
      </c>
      <c r="C16" s="624" t="s">
        <v>901</v>
      </c>
      <c r="D16" s="625">
        <v>2</v>
      </c>
      <c r="E16" s="626">
        <f>'Detalle Compras Septiembre 2026'!$G$373+'Detalle Compras Septiembre 2026'!$G$687</f>
        <v>1494000</v>
      </c>
      <c r="F16" s="627">
        <f t="shared" si="0"/>
        <v>3.0016492797036252E-2</v>
      </c>
      <c r="G16" s="626">
        <f t="shared" si="1"/>
        <v>747000</v>
      </c>
      <c r="I16" s="628">
        <v>7</v>
      </c>
      <c r="J16" s="628" t="s">
        <v>875</v>
      </c>
      <c r="K16" s="629" t="s">
        <v>902</v>
      </c>
      <c r="L16" s="624" t="s">
        <v>903</v>
      </c>
      <c r="M16" s="624" t="s">
        <v>904</v>
      </c>
      <c r="N16" s="626">
        <f>'Detalle Compras Septiembre 2026'!G195</f>
        <v>15000</v>
      </c>
      <c r="O16" s="628" t="s">
        <v>905</v>
      </c>
    </row>
    <row r="17" spans="2:15" x14ac:dyDescent="0.25">
      <c r="B17" s="618" t="s">
        <v>906</v>
      </c>
      <c r="C17" s="618" t="s">
        <v>907</v>
      </c>
      <c r="D17" s="619">
        <v>11</v>
      </c>
      <c r="E17" s="620">
        <f>'Detalle Compras Septiembre 2026'!$G$190+'Detalle Compras Septiembre 2026'!$G$253+'Detalle Compras Septiembre 2026'!$G$316+'Detalle Compras Septiembre 2026'!$G$343+'Detalle Compras Septiembre 2026'!$G$354+'Detalle Compras Septiembre 2026'!$G$603+'Detalle Compras Septiembre 2026'!$G$611+'Detalle Compras Septiembre 2026'!$G$617+'Detalle Compras Septiembre 2026'!$G$635+'Detalle Compras Septiembre 2026'!$G$696+'Detalle Compras Septiembre 2026'!$G$710</f>
        <v>718000</v>
      </c>
      <c r="F17" s="621">
        <f t="shared" si="0"/>
        <v>1.4425596939941117E-2</v>
      </c>
      <c r="G17" s="620">
        <f t="shared" si="1"/>
        <v>65272.727272727272</v>
      </c>
      <c r="I17" s="630" t="s">
        <v>908</v>
      </c>
      <c r="J17" s="631"/>
      <c r="K17" s="631"/>
      <c r="L17" s="631"/>
      <c r="M17" s="631"/>
      <c r="N17" s="632">
        <f>SUM(N11:N16)</f>
        <v>334000</v>
      </c>
      <c r="O17" s="631"/>
    </row>
    <row r="18" spans="2:15" x14ac:dyDescent="0.25">
      <c r="B18" s="624" t="s">
        <v>909</v>
      </c>
      <c r="C18" s="624" t="s">
        <v>910</v>
      </c>
      <c r="D18" s="625">
        <v>9</v>
      </c>
      <c r="E18" s="626">
        <f>'Detalle Compras Septiembre 2026'!$G$251+'Detalle Compras Septiembre 2026'!$G$314+'Detalle Compras Septiembre 2026'!$G$350+'Detalle Compras Septiembre 2026'!$G$387+'Detalle Compras Septiembre 2026'!$G$589+'Detalle Compras Septiembre 2026'!$G$604+'Detalle Compras Septiembre 2026'!$G$631+'Detalle Compras Septiembre 2026'!$G$690+'Detalle Compras Septiembre 2026'!$G$711</f>
        <v>594000</v>
      </c>
      <c r="F18" s="627">
        <f t="shared" si="0"/>
        <v>1.1934268220508389E-2</v>
      </c>
      <c r="G18" s="626">
        <f t="shared" si="1"/>
        <v>66000</v>
      </c>
      <c r="I18" s="628">
        <v>8</v>
      </c>
      <c r="J18" s="628" t="s">
        <v>875</v>
      </c>
      <c r="K18" s="629" t="s">
        <v>911</v>
      </c>
      <c r="L18" s="624" t="s">
        <v>888</v>
      </c>
      <c r="M18" s="624" t="s">
        <v>912</v>
      </c>
      <c r="N18" s="626">
        <f>'Detalle Compras Septiembre 2026'!G251</f>
        <v>66000</v>
      </c>
      <c r="O18" s="628" t="s">
        <v>879</v>
      </c>
    </row>
    <row r="19" spans="2:15" x14ac:dyDescent="0.25">
      <c r="B19" s="618" t="s">
        <v>913</v>
      </c>
      <c r="C19" s="618" t="s">
        <v>914</v>
      </c>
      <c r="D19" s="619">
        <v>10</v>
      </c>
      <c r="E19" s="620">
        <f>'Detalle Compras Septiembre 2026'!$G$315+'Detalle Compras Septiembre 2026'!$G$351+'Detalle Compras Septiembre 2026'!$G$388+'Detalle Compras Septiembre 2026'!$G$591+'Detalle Compras Septiembre 2026'!$G$614+'Detalle Compras Septiembre 2026'!$G$630+'Detalle Compras Septiembre 2026'!$G$691+'Detalle Compras Septiembre 2026'!$G$697+'Detalle Compras Septiembre 2026'!$G$702+'Detalle Compras Septiembre 2026'!$G$712</f>
        <v>660000</v>
      </c>
      <c r="F19" s="621">
        <f t="shared" si="0"/>
        <v>1.3260298022787099E-2</v>
      </c>
      <c r="G19" s="620">
        <f t="shared" si="1"/>
        <v>66000</v>
      </c>
      <c r="I19" s="622">
        <v>8</v>
      </c>
      <c r="J19" s="622" t="s">
        <v>875</v>
      </c>
      <c r="K19" s="623" t="s">
        <v>915</v>
      </c>
      <c r="L19" s="618" t="s">
        <v>888</v>
      </c>
      <c r="M19" s="618" t="s">
        <v>916</v>
      </c>
      <c r="N19" s="620">
        <f>'Detalle Compras Septiembre 2026'!G252</f>
        <v>66000</v>
      </c>
      <c r="O19" s="622" t="s">
        <v>879</v>
      </c>
    </row>
    <row r="20" spans="2:15" x14ac:dyDescent="0.25">
      <c r="B20" s="624" t="s">
        <v>917</v>
      </c>
      <c r="C20" s="624" t="s">
        <v>914</v>
      </c>
      <c r="D20" s="625">
        <v>6</v>
      </c>
      <c r="E20" s="626">
        <f>'Detalle Compras Septiembre 2026'!$G$254+'Detalle Compras Septiembre 2026'!$G$389+'Detalle Compras Septiembre 2026'!$G$590+'Detalle Compras Septiembre 2026'!$G$689+'Detalle Compras Septiembre 2026'!$G$703+'Detalle Compras Septiembre 2026'!$G$713</f>
        <v>462000</v>
      </c>
      <c r="F20" s="627">
        <f t="shared" si="0"/>
        <v>9.2822086159509692E-3</v>
      </c>
      <c r="G20" s="626">
        <f t="shared" si="1"/>
        <v>77000</v>
      </c>
      <c r="I20" s="628">
        <v>8</v>
      </c>
      <c r="J20" s="628" t="s">
        <v>875</v>
      </c>
      <c r="K20" s="629" t="s">
        <v>887</v>
      </c>
      <c r="L20" s="624" t="s">
        <v>888</v>
      </c>
      <c r="M20" s="624" t="s">
        <v>918</v>
      </c>
      <c r="N20" s="626">
        <f>'Detalle Compras Septiembre 2026'!G253</f>
        <v>66000</v>
      </c>
      <c r="O20" s="628" t="s">
        <v>879</v>
      </c>
    </row>
    <row r="21" spans="2:15" x14ac:dyDescent="0.25">
      <c r="B21" s="618" t="s">
        <v>919</v>
      </c>
      <c r="C21" s="618" t="s">
        <v>920</v>
      </c>
      <c r="D21" s="619">
        <v>2</v>
      </c>
      <c r="E21" s="620">
        <f>'Detalle Compras Septiembre 2026'!$G$352+'Detalle Compras Septiembre 2026'!$G$619</f>
        <v>140000</v>
      </c>
      <c r="F21" s="621">
        <f t="shared" si="0"/>
        <v>2.812790489682112E-3</v>
      </c>
      <c r="G21" s="620">
        <f t="shared" si="1"/>
        <v>70000</v>
      </c>
      <c r="I21" s="622">
        <v>8</v>
      </c>
      <c r="J21" s="622" t="s">
        <v>875</v>
      </c>
      <c r="K21" s="623" t="s">
        <v>921</v>
      </c>
      <c r="L21" s="618" t="s">
        <v>888</v>
      </c>
      <c r="M21" s="618" t="s">
        <v>922</v>
      </c>
      <c r="N21" s="620">
        <f>'Detalle Compras Septiembre 2026'!G254</f>
        <v>132000</v>
      </c>
      <c r="O21" s="622" t="s">
        <v>879</v>
      </c>
    </row>
    <row r="22" spans="2:15" x14ac:dyDescent="0.25">
      <c r="B22" s="624" t="s">
        <v>923</v>
      </c>
      <c r="C22" s="624" t="s">
        <v>924</v>
      </c>
      <c r="D22" s="625">
        <v>6</v>
      </c>
      <c r="E22" s="626">
        <f>'Detalle Compras Septiembre 2026'!$G$252+'Detalle Compras Septiembre 2026'!$G$414+'Detalle Compras Septiembre 2026'!$G$415+'Detalle Compras Septiembre 2026'!$G$618+'Detalle Compras Septiembre 2026'!$G$685+'Detalle Compras Septiembre 2026'!$G$706</f>
        <v>489200</v>
      </c>
      <c r="F22" s="627">
        <f t="shared" si="0"/>
        <v>9.8286936253749232E-3</v>
      </c>
      <c r="G22" s="626">
        <f t="shared" si="1"/>
        <v>81533.333333333328</v>
      </c>
      <c r="I22" s="628">
        <v>8</v>
      </c>
      <c r="J22" s="628" t="s">
        <v>875</v>
      </c>
      <c r="K22" s="629" t="s">
        <v>925</v>
      </c>
      <c r="L22" s="624" t="s">
        <v>893</v>
      </c>
      <c r="M22" s="624" t="s">
        <v>926</v>
      </c>
      <c r="N22" s="626">
        <f>'Detalle Compras Septiembre 2026'!G257</f>
        <v>20000</v>
      </c>
      <c r="O22" s="628" t="s">
        <v>895</v>
      </c>
    </row>
    <row r="23" spans="2:15" x14ac:dyDescent="0.25">
      <c r="B23" s="618" t="s">
        <v>927</v>
      </c>
      <c r="C23" s="618" t="s">
        <v>928</v>
      </c>
      <c r="D23" s="619">
        <v>2</v>
      </c>
      <c r="E23" s="620">
        <f>'Detalle Compras Septiembre 2026'!$G$491+'Detalle Compras Septiembre 2026'!$G$492</f>
        <v>900000</v>
      </c>
      <c r="F23" s="621">
        <f t="shared" si="0"/>
        <v>1.8082224576527861E-2</v>
      </c>
      <c r="G23" s="620">
        <f t="shared" si="1"/>
        <v>450000</v>
      </c>
      <c r="I23" s="630" t="s">
        <v>929</v>
      </c>
      <c r="J23" s="631"/>
      <c r="K23" s="631"/>
      <c r="L23" s="631"/>
      <c r="M23" s="631"/>
      <c r="N23" s="632">
        <f>SUM(N18:N22)</f>
        <v>350000</v>
      </c>
      <c r="O23" s="631"/>
    </row>
    <row r="24" spans="2:15" x14ac:dyDescent="0.25">
      <c r="B24" s="624" t="s">
        <v>930</v>
      </c>
      <c r="C24" s="624" t="s">
        <v>931</v>
      </c>
      <c r="D24" s="625">
        <v>10</v>
      </c>
      <c r="E24" s="626">
        <f>'Detalle Compras Septiembre 2026'!$G$195+'Detalle Compras Septiembre 2026'!$G$335+'Detalle Compras Septiembre 2026'!$G$347+'Detalle Compras Septiembre 2026'!$G$353+'Detalle Compras Septiembre 2026'!$G$379+'Detalle Compras Septiembre 2026'!$G$494+'Detalle Compras Septiembre 2026'!$G$698+'Detalle Compras Septiembre 2026'!$G$699+'Detalle Compras Septiembre 2026'!$G$700+'Detalle Compras Septiembre 2026'!$G$701</f>
        <v>305500</v>
      </c>
      <c r="F24" s="627">
        <f t="shared" si="0"/>
        <v>6.1379106756991797E-3</v>
      </c>
      <c r="G24" s="626">
        <f t="shared" si="1"/>
        <v>30550</v>
      </c>
      <c r="I24" s="628">
        <v>9</v>
      </c>
      <c r="J24" s="628" t="s">
        <v>875</v>
      </c>
      <c r="K24" s="629" t="s">
        <v>911</v>
      </c>
      <c r="L24" s="624" t="s">
        <v>888</v>
      </c>
      <c r="M24" s="624" t="s">
        <v>912</v>
      </c>
      <c r="N24" s="626">
        <f>'Detalle Compras Septiembre 2026'!G314</f>
        <v>66000</v>
      </c>
      <c r="O24" s="628" t="s">
        <v>879</v>
      </c>
    </row>
    <row r="25" spans="2:15" x14ac:dyDescent="0.25">
      <c r="B25" s="618" t="s">
        <v>932</v>
      </c>
      <c r="C25" s="618" t="s">
        <v>933</v>
      </c>
      <c r="D25" s="619">
        <v>7</v>
      </c>
      <c r="E25" s="620">
        <f>'Detalle Compras Septiembre 2026'!$G$193+'Detalle Compras Septiembre 2026'!$G$257+'Detalle Compras Septiembre 2026'!$G$593+'Detalle Compras Septiembre 2026'!$G$610+'Detalle Compras Septiembre 2026'!$G$707+'Detalle Compras Septiembre 2026'!$G$708+'Detalle Compras Septiembre 2026'!$G$709</f>
        <v>88800</v>
      </c>
      <c r="F25" s="621">
        <f t="shared" si="0"/>
        <v>1.7841128248840823E-3</v>
      </c>
      <c r="G25" s="620">
        <f t="shared" si="1"/>
        <v>12685.714285714286</v>
      </c>
      <c r="I25" s="622">
        <v>9</v>
      </c>
      <c r="J25" s="622" t="s">
        <v>875</v>
      </c>
      <c r="K25" s="623" t="s">
        <v>934</v>
      </c>
      <c r="L25" s="618" t="s">
        <v>888</v>
      </c>
      <c r="M25" s="618" t="s">
        <v>935</v>
      </c>
      <c r="N25" s="620">
        <f>'Detalle Compras Septiembre 2026'!G315</f>
        <v>66000</v>
      </c>
      <c r="O25" s="622" t="s">
        <v>879</v>
      </c>
    </row>
    <row r="26" spans="2:15" x14ac:dyDescent="0.25">
      <c r="B26" s="624" t="s">
        <v>936</v>
      </c>
      <c r="C26" s="624" t="s">
        <v>937</v>
      </c>
      <c r="D26" s="625">
        <v>6</v>
      </c>
      <c r="E26" s="626">
        <f>SUM('Detalle Compras Septiembre 2026'!$G$636:$G$641)</f>
        <v>249500</v>
      </c>
      <c r="F26" s="627">
        <f t="shared" si="0"/>
        <v>5.012794479826335E-3</v>
      </c>
      <c r="G26" s="626">
        <f t="shared" si="1"/>
        <v>41583.333333333336</v>
      </c>
      <c r="I26" s="628">
        <v>9</v>
      </c>
      <c r="J26" s="628" t="s">
        <v>875</v>
      </c>
      <c r="K26" s="629" t="s">
        <v>887</v>
      </c>
      <c r="L26" s="624" t="s">
        <v>888</v>
      </c>
      <c r="M26" s="624" t="s">
        <v>938</v>
      </c>
      <c r="N26" s="626">
        <f>'Detalle Compras Septiembre 2026'!G316</f>
        <v>66000</v>
      </c>
      <c r="O26" s="628" t="s">
        <v>879</v>
      </c>
    </row>
    <row r="27" spans="2:15" x14ac:dyDescent="0.25">
      <c r="B27" s="633" t="s">
        <v>939</v>
      </c>
      <c r="C27" s="634" t="s">
        <v>940</v>
      </c>
      <c r="D27" s="635">
        <f>SUM(D11:D26)</f>
        <v>89</v>
      </c>
      <c r="E27" s="636">
        <f>SUM(E11:E26)</f>
        <v>49772637</v>
      </c>
      <c r="F27" s="637">
        <f>SUM(F11:F26)</f>
        <v>0.99999999999999989</v>
      </c>
      <c r="G27" s="636">
        <f t="shared" si="1"/>
        <v>559243.11235955055</v>
      </c>
      <c r="I27" s="622">
        <v>9</v>
      </c>
      <c r="J27" s="622" t="s">
        <v>875</v>
      </c>
      <c r="K27" s="623" t="s">
        <v>876</v>
      </c>
      <c r="L27" s="618" t="s">
        <v>877</v>
      </c>
      <c r="M27" s="618" t="s">
        <v>941</v>
      </c>
      <c r="N27" s="620">
        <f>'Detalle Compras Septiembre 2026'!G318</f>
        <v>500000</v>
      </c>
      <c r="O27" s="622" t="s">
        <v>942</v>
      </c>
    </row>
    <row r="28" spans="2:15" x14ac:dyDescent="0.25">
      <c r="I28" s="630" t="s">
        <v>943</v>
      </c>
      <c r="J28" s="631"/>
      <c r="K28" s="631"/>
      <c r="L28" s="631"/>
      <c r="M28" s="631"/>
      <c r="N28" s="632">
        <f>SUM(N24:N27)</f>
        <v>698000</v>
      </c>
      <c r="O28" s="631"/>
    </row>
    <row r="29" spans="2:15" x14ac:dyDescent="0.25">
      <c r="I29" s="622">
        <v>10</v>
      </c>
      <c r="J29" s="622" t="s">
        <v>944</v>
      </c>
      <c r="K29" s="623" t="s">
        <v>887</v>
      </c>
      <c r="L29" s="618" t="s">
        <v>903</v>
      </c>
      <c r="M29" s="618" t="s">
        <v>945</v>
      </c>
      <c r="N29" s="620">
        <f>'Detalle Compras Septiembre 2026'!G335</f>
        <v>20000</v>
      </c>
      <c r="O29" s="622" t="s">
        <v>946</v>
      </c>
    </row>
    <row r="30" spans="2:15" x14ac:dyDescent="0.25">
      <c r="I30" s="628">
        <v>10</v>
      </c>
      <c r="J30" s="628" t="s">
        <v>947</v>
      </c>
      <c r="K30" s="629" t="s">
        <v>887</v>
      </c>
      <c r="L30" s="624" t="s">
        <v>888</v>
      </c>
      <c r="M30" s="624" t="s">
        <v>948</v>
      </c>
      <c r="N30" s="626">
        <f>'Detalle Compras Septiembre 2026'!G343</f>
        <v>58000</v>
      </c>
      <c r="O30" s="628" t="s">
        <v>949</v>
      </c>
    </row>
    <row r="31" spans="2:15" x14ac:dyDescent="0.25">
      <c r="I31" s="622">
        <v>10</v>
      </c>
      <c r="J31" s="622" t="s">
        <v>950</v>
      </c>
      <c r="K31" s="623" t="s">
        <v>951</v>
      </c>
      <c r="L31" s="618" t="s">
        <v>877</v>
      </c>
      <c r="M31" s="618" t="s">
        <v>952</v>
      </c>
      <c r="N31" s="620">
        <f>'Detalle Compras Septiembre 2026'!G344</f>
        <v>10000</v>
      </c>
      <c r="O31" s="622" t="s">
        <v>949</v>
      </c>
    </row>
    <row r="32" spans="2:15" x14ac:dyDescent="0.25">
      <c r="I32" s="628">
        <v>10</v>
      </c>
      <c r="J32" s="628" t="s">
        <v>953</v>
      </c>
      <c r="K32" s="629" t="s">
        <v>954</v>
      </c>
      <c r="L32" s="624" t="s">
        <v>903</v>
      </c>
      <c r="M32" s="624" t="s">
        <v>955</v>
      </c>
      <c r="N32" s="626">
        <f>'Detalle Compras Septiembre 2026'!G347</f>
        <v>50000</v>
      </c>
      <c r="O32" s="628" t="s">
        <v>949</v>
      </c>
    </row>
    <row r="33" spans="9:15" x14ac:dyDescent="0.25">
      <c r="I33" s="622">
        <v>10</v>
      </c>
      <c r="J33" s="622" t="s">
        <v>875</v>
      </c>
      <c r="K33" s="623" t="s">
        <v>911</v>
      </c>
      <c r="L33" s="618" t="s">
        <v>888</v>
      </c>
      <c r="M33" s="618" t="s">
        <v>912</v>
      </c>
      <c r="N33" s="620">
        <f>'Detalle Compras Septiembre 2026'!G350</f>
        <v>66000</v>
      </c>
      <c r="O33" s="622" t="s">
        <v>879</v>
      </c>
    </row>
    <row r="34" spans="9:15" x14ac:dyDescent="0.25">
      <c r="I34" s="628">
        <v>10</v>
      </c>
      <c r="J34" s="628" t="s">
        <v>875</v>
      </c>
      <c r="K34" s="629" t="s">
        <v>934</v>
      </c>
      <c r="L34" s="624" t="s">
        <v>888</v>
      </c>
      <c r="M34" s="624" t="s">
        <v>935</v>
      </c>
      <c r="N34" s="626">
        <f>'Detalle Compras Septiembre 2026'!G351</f>
        <v>66000</v>
      </c>
      <c r="O34" s="628" t="s">
        <v>879</v>
      </c>
    </row>
    <row r="35" spans="9:15" x14ac:dyDescent="0.25">
      <c r="I35" s="622">
        <v>10</v>
      </c>
      <c r="J35" s="622" t="s">
        <v>875</v>
      </c>
      <c r="K35" s="623" t="s">
        <v>956</v>
      </c>
      <c r="L35" s="618" t="s">
        <v>957</v>
      </c>
      <c r="M35" s="618" t="s">
        <v>958</v>
      </c>
      <c r="N35" s="620">
        <f>'Detalle Compras Septiembre 2026'!G352</f>
        <v>70000</v>
      </c>
      <c r="O35" s="622" t="s">
        <v>879</v>
      </c>
    </row>
    <row r="36" spans="9:15" x14ac:dyDescent="0.25">
      <c r="I36" s="628">
        <v>10</v>
      </c>
      <c r="J36" s="628" t="s">
        <v>875</v>
      </c>
      <c r="K36" s="629" t="s">
        <v>959</v>
      </c>
      <c r="L36" s="624" t="s">
        <v>903</v>
      </c>
      <c r="M36" s="624" t="s">
        <v>960</v>
      </c>
      <c r="N36" s="626">
        <f>'Detalle Compras Septiembre 2026'!G353</f>
        <v>28000</v>
      </c>
      <c r="O36" s="628" t="s">
        <v>879</v>
      </c>
    </row>
    <row r="37" spans="9:15" x14ac:dyDescent="0.25">
      <c r="I37" s="622">
        <v>10</v>
      </c>
      <c r="J37" s="622" t="s">
        <v>875</v>
      </c>
      <c r="K37" s="623" t="s">
        <v>887</v>
      </c>
      <c r="L37" s="618" t="s">
        <v>888</v>
      </c>
      <c r="M37" s="618" t="s">
        <v>918</v>
      </c>
      <c r="N37" s="620">
        <f>'Detalle Compras Septiembre 2026'!G354</f>
        <v>66000</v>
      </c>
      <c r="O37" s="622" t="s">
        <v>879</v>
      </c>
    </row>
    <row r="38" spans="9:15" x14ac:dyDescent="0.25">
      <c r="I38" s="630" t="s">
        <v>961</v>
      </c>
      <c r="J38" s="631"/>
      <c r="K38" s="631"/>
      <c r="L38" s="631"/>
      <c r="M38" s="631"/>
      <c r="N38" s="632">
        <f>SUM(N29:N37)</f>
        <v>434000</v>
      </c>
      <c r="O38" s="631"/>
    </row>
    <row r="39" spans="9:15" x14ac:dyDescent="0.25">
      <c r="I39" s="622">
        <v>11</v>
      </c>
      <c r="J39" s="622" t="s">
        <v>962</v>
      </c>
      <c r="K39" s="623" t="s">
        <v>963</v>
      </c>
      <c r="L39" s="618" t="s">
        <v>964</v>
      </c>
      <c r="M39" s="618" t="s">
        <v>965</v>
      </c>
      <c r="N39" s="620">
        <f>'Detalle Compras Septiembre 2026'!G373</f>
        <v>1149000</v>
      </c>
      <c r="O39" s="622" t="s">
        <v>962</v>
      </c>
    </row>
    <row r="40" spans="9:15" x14ac:dyDescent="0.25">
      <c r="I40" s="628">
        <v>11</v>
      </c>
      <c r="J40" s="628" t="s">
        <v>966</v>
      </c>
      <c r="K40" s="629" t="s">
        <v>967</v>
      </c>
      <c r="L40" s="624" t="s">
        <v>968</v>
      </c>
      <c r="M40" s="624" t="s">
        <v>969</v>
      </c>
      <c r="N40" s="626">
        <f>'Detalle Compras Septiembre 2026'!G374</f>
        <v>1200000</v>
      </c>
      <c r="O40" s="628" t="s">
        <v>970</v>
      </c>
    </row>
    <row r="41" spans="9:15" x14ac:dyDescent="0.25">
      <c r="I41" s="622">
        <v>11</v>
      </c>
      <c r="J41" s="622" t="s">
        <v>971</v>
      </c>
      <c r="K41" s="623" t="s">
        <v>972</v>
      </c>
      <c r="L41" s="618" t="s">
        <v>973</v>
      </c>
      <c r="M41" s="618" t="s">
        <v>974</v>
      </c>
      <c r="N41" s="620">
        <f>'Detalle Compras Septiembre 2026'!G377</f>
        <v>16523800</v>
      </c>
      <c r="O41" s="622" t="s">
        <v>975</v>
      </c>
    </row>
    <row r="42" spans="9:15" x14ac:dyDescent="0.25">
      <c r="I42" s="628">
        <v>11</v>
      </c>
      <c r="J42" s="628" t="s">
        <v>966</v>
      </c>
      <c r="K42" s="629" t="s">
        <v>976</v>
      </c>
      <c r="L42" s="624" t="s">
        <v>903</v>
      </c>
      <c r="M42" s="624" t="s">
        <v>977</v>
      </c>
      <c r="N42" s="626">
        <f>'Detalle Compras Septiembre 2026'!G379</f>
        <v>15000</v>
      </c>
      <c r="O42" s="628" t="s">
        <v>946</v>
      </c>
    </row>
    <row r="43" spans="9:15" x14ac:dyDescent="0.25">
      <c r="I43" s="622">
        <v>11</v>
      </c>
      <c r="J43" s="622" t="s">
        <v>875</v>
      </c>
      <c r="K43" s="623" t="s">
        <v>911</v>
      </c>
      <c r="L43" s="618" t="s">
        <v>888</v>
      </c>
      <c r="M43" s="618" t="s">
        <v>978</v>
      </c>
      <c r="N43" s="620">
        <f>'Detalle Compras Septiembre 2026'!G387</f>
        <v>66000</v>
      </c>
      <c r="O43" s="622" t="s">
        <v>879</v>
      </c>
    </row>
    <row r="44" spans="9:15" x14ac:dyDescent="0.25">
      <c r="I44" s="628">
        <v>11</v>
      </c>
      <c r="J44" s="628" t="s">
        <v>875</v>
      </c>
      <c r="K44" s="629" t="s">
        <v>934</v>
      </c>
      <c r="L44" s="624" t="s">
        <v>888</v>
      </c>
      <c r="M44" s="624" t="s">
        <v>979</v>
      </c>
      <c r="N44" s="626">
        <f>'Detalle Compras Septiembre 2026'!G388</f>
        <v>66000</v>
      </c>
      <c r="O44" s="628" t="s">
        <v>879</v>
      </c>
    </row>
    <row r="45" spans="9:15" x14ac:dyDescent="0.25">
      <c r="I45" s="622">
        <v>11</v>
      </c>
      <c r="J45" s="622" t="s">
        <v>875</v>
      </c>
      <c r="K45" s="623" t="s">
        <v>921</v>
      </c>
      <c r="L45" s="618" t="s">
        <v>888</v>
      </c>
      <c r="M45" s="618" t="s">
        <v>980</v>
      </c>
      <c r="N45" s="620">
        <f>'Detalle Compras Septiembre 2026'!G389</f>
        <v>66000</v>
      </c>
      <c r="O45" s="622" t="s">
        <v>879</v>
      </c>
    </row>
    <row r="46" spans="9:15" x14ac:dyDescent="0.25">
      <c r="I46" s="628">
        <v>11</v>
      </c>
      <c r="J46" s="628" t="s">
        <v>875</v>
      </c>
      <c r="K46" s="629" t="s">
        <v>951</v>
      </c>
      <c r="L46" s="624" t="s">
        <v>877</v>
      </c>
      <c r="M46" s="624" t="s">
        <v>981</v>
      </c>
      <c r="N46" s="626">
        <f>'Detalle Compras Septiembre 2026'!G392</f>
        <v>300000</v>
      </c>
      <c r="O46" s="628" t="s">
        <v>879</v>
      </c>
    </row>
    <row r="47" spans="9:15" x14ac:dyDescent="0.25">
      <c r="I47" s="622">
        <v>11</v>
      </c>
      <c r="J47" s="622" t="s">
        <v>982</v>
      </c>
      <c r="K47" s="623" t="s">
        <v>967</v>
      </c>
      <c r="L47" s="618" t="s">
        <v>968</v>
      </c>
      <c r="M47" s="618" t="s">
        <v>983</v>
      </c>
      <c r="N47" s="620">
        <f>'Detalle Compras Septiembre 2026'!G397</f>
        <v>900000</v>
      </c>
      <c r="O47" s="622" t="s">
        <v>984</v>
      </c>
    </row>
    <row r="48" spans="9:15" x14ac:dyDescent="0.25">
      <c r="I48" s="628">
        <v>11</v>
      </c>
      <c r="J48" s="628" t="s">
        <v>390</v>
      </c>
      <c r="K48" s="629" t="s">
        <v>887</v>
      </c>
      <c r="L48" s="624" t="s">
        <v>985</v>
      </c>
      <c r="M48" s="624" t="s">
        <v>889</v>
      </c>
      <c r="N48" s="626">
        <f>'Detalle Compras Septiembre 2026'!G414</f>
        <v>66000</v>
      </c>
      <c r="O48" s="628" t="s">
        <v>986</v>
      </c>
    </row>
    <row r="49" spans="9:15" x14ac:dyDescent="0.25">
      <c r="I49" s="622">
        <v>11</v>
      </c>
      <c r="J49" s="622" t="s">
        <v>390</v>
      </c>
      <c r="K49" s="623" t="s">
        <v>887</v>
      </c>
      <c r="L49" s="618" t="s">
        <v>985</v>
      </c>
      <c r="M49" s="618" t="s">
        <v>987</v>
      </c>
      <c r="N49" s="620">
        <f>'Detalle Compras Septiembre 2026'!G415</f>
        <v>49500</v>
      </c>
      <c r="O49" s="622" t="s">
        <v>986</v>
      </c>
    </row>
    <row r="50" spans="9:15" x14ac:dyDescent="0.25">
      <c r="I50" s="628">
        <v>11</v>
      </c>
      <c r="J50" s="628" t="s">
        <v>875</v>
      </c>
      <c r="K50" s="629" t="s">
        <v>988</v>
      </c>
      <c r="L50" s="624" t="s">
        <v>964</v>
      </c>
      <c r="M50" s="624" t="s">
        <v>989</v>
      </c>
      <c r="N50" s="626">
        <f>'Detalle Compras Septiembre 2026'!G687</f>
        <v>345000</v>
      </c>
      <c r="O50" s="628" t="s">
        <v>879</v>
      </c>
    </row>
    <row r="51" spans="9:15" x14ac:dyDescent="0.25">
      <c r="I51" s="630" t="s">
        <v>990</v>
      </c>
      <c r="J51" s="631"/>
      <c r="K51" s="631"/>
      <c r="L51" s="631"/>
      <c r="M51" s="631"/>
      <c r="N51" s="632">
        <f>SUM(N39:N50)</f>
        <v>20746300</v>
      </c>
      <c r="O51" s="631"/>
    </row>
    <row r="52" spans="9:15" x14ac:dyDescent="0.25">
      <c r="I52" s="628">
        <v>12</v>
      </c>
      <c r="J52" s="628" t="s">
        <v>875</v>
      </c>
      <c r="K52" s="629" t="s">
        <v>921</v>
      </c>
      <c r="L52" s="624" t="s">
        <v>888</v>
      </c>
      <c r="M52" s="624" t="s">
        <v>991</v>
      </c>
      <c r="N52" s="626">
        <f>'Detalle Compras Septiembre 2026'!G689</f>
        <v>66000</v>
      </c>
      <c r="O52" s="628" t="s">
        <v>879</v>
      </c>
    </row>
    <row r="53" spans="9:15" x14ac:dyDescent="0.25">
      <c r="I53" s="622">
        <v>12</v>
      </c>
      <c r="J53" s="622" t="s">
        <v>875</v>
      </c>
      <c r="K53" s="623" t="s">
        <v>911</v>
      </c>
      <c r="L53" s="618" t="s">
        <v>888</v>
      </c>
      <c r="M53" s="618" t="s">
        <v>992</v>
      </c>
      <c r="N53" s="620">
        <f>'Detalle Compras Septiembre 2026'!G690</f>
        <v>66000</v>
      </c>
      <c r="O53" s="622" t="s">
        <v>879</v>
      </c>
    </row>
    <row r="54" spans="9:15" x14ac:dyDescent="0.25">
      <c r="I54" s="628">
        <v>12</v>
      </c>
      <c r="J54" s="628" t="s">
        <v>875</v>
      </c>
      <c r="K54" s="629" t="s">
        <v>934</v>
      </c>
      <c r="L54" s="624" t="s">
        <v>888</v>
      </c>
      <c r="M54" s="624" t="s">
        <v>993</v>
      </c>
      <c r="N54" s="626">
        <f>'Detalle Compras Septiembre 2026'!G691</f>
        <v>66000</v>
      </c>
      <c r="O54" s="628" t="s">
        <v>879</v>
      </c>
    </row>
    <row r="55" spans="9:15" x14ac:dyDescent="0.25">
      <c r="I55" s="622">
        <v>12</v>
      </c>
      <c r="J55" s="622" t="s">
        <v>875</v>
      </c>
      <c r="K55" s="623" t="s">
        <v>876</v>
      </c>
      <c r="L55" s="618" t="s">
        <v>877</v>
      </c>
      <c r="M55" s="618" t="s">
        <v>994</v>
      </c>
      <c r="N55" s="620">
        <f>'Detalle Compras Septiembre 2026'!G692</f>
        <v>750000</v>
      </c>
      <c r="O55" s="622" t="s">
        <v>995</v>
      </c>
    </row>
    <row r="56" spans="9:15" x14ac:dyDescent="0.25">
      <c r="I56" s="628">
        <v>12</v>
      </c>
      <c r="J56" s="628" t="s">
        <v>875</v>
      </c>
      <c r="K56" s="629" t="s">
        <v>876</v>
      </c>
      <c r="L56" s="624" t="s">
        <v>877</v>
      </c>
      <c r="M56" s="624" t="s">
        <v>996</v>
      </c>
      <c r="N56" s="626">
        <f>'Detalle Compras Septiembre 2026'!G693</f>
        <v>241800</v>
      </c>
      <c r="O56" s="628" t="s">
        <v>997</v>
      </c>
    </row>
    <row r="57" spans="9:15" x14ac:dyDescent="0.25">
      <c r="I57" s="622">
        <v>12</v>
      </c>
      <c r="J57" s="622" t="s">
        <v>875</v>
      </c>
      <c r="K57" s="623" t="s">
        <v>887</v>
      </c>
      <c r="L57" s="618" t="s">
        <v>888</v>
      </c>
      <c r="M57" s="618" t="s">
        <v>998</v>
      </c>
      <c r="N57" s="620">
        <f>'Detalle Compras Septiembre 2026'!G696</f>
        <v>66000</v>
      </c>
      <c r="O57" s="622" t="s">
        <v>879</v>
      </c>
    </row>
    <row r="58" spans="9:15" x14ac:dyDescent="0.25">
      <c r="I58" s="628">
        <v>12</v>
      </c>
      <c r="J58" s="628" t="s">
        <v>875</v>
      </c>
      <c r="K58" s="629" t="s">
        <v>934</v>
      </c>
      <c r="L58" s="624" t="s">
        <v>888</v>
      </c>
      <c r="M58" s="624" t="s">
        <v>999</v>
      </c>
      <c r="N58" s="626">
        <f>'Detalle Compras Septiembre 2026'!G697</f>
        <v>66000</v>
      </c>
      <c r="O58" s="628" t="s">
        <v>879</v>
      </c>
    </row>
    <row r="59" spans="9:15" x14ac:dyDescent="0.25">
      <c r="I59" s="622">
        <v>12</v>
      </c>
      <c r="J59" s="622" t="s">
        <v>875</v>
      </c>
      <c r="K59" s="623" t="s">
        <v>1000</v>
      </c>
      <c r="L59" s="618" t="s">
        <v>903</v>
      </c>
      <c r="M59" s="618" t="s">
        <v>1001</v>
      </c>
      <c r="N59" s="620">
        <f>'Detalle Compras Septiembre 2026'!G698</f>
        <v>40000</v>
      </c>
      <c r="O59" s="622" t="s">
        <v>946</v>
      </c>
    </row>
    <row r="60" spans="9:15" x14ac:dyDescent="0.25">
      <c r="I60" s="628">
        <v>12</v>
      </c>
      <c r="J60" s="628" t="s">
        <v>875</v>
      </c>
      <c r="K60" s="629" t="s">
        <v>976</v>
      </c>
      <c r="L60" s="624" t="s">
        <v>903</v>
      </c>
      <c r="M60" s="624" t="s">
        <v>1002</v>
      </c>
      <c r="N60" s="626">
        <f>'Detalle Compras Septiembre 2026'!G699</f>
        <v>30000</v>
      </c>
      <c r="O60" s="628" t="s">
        <v>946</v>
      </c>
    </row>
    <row r="61" spans="9:15" x14ac:dyDescent="0.25">
      <c r="I61" s="622">
        <v>12</v>
      </c>
      <c r="J61" s="622" t="s">
        <v>875</v>
      </c>
      <c r="K61" s="623" t="s">
        <v>1003</v>
      </c>
      <c r="L61" s="618" t="s">
        <v>903</v>
      </c>
      <c r="M61" s="618" t="s">
        <v>1004</v>
      </c>
      <c r="N61" s="620">
        <f>'Detalle Compras Septiembre 2026'!G700</f>
        <v>27500</v>
      </c>
      <c r="O61" s="622" t="s">
        <v>946</v>
      </c>
    </row>
    <row r="62" spans="9:15" x14ac:dyDescent="0.25">
      <c r="I62" s="628">
        <v>12</v>
      </c>
      <c r="J62" s="628" t="s">
        <v>875</v>
      </c>
      <c r="K62" s="629" t="s">
        <v>1005</v>
      </c>
      <c r="L62" s="624" t="s">
        <v>903</v>
      </c>
      <c r="M62" s="624" t="s">
        <v>1006</v>
      </c>
      <c r="N62" s="626">
        <f>'Detalle Compras Septiembre 2026'!G701</f>
        <v>50000</v>
      </c>
      <c r="O62" s="628" t="s">
        <v>946</v>
      </c>
    </row>
    <row r="63" spans="9:15" x14ac:dyDescent="0.25">
      <c r="I63" s="630" t="s">
        <v>1007</v>
      </c>
      <c r="J63" s="631"/>
      <c r="K63" s="631"/>
      <c r="L63" s="631"/>
      <c r="M63" s="631"/>
      <c r="N63" s="632">
        <f>SUM(N52:N62)</f>
        <v>1469300</v>
      </c>
      <c r="O63" s="631"/>
    </row>
    <row r="64" spans="9:15" x14ac:dyDescent="0.25">
      <c r="I64" s="628">
        <v>13</v>
      </c>
      <c r="J64" s="628" t="s">
        <v>875</v>
      </c>
      <c r="K64" s="629" t="s">
        <v>934</v>
      </c>
      <c r="L64" s="624" t="s">
        <v>888</v>
      </c>
      <c r="M64" s="624" t="s">
        <v>993</v>
      </c>
      <c r="N64" s="626">
        <f>'Detalle Compras Septiembre 2026'!G702</f>
        <v>66000</v>
      </c>
      <c r="O64" s="628" t="s">
        <v>879</v>
      </c>
    </row>
    <row r="65" spans="9:15" x14ac:dyDescent="0.25">
      <c r="I65" s="622">
        <v>13</v>
      </c>
      <c r="J65" s="622" t="s">
        <v>875</v>
      </c>
      <c r="K65" s="623" t="s">
        <v>921</v>
      </c>
      <c r="L65" s="618" t="s">
        <v>888</v>
      </c>
      <c r="M65" s="618" t="s">
        <v>991</v>
      </c>
      <c r="N65" s="620">
        <f>'Detalle Compras Septiembre 2026'!G703</f>
        <v>66000</v>
      </c>
      <c r="O65" s="622" t="s">
        <v>879</v>
      </c>
    </row>
    <row r="66" spans="9:15" x14ac:dyDescent="0.25">
      <c r="I66" s="628">
        <v>13</v>
      </c>
      <c r="J66" s="628" t="s">
        <v>875</v>
      </c>
      <c r="K66" s="629" t="s">
        <v>1008</v>
      </c>
      <c r="L66" s="624" t="s">
        <v>985</v>
      </c>
      <c r="M66" s="624" t="s">
        <v>1009</v>
      </c>
      <c r="N66" s="626">
        <f>'Detalle Compras Septiembre 2026'!G706</f>
        <v>70000</v>
      </c>
      <c r="O66" s="628" t="s">
        <v>879</v>
      </c>
    </row>
    <row r="67" spans="9:15" x14ac:dyDescent="0.25">
      <c r="I67" s="622">
        <v>13</v>
      </c>
      <c r="J67" s="622" t="s">
        <v>875</v>
      </c>
      <c r="K67" s="623" t="s">
        <v>902</v>
      </c>
      <c r="L67" s="618" t="s">
        <v>893</v>
      </c>
      <c r="M67" s="618" t="s">
        <v>1010</v>
      </c>
      <c r="N67" s="620">
        <f>'Detalle Compras Septiembre 2026'!G707</f>
        <v>22500</v>
      </c>
      <c r="O67" s="622" t="s">
        <v>895</v>
      </c>
    </row>
    <row r="68" spans="9:15" x14ac:dyDescent="0.25">
      <c r="I68" s="628">
        <v>13</v>
      </c>
      <c r="J68" s="628" t="s">
        <v>875</v>
      </c>
      <c r="K68" s="629" t="s">
        <v>1011</v>
      </c>
      <c r="L68" s="624" t="s">
        <v>893</v>
      </c>
      <c r="M68" s="624" t="s">
        <v>1012</v>
      </c>
      <c r="N68" s="626">
        <f>'Detalle Compras Septiembre 2026'!G708</f>
        <v>9000</v>
      </c>
      <c r="O68" s="628" t="s">
        <v>895</v>
      </c>
    </row>
    <row r="69" spans="9:15" x14ac:dyDescent="0.25">
      <c r="I69" s="622">
        <v>13</v>
      </c>
      <c r="J69" s="622" t="s">
        <v>875</v>
      </c>
      <c r="K69" s="623" t="s">
        <v>1013</v>
      </c>
      <c r="L69" s="618" t="s">
        <v>893</v>
      </c>
      <c r="M69" s="618" t="s">
        <v>1014</v>
      </c>
      <c r="N69" s="620">
        <f>'Detalle Compras Septiembre 2026'!G709</f>
        <v>24500</v>
      </c>
      <c r="O69" s="622" t="s">
        <v>895</v>
      </c>
    </row>
    <row r="70" spans="9:15" x14ac:dyDescent="0.25">
      <c r="I70" s="628">
        <v>13</v>
      </c>
      <c r="J70" s="628" t="s">
        <v>875</v>
      </c>
      <c r="K70" s="629" t="s">
        <v>887</v>
      </c>
      <c r="L70" s="624" t="s">
        <v>888</v>
      </c>
      <c r="M70" s="624" t="s">
        <v>1015</v>
      </c>
      <c r="N70" s="626">
        <f>'Detalle Compras Septiembre 2026'!G710</f>
        <v>66000</v>
      </c>
      <c r="O70" s="628" t="s">
        <v>879</v>
      </c>
    </row>
    <row r="71" spans="9:15" x14ac:dyDescent="0.25">
      <c r="I71" s="630" t="s">
        <v>1016</v>
      </c>
      <c r="J71" s="631"/>
      <c r="K71" s="631"/>
      <c r="L71" s="631"/>
      <c r="M71" s="631"/>
      <c r="N71" s="632">
        <f>SUM(N64:N70)</f>
        <v>324000</v>
      </c>
      <c r="O71" s="631"/>
    </row>
    <row r="72" spans="9:15" x14ac:dyDescent="0.25">
      <c r="I72" s="628">
        <v>14</v>
      </c>
      <c r="J72" s="628" t="s">
        <v>962</v>
      </c>
      <c r="K72" s="629" t="s">
        <v>967</v>
      </c>
      <c r="L72" s="624" t="s">
        <v>968</v>
      </c>
      <c r="M72" s="624" t="s">
        <v>1017</v>
      </c>
      <c r="N72" s="626">
        <f>'Detalle Compras Septiembre 2026'!G484</f>
        <v>300000</v>
      </c>
      <c r="O72" s="628" t="s">
        <v>1018</v>
      </c>
    </row>
    <row r="73" spans="9:15" x14ac:dyDescent="0.25">
      <c r="I73" s="622">
        <v>14</v>
      </c>
      <c r="J73" s="622" t="s">
        <v>1019</v>
      </c>
      <c r="K73" s="623" t="s">
        <v>972</v>
      </c>
      <c r="L73" s="618" t="s">
        <v>973</v>
      </c>
      <c r="M73" s="618" t="s">
        <v>1020</v>
      </c>
      <c r="N73" s="620">
        <f>'Detalle Compras Septiembre 2026'!G642</f>
        <v>16246091</v>
      </c>
      <c r="O73" s="622" t="s">
        <v>975</v>
      </c>
    </row>
    <row r="74" spans="9:15" x14ac:dyDescent="0.25">
      <c r="I74" s="628">
        <v>14</v>
      </c>
      <c r="J74" s="628" t="s">
        <v>1019</v>
      </c>
      <c r="K74" s="629" t="s">
        <v>972</v>
      </c>
      <c r="L74" s="624" t="s">
        <v>973</v>
      </c>
      <c r="M74" s="624" t="s">
        <v>1021</v>
      </c>
      <c r="N74" s="626">
        <f>'Detalle Compras Septiembre 2026'!G643</f>
        <v>2148094</v>
      </c>
      <c r="O74" s="628" t="s">
        <v>975</v>
      </c>
    </row>
    <row r="75" spans="9:15" x14ac:dyDescent="0.25">
      <c r="I75" s="622">
        <v>14</v>
      </c>
      <c r="J75" s="622" t="s">
        <v>875</v>
      </c>
      <c r="K75" s="623" t="s">
        <v>911</v>
      </c>
      <c r="L75" s="618" t="s">
        <v>888</v>
      </c>
      <c r="M75" s="618" t="s">
        <v>992</v>
      </c>
      <c r="N75" s="620">
        <f>'Detalle Compras Septiembre 2026'!G711</f>
        <v>66000</v>
      </c>
      <c r="O75" s="622" t="s">
        <v>879</v>
      </c>
    </row>
    <row r="76" spans="9:15" x14ac:dyDescent="0.25">
      <c r="I76" s="628">
        <v>14</v>
      </c>
      <c r="J76" s="628" t="s">
        <v>875</v>
      </c>
      <c r="K76" s="629" t="s">
        <v>934</v>
      </c>
      <c r="L76" s="624" t="s">
        <v>888</v>
      </c>
      <c r="M76" s="624" t="s">
        <v>993</v>
      </c>
      <c r="N76" s="626">
        <f>'Detalle Compras Septiembre 2026'!G712</f>
        <v>66000</v>
      </c>
      <c r="O76" s="628" t="s">
        <v>879</v>
      </c>
    </row>
    <row r="77" spans="9:15" x14ac:dyDescent="0.25">
      <c r="I77" s="622">
        <v>14</v>
      </c>
      <c r="J77" s="622" t="s">
        <v>875</v>
      </c>
      <c r="K77" s="623" t="s">
        <v>921</v>
      </c>
      <c r="L77" s="618" t="s">
        <v>888</v>
      </c>
      <c r="M77" s="618" t="s">
        <v>991</v>
      </c>
      <c r="N77" s="620">
        <f>'Detalle Compras Septiembre 2026'!G713</f>
        <v>66000</v>
      </c>
      <c r="O77" s="622" t="s">
        <v>879</v>
      </c>
    </row>
    <row r="78" spans="9:15" x14ac:dyDescent="0.25">
      <c r="I78" s="630" t="s">
        <v>1022</v>
      </c>
      <c r="J78" s="631"/>
      <c r="K78" s="631"/>
      <c r="L78" s="631"/>
      <c r="M78" s="631"/>
      <c r="N78" s="632">
        <f>SUM(N72:N77)</f>
        <v>18892185</v>
      </c>
      <c r="O78" s="631"/>
    </row>
    <row r="79" spans="9:15" x14ac:dyDescent="0.25">
      <c r="I79" s="622">
        <v>15</v>
      </c>
      <c r="J79" s="622" t="s">
        <v>1023</v>
      </c>
      <c r="K79" s="623" t="s">
        <v>1024</v>
      </c>
      <c r="L79" s="618" t="s">
        <v>1025</v>
      </c>
      <c r="M79" s="618" t="s">
        <v>1026</v>
      </c>
      <c r="N79" s="620">
        <f>'Detalle Compras Septiembre 2026'!G575</f>
        <v>897464</v>
      </c>
      <c r="O79" s="622" t="s">
        <v>1027</v>
      </c>
    </row>
    <row r="80" spans="9:15" x14ac:dyDescent="0.25">
      <c r="I80" s="628">
        <v>15</v>
      </c>
      <c r="J80" s="628" t="s">
        <v>1023</v>
      </c>
      <c r="K80" s="629" t="s">
        <v>1028</v>
      </c>
      <c r="L80" s="624" t="s">
        <v>1025</v>
      </c>
      <c r="M80" s="624" t="s">
        <v>1026</v>
      </c>
      <c r="N80" s="626">
        <f>'Detalle Compras Septiembre 2026'!G576</f>
        <v>892864</v>
      </c>
      <c r="O80" s="628" t="s">
        <v>1027</v>
      </c>
    </row>
    <row r="81" spans="9:15" x14ac:dyDescent="0.25">
      <c r="I81" s="622">
        <v>15</v>
      </c>
      <c r="J81" s="622" t="s">
        <v>1023</v>
      </c>
      <c r="K81" s="623" t="s">
        <v>1029</v>
      </c>
      <c r="L81" s="618" t="s">
        <v>1025</v>
      </c>
      <c r="M81" s="618" t="s">
        <v>1026</v>
      </c>
      <c r="N81" s="620">
        <f>'Detalle Compras Septiembre 2026'!G577</f>
        <v>897464</v>
      </c>
      <c r="O81" s="622" t="s">
        <v>1027</v>
      </c>
    </row>
    <row r="82" spans="9:15" x14ac:dyDescent="0.25">
      <c r="I82" s="628">
        <v>15</v>
      </c>
      <c r="J82" s="628" t="s">
        <v>1023</v>
      </c>
      <c r="K82" s="629" t="s">
        <v>1030</v>
      </c>
      <c r="L82" s="624" t="s">
        <v>1025</v>
      </c>
      <c r="M82" s="624" t="s">
        <v>1026</v>
      </c>
      <c r="N82" s="626">
        <f>'Detalle Compras Septiembre 2026'!G578</f>
        <v>1615060</v>
      </c>
      <c r="O82" s="628" t="s">
        <v>1027</v>
      </c>
    </row>
    <row r="83" spans="9:15" x14ac:dyDescent="0.25">
      <c r="I83" s="622">
        <v>15</v>
      </c>
      <c r="J83" s="622" t="s">
        <v>875</v>
      </c>
      <c r="K83" s="623" t="s">
        <v>911</v>
      </c>
      <c r="L83" s="618" t="s">
        <v>888</v>
      </c>
      <c r="M83" s="618" t="s">
        <v>1031</v>
      </c>
      <c r="N83" s="620">
        <f>'Detalle Compras Septiembre 2026'!G589</f>
        <v>66000</v>
      </c>
      <c r="O83" s="622" t="s">
        <v>879</v>
      </c>
    </row>
    <row r="84" spans="9:15" x14ac:dyDescent="0.25">
      <c r="I84" s="628">
        <v>15</v>
      </c>
      <c r="J84" s="628" t="s">
        <v>875</v>
      </c>
      <c r="K84" s="629" t="s">
        <v>921</v>
      </c>
      <c r="L84" s="624" t="s">
        <v>888</v>
      </c>
      <c r="M84" s="624" t="s">
        <v>1032</v>
      </c>
      <c r="N84" s="626">
        <f>'Detalle Compras Septiembre 2026'!G590</f>
        <v>66000</v>
      </c>
      <c r="O84" s="628" t="s">
        <v>879</v>
      </c>
    </row>
    <row r="85" spans="9:15" x14ac:dyDescent="0.25">
      <c r="I85" s="622">
        <v>15</v>
      </c>
      <c r="J85" s="622" t="s">
        <v>875</v>
      </c>
      <c r="K85" s="623" t="s">
        <v>934</v>
      </c>
      <c r="L85" s="618" t="s">
        <v>888</v>
      </c>
      <c r="M85" s="618" t="s">
        <v>1033</v>
      </c>
      <c r="N85" s="620">
        <f>'Detalle Compras Septiembre 2026'!G591</f>
        <v>66000</v>
      </c>
      <c r="O85" s="622" t="s">
        <v>879</v>
      </c>
    </row>
    <row r="86" spans="9:15" x14ac:dyDescent="0.25">
      <c r="I86" s="628">
        <v>15</v>
      </c>
      <c r="J86" s="628" t="s">
        <v>875</v>
      </c>
      <c r="K86" s="629" t="s">
        <v>1034</v>
      </c>
      <c r="L86" s="624" t="s">
        <v>893</v>
      </c>
      <c r="M86" s="624" t="s">
        <v>1035</v>
      </c>
      <c r="N86" s="626">
        <f>'Detalle Compras Septiembre 2026'!G593</f>
        <v>5000</v>
      </c>
      <c r="O86" s="628" t="s">
        <v>895</v>
      </c>
    </row>
    <row r="87" spans="9:15" x14ac:dyDescent="0.25">
      <c r="I87" s="622">
        <v>15</v>
      </c>
      <c r="J87" s="622" t="s">
        <v>875</v>
      </c>
      <c r="K87" s="623" t="s">
        <v>887</v>
      </c>
      <c r="L87" s="618" t="s">
        <v>888</v>
      </c>
      <c r="M87" s="618" t="s">
        <v>1036</v>
      </c>
      <c r="N87" s="620">
        <f>'Detalle Compras Septiembre 2026'!G603</f>
        <v>66000</v>
      </c>
      <c r="O87" s="622" t="s">
        <v>879</v>
      </c>
    </row>
    <row r="88" spans="9:15" x14ac:dyDescent="0.25">
      <c r="I88" s="628">
        <v>15</v>
      </c>
      <c r="J88" s="628" t="s">
        <v>1037</v>
      </c>
      <c r="K88" s="629" t="s">
        <v>1038</v>
      </c>
      <c r="L88" s="624" t="s">
        <v>1039</v>
      </c>
      <c r="M88" s="624" t="s">
        <v>1040</v>
      </c>
      <c r="N88" s="626">
        <f>'Detalle Compras Septiembre 2026'!G636</f>
        <v>11000</v>
      </c>
      <c r="O88" s="628" t="s">
        <v>1039</v>
      </c>
    </row>
    <row r="89" spans="9:15" x14ac:dyDescent="0.25">
      <c r="I89" s="622">
        <v>15</v>
      </c>
      <c r="J89" s="622" t="s">
        <v>1037</v>
      </c>
      <c r="K89" s="623" t="s">
        <v>1038</v>
      </c>
      <c r="L89" s="618" t="s">
        <v>1039</v>
      </c>
      <c r="M89" s="618" t="s">
        <v>1041</v>
      </c>
      <c r="N89" s="620">
        <f>'Detalle Compras Septiembre 2026'!G637</f>
        <v>11000</v>
      </c>
      <c r="O89" s="622" t="s">
        <v>1039</v>
      </c>
    </row>
    <row r="90" spans="9:15" x14ac:dyDescent="0.25">
      <c r="I90" s="628">
        <v>15</v>
      </c>
      <c r="J90" s="628" t="s">
        <v>1037</v>
      </c>
      <c r="K90" s="629" t="s">
        <v>1038</v>
      </c>
      <c r="L90" s="624" t="s">
        <v>1039</v>
      </c>
      <c r="M90" s="624" t="s">
        <v>1042</v>
      </c>
      <c r="N90" s="626">
        <f>'Detalle Compras Septiembre 2026'!G638</f>
        <v>11000</v>
      </c>
      <c r="O90" s="628" t="s">
        <v>1039</v>
      </c>
    </row>
    <row r="91" spans="9:15" x14ac:dyDescent="0.25">
      <c r="I91" s="622">
        <v>15</v>
      </c>
      <c r="J91" s="622" t="s">
        <v>1037</v>
      </c>
      <c r="K91" s="623" t="s">
        <v>1038</v>
      </c>
      <c r="L91" s="618" t="s">
        <v>1039</v>
      </c>
      <c r="M91" s="618" t="s">
        <v>1043</v>
      </c>
      <c r="N91" s="620">
        <f>'Detalle Compras Septiembre 2026'!G639</f>
        <v>63000</v>
      </c>
      <c r="O91" s="622" t="s">
        <v>1039</v>
      </c>
    </row>
    <row r="92" spans="9:15" x14ac:dyDescent="0.25">
      <c r="I92" s="628">
        <v>15</v>
      </c>
      <c r="J92" s="628" t="s">
        <v>1037</v>
      </c>
      <c r="K92" s="629" t="s">
        <v>1038</v>
      </c>
      <c r="L92" s="624" t="s">
        <v>1039</v>
      </c>
      <c r="M92" s="624" t="s">
        <v>1044</v>
      </c>
      <c r="N92" s="626">
        <f>'Detalle Compras Septiembre 2026'!G640</f>
        <v>46500</v>
      </c>
      <c r="O92" s="628" t="s">
        <v>1039</v>
      </c>
    </row>
    <row r="93" spans="9:15" x14ac:dyDescent="0.25">
      <c r="I93" s="622">
        <v>15</v>
      </c>
      <c r="J93" s="622" t="s">
        <v>1037</v>
      </c>
      <c r="K93" s="623" t="s">
        <v>1038</v>
      </c>
      <c r="L93" s="618" t="s">
        <v>1039</v>
      </c>
      <c r="M93" s="618" t="s">
        <v>1045</v>
      </c>
      <c r="N93" s="620">
        <f>'Detalle Compras Septiembre 2026'!G641</f>
        <v>107000</v>
      </c>
      <c r="O93" s="622" t="s">
        <v>1039</v>
      </c>
    </row>
    <row r="94" spans="9:15" x14ac:dyDescent="0.25">
      <c r="I94" s="630" t="s">
        <v>1046</v>
      </c>
      <c r="J94" s="631"/>
      <c r="K94" s="631"/>
      <c r="L94" s="631"/>
      <c r="M94" s="631"/>
      <c r="N94" s="632">
        <f>SUM(N79:N93)</f>
        <v>4821352</v>
      </c>
      <c r="O94" s="631"/>
    </row>
    <row r="95" spans="9:15" x14ac:dyDescent="0.25">
      <c r="I95" s="622">
        <v>16</v>
      </c>
      <c r="J95" s="622" t="s">
        <v>390</v>
      </c>
      <c r="K95" s="623" t="s">
        <v>1047</v>
      </c>
      <c r="L95" s="618" t="s">
        <v>1048</v>
      </c>
      <c r="M95" s="618" t="s">
        <v>1049</v>
      </c>
      <c r="N95" s="620">
        <f>'Detalle Compras Septiembre 2026'!G491</f>
        <v>100000</v>
      </c>
      <c r="O95" s="622" t="s">
        <v>1050</v>
      </c>
    </row>
    <row r="96" spans="9:15" x14ac:dyDescent="0.25">
      <c r="I96" s="628">
        <v>16</v>
      </c>
      <c r="J96" s="628" t="s">
        <v>390</v>
      </c>
      <c r="K96" s="629" t="s">
        <v>1051</v>
      </c>
      <c r="L96" s="624" t="s">
        <v>1052</v>
      </c>
      <c r="M96" s="624" t="s">
        <v>1053</v>
      </c>
      <c r="N96" s="626">
        <f>'Detalle Compras Septiembre 2026'!G492</f>
        <v>800000</v>
      </c>
      <c r="O96" s="628" t="s">
        <v>1054</v>
      </c>
    </row>
    <row r="97" spans="9:15" x14ac:dyDescent="0.25">
      <c r="I97" s="622">
        <v>16</v>
      </c>
      <c r="J97" s="622" t="s">
        <v>390</v>
      </c>
      <c r="K97" s="623" t="s">
        <v>1047</v>
      </c>
      <c r="L97" s="618" t="s">
        <v>903</v>
      </c>
      <c r="M97" s="618" t="s">
        <v>1055</v>
      </c>
      <c r="N97" s="620">
        <f>'Detalle Compras Septiembre 2026'!G494</f>
        <v>30000</v>
      </c>
      <c r="O97" s="622" t="s">
        <v>946</v>
      </c>
    </row>
    <row r="98" spans="9:15" x14ac:dyDescent="0.25">
      <c r="I98" s="628">
        <v>16</v>
      </c>
      <c r="J98" s="628" t="s">
        <v>875</v>
      </c>
      <c r="K98" s="629" t="s">
        <v>911</v>
      </c>
      <c r="L98" s="624" t="s">
        <v>888</v>
      </c>
      <c r="M98" s="624" t="s">
        <v>1056</v>
      </c>
      <c r="N98" s="626">
        <f>'Detalle Compras Septiembre 2026'!G604</f>
        <v>66000</v>
      </c>
      <c r="O98" s="628" t="s">
        <v>879</v>
      </c>
    </row>
    <row r="99" spans="9:15" x14ac:dyDescent="0.25">
      <c r="I99" s="622">
        <v>16</v>
      </c>
      <c r="J99" s="622" t="s">
        <v>875</v>
      </c>
      <c r="K99" s="623" t="s">
        <v>1057</v>
      </c>
      <c r="L99" s="618" t="s">
        <v>893</v>
      </c>
      <c r="M99" s="618" t="s">
        <v>1058</v>
      </c>
      <c r="N99" s="620">
        <f>'Detalle Compras Septiembre 2026'!G610</f>
        <v>3800</v>
      </c>
      <c r="O99" s="622" t="s">
        <v>895</v>
      </c>
    </row>
    <row r="100" spans="9:15" x14ac:dyDescent="0.25">
      <c r="I100" s="628">
        <v>16</v>
      </c>
      <c r="J100" s="628" t="s">
        <v>875</v>
      </c>
      <c r="K100" s="629" t="s">
        <v>887</v>
      </c>
      <c r="L100" s="624" t="s">
        <v>888</v>
      </c>
      <c r="M100" s="624" t="s">
        <v>1036</v>
      </c>
      <c r="N100" s="626">
        <f>'Detalle Compras Septiembre 2026'!G611</f>
        <v>66000</v>
      </c>
      <c r="O100" s="628" t="s">
        <v>879</v>
      </c>
    </row>
    <row r="101" spans="9:15" x14ac:dyDescent="0.25">
      <c r="I101" s="630" t="s">
        <v>1059</v>
      </c>
      <c r="J101" s="631"/>
      <c r="K101" s="631"/>
      <c r="L101" s="631"/>
      <c r="M101" s="631"/>
      <c r="N101" s="632">
        <f>SUM(N95:N100)</f>
        <v>1065800</v>
      </c>
      <c r="O101" s="631"/>
    </row>
    <row r="102" spans="9:15" x14ac:dyDescent="0.25">
      <c r="I102" s="628">
        <v>17</v>
      </c>
      <c r="J102" s="628" t="s">
        <v>875</v>
      </c>
      <c r="K102" s="629" t="s">
        <v>934</v>
      </c>
      <c r="L102" s="624" t="s">
        <v>888</v>
      </c>
      <c r="M102" s="624" t="s">
        <v>1060</v>
      </c>
      <c r="N102" s="626">
        <f>'Detalle Compras Septiembre 2026'!G614</f>
        <v>66000</v>
      </c>
      <c r="O102" s="628" t="s">
        <v>879</v>
      </c>
    </row>
    <row r="103" spans="9:15" x14ac:dyDescent="0.25">
      <c r="I103" s="622">
        <v>17</v>
      </c>
      <c r="J103" s="622" t="s">
        <v>875</v>
      </c>
      <c r="K103" s="623" t="s">
        <v>887</v>
      </c>
      <c r="L103" s="618" t="s">
        <v>888</v>
      </c>
      <c r="M103" s="618" t="s">
        <v>1036</v>
      </c>
      <c r="N103" s="620">
        <f>'Detalle Compras Septiembre 2026'!G617</f>
        <v>66000</v>
      </c>
      <c r="O103" s="622" t="s">
        <v>879</v>
      </c>
    </row>
    <row r="104" spans="9:15" x14ac:dyDescent="0.25">
      <c r="I104" s="628">
        <v>17</v>
      </c>
      <c r="J104" s="628" t="s">
        <v>1061</v>
      </c>
      <c r="K104" s="629" t="s">
        <v>1062</v>
      </c>
      <c r="L104" s="624" t="s">
        <v>985</v>
      </c>
      <c r="M104" s="624" t="s">
        <v>1063</v>
      </c>
      <c r="N104" s="626">
        <f>'Detalle Compras Septiembre 2026'!G618</f>
        <v>37700</v>
      </c>
      <c r="O104" s="628" t="s">
        <v>1064</v>
      </c>
    </row>
    <row r="105" spans="9:15" x14ac:dyDescent="0.25">
      <c r="I105" s="622">
        <v>17</v>
      </c>
      <c r="J105" s="622" t="s">
        <v>875</v>
      </c>
      <c r="K105" s="623" t="s">
        <v>1065</v>
      </c>
      <c r="L105" s="618" t="s">
        <v>957</v>
      </c>
      <c r="M105" s="618" t="s">
        <v>1066</v>
      </c>
      <c r="N105" s="620">
        <f>'Detalle Compras Septiembre 2026'!G619</f>
        <v>70000</v>
      </c>
      <c r="O105" s="622" t="s">
        <v>879</v>
      </c>
    </row>
    <row r="106" spans="9:15" x14ac:dyDescent="0.25">
      <c r="I106" s="630" t="s">
        <v>1067</v>
      </c>
      <c r="J106" s="631"/>
      <c r="K106" s="631"/>
      <c r="L106" s="631"/>
      <c r="M106" s="631"/>
      <c r="N106" s="632">
        <f>SUM(N102:N105)</f>
        <v>239700</v>
      </c>
      <c r="O106" s="631"/>
    </row>
    <row r="107" spans="9:15" x14ac:dyDescent="0.25">
      <c r="I107" s="622">
        <v>18</v>
      </c>
      <c r="J107" s="622" t="s">
        <v>875</v>
      </c>
      <c r="K107" s="623" t="s">
        <v>934</v>
      </c>
      <c r="L107" s="618" t="s">
        <v>888</v>
      </c>
      <c r="M107" s="618" t="s">
        <v>1060</v>
      </c>
      <c r="N107" s="620">
        <f>'Detalle Compras Septiembre 2026'!G630</f>
        <v>66000</v>
      </c>
      <c r="O107" s="622" t="s">
        <v>879</v>
      </c>
    </row>
    <row r="108" spans="9:15" x14ac:dyDescent="0.25">
      <c r="I108" s="628">
        <v>18</v>
      </c>
      <c r="J108" s="628" t="s">
        <v>875</v>
      </c>
      <c r="K108" s="629" t="s">
        <v>911</v>
      </c>
      <c r="L108" s="624" t="s">
        <v>888</v>
      </c>
      <c r="M108" s="624" t="s">
        <v>1056</v>
      </c>
      <c r="N108" s="626">
        <f>'Detalle Compras Septiembre 2026'!G631</f>
        <v>66000</v>
      </c>
      <c r="O108" s="628" t="s">
        <v>879</v>
      </c>
    </row>
    <row r="109" spans="9:15" x14ac:dyDescent="0.25">
      <c r="I109" s="622">
        <v>18</v>
      </c>
      <c r="J109" s="622" t="s">
        <v>875</v>
      </c>
      <c r="K109" s="623" t="s">
        <v>887</v>
      </c>
      <c r="L109" s="618" t="s">
        <v>888</v>
      </c>
      <c r="M109" s="618" t="s">
        <v>1036</v>
      </c>
      <c r="N109" s="620">
        <f>'Detalle Compras Septiembre 2026'!G635</f>
        <v>66000</v>
      </c>
      <c r="O109" s="622" t="s">
        <v>879</v>
      </c>
    </row>
    <row r="110" spans="9:15" x14ac:dyDescent="0.25">
      <c r="I110" s="630" t="s">
        <v>1068</v>
      </c>
      <c r="J110" s="631"/>
      <c r="K110" s="631"/>
      <c r="L110" s="631"/>
      <c r="M110" s="631"/>
      <c r="N110" s="632">
        <f>SUM(N107:N109)</f>
        <v>198000</v>
      </c>
      <c r="O110" s="631"/>
    </row>
    <row r="111" spans="9:15" x14ac:dyDescent="0.25">
      <c r="I111" s="622">
        <v>19</v>
      </c>
      <c r="J111" s="622" t="s">
        <v>1069</v>
      </c>
      <c r="K111" s="623" t="s">
        <v>1070</v>
      </c>
      <c r="L111" s="618" t="s">
        <v>985</v>
      </c>
      <c r="M111" s="618" t="s">
        <v>1071</v>
      </c>
      <c r="N111" s="620">
        <f>'Detalle Compras Septiembre 2026'!G685</f>
        <v>200000</v>
      </c>
      <c r="O111" s="622" t="s">
        <v>949</v>
      </c>
    </row>
    <row r="112" spans="9:15" x14ac:dyDescent="0.25">
      <c r="I112" s="630" t="s">
        <v>1072</v>
      </c>
      <c r="J112" s="631"/>
      <c r="K112" s="631"/>
      <c r="L112" s="631"/>
      <c r="M112" s="631"/>
      <c r="N112" s="632">
        <f>SUM(N111:N111)</f>
        <v>200000</v>
      </c>
      <c r="O112" s="631"/>
    </row>
    <row r="113" spans="9:15" x14ac:dyDescent="0.25">
      <c r="I113" s="638" t="s">
        <v>1073</v>
      </c>
      <c r="J113" s="639"/>
      <c r="K113" s="639"/>
      <c r="L113" s="639"/>
      <c r="M113" s="639"/>
      <c r="N113" s="640">
        <f>N17+N23+N28+N38+N51+N63+N71+N78+N94+N101+N106+N110+N112</f>
        <v>49772637</v>
      </c>
      <c r="O113" s="639"/>
    </row>
  </sheetData>
  <mergeCells count="16">
    <mergeCell ref="B2:O2"/>
    <mergeCell ref="L5:N5"/>
    <mergeCell ref="B9:G9"/>
    <mergeCell ref="I9:O9"/>
    <mergeCell ref="B3:O3"/>
    <mergeCell ref="I7:K7"/>
    <mergeCell ref="B7:D7"/>
    <mergeCell ref="L6:N6"/>
    <mergeCell ref="B6:D6"/>
    <mergeCell ref="E6:G6"/>
    <mergeCell ref="I6:K6"/>
    <mergeCell ref="B5:D5"/>
    <mergeCell ref="E7:G7"/>
    <mergeCell ref="E5:G5"/>
    <mergeCell ref="L7:N7"/>
    <mergeCell ref="I5:K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98"/>
  <sheetViews>
    <sheetView workbookViewId="0">
      <selection activeCell="E1" sqref="E1"/>
    </sheetView>
  </sheetViews>
  <sheetFormatPr baseColWidth="10" defaultColWidth="9.140625" defaultRowHeight="15" x14ac:dyDescent="0.25"/>
  <cols>
    <col min="1" max="1" width="8" style="565" customWidth="1"/>
    <col min="2" max="2" width="13" style="565" customWidth="1"/>
    <col min="3" max="3" width="10" style="565" customWidth="1"/>
    <col min="4" max="4" width="25" style="565" customWidth="1"/>
    <col min="5" max="5" width="32" style="565" customWidth="1"/>
    <col min="6" max="6" width="9" style="565" customWidth="1"/>
    <col min="7" max="7" width="16.85546875" style="565" bestFit="1" customWidth="1"/>
    <col min="8" max="8" width="19.28515625" style="565" bestFit="1" customWidth="1"/>
    <col min="9" max="9" width="16" style="565" customWidth="1"/>
    <col min="10" max="10" width="14" style="565" customWidth="1"/>
    <col min="11" max="11" width="16" style="565" customWidth="1"/>
    <col min="12" max="12" width="18.140625" style="565" bestFit="1" customWidth="1"/>
    <col min="13" max="13" width="21.140625" style="565" customWidth="1"/>
    <col min="14" max="14" width="14.28515625" style="565" customWidth="1"/>
    <col min="15" max="15" width="42" style="565" customWidth="1"/>
  </cols>
  <sheetData>
    <row r="1" spans="1:15" ht="24.95" customHeight="1" x14ac:dyDescent="0.25">
      <c r="A1" s="129" t="s">
        <v>48</v>
      </c>
      <c r="B1" s="129" t="s">
        <v>76</v>
      </c>
      <c r="C1" s="129" t="s">
        <v>108</v>
      </c>
      <c r="D1" s="129" t="s">
        <v>110</v>
      </c>
      <c r="E1" s="129" t="s">
        <v>109</v>
      </c>
      <c r="F1" s="129" t="s">
        <v>1074</v>
      </c>
      <c r="G1" s="129" t="s">
        <v>1075</v>
      </c>
      <c r="H1" s="129" t="s">
        <v>1076</v>
      </c>
      <c r="I1" s="129" t="s">
        <v>1077</v>
      </c>
      <c r="J1" s="129" t="s">
        <v>1078</v>
      </c>
      <c r="K1" s="129" t="s">
        <v>1079</v>
      </c>
      <c r="L1" s="129" t="s">
        <v>1080</v>
      </c>
      <c r="M1" s="129" t="s">
        <v>1081</v>
      </c>
      <c r="N1" s="129" t="s">
        <v>1082</v>
      </c>
      <c r="O1" s="410" t="s">
        <v>1083</v>
      </c>
    </row>
    <row r="2" spans="1:15" ht="18" customHeight="1" x14ac:dyDescent="0.25">
      <c r="A2" s="115">
        <v>1</v>
      </c>
      <c r="B2" s="116" t="s">
        <v>86</v>
      </c>
      <c r="C2" s="115">
        <v>73</v>
      </c>
      <c r="D2" s="119" t="s">
        <v>91</v>
      </c>
      <c r="E2" s="119" t="s">
        <v>1084</v>
      </c>
      <c r="F2" s="116" t="s">
        <v>1085</v>
      </c>
      <c r="G2" s="280">
        <v>13</v>
      </c>
      <c r="H2" s="259">
        <v>2593</v>
      </c>
      <c r="I2" s="259">
        <v>33704</v>
      </c>
      <c r="J2" s="259">
        <v>0</v>
      </c>
      <c r="K2" s="259">
        <v>33704</v>
      </c>
      <c r="L2" s="259">
        <v>2696</v>
      </c>
      <c r="M2" s="259">
        <v>36400</v>
      </c>
      <c r="N2" s="118">
        <v>5.4000000000000003E-3</v>
      </c>
      <c r="O2" s="411" t="s">
        <v>1086</v>
      </c>
    </row>
    <row r="3" spans="1:15" ht="18" customHeight="1" x14ac:dyDescent="0.25">
      <c r="A3" s="115">
        <v>1</v>
      </c>
      <c r="B3" s="116" t="s">
        <v>86</v>
      </c>
      <c r="C3" s="115">
        <v>65</v>
      </c>
      <c r="D3" s="119" t="s">
        <v>91</v>
      </c>
      <c r="E3" s="119" t="s">
        <v>1087</v>
      </c>
      <c r="F3" s="116" t="s">
        <v>1085</v>
      </c>
      <c r="G3" s="280">
        <v>2</v>
      </c>
      <c r="H3" s="259">
        <v>2778</v>
      </c>
      <c r="I3" s="259">
        <v>5556</v>
      </c>
      <c r="J3" s="259">
        <v>0</v>
      </c>
      <c r="K3" s="259">
        <v>5556</v>
      </c>
      <c r="L3" s="259">
        <v>444</v>
      </c>
      <c r="M3" s="259">
        <v>6000</v>
      </c>
      <c r="N3" s="118">
        <v>8.9999999999999998E-4</v>
      </c>
      <c r="O3" s="411" t="s">
        <v>1086</v>
      </c>
    </row>
    <row r="4" spans="1:15" ht="18" customHeight="1" x14ac:dyDescent="0.25">
      <c r="A4" s="115">
        <v>1</v>
      </c>
      <c r="B4" s="116" t="s">
        <v>86</v>
      </c>
      <c r="C4" s="115">
        <v>1</v>
      </c>
      <c r="D4" s="119" t="s">
        <v>87</v>
      </c>
      <c r="E4" s="119" t="s">
        <v>1088</v>
      </c>
      <c r="F4" s="116" t="s">
        <v>1085</v>
      </c>
      <c r="G4" s="280">
        <v>22</v>
      </c>
      <c r="H4" s="259">
        <v>18729</v>
      </c>
      <c r="I4" s="259">
        <v>415741</v>
      </c>
      <c r="J4" s="259">
        <v>3704</v>
      </c>
      <c r="K4" s="259">
        <v>412037</v>
      </c>
      <c r="L4" s="259">
        <v>32963</v>
      </c>
      <c r="M4" s="259">
        <v>445000</v>
      </c>
      <c r="N4" s="118">
        <v>6.5599999999999992E-2</v>
      </c>
      <c r="O4" s="411" t="s">
        <v>1086</v>
      </c>
    </row>
    <row r="5" spans="1:15" ht="18" customHeight="1" x14ac:dyDescent="0.25">
      <c r="A5" s="115">
        <v>1</v>
      </c>
      <c r="B5" s="116" t="s">
        <v>86</v>
      </c>
      <c r="C5" s="115">
        <v>12</v>
      </c>
      <c r="D5" s="119" t="s">
        <v>93</v>
      </c>
      <c r="E5" s="119" t="s">
        <v>1089</v>
      </c>
      <c r="F5" s="116" t="s">
        <v>1085</v>
      </c>
      <c r="G5" s="280">
        <v>7</v>
      </c>
      <c r="H5" s="259">
        <v>41667</v>
      </c>
      <c r="I5" s="259">
        <v>291667</v>
      </c>
      <c r="J5" s="259">
        <v>0</v>
      </c>
      <c r="K5" s="259">
        <v>291667</v>
      </c>
      <c r="L5" s="259">
        <v>23333</v>
      </c>
      <c r="M5" s="259">
        <v>315000</v>
      </c>
      <c r="N5" s="118">
        <v>4.6399999999999997E-2</v>
      </c>
      <c r="O5" s="411" t="s">
        <v>1086</v>
      </c>
    </row>
    <row r="6" spans="1:15" ht="18" customHeight="1" x14ac:dyDescent="0.25">
      <c r="A6" s="115">
        <v>1</v>
      </c>
      <c r="B6" s="116" t="s">
        <v>86</v>
      </c>
      <c r="C6" s="115">
        <v>104</v>
      </c>
      <c r="D6" s="119" t="s">
        <v>89</v>
      </c>
      <c r="E6" s="119" t="s">
        <v>165</v>
      </c>
      <c r="F6" s="116" t="s">
        <v>1085</v>
      </c>
      <c r="G6" s="280">
        <v>9</v>
      </c>
      <c r="H6" s="259">
        <v>15844</v>
      </c>
      <c r="I6" s="259">
        <v>144444</v>
      </c>
      <c r="J6" s="259">
        <v>1852</v>
      </c>
      <c r="K6" s="259">
        <v>142592</v>
      </c>
      <c r="L6" s="259">
        <v>11407</v>
      </c>
      <c r="M6" s="259">
        <v>153999</v>
      </c>
      <c r="N6" s="118">
        <v>2.2700000000000001E-2</v>
      </c>
      <c r="O6" s="411" t="s">
        <v>1086</v>
      </c>
    </row>
    <row r="7" spans="1:15" ht="18" customHeight="1" x14ac:dyDescent="0.25">
      <c r="A7" s="115">
        <v>1</v>
      </c>
      <c r="B7" s="116" t="s">
        <v>86</v>
      </c>
      <c r="C7" s="115">
        <v>95</v>
      </c>
      <c r="D7" s="119" t="s">
        <v>87</v>
      </c>
      <c r="E7" s="119" t="s">
        <v>1090</v>
      </c>
      <c r="F7" s="116" t="s">
        <v>1085</v>
      </c>
      <c r="G7" s="280">
        <v>2</v>
      </c>
      <c r="H7" s="259">
        <v>926</v>
      </c>
      <c r="I7" s="259">
        <v>1852</v>
      </c>
      <c r="J7" s="259">
        <v>0</v>
      </c>
      <c r="K7" s="259">
        <v>1852</v>
      </c>
      <c r="L7" s="259">
        <v>148</v>
      </c>
      <c r="M7" s="259">
        <v>2000</v>
      </c>
      <c r="N7" s="118">
        <v>2.9999999999999997E-4</v>
      </c>
      <c r="O7" s="411" t="s">
        <v>1086</v>
      </c>
    </row>
    <row r="8" spans="1:15" ht="18" customHeight="1" x14ac:dyDescent="0.25">
      <c r="A8" s="115">
        <v>1</v>
      </c>
      <c r="B8" s="116" t="s">
        <v>86</v>
      </c>
      <c r="C8" s="115">
        <v>136</v>
      </c>
      <c r="D8" s="119" t="s">
        <v>89</v>
      </c>
      <c r="E8" s="119" t="s">
        <v>1091</v>
      </c>
      <c r="F8" s="116" t="s">
        <v>1085</v>
      </c>
      <c r="G8" s="280">
        <v>1</v>
      </c>
      <c r="H8" s="259">
        <v>24074</v>
      </c>
      <c r="I8" s="259">
        <v>24074</v>
      </c>
      <c r="J8" s="259">
        <v>0</v>
      </c>
      <c r="K8" s="259">
        <v>24074</v>
      </c>
      <c r="L8" s="259">
        <v>1926</v>
      </c>
      <c r="M8" s="259">
        <v>26000</v>
      </c>
      <c r="N8" s="118">
        <v>3.8E-3</v>
      </c>
      <c r="O8" s="411" t="s">
        <v>1086</v>
      </c>
    </row>
    <row r="9" spans="1:15" ht="18" customHeight="1" x14ac:dyDescent="0.25">
      <c r="A9" s="115">
        <v>1</v>
      </c>
      <c r="B9" s="116" t="s">
        <v>86</v>
      </c>
      <c r="C9" s="115">
        <v>8</v>
      </c>
      <c r="D9" s="119" t="s">
        <v>87</v>
      </c>
      <c r="E9" s="119" t="s">
        <v>156</v>
      </c>
      <c r="F9" s="116" t="s">
        <v>1085</v>
      </c>
      <c r="G9" s="280">
        <v>11</v>
      </c>
      <c r="H9" s="259">
        <v>18855</v>
      </c>
      <c r="I9" s="259">
        <v>207407</v>
      </c>
      <c r="J9" s="259">
        <v>0</v>
      </c>
      <c r="K9" s="259">
        <v>207407</v>
      </c>
      <c r="L9" s="259">
        <v>16593</v>
      </c>
      <c r="M9" s="259">
        <v>224000</v>
      </c>
      <c r="N9" s="118">
        <v>3.3000000000000002E-2</v>
      </c>
      <c r="O9" s="411" t="s">
        <v>1086</v>
      </c>
    </row>
    <row r="10" spans="1:15" ht="18" customHeight="1" x14ac:dyDescent="0.25">
      <c r="A10" s="115">
        <v>1</v>
      </c>
      <c r="B10" s="116" t="s">
        <v>86</v>
      </c>
      <c r="C10" s="115">
        <v>311</v>
      </c>
      <c r="D10" s="119" t="s">
        <v>93</v>
      </c>
      <c r="E10" s="119" t="s">
        <v>1092</v>
      </c>
      <c r="F10" s="116" t="s">
        <v>1085</v>
      </c>
      <c r="G10" s="280">
        <v>2</v>
      </c>
      <c r="H10" s="259">
        <v>44907</v>
      </c>
      <c r="I10" s="259">
        <v>89815</v>
      </c>
      <c r="J10" s="259">
        <v>0</v>
      </c>
      <c r="K10" s="259">
        <v>89815</v>
      </c>
      <c r="L10" s="259">
        <v>7185</v>
      </c>
      <c r="M10" s="259">
        <v>97000</v>
      </c>
      <c r="N10" s="118">
        <v>1.43E-2</v>
      </c>
      <c r="O10" s="411" t="s">
        <v>1086</v>
      </c>
    </row>
    <row r="11" spans="1:15" ht="18" customHeight="1" x14ac:dyDescent="0.25">
      <c r="A11" s="115">
        <v>1</v>
      </c>
      <c r="B11" s="116" t="s">
        <v>86</v>
      </c>
      <c r="C11" s="115">
        <v>87</v>
      </c>
      <c r="D11" s="119" t="s">
        <v>89</v>
      </c>
      <c r="E11" s="119" t="s">
        <v>147</v>
      </c>
      <c r="F11" s="116" t="s">
        <v>1085</v>
      </c>
      <c r="G11" s="280">
        <v>2</v>
      </c>
      <c r="H11" s="259">
        <v>37500</v>
      </c>
      <c r="I11" s="259">
        <v>75000</v>
      </c>
      <c r="J11" s="259">
        <v>0</v>
      </c>
      <c r="K11" s="259">
        <v>75000</v>
      </c>
      <c r="L11" s="259">
        <v>6000</v>
      </c>
      <c r="M11" s="259">
        <v>81000</v>
      </c>
      <c r="N11" s="118">
        <v>1.1900000000000001E-2</v>
      </c>
      <c r="O11" s="411" t="s">
        <v>1086</v>
      </c>
    </row>
    <row r="12" spans="1:15" ht="18" customHeight="1" x14ac:dyDescent="0.25">
      <c r="A12" s="115">
        <v>1</v>
      </c>
      <c r="B12" s="116" t="s">
        <v>86</v>
      </c>
      <c r="C12" s="115">
        <v>206</v>
      </c>
      <c r="D12" s="119" t="s">
        <v>93</v>
      </c>
      <c r="E12" s="119" t="s">
        <v>1093</v>
      </c>
      <c r="F12" s="116" t="s">
        <v>1085</v>
      </c>
      <c r="G12" s="280">
        <v>2</v>
      </c>
      <c r="H12" s="259">
        <v>44907</v>
      </c>
      <c r="I12" s="259">
        <v>89815</v>
      </c>
      <c r="J12" s="259">
        <v>0</v>
      </c>
      <c r="K12" s="259">
        <v>89815</v>
      </c>
      <c r="L12" s="259">
        <v>7185</v>
      </c>
      <c r="M12" s="259">
        <v>97000</v>
      </c>
      <c r="N12" s="118">
        <v>1.43E-2</v>
      </c>
      <c r="O12" s="411" t="s">
        <v>1086</v>
      </c>
    </row>
    <row r="13" spans="1:15" ht="18" customHeight="1" x14ac:dyDescent="0.25">
      <c r="A13" s="115">
        <v>1</v>
      </c>
      <c r="B13" s="116" t="s">
        <v>86</v>
      </c>
      <c r="C13" s="115">
        <v>13</v>
      </c>
      <c r="D13" s="119" t="s">
        <v>87</v>
      </c>
      <c r="E13" s="119" t="s">
        <v>1094</v>
      </c>
      <c r="F13" s="116" t="s">
        <v>1085</v>
      </c>
      <c r="G13" s="280">
        <v>2</v>
      </c>
      <c r="H13" s="259">
        <v>18519</v>
      </c>
      <c r="I13" s="259">
        <v>37037</v>
      </c>
      <c r="J13" s="259">
        <v>0</v>
      </c>
      <c r="K13" s="259">
        <v>37037</v>
      </c>
      <c r="L13" s="259">
        <v>2963</v>
      </c>
      <c r="M13" s="259">
        <v>40000</v>
      </c>
      <c r="N13" s="118">
        <v>5.8999999999999999E-3</v>
      </c>
      <c r="O13" s="411" t="s">
        <v>1086</v>
      </c>
    </row>
    <row r="14" spans="1:15" ht="18" customHeight="1" x14ac:dyDescent="0.25">
      <c r="A14" s="115">
        <v>1</v>
      </c>
      <c r="B14" s="116" t="s">
        <v>86</v>
      </c>
      <c r="C14" s="115">
        <v>246</v>
      </c>
      <c r="D14" s="119" t="s">
        <v>91</v>
      </c>
      <c r="E14" s="119" t="s">
        <v>1095</v>
      </c>
      <c r="F14" s="116" t="s">
        <v>1085</v>
      </c>
      <c r="G14" s="280">
        <v>1</v>
      </c>
      <c r="H14" s="259">
        <v>6481</v>
      </c>
      <c r="I14" s="259">
        <v>6481</v>
      </c>
      <c r="J14" s="259">
        <v>0</v>
      </c>
      <c r="K14" s="259">
        <v>6481</v>
      </c>
      <c r="L14" s="259">
        <v>519</v>
      </c>
      <c r="M14" s="259">
        <v>7000</v>
      </c>
      <c r="N14" s="118">
        <v>1E-3</v>
      </c>
      <c r="O14" s="411" t="s">
        <v>1086</v>
      </c>
    </row>
    <row r="15" spans="1:15" ht="18" customHeight="1" x14ac:dyDescent="0.25">
      <c r="A15" s="115">
        <v>1</v>
      </c>
      <c r="B15" s="116" t="s">
        <v>86</v>
      </c>
      <c r="C15" s="115">
        <v>70</v>
      </c>
      <c r="D15" s="119" t="s">
        <v>91</v>
      </c>
      <c r="E15" s="119" t="s">
        <v>1096</v>
      </c>
      <c r="F15" s="116" t="s">
        <v>1085</v>
      </c>
      <c r="G15" s="280">
        <v>0</v>
      </c>
      <c r="H15" s="259">
        <v>0</v>
      </c>
      <c r="I15" s="259">
        <v>0</v>
      </c>
      <c r="J15" s="259">
        <v>0</v>
      </c>
      <c r="K15" s="259">
        <v>0</v>
      </c>
      <c r="L15" s="259">
        <v>0</v>
      </c>
      <c r="M15" s="259">
        <v>0</v>
      </c>
      <c r="N15" s="118">
        <v>0</v>
      </c>
      <c r="O15" s="411" t="s">
        <v>1086</v>
      </c>
    </row>
    <row r="16" spans="1:15" ht="18" customHeight="1" x14ac:dyDescent="0.25">
      <c r="A16" s="115">
        <v>1</v>
      </c>
      <c r="B16" s="116" t="s">
        <v>86</v>
      </c>
      <c r="C16" s="115">
        <v>71</v>
      </c>
      <c r="D16" s="119" t="s">
        <v>91</v>
      </c>
      <c r="E16" s="119" t="s">
        <v>1097</v>
      </c>
      <c r="F16" s="116" t="s">
        <v>1085</v>
      </c>
      <c r="G16" s="280">
        <v>1</v>
      </c>
      <c r="H16" s="259">
        <v>5556</v>
      </c>
      <c r="I16" s="259">
        <v>5556</v>
      </c>
      <c r="J16" s="259">
        <v>0</v>
      </c>
      <c r="K16" s="259">
        <v>5556</v>
      </c>
      <c r="L16" s="259">
        <v>444</v>
      </c>
      <c r="M16" s="259">
        <v>6000</v>
      </c>
      <c r="N16" s="118">
        <v>8.9999999999999998E-4</v>
      </c>
      <c r="O16" s="411" t="s">
        <v>1086</v>
      </c>
    </row>
    <row r="17" spans="1:15" ht="18" customHeight="1" x14ac:dyDescent="0.25">
      <c r="A17" s="115">
        <v>1</v>
      </c>
      <c r="B17" s="116" t="s">
        <v>86</v>
      </c>
      <c r="C17" s="115">
        <v>83</v>
      </c>
      <c r="D17" s="119" t="s">
        <v>87</v>
      </c>
      <c r="E17" s="119" t="s">
        <v>1098</v>
      </c>
      <c r="F17" s="116" t="s">
        <v>1085</v>
      </c>
      <c r="G17" s="280">
        <v>1</v>
      </c>
      <c r="H17" s="259">
        <v>20833</v>
      </c>
      <c r="I17" s="259">
        <v>20833</v>
      </c>
      <c r="J17" s="259">
        <v>0</v>
      </c>
      <c r="K17" s="259">
        <v>20833</v>
      </c>
      <c r="L17" s="259">
        <v>1667</v>
      </c>
      <c r="M17" s="259">
        <v>22500</v>
      </c>
      <c r="N17" s="118">
        <v>3.3E-3</v>
      </c>
      <c r="O17" s="411" t="s">
        <v>1086</v>
      </c>
    </row>
    <row r="18" spans="1:15" ht="18" customHeight="1" x14ac:dyDescent="0.25">
      <c r="A18" s="115">
        <v>1</v>
      </c>
      <c r="B18" s="116" t="s">
        <v>86</v>
      </c>
      <c r="C18" s="115">
        <v>43</v>
      </c>
      <c r="D18" s="119" t="s">
        <v>87</v>
      </c>
      <c r="E18" s="119" t="s">
        <v>1099</v>
      </c>
      <c r="F18" s="116" t="s">
        <v>1085</v>
      </c>
      <c r="G18" s="280">
        <v>1</v>
      </c>
      <c r="H18" s="259">
        <v>8333</v>
      </c>
      <c r="I18" s="259">
        <v>8333</v>
      </c>
      <c r="J18" s="259">
        <v>0</v>
      </c>
      <c r="K18" s="259">
        <v>8333</v>
      </c>
      <c r="L18" s="259">
        <v>667</v>
      </c>
      <c r="M18" s="259">
        <v>9000</v>
      </c>
      <c r="N18" s="118">
        <v>1.2999999999999999E-3</v>
      </c>
      <c r="O18" s="411" t="s">
        <v>1086</v>
      </c>
    </row>
    <row r="19" spans="1:15" ht="18" customHeight="1" x14ac:dyDescent="0.25">
      <c r="A19" s="115">
        <v>1</v>
      </c>
      <c r="B19" s="116" t="s">
        <v>86</v>
      </c>
      <c r="C19" s="115">
        <v>122</v>
      </c>
      <c r="D19" s="119" t="s">
        <v>91</v>
      </c>
      <c r="E19" s="119" t="s">
        <v>1100</v>
      </c>
      <c r="F19" s="116" t="s">
        <v>1085</v>
      </c>
      <c r="G19" s="280">
        <v>1</v>
      </c>
      <c r="H19" s="259">
        <v>2778</v>
      </c>
      <c r="I19" s="259">
        <v>2778</v>
      </c>
      <c r="J19" s="259">
        <v>0</v>
      </c>
      <c r="K19" s="259">
        <v>2778</v>
      </c>
      <c r="L19" s="259">
        <v>222</v>
      </c>
      <c r="M19" s="259">
        <v>3000</v>
      </c>
      <c r="N19" s="118">
        <v>4.0000000000000002E-4</v>
      </c>
      <c r="O19" s="411" t="s">
        <v>1086</v>
      </c>
    </row>
    <row r="20" spans="1:15" ht="18" customHeight="1" x14ac:dyDescent="0.25">
      <c r="A20" s="115">
        <v>1</v>
      </c>
      <c r="B20" s="116" t="s">
        <v>86</v>
      </c>
      <c r="C20" s="115">
        <v>44</v>
      </c>
      <c r="D20" s="119" t="s">
        <v>87</v>
      </c>
      <c r="E20" s="119" t="s">
        <v>138</v>
      </c>
      <c r="F20" s="116" t="s">
        <v>1085</v>
      </c>
      <c r="G20" s="280">
        <v>1</v>
      </c>
      <c r="H20" s="259">
        <v>28241</v>
      </c>
      <c r="I20" s="259">
        <v>28241</v>
      </c>
      <c r="J20" s="259">
        <v>0</v>
      </c>
      <c r="K20" s="259">
        <v>28241</v>
      </c>
      <c r="L20" s="259">
        <v>2259</v>
      </c>
      <c r="M20" s="259">
        <v>30500</v>
      </c>
      <c r="N20" s="118">
        <v>4.5000000000000014E-3</v>
      </c>
      <c r="O20" s="411" t="s">
        <v>1086</v>
      </c>
    </row>
    <row r="21" spans="1:15" ht="18" customHeight="1" x14ac:dyDescent="0.25">
      <c r="A21" s="115">
        <v>1</v>
      </c>
      <c r="B21" s="116" t="s">
        <v>86</v>
      </c>
      <c r="C21" s="115">
        <v>15</v>
      </c>
      <c r="D21" s="119" t="s">
        <v>87</v>
      </c>
      <c r="E21" s="119" t="s">
        <v>277</v>
      </c>
      <c r="F21" s="116" t="s">
        <v>1085</v>
      </c>
      <c r="G21" s="280">
        <v>37</v>
      </c>
      <c r="H21" s="259">
        <v>18719</v>
      </c>
      <c r="I21" s="259">
        <v>694444</v>
      </c>
      <c r="J21" s="259">
        <v>1852</v>
      </c>
      <c r="K21" s="259">
        <v>692592</v>
      </c>
      <c r="L21" s="259">
        <v>55407</v>
      </c>
      <c r="M21" s="259">
        <v>747999</v>
      </c>
      <c r="N21" s="118">
        <v>0.11020000000000001</v>
      </c>
      <c r="O21" s="411" t="s">
        <v>1086</v>
      </c>
    </row>
    <row r="22" spans="1:15" ht="18" customHeight="1" x14ac:dyDescent="0.25">
      <c r="A22" s="115">
        <v>1</v>
      </c>
      <c r="B22" s="116" t="s">
        <v>86</v>
      </c>
      <c r="C22" s="115">
        <v>110</v>
      </c>
      <c r="D22" s="119" t="s">
        <v>99</v>
      </c>
      <c r="E22" s="119" t="s">
        <v>1101</v>
      </c>
      <c r="F22" s="116" t="s">
        <v>1085</v>
      </c>
      <c r="G22" s="280">
        <v>12</v>
      </c>
      <c r="H22" s="259">
        <v>926</v>
      </c>
      <c r="I22" s="259">
        <v>11111</v>
      </c>
      <c r="J22" s="259">
        <v>0</v>
      </c>
      <c r="K22" s="259">
        <v>11111</v>
      </c>
      <c r="L22" s="259">
        <v>889</v>
      </c>
      <c r="M22" s="259">
        <v>12000</v>
      </c>
      <c r="N22" s="118">
        <v>1.8E-3</v>
      </c>
      <c r="O22" s="411" t="s">
        <v>1086</v>
      </c>
    </row>
    <row r="23" spans="1:15" ht="18" customHeight="1" x14ac:dyDescent="0.25">
      <c r="A23" s="115">
        <v>1</v>
      </c>
      <c r="B23" s="116" t="s">
        <v>86</v>
      </c>
      <c r="C23" s="115">
        <v>45</v>
      </c>
      <c r="D23" s="119" t="s">
        <v>87</v>
      </c>
      <c r="E23" s="119" t="s">
        <v>1102</v>
      </c>
      <c r="F23" s="116" t="s">
        <v>1085</v>
      </c>
      <c r="G23" s="280">
        <v>1</v>
      </c>
      <c r="H23" s="259">
        <v>35648</v>
      </c>
      <c r="I23" s="259">
        <v>35648</v>
      </c>
      <c r="J23" s="259">
        <v>0</v>
      </c>
      <c r="K23" s="259">
        <v>35648</v>
      </c>
      <c r="L23" s="259">
        <v>2852</v>
      </c>
      <c r="M23" s="259">
        <v>38500</v>
      </c>
      <c r="N23" s="118">
        <v>5.6999999999999993E-3</v>
      </c>
      <c r="O23" s="411" t="s">
        <v>1086</v>
      </c>
    </row>
    <row r="24" spans="1:15" ht="18" customHeight="1" x14ac:dyDescent="0.25">
      <c r="A24" s="115">
        <v>1</v>
      </c>
      <c r="B24" s="116" t="s">
        <v>86</v>
      </c>
      <c r="C24" s="115">
        <v>30</v>
      </c>
      <c r="D24" s="119" t="s">
        <v>95</v>
      </c>
      <c r="E24" s="119" t="s">
        <v>1103</v>
      </c>
      <c r="F24" s="116" t="s">
        <v>1085</v>
      </c>
      <c r="G24" s="280">
        <v>1</v>
      </c>
      <c r="H24" s="259">
        <v>6481</v>
      </c>
      <c r="I24" s="259">
        <v>6481</v>
      </c>
      <c r="J24" s="259">
        <v>0</v>
      </c>
      <c r="K24" s="259">
        <v>6481</v>
      </c>
      <c r="L24" s="259">
        <v>519</v>
      </c>
      <c r="M24" s="259">
        <v>7000</v>
      </c>
      <c r="N24" s="118">
        <v>1E-3</v>
      </c>
      <c r="O24" s="411" t="s">
        <v>1086</v>
      </c>
    </row>
    <row r="25" spans="1:15" ht="18" customHeight="1" x14ac:dyDescent="0.25">
      <c r="A25" s="115">
        <v>1</v>
      </c>
      <c r="B25" s="116" t="s">
        <v>86</v>
      </c>
      <c r="C25" s="115">
        <v>305</v>
      </c>
      <c r="D25" s="119" t="s">
        <v>91</v>
      </c>
      <c r="E25" s="119" t="s">
        <v>1104</v>
      </c>
      <c r="F25" s="116" t="s">
        <v>1085</v>
      </c>
      <c r="G25" s="280">
        <v>2</v>
      </c>
      <c r="H25" s="259">
        <v>9259</v>
      </c>
      <c r="I25" s="259">
        <v>18519</v>
      </c>
      <c r="J25" s="259">
        <v>0</v>
      </c>
      <c r="K25" s="259">
        <v>18519</v>
      </c>
      <c r="L25" s="259">
        <v>1481</v>
      </c>
      <c r="M25" s="259">
        <v>20000</v>
      </c>
      <c r="N25" s="118">
        <v>2.8999999999999998E-3</v>
      </c>
      <c r="O25" s="411" t="s">
        <v>1086</v>
      </c>
    </row>
    <row r="26" spans="1:15" ht="18" customHeight="1" x14ac:dyDescent="0.25">
      <c r="A26" s="115">
        <v>1</v>
      </c>
      <c r="B26" s="116" t="s">
        <v>86</v>
      </c>
      <c r="C26" s="115">
        <v>94</v>
      </c>
      <c r="D26" s="119" t="s">
        <v>89</v>
      </c>
      <c r="E26" s="119" t="s">
        <v>153</v>
      </c>
      <c r="F26" s="116" t="s">
        <v>1085</v>
      </c>
      <c r="G26" s="280">
        <v>19</v>
      </c>
      <c r="H26" s="259">
        <v>18665</v>
      </c>
      <c r="I26" s="259">
        <v>356481</v>
      </c>
      <c r="J26" s="259">
        <v>1852</v>
      </c>
      <c r="K26" s="259">
        <v>354629</v>
      </c>
      <c r="L26" s="259">
        <v>28370</v>
      </c>
      <c r="M26" s="259">
        <v>382999</v>
      </c>
      <c r="N26" s="118">
        <v>5.6399999999999999E-2</v>
      </c>
      <c r="O26" s="411" t="s">
        <v>1086</v>
      </c>
    </row>
    <row r="27" spans="1:15" ht="18" customHeight="1" x14ac:dyDescent="0.25">
      <c r="A27" s="115">
        <v>1</v>
      </c>
      <c r="B27" s="116" t="s">
        <v>86</v>
      </c>
      <c r="C27" s="115">
        <v>233</v>
      </c>
      <c r="D27" s="119" t="s">
        <v>89</v>
      </c>
      <c r="E27" s="119" t="s">
        <v>117</v>
      </c>
      <c r="F27" s="116" t="s">
        <v>1085</v>
      </c>
      <c r="G27" s="280">
        <v>36</v>
      </c>
      <c r="H27" s="259">
        <v>18596</v>
      </c>
      <c r="I27" s="259">
        <v>671296</v>
      </c>
      <c r="J27" s="259">
        <v>1852</v>
      </c>
      <c r="K27" s="259">
        <v>669444</v>
      </c>
      <c r="L27" s="259">
        <v>53556</v>
      </c>
      <c r="M27" s="259">
        <v>723000</v>
      </c>
      <c r="N27" s="118">
        <v>0.1066</v>
      </c>
      <c r="O27" s="411" t="s">
        <v>1086</v>
      </c>
    </row>
    <row r="28" spans="1:15" ht="18" customHeight="1" x14ac:dyDescent="0.25">
      <c r="A28" s="115">
        <v>1</v>
      </c>
      <c r="B28" s="116" t="s">
        <v>86</v>
      </c>
      <c r="C28" s="115">
        <v>217</v>
      </c>
      <c r="D28" s="119" t="s">
        <v>89</v>
      </c>
      <c r="E28" s="119" t="s">
        <v>1105</v>
      </c>
      <c r="F28" s="116" t="s">
        <v>1085</v>
      </c>
      <c r="G28" s="280">
        <v>3</v>
      </c>
      <c r="H28" s="259">
        <v>27778</v>
      </c>
      <c r="I28" s="259">
        <v>83333</v>
      </c>
      <c r="J28" s="259">
        <v>0</v>
      </c>
      <c r="K28" s="259">
        <v>83333</v>
      </c>
      <c r="L28" s="259">
        <v>6667</v>
      </c>
      <c r="M28" s="259">
        <v>90000</v>
      </c>
      <c r="N28" s="118">
        <v>1.3299999999999999E-2</v>
      </c>
      <c r="O28" s="411" t="s">
        <v>1086</v>
      </c>
    </row>
    <row r="29" spans="1:15" ht="18" customHeight="1" x14ac:dyDescent="0.25">
      <c r="A29" s="115">
        <v>1</v>
      </c>
      <c r="B29" s="116" t="s">
        <v>86</v>
      </c>
      <c r="C29" s="115">
        <v>218</v>
      </c>
      <c r="D29" s="119" t="s">
        <v>89</v>
      </c>
      <c r="E29" s="119" t="s">
        <v>1106</v>
      </c>
      <c r="F29" s="116" t="s">
        <v>1085</v>
      </c>
      <c r="G29" s="280">
        <v>7</v>
      </c>
      <c r="H29" s="259">
        <v>18651</v>
      </c>
      <c r="I29" s="259">
        <v>130556</v>
      </c>
      <c r="J29" s="259">
        <v>0</v>
      </c>
      <c r="K29" s="259">
        <v>130556</v>
      </c>
      <c r="L29" s="259">
        <v>10444</v>
      </c>
      <c r="M29" s="259">
        <v>141000</v>
      </c>
      <c r="N29" s="118">
        <v>2.0799999999999999E-2</v>
      </c>
      <c r="O29" s="411" t="s">
        <v>1086</v>
      </c>
    </row>
    <row r="30" spans="1:15" ht="18" customHeight="1" x14ac:dyDescent="0.25">
      <c r="A30" s="115">
        <v>1</v>
      </c>
      <c r="B30" s="116" t="s">
        <v>86</v>
      </c>
      <c r="C30" s="115">
        <v>34</v>
      </c>
      <c r="D30" s="119" t="s">
        <v>91</v>
      </c>
      <c r="E30" s="119" t="s">
        <v>1107</v>
      </c>
      <c r="F30" s="116" t="s">
        <v>1085</v>
      </c>
      <c r="G30" s="280">
        <v>6</v>
      </c>
      <c r="H30" s="259">
        <v>6481</v>
      </c>
      <c r="I30" s="259">
        <v>38889</v>
      </c>
      <c r="J30" s="259">
        <v>0</v>
      </c>
      <c r="K30" s="259">
        <v>38889</v>
      </c>
      <c r="L30" s="259">
        <v>3111</v>
      </c>
      <c r="M30" s="259">
        <v>42000</v>
      </c>
      <c r="N30" s="118">
        <v>6.1999999999999998E-3</v>
      </c>
      <c r="O30" s="411" t="s">
        <v>1086</v>
      </c>
    </row>
    <row r="31" spans="1:15" ht="18" customHeight="1" x14ac:dyDescent="0.25">
      <c r="A31" s="115">
        <v>1</v>
      </c>
      <c r="B31" s="116" t="s">
        <v>86</v>
      </c>
      <c r="C31" s="115">
        <v>121</v>
      </c>
      <c r="D31" s="119" t="s">
        <v>91</v>
      </c>
      <c r="E31" s="119" t="s">
        <v>1108</v>
      </c>
      <c r="F31" s="116" t="s">
        <v>1085</v>
      </c>
      <c r="G31" s="280">
        <v>3</v>
      </c>
      <c r="H31" s="259">
        <v>2778</v>
      </c>
      <c r="I31" s="259">
        <v>8333</v>
      </c>
      <c r="J31" s="259">
        <v>0</v>
      </c>
      <c r="K31" s="259">
        <v>8333</v>
      </c>
      <c r="L31" s="259">
        <v>667</v>
      </c>
      <c r="M31" s="259">
        <v>9000</v>
      </c>
      <c r="N31" s="118">
        <v>1.2999999999999999E-3</v>
      </c>
      <c r="O31" s="411" t="s">
        <v>1086</v>
      </c>
    </row>
    <row r="32" spans="1:15" ht="18" customHeight="1" x14ac:dyDescent="0.25">
      <c r="A32" s="115">
        <v>1</v>
      </c>
      <c r="B32" s="116" t="s">
        <v>86</v>
      </c>
      <c r="C32" s="115">
        <v>208</v>
      </c>
      <c r="D32" s="119" t="s">
        <v>91</v>
      </c>
      <c r="E32" s="119" t="s">
        <v>1109</v>
      </c>
      <c r="F32" s="116" t="s">
        <v>1085</v>
      </c>
      <c r="G32" s="280">
        <v>9</v>
      </c>
      <c r="H32" s="259">
        <v>3704</v>
      </c>
      <c r="I32" s="259">
        <v>33333</v>
      </c>
      <c r="J32" s="259">
        <v>0</v>
      </c>
      <c r="K32" s="259">
        <v>33333</v>
      </c>
      <c r="L32" s="259">
        <v>2667</v>
      </c>
      <c r="M32" s="259">
        <v>36000</v>
      </c>
      <c r="N32" s="118">
        <v>5.3E-3</v>
      </c>
      <c r="O32" s="411" t="s">
        <v>1086</v>
      </c>
    </row>
    <row r="33" spans="1:15" ht="18" customHeight="1" x14ac:dyDescent="0.25">
      <c r="A33" s="115">
        <v>1</v>
      </c>
      <c r="B33" s="116" t="s">
        <v>86</v>
      </c>
      <c r="C33" s="115">
        <v>90</v>
      </c>
      <c r="D33" s="119" t="s">
        <v>91</v>
      </c>
      <c r="E33" s="119" t="s">
        <v>572</v>
      </c>
      <c r="F33" s="116" t="s">
        <v>1085</v>
      </c>
      <c r="G33" s="280">
        <v>3</v>
      </c>
      <c r="H33" s="259">
        <v>4259</v>
      </c>
      <c r="I33" s="259">
        <v>12778</v>
      </c>
      <c r="J33" s="259">
        <v>0</v>
      </c>
      <c r="K33" s="259">
        <v>12778</v>
      </c>
      <c r="L33" s="259">
        <v>1022</v>
      </c>
      <c r="M33" s="259">
        <v>13800</v>
      </c>
      <c r="N33" s="118">
        <v>2E-3</v>
      </c>
      <c r="O33" s="411" t="s">
        <v>1086</v>
      </c>
    </row>
    <row r="34" spans="1:15" ht="18" customHeight="1" x14ac:dyDescent="0.25">
      <c r="A34" s="115">
        <v>1</v>
      </c>
      <c r="B34" s="116" t="s">
        <v>86</v>
      </c>
      <c r="C34" s="115">
        <v>123</v>
      </c>
      <c r="D34" s="119" t="s">
        <v>91</v>
      </c>
      <c r="E34" s="119" t="s">
        <v>1110</v>
      </c>
      <c r="F34" s="116" t="s">
        <v>1085</v>
      </c>
      <c r="G34" s="280">
        <v>2</v>
      </c>
      <c r="H34" s="259">
        <v>2778</v>
      </c>
      <c r="I34" s="259">
        <v>5556</v>
      </c>
      <c r="J34" s="259">
        <v>0</v>
      </c>
      <c r="K34" s="259">
        <v>5556</v>
      </c>
      <c r="L34" s="259">
        <v>444</v>
      </c>
      <c r="M34" s="259">
        <v>6000</v>
      </c>
      <c r="N34" s="118">
        <v>8.9999999999999998E-4</v>
      </c>
      <c r="O34" s="411" t="s">
        <v>1086</v>
      </c>
    </row>
    <row r="35" spans="1:15" ht="18" customHeight="1" x14ac:dyDescent="0.25">
      <c r="A35" s="115">
        <v>1</v>
      </c>
      <c r="B35" s="116" t="s">
        <v>86</v>
      </c>
      <c r="C35" s="115">
        <v>31</v>
      </c>
      <c r="D35" s="119" t="s">
        <v>95</v>
      </c>
      <c r="E35" s="119" t="s">
        <v>1111</v>
      </c>
      <c r="F35" s="116" t="s">
        <v>1085</v>
      </c>
      <c r="G35" s="280">
        <v>9</v>
      </c>
      <c r="H35" s="259">
        <v>1155</v>
      </c>
      <c r="I35" s="259">
        <v>10833</v>
      </c>
      <c r="J35" s="259">
        <v>434</v>
      </c>
      <c r="K35" s="259">
        <v>10399</v>
      </c>
      <c r="L35" s="259">
        <v>832</v>
      </c>
      <c r="M35" s="259">
        <v>11231</v>
      </c>
      <c r="N35" s="118">
        <v>1.6999999999999999E-3</v>
      </c>
      <c r="O35" s="411" t="s">
        <v>1086</v>
      </c>
    </row>
    <row r="36" spans="1:15" ht="18" customHeight="1" x14ac:dyDescent="0.25">
      <c r="A36" s="115">
        <v>1</v>
      </c>
      <c r="B36" s="116" t="s">
        <v>86</v>
      </c>
      <c r="C36" s="115">
        <v>212</v>
      </c>
      <c r="D36" s="119" t="s">
        <v>91</v>
      </c>
      <c r="E36" s="119" t="s">
        <v>162</v>
      </c>
      <c r="F36" s="116" t="s">
        <v>1085</v>
      </c>
      <c r="G36" s="280">
        <v>3</v>
      </c>
      <c r="H36" s="259">
        <v>22222</v>
      </c>
      <c r="I36" s="259">
        <v>66667</v>
      </c>
      <c r="J36" s="259">
        <v>0</v>
      </c>
      <c r="K36" s="259">
        <v>66667</v>
      </c>
      <c r="L36" s="259">
        <v>5333</v>
      </c>
      <c r="M36" s="259">
        <v>72000</v>
      </c>
      <c r="N36" s="118">
        <v>1.06E-2</v>
      </c>
      <c r="O36" s="411" t="s">
        <v>1086</v>
      </c>
    </row>
    <row r="37" spans="1:15" ht="18" customHeight="1" x14ac:dyDescent="0.25">
      <c r="A37" s="115">
        <v>1</v>
      </c>
      <c r="B37" s="116" t="s">
        <v>86</v>
      </c>
      <c r="C37" s="115">
        <v>501</v>
      </c>
      <c r="D37" s="119" t="s">
        <v>91</v>
      </c>
      <c r="E37" s="119" t="s">
        <v>1112</v>
      </c>
      <c r="F37" s="116" t="s">
        <v>1085</v>
      </c>
      <c r="G37" s="280">
        <v>1</v>
      </c>
      <c r="H37" s="259">
        <v>22222</v>
      </c>
      <c r="I37" s="259">
        <v>22222</v>
      </c>
      <c r="J37" s="259">
        <v>0</v>
      </c>
      <c r="K37" s="259">
        <v>22222</v>
      </c>
      <c r="L37" s="259">
        <v>1778</v>
      </c>
      <c r="M37" s="259">
        <v>24000</v>
      </c>
      <c r="N37" s="118">
        <v>3.5000000000000001E-3</v>
      </c>
      <c r="O37" s="411" t="s">
        <v>1086</v>
      </c>
    </row>
    <row r="38" spans="1:15" ht="18" customHeight="1" x14ac:dyDescent="0.25">
      <c r="A38" s="115">
        <v>1</v>
      </c>
      <c r="B38" s="116" t="s">
        <v>86</v>
      </c>
      <c r="C38" s="115">
        <v>75</v>
      </c>
      <c r="D38" s="119" t="s">
        <v>91</v>
      </c>
      <c r="E38" s="119" t="s">
        <v>1113</v>
      </c>
      <c r="F38" s="116" t="s">
        <v>1085</v>
      </c>
      <c r="G38" s="280">
        <v>1</v>
      </c>
      <c r="H38" s="259">
        <v>9259</v>
      </c>
      <c r="I38" s="259">
        <v>9259</v>
      </c>
      <c r="J38" s="259">
        <v>0</v>
      </c>
      <c r="K38" s="259">
        <v>9259</v>
      </c>
      <c r="L38" s="259">
        <v>741</v>
      </c>
      <c r="M38" s="259">
        <v>10000</v>
      </c>
      <c r="N38" s="118">
        <v>1.5E-3</v>
      </c>
      <c r="O38" s="411" t="s">
        <v>1086</v>
      </c>
    </row>
    <row r="39" spans="1:15" ht="18" customHeight="1" x14ac:dyDescent="0.25">
      <c r="A39" s="115">
        <v>1</v>
      </c>
      <c r="B39" s="116" t="s">
        <v>86</v>
      </c>
      <c r="C39" s="115">
        <v>204</v>
      </c>
      <c r="D39" s="119" t="s">
        <v>91</v>
      </c>
      <c r="E39" s="119" t="s">
        <v>1114</v>
      </c>
      <c r="F39" s="116" t="s">
        <v>1085</v>
      </c>
      <c r="G39" s="280">
        <v>3</v>
      </c>
      <c r="H39" s="259">
        <v>12037</v>
      </c>
      <c r="I39" s="259">
        <v>36111</v>
      </c>
      <c r="J39" s="259">
        <v>0</v>
      </c>
      <c r="K39" s="259">
        <v>36111</v>
      </c>
      <c r="L39" s="259">
        <v>2889</v>
      </c>
      <c r="M39" s="259">
        <v>39000</v>
      </c>
      <c r="N39" s="118">
        <v>5.6999999999999993E-3</v>
      </c>
      <c r="O39" s="411" t="s">
        <v>1086</v>
      </c>
    </row>
    <row r="40" spans="1:15" ht="18" customHeight="1" x14ac:dyDescent="0.25">
      <c r="A40" s="115">
        <v>1</v>
      </c>
      <c r="B40" s="116" t="s">
        <v>86</v>
      </c>
      <c r="C40" s="115">
        <v>109</v>
      </c>
      <c r="D40" s="119" t="s">
        <v>91</v>
      </c>
      <c r="E40" s="119" t="s">
        <v>144</v>
      </c>
      <c r="F40" s="116" t="s">
        <v>1085</v>
      </c>
      <c r="G40" s="280">
        <v>4</v>
      </c>
      <c r="H40" s="259">
        <v>12963</v>
      </c>
      <c r="I40" s="259">
        <v>51852</v>
      </c>
      <c r="J40" s="259">
        <v>0</v>
      </c>
      <c r="K40" s="259">
        <v>51852</v>
      </c>
      <c r="L40" s="259">
        <v>4148</v>
      </c>
      <c r="M40" s="259">
        <v>56000</v>
      </c>
      <c r="N40" s="118">
        <v>8.3000000000000001E-3</v>
      </c>
      <c r="O40" s="411" t="s">
        <v>1086</v>
      </c>
    </row>
    <row r="41" spans="1:15" ht="18" customHeight="1" x14ac:dyDescent="0.25">
      <c r="A41" s="115">
        <v>1</v>
      </c>
      <c r="B41" s="116" t="s">
        <v>86</v>
      </c>
      <c r="C41" s="115">
        <v>147</v>
      </c>
      <c r="D41" s="119" t="s">
        <v>91</v>
      </c>
      <c r="E41" s="119" t="s">
        <v>1115</v>
      </c>
      <c r="F41" s="116" t="s">
        <v>1085</v>
      </c>
      <c r="G41" s="280">
        <v>1</v>
      </c>
      <c r="H41" s="259">
        <v>6481</v>
      </c>
      <c r="I41" s="259">
        <v>6481</v>
      </c>
      <c r="J41" s="259">
        <v>0</v>
      </c>
      <c r="K41" s="259">
        <v>6481</v>
      </c>
      <c r="L41" s="259">
        <v>519</v>
      </c>
      <c r="M41" s="259">
        <v>7000</v>
      </c>
      <c r="N41" s="118">
        <v>1E-3</v>
      </c>
      <c r="O41" s="411" t="s">
        <v>1086</v>
      </c>
    </row>
    <row r="42" spans="1:15" ht="18" customHeight="1" x14ac:dyDescent="0.25">
      <c r="A42" s="115">
        <v>1</v>
      </c>
      <c r="B42" s="116" t="s">
        <v>86</v>
      </c>
      <c r="C42" s="115">
        <v>46</v>
      </c>
      <c r="D42" s="119" t="s">
        <v>87</v>
      </c>
      <c r="E42" s="119" t="s">
        <v>1116</v>
      </c>
      <c r="F42" s="116" t="s">
        <v>1085</v>
      </c>
      <c r="G42" s="280">
        <v>2</v>
      </c>
      <c r="H42" s="259">
        <v>35648</v>
      </c>
      <c r="I42" s="259">
        <v>71296</v>
      </c>
      <c r="J42" s="259">
        <v>0</v>
      </c>
      <c r="K42" s="259">
        <v>71296</v>
      </c>
      <c r="L42" s="259">
        <v>5704</v>
      </c>
      <c r="M42" s="259">
        <v>77000</v>
      </c>
      <c r="N42" s="118">
        <v>1.1299999999999999E-2</v>
      </c>
      <c r="O42" s="411" t="s">
        <v>1086</v>
      </c>
    </row>
    <row r="43" spans="1:15" ht="18" customHeight="1" x14ac:dyDescent="0.25">
      <c r="A43" s="115">
        <v>1</v>
      </c>
      <c r="B43" s="116" t="s">
        <v>86</v>
      </c>
      <c r="C43" s="115">
        <v>72</v>
      </c>
      <c r="D43" s="119" t="s">
        <v>97</v>
      </c>
      <c r="E43" s="119" t="s">
        <v>1117</v>
      </c>
      <c r="F43" s="116" t="s">
        <v>1085</v>
      </c>
      <c r="G43" s="280">
        <v>8</v>
      </c>
      <c r="H43" s="259">
        <v>3704</v>
      </c>
      <c r="I43" s="259">
        <v>29630</v>
      </c>
      <c r="J43" s="259">
        <v>0</v>
      </c>
      <c r="K43" s="259">
        <v>29630</v>
      </c>
      <c r="L43" s="259">
        <v>2370</v>
      </c>
      <c r="M43" s="259">
        <v>32000</v>
      </c>
      <c r="N43" s="118">
        <v>4.6999999999999993E-3</v>
      </c>
      <c r="O43" s="411" t="s">
        <v>1086</v>
      </c>
    </row>
    <row r="44" spans="1:15" ht="18" customHeight="1" x14ac:dyDescent="0.25">
      <c r="A44" s="115">
        <v>1</v>
      </c>
      <c r="B44" s="116" t="s">
        <v>86</v>
      </c>
      <c r="C44" s="115">
        <v>112</v>
      </c>
      <c r="D44" s="119" t="s">
        <v>87</v>
      </c>
      <c r="E44" s="119" t="s">
        <v>1118</v>
      </c>
      <c r="F44" s="116" t="s">
        <v>1085</v>
      </c>
      <c r="G44" s="280">
        <v>2</v>
      </c>
      <c r="H44" s="259">
        <v>41667</v>
      </c>
      <c r="I44" s="259">
        <v>83333</v>
      </c>
      <c r="J44" s="259">
        <v>0</v>
      </c>
      <c r="K44" s="259">
        <v>83333</v>
      </c>
      <c r="L44" s="259">
        <v>6667</v>
      </c>
      <c r="M44" s="259">
        <v>90000</v>
      </c>
      <c r="N44" s="118">
        <v>1.3299999999999999E-2</v>
      </c>
      <c r="O44" s="411" t="s">
        <v>1086</v>
      </c>
    </row>
    <row r="45" spans="1:15" ht="18" customHeight="1" x14ac:dyDescent="0.25">
      <c r="A45" s="115">
        <v>1</v>
      </c>
      <c r="B45" s="116" t="s">
        <v>86</v>
      </c>
      <c r="C45" s="115">
        <v>101</v>
      </c>
      <c r="D45" s="119" t="s">
        <v>87</v>
      </c>
      <c r="E45" s="119" t="s">
        <v>1119</v>
      </c>
      <c r="F45" s="116" t="s">
        <v>1085</v>
      </c>
      <c r="G45" s="280">
        <v>1</v>
      </c>
      <c r="H45" s="259">
        <v>2315</v>
      </c>
      <c r="I45" s="259">
        <v>2315</v>
      </c>
      <c r="J45" s="259">
        <v>0</v>
      </c>
      <c r="K45" s="259">
        <v>2315</v>
      </c>
      <c r="L45" s="259">
        <v>185</v>
      </c>
      <c r="M45" s="259">
        <v>2500</v>
      </c>
      <c r="N45" s="118">
        <v>4.0000000000000002E-4</v>
      </c>
      <c r="O45" s="411" t="s">
        <v>1086</v>
      </c>
    </row>
    <row r="46" spans="1:15" ht="18" customHeight="1" x14ac:dyDescent="0.25">
      <c r="A46" s="115">
        <v>1</v>
      </c>
      <c r="B46" s="116" t="s">
        <v>86</v>
      </c>
      <c r="C46" s="115">
        <v>119</v>
      </c>
      <c r="D46" s="119" t="s">
        <v>89</v>
      </c>
      <c r="E46" s="119" t="s">
        <v>114</v>
      </c>
      <c r="F46" s="116" t="s">
        <v>1085</v>
      </c>
      <c r="G46" s="280">
        <v>10</v>
      </c>
      <c r="H46" s="259">
        <v>44444</v>
      </c>
      <c r="I46" s="259">
        <v>444444</v>
      </c>
      <c r="J46" s="259">
        <v>0</v>
      </c>
      <c r="K46" s="259">
        <v>444444</v>
      </c>
      <c r="L46" s="259">
        <v>35556</v>
      </c>
      <c r="M46" s="259">
        <v>480000</v>
      </c>
      <c r="N46" s="118">
        <v>7.0699999999999999E-2</v>
      </c>
      <c r="O46" s="411" t="s">
        <v>1086</v>
      </c>
    </row>
    <row r="47" spans="1:15" ht="18" customHeight="1" x14ac:dyDescent="0.25">
      <c r="A47" s="115">
        <v>1</v>
      </c>
      <c r="B47" s="116" t="s">
        <v>86</v>
      </c>
      <c r="C47" s="115">
        <v>19</v>
      </c>
      <c r="D47" s="119" t="s">
        <v>87</v>
      </c>
      <c r="E47" s="119" t="s">
        <v>1120</v>
      </c>
      <c r="F47" s="116" t="s">
        <v>1085</v>
      </c>
      <c r="G47" s="280">
        <v>1</v>
      </c>
      <c r="H47" s="259">
        <v>9259</v>
      </c>
      <c r="I47" s="259">
        <v>9259</v>
      </c>
      <c r="J47" s="259">
        <v>0</v>
      </c>
      <c r="K47" s="259">
        <v>9259</v>
      </c>
      <c r="L47" s="259">
        <v>741</v>
      </c>
      <c r="M47" s="259">
        <v>10000</v>
      </c>
      <c r="N47" s="118">
        <v>1.5E-3</v>
      </c>
      <c r="O47" s="411" t="s">
        <v>1086</v>
      </c>
    </row>
    <row r="48" spans="1:15" ht="18" customHeight="1" x14ac:dyDescent="0.25">
      <c r="A48" s="115">
        <v>1</v>
      </c>
      <c r="B48" s="116" t="s">
        <v>86</v>
      </c>
      <c r="C48" s="115">
        <v>77</v>
      </c>
      <c r="D48" s="119" t="s">
        <v>87</v>
      </c>
      <c r="E48" s="119" t="s">
        <v>1121</v>
      </c>
      <c r="F48" s="116" t="s">
        <v>1085</v>
      </c>
      <c r="G48" s="280">
        <v>1</v>
      </c>
      <c r="H48" s="259">
        <v>2778</v>
      </c>
      <c r="I48" s="259">
        <v>2778</v>
      </c>
      <c r="J48" s="259">
        <v>0</v>
      </c>
      <c r="K48" s="259">
        <v>2778</v>
      </c>
      <c r="L48" s="259">
        <v>222</v>
      </c>
      <c r="M48" s="259">
        <v>3000</v>
      </c>
      <c r="N48" s="118">
        <v>4.0000000000000002E-4</v>
      </c>
      <c r="O48" s="411" t="s">
        <v>1086</v>
      </c>
    </row>
    <row r="49" spans="1:15" ht="18" customHeight="1" x14ac:dyDescent="0.25">
      <c r="A49" s="115">
        <v>1</v>
      </c>
      <c r="B49" s="116" t="s">
        <v>86</v>
      </c>
      <c r="C49" s="115">
        <v>162</v>
      </c>
      <c r="D49" s="119" t="s">
        <v>95</v>
      </c>
      <c r="E49" s="119" t="s">
        <v>1122</v>
      </c>
      <c r="F49" s="116" t="s">
        <v>1085</v>
      </c>
      <c r="G49" s="280">
        <v>14</v>
      </c>
      <c r="H49" s="259">
        <v>6481</v>
      </c>
      <c r="I49" s="259">
        <v>90741</v>
      </c>
      <c r="J49" s="259">
        <v>0</v>
      </c>
      <c r="K49" s="259">
        <v>90741</v>
      </c>
      <c r="L49" s="259">
        <v>7259</v>
      </c>
      <c r="M49" s="259">
        <v>98000</v>
      </c>
      <c r="N49" s="118">
        <v>1.44E-2</v>
      </c>
      <c r="O49" s="411" t="s">
        <v>1086</v>
      </c>
    </row>
    <row r="50" spans="1:15" ht="18" customHeight="1" x14ac:dyDescent="0.25">
      <c r="A50" s="115">
        <v>1</v>
      </c>
      <c r="B50" s="116" t="s">
        <v>86</v>
      </c>
      <c r="C50" s="115">
        <v>81</v>
      </c>
      <c r="D50" s="119" t="s">
        <v>95</v>
      </c>
      <c r="E50" s="119" t="s">
        <v>1123</v>
      </c>
      <c r="F50" s="116" t="s">
        <v>1085</v>
      </c>
      <c r="G50" s="280">
        <v>1</v>
      </c>
      <c r="H50" s="259">
        <v>1389</v>
      </c>
      <c r="I50" s="259">
        <v>1389</v>
      </c>
      <c r="J50" s="259">
        <v>0</v>
      </c>
      <c r="K50" s="259">
        <v>1389</v>
      </c>
      <c r="L50" s="259">
        <v>111</v>
      </c>
      <c r="M50" s="259">
        <v>1500</v>
      </c>
      <c r="N50" s="118">
        <v>2.0000000000000001E-4</v>
      </c>
      <c r="O50" s="411" t="s">
        <v>1086</v>
      </c>
    </row>
    <row r="51" spans="1:15" ht="18" customHeight="1" x14ac:dyDescent="0.25">
      <c r="A51" s="115">
        <v>1</v>
      </c>
      <c r="B51" s="116" t="s">
        <v>86</v>
      </c>
      <c r="C51" s="115">
        <v>86</v>
      </c>
      <c r="D51" s="119" t="s">
        <v>95</v>
      </c>
      <c r="E51" s="119" t="s">
        <v>1124</v>
      </c>
      <c r="F51" s="116" t="s">
        <v>1085</v>
      </c>
      <c r="G51" s="280">
        <v>14</v>
      </c>
      <c r="H51" s="259">
        <v>3199</v>
      </c>
      <c r="I51" s="259">
        <v>45370</v>
      </c>
      <c r="J51" s="259">
        <v>584</v>
      </c>
      <c r="K51" s="259">
        <v>44786</v>
      </c>
      <c r="L51" s="259">
        <v>3583</v>
      </c>
      <c r="M51" s="259">
        <v>48369</v>
      </c>
      <c r="N51" s="118">
        <v>7.1000000000000004E-3</v>
      </c>
      <c r="O51" s="411" t="s">
        <v>1086</v>
      </c>
    </row>
    <row r="52" spans="1:15" ht="18" customHeight="1" x14ac:dyDescent="0.25">
      <c r="A52" s="115">
        <v>1</v>
      </c>
      <c r="B52" s="116" t="s">
        <v>86</v>
      </c>
      <c r="C52" s="115">
        <v>80</v>
      </c>
      <c r="D52" s="119" t="s">
        <v>95</v>
      </c>
      <c r="E52" s="119" t="s">
        <v>1125</v>
      </c>
      <c r="F52" s="116" t="s">
        <v>1085</v>
      </c>
      <c r="G52" s="280">
        <v>1</v>
      </c>
      <c r="H52" s="259">
        <v>6481</v>
      </c>
      <c r="I52" s="259">
        <v>6481</v>
      </c>
      <c r="J52" s="259">
        <v>0</v>
      </c>
      <c r="K52" s="259">
        <v>6481</v>
      </c>
      <c r="L52" s="259">
        <v>519</v>
      </c>
      <c r="M52" s="259">
        <v>7000</v>
      </c>
      <c r="N52" s="118">
        <v>1E-3</v>
      </c>
      <c r="O52" s="411" t="s">
        <v>1086</v>
      </c>
    </row>
    <row r="53" spans="1:15" ht="18" customHeight="1" x14ac:dyDescent="0.25">
      <c r="A53" s="115">
        <v>1</v>
      </c>
      <c r="B53" s="116" t="s">
        <v>86</v>
      </c>
      <c r="C53" s="115">
        <v>169</v>
      </c>
      <c r="D53" s="119" t="s">
        <v>95</v>
      </c>
      <c r="E53" s="119" t="s">
        <v>1126</v>
      </c>
      <c r="F53" s="116" t="s">
        <v>1085</v>
      </c>
      <c r="G53" s="280">
        <v>14</v>
      </c>
      <c r="H53" s="259">
        <v>6481</v>
      </c>
      <c r="I53" s="259">
        <v>90741</v>
      </c>
      <c r="J53" s="259">
        <v>0</v>
      </c>
      <c r="K53" s="259">
        <v>90741</v>
      </c>
      <c r="L53" s="259">
        <v>7259</v>
      </c>
      <c r="M53" s="259">
        <v>98000</v>
      </c>
      <c r="N53" s="118">
        <v>1.44E-2</v>
      </c>
      <c r="O53" s="411" t="s">
        <v>1086</v>
      </c>
    </row>
    <row r="54" spans="1:15" ht="18" customHeight="1" x14ac:dyDescent="0.25">
      <c r="A54" s="115">
        <v>1</v>
      </c>
      <c r="B54" s="116" t="s">
        <v>86</v>
      </c>
      <c r="C54" s="115">
        <v>79</v>
      </c>
      <c r="D54" s="119" t="s">
        <v>95</v>
      </c>
      <c r="E54" s="119" t="s">
        <v>1127</v>
      </c>
      <c r="F54" s="116" t="s">
        <v>1085</v>
      </c>
      <c r="G54" s="280">
        <v>6</v>
      </c>
      <c r="H54" s="259">
        <v>6481</v>
      </c>
      <c r="I54" s="259">
        <v>38889</v>
      </c>
      <c r="J54" s="259">
        <v>0</v>
      </c>
      <c r="K54" s="259">
        <v>38889</v>
      </c>
      <c r="L54" s="259">
        <v>3111</v>
      </c>
      <c r="M54" s="259">
        <v>42000</v>
      </c>
      <c r="N54" s="118">
        <v>6.1999999999999998E-3</v>
      </c>
      <c r="O54" s="411" t="s">
        <v>1086</v>
      </c>
    </row>
    <row r="55" spans="1:15" ht="18" customHeight="1" x14ac:dyDescent="0.25">
      <c r="A55" s="115">
        <v>1</v>
      </c>
      <c r="B55" s="116" t="s">
        <v>86</v>
      </c>
      <c r="C55" s="115">
        <v>62</v>
      </c>
      <c r="D55" s="119" t="s">
        <v>95</v>
      </c>
      <c r="E55" s="119" t="s">
        <v>1128</v>
      </c>
      <c r="F55" s="116" t="s">
        <v>1085</v>
      </c>
      <c r="G55" s="280">
        <v>3</v>
      </c>
      <c r="H55" s="259">
        <v>6944</v>
      </c>
      <c r="I55" s="259">
        <v>20833</v>
      </c>
      <c r="J55" s="259">
        <v>0</v>
      </c>
      <c r="K55" s="259">
        <v>20833</v>
      </c>
      <c r="L55" s="259">
        <v>1667</v>
      </c>
      <c r="M55" s="259">
        <v>22500</v>
      </c>
      <c r="N55" s="118">
        <v>3.3E-3</v>
      </c>
      <c r="O55" s="411" t="s">
        <v>1086</v>
      </c>
    </row>
    <row r="56" spans="1:15" ht="18" customHeight="1" x14ac:dyDescent="0.25">
      <c r="A56" s="115">
        <v>1</v>
      </c>
      <c r="B56" s="116" t="s">
        <v>86</v>
      </c>
      <c r="C56" s="115">
        <v>78</v>
      </c>
      <c r="D56" s="119" t="s">
        <v>95</v>
      </c>
      <c r="E56" s="119" t="s">
        <v>1129</v>
      </c>
      <c r="F56" s="116" t="s">
        <v>1085</v>
      </c>
      <c r="G56" s="280">
        <v>2</v>
      </c>
      <c r="H56" s="259">
        <v>6481</v>
      </c>
      <c r="I56" s="259">
        <v>12963</v>
      </c>
      <c r="J56" s="259">
        <v>0</v>
      </c>
      <c r="K56" s="259">
        <v>12963</v>
      </c>
      <c r="L56" s="259">
        <v>1037</v>
      </c>
      <c r="M56" s="259">
        <v>14000</v>
      </c>
      <c r="N56" s="118">
        <v>2.0999999999999999E-3</v>
      </c>
      <c r="O56" s="411" t="s">
        <v>1086</v>
      </c>
    </row>
    <row r="57" spans="1:15" ht="18" customHeight="1" x14ac:dyDescent="0.25">
      <c r="A57" s="115">
        <v>1</v>
      </c>
      <c r="B57" s="116" t="s">
        <v>86</v>
      </c>
      <c r="C57" s="115">
        <v>84</v>
      </c>
      <c r="D57" s="119" t="s">
        <v>95</v>
      </c>
      <c r="E57" s="119" t="s">
        <v>1130</v>
      </c>
      <c r="F57" s="116" t="s">
        <v>1085</v>
      </c>
      <c r="G57" s="280">
        <v>10</v>
      </c>
      <c r="H57" s="259">
        <v>7407</v>
      </c>
      <c r="I57" s="259">
        <v>74074</v>
      </c>
      <c r="J57" s="259">
        <v>0</v>
      </c>
      <c r="K57" s="259">
        <v>74074</v>
      </c>
      <c r="L57" s="259">
        <v>5926</v>
      </c>
      <c r="M57" s="259">
        <v>80000</v>
      </c>
      <c r="N57" s="118">
        <v>1.18E-2</v>
      </c>
      <c r="O57" s="411" t="s">
        <v>1086</v>
      </c>
    </row>
    <row r="58" spans="1:15" ht="18" customHeight="1" x14ac:dyDescent="0.25">
      <c r="A58" s="115">
        <v>1</v>
      </c>
      <c r="B58" s="116" t="s">
        <v>86</v>
      </c>
      <c r="C58" s="115">
        <v>219</v>
      </c>
      <c r="D58" s="119" t="s">
        <v>87</v>
      </c>
      <c r="E58" s="119" t="s">
        <v>150</v>
      </c>
      <c r="F58" s="116" t="s">
        <v>1085</v>
      </c>
      <c r="G58" s="280">
        <v>1</v>
      </c>
      <c r="H58" s="259">
        <v>69444</v>
      </c>
      <c r="I58" s="259">
        <v>69444</v>
      </c>
      <c r="J58" s="259">
        <v>0</v>
      </c>
      <c r="K58" s="259">
        <v>69444</v>
      </c>
      <c r="L58" s="259">
        <v>5556</v>
      </c>
      <c r="M58" s="259">
        <v>75000</v>
      </c>
      <c r="N58" s="118">
        <v>1.11E-2</v>
      </c>
      <c r="O58" s="411" t="s">
        <v>1086</v>
      </c>
    </row>
    <row r="59" spans="1:15" ht="18" customHeight="1" x14ac:dyDescent="0.25">
      <c r="A59" s="115">
        <v>1</v>
      </c>
      <c r="B59" s="116" t="s">
        <v>86</v>
      </c>
      <c r="C59" s="115">
        <v>140</v>
      </c>
      <c r="D59" s="119" t="s">
        <v>87</v>
      </c>
      <c r="E59" s="119" t="s">
        <v>1131</v>
      </c>
      <c r="F59" s="116" t="s">
        <v>1085</v>
      </c>
      <c r="G59" s="280">
        <v>1</v>
      </c>
      <c r="H59" s="259">
        <v>90741</v>
      </c>
      <c r="I59" s="259">
        <v>90741</v>
      </c>
      <c r="J59" s="259">
        <v>0</v>
      </c>
      <c r="K59" s="259">
        <v>90741</v>
      </c>
      <c r="L59" s="259">
        <v>7259</v>
      </c>
      <c r="M59" s="259">
        <v>98000</v>
      </c>
      <c r="N59" s="118">
        <v>1.44E-2</v>
      </c>
      <c r="O59" s="411" t="s">
        <v>1086</v>
      </c>
    </row>
    <row r="60" spans="1:15" ht="18" customHeight="1" x14ac:dyDescent="0.25">
      <c r="A60" s="115">
        <v>1</v>
      </c>
      <c r="B60" s="116" t="s">
        <v>86</v>
      </c>
      <c r="C60" s="115">
        <v>221</v>
      </c>
      <c r="D60" s="119" t="s">
        <v>87</v>
      </c>
      <c r="E60" s="119" t="s">
        <v>1132</v>
      </c>
      <c r="F60" s="116" t="s">
        <v>1085</v>
      </c>
      <c r="G60" s="280">
        <v>1</v>
      </c>
      <c r="H60" s="259">
        <v>54167</v>
      </c>
      <c r="I60" s="259">
        <v>54167</v>
      </c>
      <c r="J60" s="259">
        <v>0</v>
      </c>
      <c r="K60" s="259">
        <v>54167</v>
      </c>
      <c r="L60" s="259">
        <v>4333</v>
      </c>
      <c r="M60" s="259">
        <v>58500</v>
      </c>
      <c r="N60" s="118">
        <v>8.6E-3</v>
      </c>
      <c r="O60" s="411" t="s">
        <v>1086</v>
      </c>
    </row>
    <row r="61" spans="1:15" ht="18" customHeight="1" x14ac:dyDescent="0.25">
      <c r="A61" s="115">
        <v>1</v>
      </c>
      <c r="B61" s="116" t="s">
        <v>86</v>
      </c>
      <c r="C61" s="115">
        <v>222</v>
      </c>
      <c r="D61" s="119" t="s">
        <v>93</v>
      </c>
      <c r="E61" s="119" t="s">
        <v>1133</v>
      </c>
      <c r="F61" s="116" t="s">
        <v>1085</v>
      </c>
      <c r="G61" s="280">
        <v>1</v>
      </c>
      <c r="H61" s="259">
        <v>63426</v>
      </c>
      <c r="I61" s="259">
        <v>63426</v>
      </c>
      <c r="J61" s="259">
        <v>0</v>
      </c>
      <c r="K61" s="259">
        <v>63426</v>
      </c>
      <c r="L61" s="259">
        <v>5074</v>
      </c>
      <c r="M61" s="259">
        <v>68500</v>
      </c>
      <c r="N61" s="118">
        <v>1.01E-2</v>
      </c>
      <c r="O61" s="411" t="s">
        <v>1086</v>
      </c>
    </row>
    <row r="62" spans="1:15" ht="18" customHeight="1" x14ac:dyDescent="0.25">
      <c r="A62" s="115">
        <v>1</v>
      </c>
      <c r="B62" s="116" t="s">
        <v>86</v>
      </c>
      <c r="C62" s="115">
        <v>50</v>
      </c>
      <c r="D62" s="119" t="s">
        <v>87</v>
      </c>
      <c r="E62" s="119" t="s">
        <v>159</v>
      </c>
      <c r="F62" s="116" t="s">
        <v>1085</v>
      </c>
      <c r="G62" s="280">
        <v>2</v>
      </c>
      <c r="H62" s="259">
        <v>49074</v>
      </c>
      <c r="I62" s="259">
        <v>98148</v>
      </c>
      <c r="J62" s="259">
        <v>0</v>
      </c>
      <c r="K62" s="259">
        <v>98148</v>
      </c>
      <c r="L62" s="259">
        <v>7852</v>
      </c>
      <c r="M62" s="259">
        <v>106000</v>
      </c>
      <c r="N62" s="118">
        <v>1.5599999999999999E-2</v>
      </c>
      <c r="O62" s="411" t="s">
        <v>1086</v>
      </c>
    </row>
    <row r="63" spans="1:15" ht="18" customHeight="1" x14ac:dyDescent="0.25">
      <c r="A63" s="115">
        <v>1</v>
      </c>
      <c r="B63" s="116" t="s">
        <v>86</v>
      </c>
      <c r="C63" s="115">
        <v>120</v>
      </c>
      <c r="D63" s="119" t="s">
        <v>93</v>
      </c>
      <c r="E63" s="119" t="s">
        <v>1134</v>
      </c>
      <c r="F63" s="116" t="s">
        <v>1085</v>
      </c>
      <c r="G63" s="280">
        <v>1</v>
      </c>
      <c r="H63" s="259">
        <v>41667</v>
      </c>
      <c r="I63" s="259">
        <v>41667</v>
      </c>
      <c r="J63" s="259">
        <v>0</v>
      </c>
      <c r="K63" s="259">
        <v>41667</v>
      </c>
      <c r="L63" s="259">
        <v>3333</v>
      </c>
      <c r="M63" s="259">
        <v>45000</v>
      </c>
      <c r="N63" s="118">
        <v>6.6E-3</v>
      </c>
      <c r="O63" s="411" t="s">
        <v>1086</v>
      </c>
    </row>
    <row r="64" spans="1:15" ht="18" customHeight="1" x14ac:dyDescent="0.25">
      <c r="A64" s="115">
        <v>1</v>
      </c>
      <c r="B64" s="116" t="s">
        <v>86</v>
      </c>
      <c r="C64" s="115">
        <v>129</v>
      </c>
      <c r="D64" s="119" t="s">
        <v>93</v>
      </c>
      <c r="E64" s="119" t="s">
        <v>1135</v>
      </c>
      <c r="F64" s="116" t="s">
        <v>1085</v>
      </c>
      <c r="G64" s="280">
        <v>1</v>
      </c>
      <c r="H64" s="259">
        <v>44444</v>
      </c>
      <c r="I64" s="259">
        <v>44444</v>
      </c>
      <c r="J64" s="259">
        <v>0</v>
      </c>
      <c r="K64" s="259">
        <v>44444</v>
      </c>
      <c r="L64" s="259">
        <v>3556</v>
      </c>
      <c r="M64" s="259">
        <v>48000</v>
      </c>
      <c r="N64" s="118">
        <v>7.1000000000000004E-3</v>
      </c>
      <c r="O64" s="411" t="s">
        <v>1086</v>
      </c>
    </row>
    <row r="65" spans="1:15" ht="18" customHeight="1" x14ac:dyDescent="0.25">
      <c r="A65" s="115">
        <v>1</v>
      </c>
      <c r="B65" s="116" t="s">
        <v>86</v>
      </c>
      <c r="C65" s="115">
        <v>117</v>
      </c>
      <c r="D65" s="119" t="s">
        <v>87</v>
      </c>
      <c r="E65" s="119" t="s">
        <v>120</v>
      </c>
      <c r="F65" s="116" t="s">
        <v>1085</v>
      </c>
      <c r="G65" s="280">
        <v>2</v>
      </c>
      <c r="H65" s="259">
        <v>41667</v>
      </c>
      <c r="I65" s="259">
        <v>83333</v>
      </c>
      <c r="J65" s="259">
        <v>0</v>
      </c>
      <c r="K65" s="259">
        <v>83333</v>
      </c>
      <c r="L65" s="259">
        <v>6667</v>
      </c>
      <c r="M65" s="259">
        <v>90000</v>
      </c>
      <c r="N65" s="118">
        <v>1.3299999999999999E-2</v>
      </c>
      <c r="O65" s="411" t="s">
        <v>1086</v>
      </c>
    </row>
    <row r="66" spans="1:15" ht="18" customHeight="1" x14ac:dyDescent="0.25">
      <c r="A66" s="115">
        <v>1</v>
      </c>
      <c r="B66" s="116" t="s">
        <v>86</v>
      </c>
      <c r="C66" s="115">
        <v>28</v>
      </c>
      <c r="D66" s="119" t="s">
        <v>87</v>
      </c>
      <c r="E66" s="119" t="s">
        <v>375</v>
      </c>
      <c r="F66" s="116" t="s">
        <v>1085</v>
      </c>
      <c r="G66" s="280">
        <v>34</v>
      </c>
      <c r="H66" s="259">
        <v>18709</v>
      </c>
      <c r="I66" s="259">
        <v>639815</v>
      </c>
      <c r="J66" s="259">
        <v>3704</v>
      </c>
      <c r="K66" s="259">
        <v>636111</v>
      </c>
      <c r="L66" s="259">
        <v>50889</v>
      </c>
      <c r="M66" s="259">
        <v>687000</v>
      </c>
      <c r="N66" s="118">
        <v>0.1013</v>
      </c>
      <c r="O66" s="411" t="s">
        <v>1086</v>
      </c>
    </row>
    <row r="67" spans="1:15" ht="18" customHeight="1" x14ac:dyDescent="0.25">
      <c r="A67" s="115">
        <v>1</v>
      </c>
      <c r="B67" s="116" t="s">
        <v>86</v>
      </c>
      <c r="C67" s="115">
        <v>36</v>
      </c>
      <c r="D67" s="119" t="s">
        <v>91</v>
      </c>
      <c r="E67" s="119" t="s">
        <v>1136</v>
      </c>
      <c r="F67" s="116" t="s">
        <v>1085</v>
      </c>
      <c r="G67" s="280">
        <v>6</v>
      </c>
      <c r="H67" s="259">
        <v>3704</v>
      </c>
      <c r="I67" s="259">
        <v>22222</v>
      </c>
      <c r="J67" s="259">
        <v>0</v>
      </c>
      <c r="K67" s="259">
        <v>22222</v>
      </c>
      <c r="L67" s="259">
        <v>1778</v>
      </c>
      <c r="M67" s="259">
        <v>24000</v>
      </c>
      <c r="N67" s="118">
        <v>3.5000000000000001E-3</v>
      </c>
      <c r="O67" s="411" t="s">
        <v>1086</v>
      </c>
    </row>
    <row r="68" spans="1:15" ht="18" customHeight="1" x14ac:dyDescent="0.25">
      <c r="A68" s="115">
        <v>1</v>
      </c>
      <c r="B68" s="116" t="s">
        <v>86</v>
      </c>
      <c r="C68" s="115">
        <v>61</v>
      </c>
      <c r="D68" s="119" t="s">
        <v>97</v>
      </c>
      <c r="E68" s="119" t="s">
        <v>1137</v>
      </c>
      <c r="F68" s="116" t="s">
        <v>1085</v>
      </c>
      <c r="G68" s="280">
        <v>21</v>
      </c>
      <c r="H68" s="259">
        <v>4630</v>
      </c>
      <c r="I68" s="259">
        <v>97222</v>
      </c>
      <c r="J68" s="259">
        <v>0</v>
      </c>
      <c r="K68" s="259">
        <v>97222</v>
      </c>
      <c r="L68" s="259">
        <v>7778</v>
      </c>
      <c r="M68" s="259">
        <v>105000</v>
      </c>
      <c r="N68" s="118">
        <v>1.55E-2</v>
      </c>
      <c r="O68" s="411" t="s">
        <v>1086</v>
      </c>
    </row>
    <row r="69" spans="1:15" ht="18" customHeight="1" x14ac:dyDescent="0.25">
      <c r="A69" s="115">
        <v>1</v>
      </c>
      <c r="B69" s="116" t="s">
        <v>86</v>
      </c>
      <c r="C69" s="115">
        <v>68</v>
      </c>
      <c r="D69" s="119" t="s">
        <v>93</v>
      </c>
      <c r="E69" s="119" t="s">
        <v>1138</v>
      </c>
      <c r="F69" s="116" t="s">
        <v>1085</v>
      </c>
      <c r="G69" s="280">
        <v>3</v>
      </c>
      <c r="H69" s="259">
        <v>41667</v>
      </c>
      <c r="I69" s="259">
        <v>125000</v>
      </c>
      <c r="J69" s="259">
        <v>0</v>
      </c>
      <c r="K69" s="259">
        <v>125000</v>
      </c>
      <c r="L69" s="259">
        <v>10000</v>
      </c>
      <c r="M69" s="259">
        <v>135000</v>
      </c>
      <c r="N69" s="118">
        <v>1.9900000000000001E-2</v>
      </c>
      <c r="O69" s="411" t="s">
        <v>1086</v>
      </c>
    </row>
    <row r="70" spans="1:15" ht="18" customHeight="1" x14ac:dyDescent="0.25">
      <c r="A70" s="115">
        <v>1</v>
      </c>
      <c r="B70" s="116" t="s">
        <v>86</v>
      </c>
      <c r="C70" s="115">
        <v>33</v>
      </c>
      <c r="D70" s="119" t="s">
        <v>91</v>
      </c>
      <c r="E70" s="119" t="s">
        <v>1139</v>
      </c>
      <c r="F70" s="116" t="s">
        <v>1085</v>
      </c>
      <c r="G70" s="280">
        <v>2</v>
      </c>
      <c r="H70" s="259">
        <v>1852</v>
      </c>
      <c r="I70" s="259">
        <v>3704</v>
      </c>
      <c r="J70" s="259">
        <v>0</v>
      </c>
      <c r="K70" s="259">
        <v>3704</v>
      </c>
      <c r="L70" s="259">
        <v>296</v>
      </c>
      <c r="M70" s="259">
        <v>4000</v>
      </c>
      <c r="N70" s="118">
        <v>5.9999999999999995E-4</v>
      </c>
      <c r="O70" s="411" t="s">
        <v>1086</v>
      </c>
    </row>
    <row r="71" spans="1:15" ht="18" customHeight="1" x14ac:dyDescent="0.25">
      <c r="A71" s="115">
        <v>1</v>
      </c>
      <c r="B71" s="116" t="s">
        <v>86</v>
      </c>
      <c r="C71" s="115">
        <v>67</v>
      </c>
      <c r="D71" s="119" t="s">
        <v>93</v>
      </c>
      <c r="E71" s="119" t="s">
        <v>1140</v>
      </c>
      <c r="F71" s="116" t="s">
        <v>1085</v>
      </c>
      <c r="G71" s="280">
        <v>1</v>
      </c>
      <c r="H71" s="259">
        <v>41667</v>
      </c>
      <c r="I71" s="259">
        <v>41667</v>
      </c>
      <c r="J71" s="259">
        <v>0</v>
      </c>
      <c r="K71" s="259">
        <v>41667</v>
      </c>
      <c r="L71" s="259">
        <v>3333</v>
      </c>
      <c r="M71" s="259">
        <v>45000</v>
      </c>
      <c r="N71" s="118">
        <v>6.6E-3</v>
      </c>
      <c r="O71" s="411" t="s">
        <v>1086</v>
      </c>
    </row>
    <row r="72" spans="1:15" ht="18" customHeight="1" x14ac:dyDescent="0.25">
      <c r="A72" s="115">
        <v>2</v>
      </c>
      <c r="B72" s="116" t="s">
        <v>88</v>
      </c>
      <c r="C72" s="115">
        <v>73</v>
      </c>
      <c r="D72" s="119" t="s">
        <v>91</v>
      </c>
      <c r="E72" s="119" t="s">
        <v>1084</v>
      </c>
      <c r="F72" s="116" t="s">
        <v>1085</v>
      </c>
      <c r="G72" s="280">
        <v>17</v>
      </c>
      <c r="H72" s="259">
        <v>2593</v>
      </c>
      <c r="I72" s="259">
        <v>44074</v>
      </c>
      <c r="J72" s="259">
        <v>0</v>
      </c>
      <c r="K72" s="259">
        <v>44074</v>
      </c>
      <c r="L72" s="259">
        <v>3526</v>
      </c>
      <c r="M72" s="259">
        <v>47600</v>
      </c>
      <c r="N72" s="118">
        <v>8.1000000000000013E-3</v>
      </c>
      <c r="O72" s="411" t="s">
        <v>1086</v>
      </c>
    </row>
    <row r="73" spans="1:15" ht="18" customHeight="1" x14ac:dyDescent="0.25">
      <c r="A73" s="115">
        <v>2</v>
      </c>
      <c r="B73" s="116" t="s">
        <v>88</v>
      </c>
      <c r="C73" s="115">
        <v>132</v>
      </c>
      <c r="D73" s="119" t="s">
        <v>91</v>
      </c>
      <c r="E73" s="119" t="s">
        <v>1141</v>
      </c>
      <c r="F73" s="116" t="s">
        <v>1142</v>
      </c>
      <c r="G73" s="280">
        <v>1</v>
      </c>
      <c r="H73" s="259">
        <v>7870</v>
      </c>
      <c r="I73" s="259">
        <v>7870</v>
      </c>
      <c r="J73" s="259">
        <v>0</v>
      </c>
      <c r="K73" s="259">
        <v>7870</v>
      </c>
      <c r="L73" s="259">
        <v>630</v>
      </c>
      <c r="M73" s="259">
        <v>8500</v>
      </c>
      <c r="N73" s="118">
        <v>1.4E-3</v>
      </c>
      <c r="O73" s="411" t="s">
        <v>1086</v>
      </c>
    </row>
    <row r="74" spans="1:15" ht="18" customHeight="1" x14ac:dyDescent="0.25">
      <c r="A74" s="115">
        <v>2</v>
      </c>
      <c r="B74" s="116" t="s">
        <v>88</v>
      </c>
      <c r="C74" s="115">
        <v>65</v>
      </c>
      <c r="D74" s="119" t="s">
        <v>91</v>
      </c>
      <c r="E74" s="119" t="s">
        <v>1087</v>
      </c>
      <c r="F74" s="116" t="s">
        <v>1085</v>
      </c>
      <c r="G74" s="280">
        <v>2</v>
      </c>
      <c r="H74" s="259">
        <v>2778</v>
      </c>
      <c r="I74" s="259">
        <v>5556</v>
      </c>
      <c r="J74" s="259">
        <v>0</v>
      </c>
      <c r="K74" s="259">
        <v>5556</v>
      </c>
      <c r="L74" s="259">
        <v>444</v>
      </c>
      <c r="M74" s="259">
        <v>6000</v>
      </c>
      <c r="N74" s="118">
        <v>1E-3</v>
      </c>
      <c r="O74" s="411" t="s">
        <v>1086</v>
      </c>
    </row>
    <row r="75" spans="1:15" ht="18" customHeight="1" x14ac:dyDescent="0.25">
      <c r="A75" s="115">
        <v>2</v>
      </c>
      <c r="B75" s="116" t="s">
        <v>88</v>
      </c>
      <c r="C75" s="115">
        <v>40</v>
      </c>
      <c r="D75" s="119" t="s">
        <v>87</v>
      </c>
      <c r="E75" s="119" t="s">
        <v>1143</v>
      </c>
      <c r="F75" s="116" t="s">
        <v>1085</v>
      </c>
      <c r="G75" s="280">
        <v>2</v>
      </c>
      <c r="H75" s="259">
        <v>55093</v>
      </c>
      <c r="I75" s="259">
        <v>110185</v>
      </c>
      <c r="J75" s="259">
        <v>0</v>
      </c>
      <c r="K75" s="259">
        <v>110185</v>
      </c>
      <c r="L75" s="259">
        <v>8815</v>
      </c>
      <c r="M75" s="259">
        <v>119000</v>
      </c>
      <c r="N75" s="118">
        <v>2.0199999999999999E-2</v>
      </c>
      <c r="O75" s="411" t="s">
        <v>1086</v>
      </c>
    </row>
    <row r="76" spans="1:15" ht="18" customHeight="1" x14ac:dyDescent="0.25">
      <c r="A76" s="115">
        <v>2</v>
      </c>
      <c r="B76" s="116" t="s">
        <v>88</v>
      </c>
      <c r="C76" s="115">
        <v>131</v>
      </c>
      <c r="D76" s="119" t="s">
        <v>87</v>
      </c>
      <c r="E76" s="119" t="s">
        <v>1144</v>
      </c>
      <c r="F76" s="116" t="s">
        <v>1085</v>
      </c>
      <c r="G76" s="280">
        <v>1</v>
      </c>
      <c r="H76" s="259">
        <v>278</v>
      </c>
      <c r="I76" s="259">
        <v>278</v>
      </c>
      <c r="J76" s="259">
        <v>0</v>
      </c>
      <c r="K76" s="259">
        <v>278</v>
      </c>
      <c r="L76" s="259">
        <v>22</v>
      </c>
      <c r="M76" s="259">
        <v>300</v>
      </c>
      <c r="N76" s="118">
        <v>1E-4</v>
      </c>
      <c r="O76" s="411" t="s">
        <v>1086</v>
      </c>
    </row>
    <row r="77" spans="1:15" ht="18" customHeight="1" x14ac:dyDescent="0.25">
      <c r="A77" s="115">
        <v>2</v>
      </c>
      <c r="B77" s="116" t="s">
        <v>88</v>
      </c>
      <c r="C77" s="115">
        <v>104</v>
      </c>
      <c r="D77" s="119" t="s">
        <v>89</v>
      </c>
      <c r="E77" s="119" t="s">
        <v>165</v>
      </c>
      <c r="F77" s="116" t="s">
        <v>1085</v>
      </c>
      <c r="G77" s="280">
        <v>13</v>
      </c>
      <c r="H77" s="259">
        <v>15954</v>
      </c>
      <c r="I77" s="259">
        <v>207407</v>
      </c>
      <c r="J77" s="259">
        <v>0</v>
      </c>
      <c r="K77" s="259">
        <v>207407</v>
      </c>
      <c r="L77" s="259">
        <v>16593</v>
      </c>
      <c r="M77" s="259">
        <v>224000</v>
      </c>
      <c r="N77" s="118">
        <v>3.8100000000000002E-2</v>
      </c>
      <c r="O77" s="411" t="s">
        <v>1086</v>
      </c>
    </row>
    <row r="78" spans="1:15" ht="18" customHeight="1" x14ac:dyDescent="0.25">
      <c r="A78" s="115">
        <v>2</v>
      </c>
      <c r="B78" s="116" t="s">
        <v>88</v>
      </c>
      <c r="C78" s="115">
        <v>95</v>
      </c>
      <c r="D78" s="119" t="s">
        <v>87</v>
      </c>
      <c r="E78" s="119" t="s">
        <v>1090</v>
      </c>
      <c r="F78" s="116" t="s">
        <v>1085</v>
      </c>
      <c r="G78" s="280">
        <v>5</v>
      </c>
      <c r="H78" s="259">
        <v>926</v>
      </c>
      <c r="I78" s="259">
        <v>4630</v>
      </c>
      <c r="J78" s="259">
        <v>0</v>
      </c>
      <c r="K78" s="259">
        <v>4630</v>
      </c>
      <c r="L78" s="259">
        <v>370</v>
      </c>
      <c r="M78" s="259">
        <v>5000</v>
      </c>
      <c r="N78" s="118">
        <v>8.0000000000000004E-4</v>
      </c>
      <c r="O78" s="411" t="s">
        <v>1086</v>
      </c>
    </row>
    <row r="79" spans="1:15" ht="18" customHeight="1" x14ac:dyDescent="0.25">
      <c r="A79" s="115">
        <v>2</v>
      </c>
      <c r="B79" s="116" t="s">
        <v>88</v>
      </c>
      <c r="C79" s="115">
        <v>54</v>
      </c>
      <c r="D79" s="119" t="s">
        <v>91</v>
      </c>
      <c r="E79" s="119" t="s">
        <v>1145</v>
      </c>
      <c r="F79" s="116" t="s">
        <v>1085</v>
      </c>
      <c r="G79" s="280">
        <v>1</v>
      </c>
      <c r="H79" s="259">
        <v>2315</v>
      </c>
      <c r="I79" s="259">
        <v>2315</v>
      </c>
      <c r="J79" s="259">
        <v>0</v>
      </c>
      <c r="K79" s="259">
        <v>2315</v>
      </c>
      <c r="L79" s="259">
        <v>185</v>
      </c>
      <c r="M79" s="259">
        <v>2500</v>
      </c>
      <c r="N79" s="118">
        <v>4.0000000000000002E-4</v>
      </c>
      <c r="O79" s="411" t="s">
        <v>1086</v>
      </c>
    </row>
    <row r="80" spans="1:15" ht="18" customHeight="1" x14ac:dyDescent="0.25">
      <c r="A80" s="115">
        <v>2</v>
      </c>
      <c r="B80" s="116" t="s">
        <v>88</v>
      </c>
      <c r="C80" s="115">
        <v>5</v>
      </c>
      <c r="D80" s="119" t="s">
        <v>89</v>
      </c>
      <c r="E80" s="119" t="s">
        <v>1146</v>
      </c>
      <c r="F80" s="116" t="s">
        <v>1085</v>
      </c>
      <c r="G80" s="280">
        <v>1</v>
      </c>
      <c r="H80" s="259">
        <v>11111</v>
      </c>
      <c r="I80" s="259">
        <v>11111</v>
      </c>
      <c r="J80" s="259">
        <v>0</v>
      </c>
      <c r="K80" s="259">
        <v>11111</v>
      </c>
      <c r="L80" s="259">
        <v>889</v>
      </c>
      <c r="M80" s="259">
        <v>12000</v>
      </c>
      <c r="N80" s="118">
        <v>2E-3</v>
      </c>
      <c r="O80" s="411" t="s">
        <v>1086</v>
      </c>
    </row>
    <row r="81" spans="1:15" ht="18" customHeight="1" x14ac:dyDescent="0.25">
      <c r="A81" s="115">
        <v>2</v>
      </c>
      <c r="B81" s="116" t="s">
        <v>88</v>
      </c>
      <c r="C81" s="115">
        <v>6</v>
      </c>
      <c r="D81" s="119" t="s">
        <v>89</v>
      </c>
      <c r="E81" s="119" t="s">
        <v>1147</v>
      </c>
      <c r="F81" s="116" t="s">
        <v>1085</v>
      </c>
      <c r="G81" s="280">
        <v>1</v>
      </c>
      <c r="H81" s="259">
        <v>14815</v>
      </c>
      <c r="I81" s="259">
        <v>14815</v>
      </c>
      <c r="J81" s="259">
        <v>0</v>
      </c>
      <c r="K81" s="259">
        <v>14815</v>
      </c>
      <c r="L81" s="259">
        <v>1185</v>
      </c>
      <c r="M81" s="259">
        <v>16000</v>
      </c>
      <c r="N81" s="118">
        <v>2.7000000000000001E-3</v>
      </c>
      <c r="O81" s="411" t="s">
        <v>1086</v>
      </c>
    </row>
    <row r="82" spans="1:15" ht="18" customHeight="1" x14ac:dyDescent="0.25">
      <c r="A82" s="115">
        <v>2</v>
      </c>
      <c r="B82" s="116" t="s">
        <v>88</v>
      </c>
      <c r="C82" s="115">
        <v>8</v>
      </c>
      <c r="D82" s="119" t="s">
        <v>87</v>
      </c>
      <c r="E82" s="119" t="s">
        <v>156</v>
      </c>
      <c r="F82" s="116" t="s">
        <v>1085</v>
      </c>
      <c r="G82" s="280">
        <v>9</v>
      </c>
      <c r="H82" s="259">
        <v>18930</v>
      </c>
      <c r="I82" s="259">
        <v>170370</v>
      </c>
      <c r="J82" s="259">
        <v>0</v>
      </c>
      <c r="K82" s="259">
        <v>170370</v>
      </c>
      <c r="L82" s="259">
        <v>13630</v>
      </c>
      <c r="M82" s="259">
        <v>184000</v>
      </c>
      <c r="N82" s="118">
        <v>3.1300000000000001E-2</v>
      </c>
      <c r="O82" s="411" t="s">
        <v>1086</v>
      </c>
    </row>
    <row r="83" spans="1:15" ht="18" customHeight="1" x14ac:dyDescent="0.25">
      <c r="A83" s="115">
        <v>2</v>
      </c>
      <c r="B83" s="116" t="s">
        <v>88</v>
      </c>
      <c r="C83" s="115">
        <v>311</v>
      </c>
      <c r="D83" s="119" t="s">
        <v>93</v>
      </c>
      <c r="E83" s="119" t="s">
        <v>1092</v>
      </c>
      <c r="F83" s="116" t="s">
        <v>1085</v>
      </c>
      <c r="G83" s="280">
        <v>1</v>
      </c>
      <c r="H83" s="259">
        <v>44907</v>
      </c>
      <c r="I83" s="259">
        <v>44907</v>
      </c>
      <c r="J83" s="259">
        <v>0</v>
      </c>
      <c r="K83" s="259">
        <v>44907</v>
      </c>
      <c r="L83" s="259">
        <v>3593</v>
      </c>
      <c r="M83" s="259">
        <v>48500</v>
      </c>
      <c r="N83" s="118">
        <v>8.199999999999999E-3</v>
      </c>
      <c r="O83" s="411" t="s">
        <v>1086</v>
      </c>
    </row>
    <row r="84" spans="1:15" ht="18" customHeight="1" x14ac:dyDescent="0.25">
      <c r="A84" s="115">
        <v>2</v>
      </c>
      <c r="B84" s="116" t="s">
        <v>88</v>
      </c>
      <c r="C84" s="115">
        <v>87</v>
      </c>
      <c r="D84" s="119" t="s">
        <v>89</v>
      </c>
      <c r="E84" s="119" t="s">
        <v>147</v>
      </c>
      <c r="F84" s="116" t="s">
        <v>1085</v>
      </c>
      <c r="G84" s="280">
        <v>1</v>
      </c>
      <c r="H84" s="259">
        <v>37500</v>
      </c>
      <c r="I84" s="259">
        <v>37500</v>
      </c>
      <c r="J84" s="259">
        <v>0</v>
      </c>
      <c r="K84" s="259">
        <v>37500</v>
      </c>
      <c r="L84" s="259">
        <v>3000</v>
      </c>
      <c r="M84" s="259">
        <v>40500</v>
      </c>
      <c r="N84" s="118">
        <v>6.8999999999999999E-3</v>
      </c>
      <c r="O84" s="411" t="s">
        <v>1086</v>
      </c>
    </row>
    <row r="85" spans="1:15" ht="18" customHeight="1" x14ac:dyDescent="0.25">
      <c r="A85" s="115">
        <v>2</v>
      </c>
      <c r="B85" s="116" t="s">
        <v>88</v>
      </c>
      <c r="C85" s="115">
        <v>206</v>
      </c>
      <c r="D85" s="119" t="s">
        <v>93</v>
      </c>
      <c r="E85" s="119" t="s">
        <v>1093</v>
      </c>
      <c r="F85" s="116" t="s">
        <v>1085</v>
      </c>
      <c r="G85" s="280">
        <v>1</v>
      </c>
      <c r="H85" s="259">
        <v>44907</v>
      </c>
      <c r="I85" s="259">
        <v>44907</v>
      </c>
      <c r="J85" s="259">
        <v>0</v>
      </c>
      <c r="K85" s="259">
        <v>44907</v>
      </c>
      <c r="L85" s="259">
        <v>3593</v>
      </c>
      <c r="M85" s="259">
        <v>48500</v>
      </c>
      <c r="N85" s="118">
        <v>8.199999999999999E-3</v>
      </c>
      <c r="O85" s="411" t="s">
        <v>1086</v>
      </c>
    </row>
    <row r="86" spans="1:15" ht="18" customHeight="1" x14ac:dyDescent="0.25">
      <c r="A86" s="115">
        <v>2</v>
      </c>
      <c r="B86" s="116" t="s">
        <v>88</v>
      </c>
      <c r="C86" s="115">
        <v>13</v>
      </c>
      <c r="D86" s="119" t="s">
        <v>87</v>
      </c>
      <c r="E86" s="119" t="s">
        <v>1094</v>
      </c>
      <c r="F86" s="116" t="s">
        <v>1085</v>
      </c>
      <c r="G86" s="280">
        <v>6</v>
      </c>
      <c r="H86" s="259">
        <v>18827</v>
      </c>
      <c r="I86" s="259">
        <v>112963</v>
      </c>
      <c r="J86" s="259">
        <v>0</v>
      </c>
      <c r="K86" s="259">
        <v>112963</v>
      </c>
      <c r="L86" s="259">
        <v>9037</v>
      </c>
      <c r="M86" s="259">
        <v>122000</v>
      </c>
      <c r="N86" s="118">
        <v>2.07E-2</v>
      </c>
      <c r="O86" s="411" t="s">
        <v>1086</v>
      </c>
    </row>
    <row r="87" spans="1:15" ht="18" customHeight="1" x14ac:dyDescent="0.25">
      <c r="A87" s="115">
        <v>2</v>
      </c>
      <c r="B87" s="116" t="s">
        <v>88</v>
      </c>
      <c r="C87" s="115">
        <v>264</v>
      </c>
      <c r="D87" s="119" t="s">
        <v>91</v>
      </c>
      <c r="E87" s="119" t="s">
        <v>1148</v>
      </c>
      <c r="F87" s="116" t="s">
        <v>1085</v>
      </c>
      <c r="G87" s="280">
        <v>2</v>
      </c>
      <c r="H87" s="259">
        <v>4630</v>
      </c>
      <c r="I87" s="259">
        <v>9259</v>
      </c>
      <c r="J87" s="259">
        <v>0</v>
      </c>
      <c r="K87" s="259">
        <v>9259</v>
      </c>
      <c r="L87" s="259">
        <v>741</v>
      </c>
      <c r="M87" s="259">
        <v>10000</v>
      </c>
      <c r="N87" s="118">
        <v>1.6999999999999999E-3</v>
      </c>
      <c r="O87" s="411" t="s">
        <v>1086</v>
      </c>
    </row>
    <row r="88" spans="1:15" ht="18" customHeight="1" x14ac:dyDescent="0.25">
      <c r="A88" s="115">
        <v>2</v>
      </c>
      <c r="B88" s="116" t="s">
        <v>88</v>
      </c>
      <c r="C88" s="115">
        <v>70</v>
      </c>
      <c r="D88" s="119" t="s">
        <v>91</v>
      </c>
      <c r="E88" s="119" t="s">
        <v>1096</v>
      </c>
      <c r="F88" s="116" t="s">
        <v>1085</v>
      </c>
      <c r="G88" s="280">
        <v>5</v>
      </c>
      <c r="H88" s="259">
        <v>4630</v>
      </c>
      <c r="I88" s="259">
        <v>23148</v>
      </c>
      <c r="J88" s="259">
        <v>0</v>
      </c>
      <c r="K88" s="259">
        <v>23148</v>
      </c>
      <c r="L88" s="259">
        <v>1852</v>
      </c>
      <c r="M88" s="259">
        <v>25000</v>
      </c>
      <c r="N88" s="118">
        <v>4.1999999999999997E-3</v>
      </c>
      <c r="O88" s="411" t="s">
        <v>1086</v>
      </c>
    </row>
    <row r="89" spans="1:15" ht="18" customHeight="1" x14ac:dyDescent="0.25">
      <c r="A89" s="115">
        <v>2</v>
      </c>
      <c r="B89" s="116" t="s">
        <v>88</v>
      </c>
      <c r="C89" s="115">
        <v>83</v>
      </c>
      <c r="D89" s="119" t="s">
        <v>87</v>
      </c>
      <c r="E89" s="119" t="s">
        <v>1098</v>
      </c>
      <c r="F89" s="116" t="s">
        <v>1085</v>
      </c>
      <c r="G89" s="280">
        <v>8</v>
      </c>
      <c r="H89" s="259">
        <v>20833</v>
      </c>
      <c r="I89" s="259">
        <v>166667</v>
      </c>
      <c r="J89" s="259">
        <v>0</v>
      </c>
      <c r="K89" s="259">
        <v>166667</v>
      </c>
      <c r="L89" s="259">
        <v>13333</v>
      </c>
      <c r="M89" s="259">
        <v>180000</v>
      </c>
      <c r="N89" s="118">
        <v>3.0599999999999999E-2</v>
      </c>
      <c r="O89" s="411" t="s">
        <v>1086</v>
      </c>
    </row>
    <row r="90" spans="1:15" ht="18" customHeight="1" x14ac:dyDescent="0.25">
      <c r="A90" s="115">
        <v>2</v>
      </c>
      <c r="B90" s="116" t="s">
        <v>88</v>
      </c>
      <c r="C90" s="115">
        <v>52</v>
      </c>
      <c r="D90" s="119" t="s">
        <v>87</v>
      </c>
      <c r="E90" s="119" t="s">
        <v>1149</v>
      </c>
      <c r="F90" s="116" t="s">
        <v>1085</v>
      </c>
      <c r="G90" s="280">
        <v>1</v>
      </c>
      <c r="H90" s="259">
        <v>5556</v>
      </c>
      <c r="I90" s="259">
        <v>5556</v>
      </c>
      <c r="J90" s="259">
        <v>0</v>
      </c>
      <c r="K90" s="259">
        <v>5556</v>
      </c>
      <c r="L90" s="259">
        <v>444</v>
      </c>
      <c r="M90" s="259">
        <v>6000</v>
      </c>
      <c r="N90" s="118">
        <v>1E-3</v>
      </c>
      <c r="O90" s="411" t="s">
        <v>1086</v>
      </c>
    </row>
    <row r="91" spans="1:15" ht="18" customHeight="1" x14ac:dyDescent="0.25">
      <c r="A91" s="115">
        <v>2</v>
      </c>
      <c r="B91" s="116" t="s">
        <v>88</v>
      </c>
      <c r="C91" s="115">
        <v>41</v>
      </c>
      <c r="D91" s="119" t="s">
        <v>87</v>
      </c>
      <c r="E91" s="119" t="s">
        <v>168</v>
      </c>
      <c r="F91" s="116" t="s">
        <v>1085</v>
      </c>
      <c r="G91" s="280">
        <v>2</v>
      </c>
      <c r="H91" s="259">
        <v>49074</v>
      </c>
      <c r="I91" s="259">
        <v>98148</v>
      </c>
      <c r="J91" s="259">
        <v>0</v>
      </c>
      <c r="K91" s="259">
        <v>98148</v>
      </c>
      <c r="L91" s="259">
        <v>7852</v>
      </c>
      <c r="M91" s="259">
        <v>106000</v>
      </c>
      <c r="N91" s="118">
        <v>1.7999999999999999E-2</v>
      </c>
      <c r="O91" s="411" t="s">
        <v>1086</v>
      </c>
    </row>
    <row r="92" spans="1:15" ht="18" customHeight="1" x14ac:dyDescent="0.25">
      <c r="A92" s="115">
        <v>2</v>
      </c>
      <c r="B92" s="116" t="s">
        <v>88</v>
      </c>
      <c r="C92" s="115">
        <v>122</v>
      </c>
      <c r="D92" s="119" t="s">
        <v>91</v>
      </c>
      <c r="E92" s="119" t="s">
        <v>1100</v>
      </c>
      <c r="F92" s="116" t="s">
        <v>1085</v>
      </c>
      <c r="G92" s="280">
        <v>3</v>
      </c>
      <c r="H92" s="259">
        <v>2778</v>
      </c>
      <c r="I92" s="259">
        <v>8333</v>
      </c>
      <c r="J92" s="259">
        <v>0</v>
      </c>
      <c r="K92" s="259">
        <v>8333</v>
      </c>
      <c r="L92" s="259">
        <v>667</v>
      </c>
      <c r="M92" s="259">
        <v>9000</v>
      </c>
      <c r="N92" s="118">
        <v>1.5E-3</v>
      </c>
      <c r="O92" s="411" t="s">
        <v>1086</v>
      </c>
    </row>
    <row r="93" spans="1:15" ht="18" customHeight="1" x14ac:dyDescent="0.25">
      <c r="A93" s="115">
        <v>2</v>
      </c>
      <c r="B93" s="116" t="s">
        <v>88</v>
      </c>
      <c r="C93" s="115">
        <v>105</v>
      </c>
      <c r="D93" s="119" t="s">
        <v>87</v>
      </c>
      <c r="E93" s="119" t="s">
        <v>1150</v>
      </c>
      <c r="F93" s="116" t="s">
        <v>1085</v>
      </c>
      <c r="G93" s="280">
        <v>20</v>
      </c>
      <c r="H93" s="259">
        <v>18565</v>
      </c>
      <c r="I93" s="259">
        <v>373148</v>
      </c>
      <c r="J93" s="259">
        <v>1852</v>
      </c>
      <c r="K93" s="259">
        <v>371296</v>
      </c>
      <c r="L93" s="259">
        <v>29704</v>
      </c>
      <c r="M93" s="259">
        <v>401000</v>
      </c>
      <c r="N93" s="118">
        <v>6.8199999999999997E-2</v>
      </c>
      <c r="O93" s="411" t="s">
        <v>1086</v>
      </c>
    </row>
    <row r="94" spans="1:15" ht="18" customHeight="1" x14ac:dyDescent="0.25">
      <c r="A94" s="115">
        <v>2</v>
      </c>
      <c r="B94" s="116" t="s">
        <v>88</v>
      </c>
      <c r="C94" s="115">
        <v>44</v>
      </c>
      <c r="D94" s="119" t="s">
        <v>87</v>
      </c>
      <c r="E94" s="119" t="s">
        <v>138</v>
      </c>
      <c r="F94" s="116" t="s">
        <v>1085</v>
      </c>
      <c r="G94" s="280">
        <v>2</v>
      </c>
      <c r="H94" s="259">
        <v>28241</v>
      </c>
      <c r="I94" s="259">
        <v>56481</v>
      </c>
      <c r="J94" s="259">
        <v>0</v>
      </c>
      <c r="K94" s="259">
        <v>56481</v>
      </c>
      <c r="L94" s="259">
        <v>4519</v>
      </c>
      <c r="M94" s="259">
        <v>61000</v>
      </c>
      <c r="N94" s="118">
        <v>1.04E-2</v>
      </c>
      <c r="O94" s="411" t="s">
        <v>1086</v>
      </c>
    </row>
    <row r="95" spans="1:15" ht="18" customHeight="1" x14ac:dyDescent="0.25">
      <c r="A95" s="115">
        <v>2</v>
      </c>
      <c r="B95" s="116" t="s">
        <v>88</v>
      </c>
      <c r="C95" s="115">
        <v>110</v>
      </c>
      <c r="D95" s="119" t="s">
        <v>99</v>
      </c>
      <c r="E95" s="119" t="s">
        <v>1101</v>
      </c>
      <c r="F95" s="116" t="s">
        <v>1085</v>
      </c>
      <c r="G95" s="280">
        <v>11</v>
      </c>
      <c r="H95" s="259">
        <v>926</v>
      </c>
      <c r="I95" s="259">
        <v>10185</v>
      </c>
      <c r="J95" s="259">
        <v>0</v>
      </c>
      <c r="K95" s="259">
        <v>10185</v>
      </c>
      <c r="L95" s="259">
        <v>815</v>
      </c>
      <c r="M95" s="259">
        <v>11000</v>
      </c>
      <c r="N95" s="118">
        <v>1.9E-3</v>
      </c>
      <c r="O95" s="411" t="s">
        <v>1086</v>
      </c>
    </row>
    <row r="96" spans="1:15" ht="18" customHeight="1" x14ac:dyDescent="0.25">
      <c r="A96" s="115">
        <v>2</v>
      </c>
      <c r="B96" s="116" t="s">
        <v>88</v>
      </c>
      <c r="C96" s="115">
        <v>102</v>
      </c>
      <c r="D96" s="119" t="s">
        <v>87</v>
      </c>
      <c r="E96" s="119" t="s">
        <v>1151</v>
      </c>
      <c r="F96" s="116" t="s">
        <v>1085</v>
      </c>
      <c r="G96" s="280">
        <v>1</v>
      </c>
      <c r="H96" s="259">
        <v>6944</v>
      </c>
      <c r="I96" s="259">
        <v>6944</v>
      </c>
      <c r="J96" s="259">
        <v>0</v>
      </c>
      <c r="K96" s="259">
        <v>6944</v>
      </c>
      <c r="L96" s="259">
        <v>556</v>
      </c>
      <c r="M96" s="259">
        <v>7500</v>
      </c>
      <c r="N96" s="118">
        <v>1.2999999999999999E-3</v>
      </c>
      <c r="O96" s="411" t="s">
        <v>1086</v>
      </c>
    </row>
    <row r="97" spans="1:15" ht="18" customHeight="1" x14ac:dyDescent="0.25">
      <c r="A97" s="115">
        <v>2</v>
      </c>
      <c r="B97" s="116" t="s">
        <v>88</v>
      </c>
      <c r="C97" s="115">
        <v>45</v>
      </c>
      <c r="D97" s="119" t="s">
        <v>87</v>
      </c>
      <c r="E97" s="119" t="s">
        <v>1102</v>
      </c>
      <c r="F97" s="116" t="s">
        <v>1085</v>
      </c>
      <c r="G97" s="280">
        <v>3</v>
      </c>
      <c r="H97" s="259">
        <v>35648</v>
      </c>
      <c r="I97" s="259">
        <v>106944</v>
      </c>
      <c r="J97" s="259">
        <v>0</v>
      </c>
      <c r="K97" s="259">
        <v>106944</v>
      </c>
      <c r="L97" s="259">
        <v>8556</v>
      </c>
      <c r="M97" s="259">
        <v>115500</v>
      </c>
      <c r="N97" s="118">
        <v>1.9599999999999999E-2</v>
      </c>
      <c r="O97" s="411" t="s">
        <v>1086</v>
      </c>
    </row>
    <row r="98" spans="1:15" ht="18" customHeight="1" x14ac:dyDescent="0.25">
      <c r="A98" s="115">
        <v>2</v>
      </c>
      <c r="B98" s="116" t="s">
        <v>88</v>
      </c>
      <c r="C98" s="115">
        <v>30</v>
      </c>
      <c r="D98" s="119" t="s">
        <v>95</v>
      </c>
      <c r="E98" s="119" t="s">
        <v>1103</v>
      </c>
      <c r="F98" s="116" t="s">
        <v>1085</v>
      </c>
      <c r="G98" s="280">
        <v>2</v>
      </c>
      <c r="H98" s="259">
        <v>6481</v>
      </c>
      <c r="I98" s="259">
        <v>12963</v>
      </c>
      <c r="J98" s="259">
        <v>0</v>
      </c>
      <c r="K98" s="259">
        <v>12963</v>
      </c>
      <c r="L98" s="259">
        <v>1037</v>
      </c>
      <c r="M98" s="259">
        <v>14000</v>
      </c>
      <c r="N98" s="118">
        <v>2.3999999999999998E-3</v>
      </c>
      <c r="O98" s="411" t="s">
        <v>1086</v>
      </c>
    </row>
    <row r="99" spans="1:15" ht="18" customHeight="1" x14ac:dyDescent="0.25">
      <c r="A99" s="115">
        <v>2</v>
      </c>
      <c r="B99" s="116" t="s">
        <v>88</v>
      </c>
      <c r="C99" s="115">
        <v>94</v>
      </c>
      <c r="D99" s="119" t="s">
        <v>89</v>
      </c>
      <c r="E99" s="119" t="s">
        <v>153</v>
      </c>
      <c r="F99" s="116" t="s">
        <v>1085</v>
      </c>
      <c r="G99" s="280">
        <v>10</v>
      </c>
      <c r="H99" s="259">
        <v>18611</v>
      </c>
      <c r="I99" s="259">
        <v>186111</v>
      </c>
      <c r="J99" s="259">
        <v>0</v>
      </c>
      <c r="K99" s="259">
        <v>186111</v>
      </c>
      <c r="L99" s="259">
        <v>14889</v>
      </c>
      <c r="M99" s="259">
        <v>201000</v>
      </c>
      <c r="N99" s="118">
        <v>3.4200000000000001E-2</v>
      </c>
      <c r="O99" s="411" t="s">
        <v>1086</v>
      </c>
    </row>
    <row r="100" spans="1:15" ht="18" customHeight="1" x14ac:dyDescent="0.25">
      <c r="A100" s="115">
        <v>2</v>
      </c>
      <c r="B100" s="116" t="s">
        <v>88</v>
      </c>
      <c r="C100" s="115">
        <v>233</v>
      </c>
      <c r="D100" s="119" t="s">
        <v>89</v>
      </c>
      <c r="E100" s="119" t="s">
        <v>117</v>
      </c>
      <c r="F100" s="116" t="s">
        <v>1085</v>
      </c>
      <c r="G100" s="280">
        <v>40</v>
      </c>
      <c r="H100" s="259">
        <v>18611</v>
      </c>
      <c r="I100" s="259">
        <v>744444</v>
      </c>
      <c r="J100" s="259">
        <v>0</v>
      </c>
      <c r="K100" s="259">
        <v>744444</v>
      </c>
      <c r="L100" s="259">
        <v>59556</v>
      </c>
      <c r="M100" s="259">
        <v>804000</v>
      </c>
      <c r="N100" s="118">
        <v>0.13669999999999999</v>
      </c>
      <c r="O100" s="411" t="s">
        <v>1086</v>
      </c>
    </row>
    <row r="101" spans="1:15" ht="18" customHeight="1" x14ac:dyDescent="0.25">
      <c r="A101" s="115">
        <v>2</v>
      </c>
      <c r="B101" s="116" t="s">
        <v>88</v>
      </c>
      <c r="C101" s="115">
        <v>218</v>
      </c>
      <c r="D101" s="119" t="s">
        <v>89</v>
      </c>
      <c r="E101" s="119" t="s">
        <v>1106</v>
      </c>
      <c r="F101" s="116" t="s">
        <v>1085</v>
      </c>
      <c r="G101" s="280">
        <v>12</v>
      </c>
      <c r="H101" s="259">
        <v>18673</v>
      </c>
      <c r="I101" s="259">
        <v>224074</v>
      </c>
      <c r="J101" s="259">
        <v>0</v>
      </c>
      <c r="K101" s="259">
        <v>224074</v>
      </c>
      <c r="L101" s="259">
        <v>17926</v>
      </c>
      <c r="M101" s="259">
        <v>242000</v>
      </c>
      <c r="N101" s="118">
        <v>4.1099999999999998E-2</v>
      </c>
      <c r="O101" s="411" t="s">
        <v>1086</v>
      </c>
    </row>
    <row r="102" spans="1:15" ht="18" customHeight="1" x14ac:dyDescent="0.25">
      <c r="A102" s="115">
        <v>2</v>
      </c>
      <c r="B102" s="116" t="s">
        <v>88</v>
      </c>
      <c r="C102" s="115">
        <v>34</v>
      </c>
      <c r="D102" s="119" t="s">
        <v>91</v>
      </c>
      <c r="E102" s="119" t="s">
        <v>1107</v>
      </c>
      <c r="F102" s="116" t="s">
        <v>1085</v>
      </c>
      <c r="G102" s="280">
        <v>3</v>
      </c>
      <c r="H102" s="259">
        <v>6481</v>
      </c>
      <c r="I102" s="259">
        <v>19444</v>
      </c>
      <c r="J102" s="259">
        <v>0</v>
      </c>
      <c r="K102" s="259">
        <v>19444</v>
      </c>
      <c r="L102" s="259">
        <v>1556</v>
      </c>
      <c r="M102" s="259">
        <v>21000</v>
      </c>
      <c r="N102" s="118">
        <v>3.5999999999999999E-3</v>
      </c>
      <c r="O102" s="411" t="s">
        <v>1086</v>
      </c>
    </row>
    <row r="103" spans="1:15" ht="18" customHeight="1" x14ac:dyDescent="0.25">
      <c r="A103" s="115">
        <v>2</v>
      </c>
      <c r="B103" s="116" t="s">
        <v>88</v>
      </c>
      <c r="C103" s="115">
        <v>121</v>
      </c>
      <c r="D103" s="119" t="s">
        <v>91</v>
      </c>
      <c r="E103" s="119" t="s">
        <v>1108</v>
      </c>
      <c r="F103" s="116" t="s">
        <v>1085</v>
      </c>
      <c r="G103" s="280">
        <v>1</v>
      </c>
      <c r="H103" s="259">
        <v>2778</v>
      </c>
      <c r="I103" s="259">
        <v>2778</v>
      </c>
      <c r="J103" s="259">
        <v>0</v>
      </c>
      <c r="K103" s="259">
        <v>2778</v>
      </c>
      <c r="L103" s="259">
        <v>222</v>
      </c>
      <c r="M103" s="259">
        <v>3000</v>
      </c>
      <c r="N103" s="118">
        <v>5.0000000000000001E-4</v>
      </c>
      <c r="O103" s="411" t="s">
        <v>1086</v>
      </c>
    </row>
    <row r="104" spans="1:15" ht="18" customHeight="1" x14ac:dyDescent="0.25">
      <c r="A104" s="115">
        <v>2</v>
      </c>
      <c r="B104" s="116" t="s">
        <v>88</v>
      </c>
      <c r="C104" s="115">
        <v>208</v>
      </c>
      <c r="D104" s="119" t="s">
        <v>91</v>
      </c>
      <c r="E104" s="119" t="s">
        <v>1109</v>
      </c>
      <c r="F104" s="116" t="s">
        <v>1085</v>
      </c>
      <c r="G104" s="280">
        <v>5</v>
      </c>
      <c r="H104" s="259">
        <v>3704</v>
      </c>
      <c r="I104" s="259">
        <v>18519</v>
      </c>
      <c r="J104" s="259">
        <v>0</v>
      </c>
      <c r="K104" s="259">
        <v>18519</v>
      </c>
      <c r="L104" s="259">
        <v>1482</v>
      </c>
      <c r="M104" s="259">
        <v>20001</v>
      </c>
      <c r="N104" s="118">
        <v>3.3999999999999998E-3</v>
      </c>
      <c r="O104" s="411" t="s">
        <v>1086</v>
      </c>
    </row>
    <row r="105" spans="1:15" ht="18" customHeight="1" x14ac:dyDescent="0.25">
      <c r="A105" s="115">
        <v>2</v>
      </c>
      <c r="B105" s="116" t="s">
        <v>88</v>
      </c>
      <c r="C105" s="115">
        <v>123</v>
      </c>
      <c r="D105" s="119" t="s">
        <v>91</v>
      </c>
      <c r="E105" s="119" t="s">
        <v>1110</v>
      </c>
      <c r="F105" s="116" t="s">
        <v>1085</v>
      </c>
      <c r="G105" s="280">
        <v>1</v>
      </c>
      <c r="H105" s="259">
        <v>2778</v>
      </c>
      <c r="I105" s="259">
        <v>2778</v>
      </c>
      <c r="J105" s="259">
        <v>0</v>
      </c>
      <c r="K105" s="259">
        <v>2778</v>
      </c>
      <c r="L105" s="259">
        <v>222</v>
      </c>
      <c r="M105" s="259">
        <v>3000</v>
      </c>
      <c r="N105" s="118">
        <v>5.0000000000000001E-4</v>
      </c>
      <c r="O105" s="411" t="s">
        <v>1086</v>
      </c>
    </row>
    <row r="106" spans="1:15" ht="18" customHeight="1" x14ac:dyDescent="0.25">
      <c r="A106" s="115">
        <v>2</v>
      </c>
      <c r="B106" s="116" t="s">
        <v>88</v>
      </c>
      <c r="C106" s="115">
        <v>314</v>
      </c>
      <c r="D106" s="119" t="s">
        <v>87</v>
      </c>
      <c r="E106" s="119" t="s">
        <v>1152</v>
      </c>
      <c r="F106" s="116" t="s">
        <v>1085</v>
      </c>
      <c r="G106" s="280">
        <v>1</v>
      </c>
      <c r="H106" s="259">
        <v>4167</v>
      </c>
      <c r="I106" s="259">
        <v>4167</v>
      </c>
      <c r="J106" s="259">
        <v>0</v>
      </c>
      <c r="K106" s="259">
        <v>4167</v>
      </c>
      <c r="L106" s="259">
        <v>333</v>
      </c>
      <c r="M106" s="259">
        <v>4500</v>
      </c>
      <c r="N106" s="118">
        <v>8.0000000000000004E-4</v>
      </c>
      <c r="O106" s="411" t="s">
        <v>1086</v>
      </c>
    </row>
    <row r="107" spans="1:15" ht="18" customHeight="1" x14ac:dyDescent="0.25">
      <c r="A107" s="115">
        <v>2</v>
      </c>
      <c r="B107" s="116" t="s">
        <v>88</v>
      </c>
      <c r="C107" s="115">
        <v>31</v>
      </c>
      <c r="D107" s="119" t="s">
        <v>95</v>
      </c>
      <c r="E107" s="119" t="s">
        <v>1111</v>
      </c>
      <c r="F107" s="116" t="s">
        <v>1085</v>
      </c>
      <c r="G107" s="280">
        <v>10</v>
      </c>
      <c r="H107" s="259">
        <v>1204</v>
      </c>
      <c r="I107" s="259">
        <v>12037</v>
      </c>
      <c r="J107" s="259">
        <v>0</v>
      </c>
      <c r="K107" s="259">
        <v>12037</v>
      </c>
      <c r="L107" s="259">
        <v>963</v>
      </c>
      <c r="M107" s="259">
        <v>13000</v>
      </c>
      <c r="N107" s="118">
        <v>2.2000000000000001E-3</v>
      </c>
      <c r="O107" s="411" t="s">
        <v>1086</v>
      </c>
    </row>
    <row r="108" spans="1:15" ht="18" customHeight="1" x14ac:dyDescent="0.25">
      <c r="A108" s="115">
        <v>2</v>
      </c>
      <c r="B108" s="116" t="s">
        <v>88</v>
      </c>
      <c r="C108" s="115">
        <v>212</v>
      </c>
      <c r="D108" s="119" t="s">
        <v>91</v>
      </c>
      <c r="E108" s="119" t="s">
        <v>162</v>
      </c>
      <c r="F108" s="116" t="s">
        <v>1085</v>
      </c>
      <c r="G108" s="280">
        <v>2</v>
      </c>
      <c r="H108" s="259">
        <v>22222</v>
      </c>
      <c r="I108" s="259">
        <v>44444</v>
      </c>
      <c r="J108" s="259">
        <v>0</v>
      </c>
      <c r="K108" s="259">
        <v>44444</v>
      </c>
      <c r="L108" s="259">
        <v>3556</v>
      </c>
      <c r="M108" s="259">
        <v>48000</v>
      </c>
      <c r="N108" s="118">
        <v>8.199999999999999E-3</v>
      </c>
      <c r="O108" s="411" t="s">
        <v>1086</v>
      </c>
    </row>
    <row r="109" spans="1:15" ht="18" customHeight="1" x14ac:dyDescent="0.25">
      <c r="A109" s="115">
        <v>2</v>
      </c>
      <c r="B109" s="116" t="s">
        <v>88</v>
      </c>
      <c r="C109" s="115">
        <v>74</v>
      </c>
      <c r="D109" s="119" t="s">
        <v>91</v>
      </c>
      <c r="E109" s="119" t="s">
        <v>1153</v>
      </c>
      <c r="F109" s="116" t="s">
        <v>1085</v>
      </c>
      <c r="G109" s="280">
        <v>5</v>
      </c>
      <c r="H109" s="259">
        <v>6481</v>
      </c>
      <c r="I109" s="259">
        <v>32407</v>
      </c>
      <c r="J109" s="259">
        <v>0</v>
      </c>
      <c r="K109" s="259">
        <v>32407</v>
      </c>
      <c r="L109" s="259">
        <v>2593</v>
      </c>
      <c r="M109" s="259">
        <v>35000</v>
      </c>
      <c r="N109" s="118">
        <v>5.8999999999999999E-3</v>
      </c>
      <c r="O109" s="411" t="s">
        <v>1086</v>
      </c>
    </row>
    <row r="110" spans="1:15" ht="18" customHeight="1" x14ac:dyDescent="0.25">
      <c r="A110" s="115">
        <v>2</v>
      </c>
      <c r="B110" s="116" t="s">
        <v>88</v>
      </c>
      <c r="C110" s="115">
        <v>235</v>
      </c>
      <c r="D110" s="119" t="s">
        <v>91</v>
      </c>
      <c r="E110" s="119" t="s">
        <v>1154</v>
      </c>
      <c r="F110" s="116" t="s">
        <v>1085</v>
      </c>
      <c r="G110" s="280">
        <v>1</v>
      </c>
      <c r="H110" s="259">
        <v>3426</v>
      </c>
      <c r="I110" s="259">
        <v>3426</v>
      </c>
      <c r="J110" s="259">
        <v>0</v>
      </c>
      <c r="K110" s="259">
        <v>3426</v>
      </c>
      <c r="L110" s="259">
        <v>274</v>
      </c>
      <c r="M110" s="259">
        <v>3700</v>
      </c>
      <c r="N110" s="118">
        <v>5.9999999999999995E-4</v>
      </c>
      <c r="O110" s="411" t="s">
        <v>1086</v>
      </c>
    </row>
    <row r="111" spans="1:15" ht="18" customHeight="1" x14ac:dyDescent="0.25">
      <c r="A111" s="115">
        <v>2</v>
      </c>
      <c r="B111" s="116" t="s">
        <v>88</v>
      </c>
      <c r="C111" s="115">
        <v>75</v>
      </c>
      <c r="D111" s="119" t="s">
        <v>91</v>
      </c>
      <c r="E111" s="119" t="s">
        <v>1113</v>
      </c>
      <c r="F111" s="116" t="s">
        <v>1085</v>
      </c>
      <c r="G111" s="280">
        <v>1</v>
      </c>
      <c r="H111" s="259">
        <v>9259</v>
      </c>
      <c r="I111" s="259">
        <v>9259</v>
      </c>
      <c r="J111" s="259">
        <v>0</v>
      </c>
      <c r="K111" s="259">
        <v>9259</v>
      </c>
      <c r="L111" s="259">
        <v>741</v>
      </c>
      <c r="M111" s="259">
        <v>10000</v>
      </c>
      <c r="N111" s="118">
        <v>1.6999999999999999E-3</v>
      </c>
      <c r="O111" s="411" t="s">
        <v>1086</v>
      </c>
    </row>
    <row r="112" spans="1:15" ht="18" customHeight="1" x14ac:dyDescent="0.25">
      <c r="A112" s="115">
        <v>2</v>
      </c>
      <c r="B112" s="116" t="s">
        <v>88</v>
      </c>
      <c r="C112" s="115">
        <v>118</v>
      </c>
      <c r="D112" s="119" t="s">
        <v>87</v>
      </c>
      <c r="E112" s="119" t="s">
        <v>126</v>
      </c>
      <c r="F112" s="116" t="s">
        <v>1085</v>
      </c>
      <c r="G112" s="280">
        <v>2</v>
      </c>
      <c r="H112" s="259">
        <v>41667</v>
      </c>
      <c r="I112" s="259">
        <v>83333</v>
      </c>
      <c r="J112" s="259">
        <v>0</v>
      </c>
      <c r="K112" s="259">
        <v>83333</v>
      </c>
      <c r="L112" s="259">
        <v>6667</v>
      </c>
      <c r="M112" s="259">
        <v>90000</v>
      </c>
      <c r="N112" s="118">
        <v>1.5299999999999999E-2</v>
      </c>
      <c r="O112" s="411" t="s">
        <v>1086</v>
      </c>
    </row>
    <row r="113" spans="1:15" ht="18" customHeight="1" x14ac:dyDescent="0.25">
      <c r="A113" s="115">
        <v>2</v>
      </c>
      <c r="B113" s="116" t="s">
        <v>88</v>
      </c>
      <c r="C113" s="115">
        <v>205</v>
      </c>
      <c r="D113" s="119" t="s">
        <v>91</v>
      </c>
      <c r="E113" s="119" t="s">
        <v>1155</v>
      </c>
      <c r="F113" s="116" t="s">
        <v>1085</v>
      </c>
      <c r="G113" s="280">
        <v>1</v>
      </c>
      <c r="H113" s="259">
        <v>12037</v>
      </c>
      <c r="I113" s="259">
        <v>12037</v>
      </c>
      <c r="J113" s="259">
        <v>0</v>
      </c>
      <c r="K113" s="259">
        <v>12037</v>
      </c>
      <c r="L113" s="259">
        <v>963</v>
      </c>
      <c r="M113" s="259">
        <v>13000</v>
      </c>
      <c r="N113" s="118">
        <v>2.2000000000000001E-3</v>
      </c>
      <c r="O113" s="411" t="s">
        <v>1086</v>
      </c>
    </row>
    <row r="114" spans="1:15" ht="18" customHeight="1" x14ac:dyDescent="0.25">
      <c r="A114" s="115">
        <v>2</v>
      </c>
      <c r="B114" s="116" t="s">
        <v>88</v>
      </c>
      <c r="C114" s="115">
        <v>204</v>
      </c>
      <c r="D114" s="119" t="s">
        <v>91</v>
      </c>
      <c r="E114" s="119" t="s">
        <v>1114</v>
      </c>
      <c r="F114" s="116" t="s">
        <v>1085</v>
      </c>
      <c r="G114" s="280">
        <v>1</v>
      </c>
      <c r="H114" s="259">
        <v>12037</v>
      </c>
      <c r="I114" s="259">
        <v>12037</v>
      </c>
      <c r="J114" s="259">
        <v>0</v>
      </c>
      <c r="K114" s="259">
        <v>12037</v>
      </c>
      <c r="L114" s="259">
        <v>963</v>
      </c>
      <c r="M114" s="259">
        <v>13000</v>
      </c>
      <c r="N114" s="118">
        <v>2.2000000000000001E-3</v>
      </c>
      <c r="O114" s="411" t="s">
        <v>1086</v>
      </c>
    </row>
    <row r="115" spans="1:15" ht="18" customHeight="1" x14ac:dyDescent="0.25">
      <c r="A115" s="115">
        <v>2</v>
      </c>
      <c r="B115" s="116" t="s">
        <v>88</v>
      </c>
      <c r="C115" s="115">
        <v>109</v>
      </c>
      <c r="D115" s="119" t="s">
        <v>91</v>
      </c>
      <c r="E115" s="119" t="s">
        <v>144</v>
      </c>
      <c r="F115" s="116" t="s">
        <v>1085</v>
      </c>
      <c r="G115" s="280">
        <v>3</v>
      </c>
      <c r="H115" s="259">
        <v>12963</v>
      </c>
      <c r="I115" s="259">
        <v>38889</v>
      </c>
      <c r="J115" s="259">
        <v>0</v>
      </c>
      <c r="K115" s="259">
        <v>38889</v>
      </c>
      <c r="L115" s="259">
        <v>3111</v>
      </c>
      <c r="M115" s="259">
        <v>42000</v>
      </c>
      <c r="N115" s="118">
        <v>7.1000000000000004E-3</v>
      </c>
      <c r="O115" s="411" t="s">
        <v>1086</v>
      </c>
    </row>
    <row r="116" spans="1:15" ht="18" customHeight="1" x14ac:dyDescent="0.25">
      <c r="A116" s="115">
        <v>2</v>
      </c>
      <c r="B116" s="116" t="s">
        <v>88</v>
      </c>
      <c r="C116" s="115">
        <v>147</v>
      </c>
      <c r="D116" s="119" t="s">
        <v>91</v>
      </c>
      <c r="E116" s="119" t="s">
        <v>1115</v>
      </c>
      <c r="F116" s="116" t="s">
        <v>1085</v>
      </c>
      <c r="G116" s="280">
        <v>2</v>
      </c>
      <c r="H116" s="259">
        <v>6481</v>
      </c>
      <c r="I116" s="259">
        <v>12963</v>
      </c>
      <c r="J116" s="259">
        <v>0</v>
      </c>
      <c r="K116" s="259">
        <v>12963</v>
      </c>
      <c r="L116" s="259">
        <v>1037</v>
      </c>
      <c r="M116" s="259">
        <v>14000</v>
      </c>
      <c r="N116" s="118">
        <v>2.3999999999999998E-3</v>
      </c>
      <c r="O116" s="411" t="s">
        <v>1086</v>
      </c>
    </row>
    <row r="117" spans="1:15" ht="18" customHeight="1" x14ac:dyDescent="0.25">
      <c r="A117" s="115">
        <v>2</v>
      </c>
      <c r="B117" s="116" t="s">
        <v>88</v>
      </c>
      <c r="C117" s="115">
        <v>72</v>
      </c>
      <c r="D117" s="119" t="s">
        <v>97</v>
      </c>
      <c r="E117" s="119" t="s">
        <v>1117</v>
      </c>
      <c r="F117" s="116" t="s">
        <v>1085</v>
      </c>
      <c r="G117" s="280">
        <v>7</v>
      </c>
      <c r="H117" s="259">
        <v>3704</v>
      </c>
      <c r="I117" s="259">
        <v>25926</v>
      </c>
      <c r="J117" s="259">
        <v>0</v>
      </c>
      <c r="K117" s="259">
        <v>25926</v>
      </c>
      <c r="L117" s="259">
        <v>2074</v>
      </c>
      <c r="M117" s="259">
        <v>28000</v>
      </c>
      <c r="N117" s="118">
        <v>4.7999999999999996E-3</v>
      </c>
      <c r="O117" s="411" t="s">
        <v>1086</v>
      </c>
    </row>
    <row r="118" spans="1:15" ht="18" customHeight="1" x14ac:dyDescent="0.25">
      <c r="A118" s="115">
        <v>2</v>
      </c>
      <c r="B118" s="116" t="s">
        <v>88</v>
      </c>
      <c r="C118" s="115">
        <v>112</v>
      </c>
      <c r="D118" s="119" t="s">
        <v>87</v>
      </c>
      <c r="E118" s="119" t="s">
        <v>1118</v>
      </c>
      <c r="F118" s="116" t="s">
        <v>1085</v>
      </c>
      <c r="G118" s="280">
        <v>1</v>
      </c>
      <c r="H118" s="259">
        <v>41667</v>
      </c>
      <c r="I118" s="259">
        <v>41667</v>
      </c>
      <c r="J118" s="259">
        <v>0</v>
      </c>
      <c r="K118" s="259">
        <v>41667</v>
      </c>
      <c r="L118" s="259">
        <v>3333</v>
      </c>
      <c r="M118" s="259">
        <v>45000</v>
      </c>
      <c r="N118" s="118">
        <v>7.6E-3</v>
      </c>
      <c r="O118" s="411" t="s">
        <v>1086</v>
      </c>
    </row>
    <row r="119" spans="1:15" ht="18" customHeight="1" x14ac:dyDescent="0.25">
      <c r="A119" s="115">
        <v>2</v>
      </c>
      <c r="B119" s="116" t="s">
        <v>88</v>
      </c>
      <c r="C119" s="115">
        <v>35</v>
      </c>
      <c r="D119" s="119" t="s">
        <v>87</v>
      </c>
      <c r="E119" s="119" t="s">
        <v>1156</v>
      </c>
      <c r="F119" s="116" t="s">
        <v>1085</v>
      </c>
      <c r="G119" s="280">
        <v>1</v>
      </c>
      <c r="H119" s="259">
        <v>7407</v>
      </c>
      <c r="I119" s="259">
        <v>7407</v>
      </c>
      <c r="J119" s="259">
        <v>0</v>
      </c>
      <c r="K119" s="259">
        <v>7407</v>
      </c>
      <c r="L119" s="259">
        <v>593</v>
      </c>
      <c r="M119" s="259">
        <v>8000</v>
      </c>
      <c r="N119" s="118">
        <v>1.4E-3</v>
      </c>
      <c r="O119" s="411" t="s">
        <v>1086</v>
      </c>
    </row>
    <row r="120" spans="1:15" ht="18" customHeight="1" x14ac:dyDescent="0.25">
      <c r="A120" s="115">
        <v>2</v>
      </c>
      <c r="B120" s="116" t="s">
        <v>88</v>
      </c>
      <c r="C120" s="115">
        <v>18</v>
      </c>
      <c r="D120" s="119" t="s">
        <v>87</v>
      </c>
      <c r="E120" s="119" t="s">
        <v>301</v>
      </c>
      <c r="F120" s="116" t="s">
        <v>1085</v>
      </c>
      <c r="G120" s="280">
        <v>37</v>
      </c>
      <c r="H120" s="259">
        <v>18669</v>
      </c>
      <c r="I120" s="259">
        <v>692593</v>
      </c>
      <c r="J120" s="259">
        <v>1852</v>
      </c>
      <c r="K120" s="259">
        <v>690741</v>
      </c>
      <c r="L120" s="259">
        <v>55259</v>
      </c>
      <c r="M120" s="259">
        <v>746000</v>
      </c>
      <c r="N120" s="118">
        <v>0.1268</v>
      </c>
      <c r="O120" s="411" t="s">
        <v>1086</v>
      </c>
    </row>
    <row r="121" spans="1:15" ht="18" customHeight="1" x14ac:dyDescent="0.25">
      <c r="A121" s="115">
        <v>2</v>
      </c>
      <c r="B121" s="116" t="s">
        <v>88</v>
      </c>
      <c r="C121" s="115">
        <v>93</v>
      </c>
      <c r="D121" s="119" t="s">
        <v>89</v>
      </c>
      <c r="E121" s="119" t="s">
        <v>123</v>
      </c>
      <c r="F121" s="116" t="s">
        <v>1085</v>
      </c>
      <c r="G121" s="280">
        <v>2</v>
      </c>
      <c r="H121" s="259">
        <v>20370</v>
      </c>
      <c r="I121" s="259">
        <v>40741</v>
      </c>
      <c r="J121" s="259">
        <v>0</v>
      </c>
      <c r="K121" s="259">
        <v>40741</v>
      </c>
      <c r="L121" s="259">
        <v>3259</v>
      </c>
      <c r="M121" s="259">
        <v>44000</v>
      </c>
      <c r="N121" s="118">
        <v>7.4999999999999997E-3</v>
      </c>
      <c r="O121" s="411" t="s">
        <v>1086</v>
      </c>
    </row>
    <row r="122" spans="1:15" ht="18" customHeight="1" x14ac:dyDescent="0.25">
      <c r="A122" s="115">
        <v>2</v>
      </c>
      <c r="B122" s="116" t="s">
        <v>88</v>
      </c>
      <c r="C122" s="115">
        <v>119</v>
      </c>
      <c r="D122" s="119" t="s">
        <v>89</v>
      </c>
      <c r="E122" s="119" t="s">
        <v>114</v>
      </c>
      <c r="F122" s="116" t="s">
        <v>1085</v>
      </c>
      <c r="G122" s="280">
        <v>7</v>
      </c>
      <c r="H122" s="259">
        <v>44444</v>
      </c>
      <c r="I122" s="259">
        <v>311111</v>
      </c>
      <c r="J122" s="259">
        <v>0</v>
      </c>
      <c r="K122" s="259">
        <v>311111</v>
      </c>
      <c r="L122" s="259">
        <v>24889</v>
      </c>
      <c r="M122" s="259">
        <v>336000</v>
      </c>
      <c r="N122" s="118">
        <v>5.7099999999999998E-2</v>
      </c>
      <c r="O122" s="411" t="s">
        <v>1086</v>
      </c>
    </row>
    <row r="123" spans="1:15" ht="18" customHeight="1" x14ac:dyDescent="0.25">
      <c r="A123" s="115">
        <v>2</v>
      </c>
      <c r="B123" s="116" t="s">
        <v>88</v>
      </c>
      <c r="C123" s="115">
        <v>19</v>
      </c>
      <c r="D123" s="119" t="s">
        <v>87</v>
      </c>
      <c r="E123" s="119" t="s">
        <v>1120</v>
      </c>
      <c r="F123" s="116" t="s">
        <v>1085</v>
      </c>
      <c r="G123" s="280">
        <v>2</v>
      </c>
      <c r="H123" s="259">
        <v>9259</v>
      </c>
      <c r="I123" s="259">
        <v>18519</v>
      </c>
      <c r="J123" s="259">
        <v>0</v>
      </c>
      <c r="K123" s="259">
        <v>18519</v>
      </c>
      <c r="L123" s="259">
        <v>1481</v>
      </c>
      <c r="M123" s="259">
        <v>20000</v>
      </c>
      <c r="N123" s="118">
        <v>3.3999999999999998E-3</v>
      </c>
      <c r="O123" s="411" t="s">
        <v>1086</v>
      </c>
    </row>
    <row r="124" spans="1:15" ht="18" customHeight="1" x14ac:dyDescent="0.25">
      <c r="A124" s="115">
        <v>2</v>
      </c>
      <c r="B124" s="116" t="s">
        <v>88</v>
      </c>
      <c r="C124" s="115">
        <v>86</v>
      </c>
      <c r="D124" s="119" t="s">
        <v>95</v>
      </c>
      <c r="E124" s="119" t="s">
        <v>1124</v>
      </c>
      <c r="F124" s="116" t="s">
        <v>1085</v>
      </c>
      <c r="G124" s="280">
        <v>15</v>
      </c>
      <c r="H124" s="259">
        <v>3241</v>
      </c>
      <c r="I124" s="259">
        <v>48611</v>
      </c>
      <c r="J124" s="259">
        <v>0</v>
      </c>
      <c r="K124" s="259">
        <v>48611</v>
      </c>
      <c r="L124" s="259">
        <v>3889</v>
      </c>
      <c r="M124" s="259">
        <v>52500</v>
      </c>
      <c r="N124" s="118">
        <v>8.8999999999999999E-3</v>
      </c>
      <c r="O124" s="411" t="s">
        <v>1086</v>
      </c>
    </row>
    <row r="125" spans="1:15" ht="18" customHeight="1" x14ac:dyDescent="0.25">
      <c r="A125" s="115">
        <v>2</v>
      </c>
      <c r="B125" s="116" t="s">
        <v>88</v>
      </c>
      <c r="C125" s="115">
        <v>80</v>
      </c>
      <c r="D125" s="119" t="s">
        <v>95</v>
      </c>
      <c r="E125" s="119" t="s">
        <v>1125</v>
      </c>
      <c r="F125" s="116" t="s">
        <v>1085</v>
      </c>
      <c r="G125" s="280">
        <v>7</v>
      </c>
      <c r="H125" s="259">
        <v>6481</v>
      </c>
      <c r="I125" s="259">
        <v>45370</v>
      </c>
      <c r="J125" s="259">
        <v>0</v>
      </c>
      <c r="K125" s="259">
        <v>45370</v>
      </c>
      <c r="L125" s="259">
        <v>3630</v>
      </c>
      <c r="M125" s="259">
        <v>49000</v>
      </c>
      <c r="N125" s="118">
        <v>8.3000000000000001E-3</v>
      </c>
      <c r="O125" s="411" t="s">
        <v>1086</v>
      </c>
    </row>
    <row r="126" spans="1:15" ht="18" customHeight="1" x14ac:dyDescent="0.25">
      <c r="A126" s="115">
        <v>2</v>
      </c>
      <c r="B126" s="116" t="s">
        <v>88</v>
      </c>
      <c r="C126" s="115">
        <v>85</v>
      </c>
      <c r="D126" s="119" t="s">
        <v>95</v>
      </c>
      <c r="E126" s="119" t="s">
        <v>1157</v>
      </c>
      <c r="F126" s="116" t="s">
        <v>1085</v>
      </c>
      <c r="G126" s="280">
        <v>1</v>
      </c>
      <c r="H126" s="259">
        <v>2315</v>
      </c>
      <c r="I126" s="259">
        <v>2315</v>
      </c>
      <c r="J126" s="259">
        <v>0</v>
      </c>
      <c r="K126" s="259">
        <v>2315</v>
      </c>
      <c r="L126" s="259">
        <v>185</v>
      </c>
      <c r="M126" s="259">
        <v>2500</v>
      </c>
      <c r="N126" s="118">
        <v>4.0000000000000002E-4</v>
      </c>
      <c r="O126" s="411" t="s">
        <v>1086</v>
      </c>
    </row>
    <row r="127" spans="1:15" ht="18" customHeight="1" x14ac:dyDescent="0.25">
      <c r="A127" s="115">
        <v>2</v>
      </c>
      <c r="B127" s="116" t="s">
        <v>88</v>
      </c>
      <c r="C127" s="115">
        <v>79</v>
      </c>
      <c r="D127" s="119" t="s">
        <v>95</v>
      </c>
      <c r="E127" s="119" t="s">
        <v>1127</v>
      </c>
      <c r="F127" s="116" t="s">
        <v>1085</v>
      </c>
      <c r="G127" s="280">
        <v>5</v>
      </c>
      <c r="H127" s="259">
        <v>6481</v>
      </c>
      <c r="I127" s="259">
        <v>32407</v>
      </c>
      <c r="J127" s="259">
        <v>0</v>
      </c>
      <c r="K127" s="259">
        <v>32407</v>
      </c>
      <c r="L127" s="259">
        <v>2593</v>
      </c>
      <c r="M127" s="259">
        <v>35000</v>
      </c>
      <c r="N127" s="118">
        <v>5.8999999999999999E-3</v>
      </c>
      <c r="O127" s="411" t="s">
        <v>1086</v>
      </c>
    </row>
    <row r="128" spans="1:15" ht="18" customHeight="1" x14ac:dyDescent="0.25">
      <c r="A128" s="115">
        <v>2</v>
      </c>
      <c r="B128" s="116" t="s">
        <v>88</v>
      </c>
      <c r="C128" s="115">
        <v>82</v>
      </c>
      <c r="D128" s="119" t="s">
        <v>95</v>
      </c>
      <c r="E128" s="119" t="s">
        <v>1158</v>
      </c>
      <c r="F128" s="116" t="s">
        <v>1085</v>
      </c>
      <c r="G128" s="280">
        <v>6</v>
      </c>
      <c r="H128" s="259">
        <v>6481</v>
      </c>
      <c r="I128" s="259">
        <v>38889</v>
      </c>
      <c r="J128" s="259">
        <v>0</v>
      </c>
      <c r="K128" s="259">
        <v>38889</v>
      </c>
      <c r="L128" s="259">
        <v>3111</v>
      </c>
      <c r="M128" s="259">
        <v>42000</v>
      </c>
      <c r="N128" s="118">
        <v>7.1000000000000004E-3</v>
      </c>
      <c r="O128" s="411" t="s">
        <v>1086</v>
      </c>
    </row>
    <row r="129" spans="1:15" ht="18" customHeight="1" x14ac:dyDescent="0.25">
      <c r="A129" s="115">
        <v>2</v>
      </c>
      <c r="B129" s="116" t="s">
        <v>88</v>
      </c>
      <c r="C129" s="115">
        <v>62</v>
      </c>
      <c r="D129" s="119" t="s">
        <v>95</v>
      </c>
      <c r="E129" s="119" t="s">
        <v>1128</v>
      </c>
      <c r="F129" s="116" t="s">
        <v>1085</v>
      </c>
      <c r="G129" s="280">
        <v>5</v>
      </c>
      <c r="H129" s="259">
        <v>6944</v>
      </c>
      <c r="I129" s="259">
        <v>34722</v>
      </c>
      <c r="J129" s="259">
        <v>0</v>
      </c>
      <c r="K129" s="259">
        <v>34722</v>
      </c>
      <c r="L129" s="259">
        <v>2778</v>
      </c>
      <c r="M129" s="259">
        <v>37500</v>
      </c>
      <c r="N129" s="118">
        <v>6.4000000000000003E-3</v>
      </c>
      <c r="O129" s="411" t="s">
        <v>1086</v>
      </c>
    </row>
    <row r="130" spans="1:15" ht="18" customHeight="1" x14ac:dyDescent="0.25">
      <c r="A130" s="115">
        <v>2</v>
      </c>
      <c r="B130" s="116" t="s">
        <v>88</v>
      </c>
      <c r="C130" s="115">
        <v>137</v>
      </c>
      <c r="D130" s="119" t="s">
        <v>95</v>
      </c>
      <c r="E130" s="119" t="s">
        <v>1159</v>
      </c>
      <c r="F130" s="116" t="s">
        <v>1085</v>
      </c>
      <c r="G130" s="280">
        <v>11</v>
      </c>
      <c r="H130" s="259">
        <v>6481</v>
      </c>
      <c r="I130" s="259">
        <v>71296</v>
      </c>
      <c r="J130" s="259">
        <v>0</v>
      </c>
      <c r="K130" s="259">
        <v>71296</v>
      </c>
      <c r="L130" s="259">
        <v>5704</v>
      </c>
      <c r="M130" s="259">
        <v>77000</v>
      </c>
      <c r="N130" s="118">
        <v>1.3100000000000001E-2</v>
      </c>
      <c r="O130" s="411" t="s">
        <v>1086</v>
      </c>
    </row>
    <row r="131" spans="1:15" ht="18" customHeight="1" x14ac:dyDescent="0.25">
      <c r="A131" s="115">
        <v>2</v>
      </c>
      <c r="B131" s="116" t="s">
        <v>88</v>
      </c>
      <c r="C131" s="115">
        <v>222</v>
      </c>
      <c r="D131" s="119" t="s">
        <v>93</v>
      </c>
      <c r="E131" s="119" t="s">
        <v>1133</v>
      </c>
      <c r="F131" s="116" t="s">
        <v>1085</v>
      </c>
      <c r="G131" s="280">
        <v>1</v>
      </c>
      <c r="H131" s="259">
        <v>63426</v>
      </c>
      <c r="I131" s="259">
        <v>63426</v>
      </c>
      <c r="J131" s="259">
        <v>0</v>
      </c>
      <c r="K131" s="259">
        <v>63426</v>
      </c>
      <c r="L131" s="259">
        <v>5074</v>
      </c>
      <c r="M131" s="259">
        <v>68500</v>
      </c>
      <c r="N131" s="118">
        <v>1.1599999999999999E-2</v>
      </c>
      <c r="O131" s="411" t="s">
        <v>1086</v>
      </c>
    </row>
    <row r="132" spans="1:15" ht="18" customHeight="1" x14ac:dyDescent="0.25">
      <c r="A132" s="115">
        <v>2</v>
      </c>
      <c r="B132" s="116" t="s">
        <v>88</v>
      </c>
      <c r="C132" s="115">
        <v>223</v>
      </c>
      <c r="D132" s="119" t="s">
        <v>87</v>
      </c>
      <c r="E132" s="119" t="s">
        <v>141</v>
      </c>
      <c r="F132" s="116" t="s">
        <v>1085</v>
      </c>
      <c r="G132" s="280">
        <v>1</v>
      </c>
      <c r="H132" s="259">
        <v>69444</v>
      </c>
      <c r="I132" s="259">
        <v>69444</v>
      </c>
      <c r="J132" s="259">
        <v>0</v>
      </c>
      <c r="K132" s="259">
        <v>69444</v>
      </c>
      <c r="L132" s="259">
        <v>5556</v>
      </c>
      <c r="M132" s="259">
        <v>75000</v>
      </c>
      <c r="N132" s="118">
        <v>1.2699999999999999E-2</v>
      </c>
      <c r="O132" s="411" t="s">
        <v>1086</v>
      </c>
    </row>
    <row r="133" spans="1:15" ht="18" customHeight="1" x14ac:dyDescent="0.25">
      <c r="A133" s="115">
        <v>2</v>
      </c>
      <c r="B133" s="116" t="s">
        <v>88</v>
      </c>
      <c r="C133" s="115">
        <v>50</v>
      </c>
      <c r="D133" s="119" t="s">
        <v>87</v>
      </c>
      <c r="E133" s="119" t="s">
        <v>159</v>
      </c>
      <c r="F133" s="116" t="s">
        <v>1085</v>
      </c>
      <c r="G133" s="280">
        <v>2</v>
      </c>
      <c r="H133" s="259">
        <v>49074</v>
      </c>
      <c r="I133" s="259">
        <v>98148</v>
      </c>
      <c r="J133" s="259">
        <v>0</v>
      </c>
      <c r="K133" s="259">
        <v>98148</v>
      </c>
      <c r="L133" s="259">
        <v>7852</v>
      </c>
      <c r="M133" s="259">
        <v>106000</v>
      </c>
      <c r="N133" s="118">
        <v>1.7999999999999999E-2</v>
      </c>
      <c r="O133" s="411" t="s">
        <v>1086</v>
      </c>
    </row>
    <row r="134" spans="1:15" ht="18" customHeight="1" x14ac:dyDescent="0.25">
      <c r="A134" s="115">
        <v>2</v>
      </c>
      <c r="B134" s="116" t="s">
        <v>88</v>
      </c>
      <c r="C134" s="115">
        <v>120</v>
      </c>
      <c r="D134" s="119" t="s">
        <v>93</v>
      </c>
      <c r="E134" s="119" t="s">
        <v>1134</v>
      </c>
      <c r="F134" s="116" t="s">
        <v>1085</v>
      </c>
      <c r="G134" s="280">
        <v>1</v>
      </c>
      <c r="H134" s="259">
        <v>41667</v>
      </c>
      <c r="I134" s="259">
        <v>41667</v>
      </c>
      <c r="J134" s="259">
        <v>0</v>
      </c>
      <c r="K134" s="259">
        <v>41667</v>
      </c>
      <c r="L134" s="259">
        <v>3333</v>
      </c>
      <c r="M134" s="259">
        <v>45000</v>
      </c>
      <c r="N134" s="118">
        <v>7.6E-3</v>
      </c>
      <c r="O134" s="411" t="s">
        <v>1086</v>
      </c>
    </row>
    <row r="135" spans="1:15" ht="18" customHeight="1" x14ac:dyDescent="0.25">
      <c r="A135" s="115">
        <v>2</v>
      </c>
      <c r="B135" s="116" t="s">
        <v>88</v>
      </c>
      <c r="C135" s="115">
        <v>129</v>
      </c>
      <c r="D135" s="119" t="s">
        <v>93</v>
      </c>
      <c r="E135" s="119" t="s">
        <v>1135</v>
      </c>
      <c r="F135" s="116" t="s">
        <v>1085</v>
      </c>
      <c r="G135" s="280">
        <v>3</v>
      </c>
      <c r="H135" s="259">
        <v>44444</v>
      </c>
      <c r="I135" s="259">
        <v>133333</v>
      </c>
      <c r="J135" s="259">
        <v>0</v>
      </c>
      <c r="K135" s="259">
        <v>133333</v>
      </c>
      <c r="L135" s="259">
        <v>10667</v>
      </c>
      <c r="M135" s="259">
        <v>144000</v>
      </c>
      <c r="N135" s="118">
        <v>2.4500000000000001E-2</v>
      </c>
      <c r="O135" s="411" t="s">
        <v>1086</v>
      </c>
    </row>
    <row r="136" spans="1:15" ht="18" customHeight="1" x14ac:dyDescent="0.25">
      <c r="A136" s="115">
        <v>2</v>
      </c>
      <c r="B136" s="116" t="s">
        <v>88</v>
      </c>
      <c r="C136" s="115">
        <v>36</v>
      </c>
      <c r="D136" s="119" t="s">
        <v>91</v>
      </c>
      <c r="E136" s="119" t="s">
        <v>1136</v>
      </c>
      <c r="F136" s="116" t="s">
        <v>1085</v>
      </c>
      <c r="G136" s="280">
        <v>1</v>
      </c>
      <c r="H136" s="259">
        <v>3704</v>
      </c>
      <c r="I136" s="259">
        <v>3704</v>
      </c>
      <c r="J136" s="259">
        <v>0</v>
      </c>
      <c r="K136" s="259">
        <v>3704</v>
      </c>
      <c r="L136" s="259">
        <v>296</v>
      </c>
      <c r="M136" s="259">
        <v>4000</v>
      </c>
      <c r="N136" s="118">
        <v>7.000000000000001E-4</v>
      </c>
      <c r="O136" s="411" t="s">
        <v>1086</v>
      </c>
    </row>
    <row r="137" spans="1:15" ht="18" customHeight="1" x14ac:dyDescent="0.25">
      <c r="A137" s="115">
        <v>2</v>
      </c>
      <c r="B137" s="116" t="s">
        <v>88</v>
      </c>
      <c r="C137" s="115">
        <v>61</v>
      </c>
      <c r="D137" s="119" t="s">
        <v>97</v>
      </c>
      <c r="E137" s="119" t="s">
        <v>1137</v>
      </c>
      <c r="F137" s="116" t="s">
        <v>1085</v>
      </c>
      <c r="G137" s="280">
        <v>17</v>
      </c>
      <c r="H137" s="259">
        <v>4630</v>
      </c>
      <c r="I137" s="259">
        <v>78704</v>
      </c>
      <c r="J137" s="259">
        <v>0</v>
      </c>
      <c r="K137" s="259">
        <v>78704</v>
      </c>
      <c r="L137" s="259">
        <v>6296</v>
      </c>
      <c r="M137" s="259">
        <v>85000</v>
      </c>
      <c r="N137" s="118">
        <v>1.44E-2</v>
      </c>
      <c r="O137" s="411" t="s">
        <v>1086</v>
      </c>
    </row>
    <row r="138" spans="1:15" ht="18" customHeight="1" x14ac:dyDescent="0.25">
      <c r="A138" s="115">
        <v>2</v>
      </c>
      <c r="B138" s="116" t="s">
        <v>88</v>
      </c>
      <c r="C138" s="115">
        <v>215</v>
      </c>
      <c r="D138" s="119" t="s">
        <v>87</v>
      </c>
      <c r="E138" s="119" t="s">
        <v>135</v>
      </c>
      <c r="F138" s="116" t="s">
        <v>1085</v>
      </c>
      <c r="G138" s="280">
        <v>5</v>
      </c>
      <c r="H138" s="259">
        <v>37500</v>
      </c>
      <c r="I138" s="259">
        <v>187500</v>
      </c>
      <c r="J138" s="259">
        <v>0</v>
      </c>
      <c r="K138" s="259">
        <v>187500</v>
      </c>
      <c r="L138" s="259">
        <v>15000</v>
      </c>
      <c r="M138" s="259">
        <v>202500</v>
      </c>
      <c r="N138" s="118">
        <v>3.44E-2</v>
      </c>
      <c r="O138" s="411" t="s">
        <v>1086</v>
      </c>
    </row>
    <row r="139" spans="1:15" ht="18" customHeight="1" x14ac:dyDescent="0.25">
      <c r="A139" s="115">
        <v>2</v>
      </c>
      <c r="B139" s="116" t="s">
        <v>88</v>
      </c>
      <c r="C139" s="115">
        <v>214</v>
      </c>
      <c r="D139" s="119" t="s">
        <v>87</v>
      </c>
      <c r="E139" s="119" t="s">
        <v>170</v>
      </c>
      <c r="F139" s="116" t="s">
        <v>1085</v>
      </c>
      <c r="G139" s="280">
        <v>1</v>
      </c>
      <c r="H139" s="259">
        <v>37500</v>
      </c>
      <c r="I139" s="259">
        <v>37500</v>
      </c>
      <c r="J139" s="259">
        <v>0</v>
      </c>
      <c r="K139" s="259">
        <v>37500</v>
      </c>
      <c r="L139" s="259">
        <v>3000</v>
      </c>
      <c r="M139" s="259">
        <v>40500</v>
      </c>
      <c r="N139" s="118">
        <v>6.8999999999999999E-3</v>
      </c>
      <c r="O139" s="411" t="s">
        <v>1086</v>
      </c>
    </row>
    <row r="140" spans="1:15" ht="18" customHeight="1" x14ac:dyDescent="0.25">
      <c r="A140" s="115">
        <v>2</v>
      </c>
      <c r="B140" s="116" t="s">
        <v>88</v>
      </c>
      <c r="C140" s="115">
        <v>315</v>
      </c>
      <c r="D140" s="119" t="s">
        <v>87</v>
      </c>
      <c r="E140" s="119" t="s">
        <v>1160</v>
      </c>
      <c r="F140" s="116" t="s">
        <v>1085</v>
      </c>
      <c r="G140" s="280">
        <v>1</v>
      </c>
      <c r="H140" s="259">
        <v>1852</v>
      </c>
      <c r="I140" s="259">
        <v>1852</v>
      </c>
      <c r="J140" s="259">
        <v>0</v>
      </c>
      <c r="K140" s="259">
        <v>1852</v>
      </c>
      <c r="L140" s="259">
        <v>148</v>
      </c>
      <c r="M140" s="259">
        <v>2000</v>
      </c>
      <c r="N140" s="118">
        <v>2.9999999999999997E-4</v>
      </c>
      <c r="O140" s="411" t="s">
        <v>1086</v>
      </c>
    </row>
    <row r="141" spans="1:15" ht="18" customHeight="1" x14ac:dyDescent="0.25">
      <c r="A141" s="115">
        <v>2</v>
      </c>
      <c r="B141" s="116" t="s">
        <v>88</v>
      </c>
      <c r="C141" s="115">
        <v>96</v>
      </c>
      <c r="D141" s="119" t="s">
        <v>93</v>
      </c>
      <c r="E141" s="119" t="s">
        <v>1161</v>
      </c>
      <c r="F141" s="116" t="s">
        <v>1085</v>
      </c>
      <c r="G141" s="280">
        <v>2</v>
      </c>
      <c r="H141" s="259">
        <v>35648</v>
      </c>
      <c r="I141" s="259">
        <v>71296</v>
      </c>
      <c r="J141" s="259">
        <v>0</v>
      </c>
      <c r="K141" s="259">
        <v>71296</v>
      </c>
      <c r="L141" s="259">
        <v>5704</v>
      </c>
      <c r="M141" s="259">
        <v>77000</v>
      </c>
      <c r="N141" s="118">
        <v>1.3100000000000001E-2</v>
      </c>
      <c r="O141" s="411" t="s">
        <v>1086</v>
      </c>
    </row>
    <row r="142" spans="1:15" ht="18" customHeight="1" x14ac:dyDescent="0.25">
      <c r="A142" s="115">
        <v>2</v>
      </c>
      <c r="B142" s="116" t="s">
        <v>88</v>
      </c>
      <c r="C142" s="115">
        <v>33</v>
      </c>
      <c r="D142" s="119" t="s">
        <v>91</v>
      </c>
      <c r="E142" s="119" t="s">
        <v>1139</v>
      </c>
      <c r="F142" s="116" t="s">
        <v>1085</v>
      </c>
      <c r="G142" s="280">
        <v>5</v>
      </c>
      <c r="H142" s="259">
        <v>1852</v>
      </c>
      <c r="I142" s="259">
        <v>9259</v>
      </c>
      <c r="J142" s="259">
        <v>0</v>
      </c>
      <c r="K142" s="259">
        <v>9259</v>
      </c>
      <c r="L142" s="259">
        <v>741</v>
      </c>
      <c r="M142" s="259">
        <v>10000</v>
      </c>
      <c r="N142" s="118">
        <v>1.6999999999999999E-3</v>
      </c>
      <c r="O142" s="411" t="s">
        <v>1086</v>
      </c>
    </row>
    <row r="143" spans="1:15" ht="18" customHeight="1" x14ac:dyDescent="0.25">
      <c r="A143" s="115">
        <v>2</v>
      </c>
      <c r="B143" s="116" t="s">
        <v>88</v>
      </c>
      <c r="C143" s="115">
        <v>255</v>
      </c>
      <c r="D143" s="119" t="s">
        <v>93</v>
      </c>
      <c r="E143" s="119" t="s">
        <v>482</v>
      </c>
      <c r="F143" s="116" t="s">
        <v>1085</v>
      </c>
      <c r="G143" s="280">
        <v>1</v>
      </c>
      <c r="H143" s="259">
        <v>35648</v>
      </c>
      <c r="I143" s="259">
        <v>35648</v>
      </c>
      <c r="J143" s="259">
        <v>0</v>
      </c>
      <c r="K143" s="259">
        <v>35648</v>
      </c>
      <c r="L143" s="259">
        <v>2852</v>
      </c>
      <c r="M143" s="259">
        <v>38500</v>
      </c>
      <c r="N143" s="118">
        <v>6.5000000000000006E-3</v>
      </c>
      <c r="O143" s="411" t="s">
        <v>1086</v>
      </c>
    </row>
    <row r="144" spans="1:15" ht="18" customHeight="1" x14ac:dyDescent="0.25">
      <c r="A144" s="115">
        <v>2</v>
      </c>
      <c r="B144" s="116" t="s">
        <v>88</v>
      </c>
      <c r="C144" s="115">
        <v>67</v>
      </c>
      <c r="D144" s="119" t="s">
        <v>93</v>
      </c>
      <c r="E144" s="119" t="s">
        <v>1140</v>
      </c>
      <c r="F144" s="116" t="s">
        <v>1085</v>
      </c>
      <c r="G144" s="280">
        <v>1</v>
      </c>
      <c r="H144" s="259">
        <v>41667</v>
      </c>
      <c r="I144" s="259">
        <v>41667</v>
      </c>
      <c r="J144" s="259">
        <v>0</v>
      </c>
      <c r="K144" s="259">
        <v>41667</v>
      </c>
      <c r="L144" s="259">
        <v>3333</v>
      </c>
      <c r="M144" s="259">
        <v>45000</v>
      </c>
      <c r="N144" s="118">
        <v>7.6E-3</v>
      </c>
      <c r="O144" s="411" t="s">
        <v>1086</v>
      </c>
    </row>
    <row r="145" spans="1:15" ht="18" customHeight="1" x14ac:dyDescent="0.25">
      <c r="A145" s="115">
        <v>2</v>
      </c>
      <c r="B145" s="116" t="s">
        <v>88</v>
      </c>
      <c r="C145" s="115">
        <v>39</v>
      </c>
      <c r="D145" s="119" t="s">
        <v>91</v>
      </c>
      <c r="E145" s="119" t="s">
        <v>1162</v>
      </c>
      <c r="F145" s="116" t="s">
        <v>1085</v>
      </c>
      <c r="G145" s="280">
        <v>2</v>
      </c>
      <c r="H145" s="259">
        <v>3333</v>
      </c>
      <c r="I145" s="259">
        <v>6667</v>
      </c>
      <c r="J145" s="259">
        <v>0</v>
      </c>
      <c r="K145" s="259">
        <v>6667</v>
      </c>
      <c r="L145" s="259">
        <v>533</v>
      </c>
      <c r="M145" s="259">
        <v>7200</v>
      </c>
      <c r="N145" s="118">
        <v>1.1999999999999999E-3</v>
      </c>
      <c r="O145" s="411" t="s">
        <v>1086</v>
      </c>
    </row>
    <row r="146" spans="1:15" ht="18" customHeight="1" x14ac:dyDescent="0.25">
      <c r="A146" s="115">
        <v>3</v>
      </c>
      <c r="B146" s="116" t="s">
        <v>90</v>
      </c>
      <c r="C146" s="115">
        <v>73</v>
      </c>
      <c r="D146" s="119" t="s">
        <v>91</v>
      </c>
      <c r="E146" s="119" t="s">
        <v>1084</v>
      </c>
      <c r="F146" s="116" t="s">
        <v>1085</v>
      </c>
      <c r="G146" s="280">
        <v>9</v>
      </c>
      <c r="H146" s="259">
        <v>2593</v>
      </c>
      <c r="I146" s="259">
        <v>23333</v>
      </c>
      <c r="J146" s="259">
        <v>0</v>
      </c>
      <c r="K146" s="259">
        <v>23333</v>
      </c>
      <c r="L146" s="259">
        <v>1867</v>
      </c>
      <c r="M146" s="259">
        <v>25200</v>
      </c>
      <c r="N146" s="118">
        <v>4.0999999999999986E-3</v>
      </c>
      <c r="O146" s="411" t="s">
        <v>1086</v>
      </c>
    </row>
    <row r="147" spans="1:15" ht="18" customHeight="1" x14ac:dyDescent="0.25">
      <c r="A147" s="115">
        <v>3</v>
      </c>
      <c r="B147" s="116" t="s">
        <v>90</v>
      </c>
      <c r="C147" s="115">
        <v>65</v>
      </c>
      <c r="D147" s="119" t="s">
        <v>91</v>
      </c>
      <c r="E147" s="119" t="s">
        <v>1087</v>
      </c>
      <c r="F147" s="116" t="s">
        <v>1085</v>
      </c>
      <c r="G147" s="280">
        <v>1</v>
      </c>
      <c r="H147" s="259">
        <v>2778</v>
      </c>
      <c r="I147" s="259">
        <v>2778</v>
      </c>
      <c r="J147" s="259">
        <v>0</v>
      </c>
      <c r="K147" s="259">
        <v>2778</v>
      </c>
      <c r="L147" s="259">
        <v>222</v>
      </c>
      <c r="M147" s="259">
        <v>3000</v>
      </c>
      <c r="N147" s="118">
        <v>5.0000000000000001E-4</v>
      </c>
      <c r="O147" s="411" t="s">
        <v>1086</v>
      </c>
    </row>
    <row r="148" spans="1:15" ht="18" customHeight="1" x14ac:dyDescent="0.25">
      <c r="A148" s="115">
        <v>3</v>
      </c>
      <c r="B148" s="116" t="s">
        <v>90</v>
      </c>
      <c r="C148" s="115">
        <v>1</v>
      </c>
      <c r="D148" s="119" t="s">
        <v>87</v>
      </c>
      <c r="E148" s="119" t="s">
        <v>1088</v>
      </c>
      <c r="F148" s="116" t="s">
        <v>1085</v>
      </c>
      <c r="G148" s="280">
        <v>1</v>
      </c>
      <c r="H148" s="259">
        <v>18519</v>
      </c>
      <c r="I148" s="259">
        <v>18519</v>
      </c>
      <c r="J148" s="259">
        <v>0</v>
      </c>
      <c r="K148" s="259">
        <v>18519</v>
      </c>
      <c r="L148" s="259">
        <v>1481</v>
      </c>
      <c r="M148" s="259">
        <v>20000</v>
      </c>
      <c r="N148" s="118">
        <v>3.3E-3</v>
      </c>
      <c r="O148" s="411" t="s">
        <v>1086</v>
      </c>
    </row>
    <row r="149" spans="1:15" ht="18" customHeight="1" x14ac:dyDescent="0.25">
      <c r="A149" s="115">
        <v>3</v>
      </c>
      <c r="B149" s="116" t="s">
        <v>90</v>
      </c>
      <c r="C149" s="115">
        <v>3</v>
      </c>
      <c r="D149" s="119" t="s">
        <v>87</v>
      </c>
      <c r="E149" s="119" t="s">
        <v>1163</v>
      </c>
      <c r="F149" s="116" t="s">
        <v>1085</v>
      </c>
      <c r="G149" s="280">
        <v>1</v>
      </c>
      <c r="H149" s="259">
        <v>18519</v>
      </c>
      <c r="I149" s="259">
        <v>18519</v>
      </c>
      <c r="J149" s="259">
        <v>0</v>
      </c>
      <c r="K149" s="259">
        <v>18519</v>
      </c>
      <c r="L149" s="259">
        <v>1481</v>
      </c>
      <c r="M149" s="259">
        <v>20000</v>
      </c>
      <c r="N149" s="118">
        <v>3.3E-3</v>
      </c>
      <c r="O149" s="411" t="s">
        <v>1086</v>
      </c>
    </row>
    <row r="150" spans="1:15" ht="18" customHeight="1" x14ac:dyDescent="0.25">
      <c r="A150" s="115">
        <v>3</v>
      </c>
      <c r="B150" s="116" t="s">
        <v>90</v>
      </c>
      <c r="C150" s="115">
        <v>131</v>
      </c>
      <c r="D150" s="119" t="s">
        <v>87</v>
      </c>
      <c r="E150" s="119" t="s">
        <v>1144</v>
      </c>
      <c r="F150" s="116" t="s">
        <v>1085</v>
      </c>
      <c r="G150" s="280">
        <v>1</v>
      </c>
      <c r="H150" s="259">
        <v>278</v>
      </c>
      <c r="I150" s="259">
        <v>278</v>
      </c>
      <c r="J150" s="259">
        <v>0</v>
      </c>
      <c r="K150" s="259">
        <v>278</v>
      </c>
      <c r="L150" s="259">
        <v>22</v>
      </c>
      <c r="M150" s="259">
        <v>300</v>
      </c>
      <c r="N150" s="118">
        <v>0</v>
      </c>
      <c r="O150" s="411" t="s">
        <v>1086</v>
      </c>
    </row>
    <row r="151" spans="1:15" ht="18" customHeight="1" x14ac:dyDescent="0.25">
      <c r="A151" s="115">
        <v>3</v>
      </c>
      <c r="B151" s="116" t="s">
        <v>90</v>
      </c>
      <c r="C151" s="115">
        <v>104</v>
      </c>
      <c r="D151" s="119" t="s">
        <v>89</v>
      </c>
      <c r="E151" s="119" t="s">
        <v>165</v>
      </c>
      <c r="F151" s="116" t="s">
        <v>1085</v>
      </c>
      <c r="G151" s="280">
        <v>18</v>
      </c>
      <c r="H151" s="259">
        <v>16007</v>
      </c>
      <c r="I151" s="259">
        <v>288889</v>
      </c>
      <c r="J151" s="259">
        <v>768</v>
      </c>
      <c r="K151" s="259">
        <v>288121</v>
      </c>
      <c r="L151" s="259">
        <v>23050</v>
      </c>
      <c r="M151" s="259">
        <v>311171</v>
      </c>
      <c r="N151" s="118">
        <v>5.0599999999999999E-2</v>
      </c>
      <c r="O151" s="411" t="s">
        <v>1086</v>
      </c>
    </row>
    <row r="152" spans="1:15" ht="18" customHeight="1" x14ac:dyDescent="0.25">
      <c r="A152" s="115">
        <v>3</v>
      </c>
      <c r="B152" s="116" t="s">
        <v>90</v>
      </c>
      <c r="C152" s="115">
        <v>95</v>
      </c>
      <c r="D152" s="119" t="s">
        <v>87</v>
      </c>
      <c r="E152" s="119" t="s">
        <v>1090</v>
      </c>
      <c r="F152" s="116" t="s">
        <v>1085</v>
      </c>
      <c r="G152" s="280">
        <v>4</v>
      </c>
      <c r="H152" s="259">
        <v>926</v>
      </c>
      <c r="I152" s="259">
        <v>3704</v>
      </c>
      <c r="J152" s="259">
        <v>0</v>
      </c>
      <c r="K152" s="259">
        <v>3704</v>
      </c>
      <c r="L152" s="259">
        <v>296</v>
      </c>
      <c r="M152" s="259">
        <v>4000</v>
      </c>
      <c r="N152" s="118">
        <v>7.000000000000001E-4</v>
      </c>
      <c r="O152" s="411" t="s">
        <v>1086</v>
      </c>
    </row>
    <row r="153" spans="1:15" ht="18" customHeight="1" x14ac:dyDescent="0.25">
      <c r="A153" s="115">
        <v>3</v>
      </c>
      <c r="B153" s="116" t="s">
        <v>90</v>
      </c>
      <c r="C153" s="115">
        <v>2</v>
      </c>
      <c r="D153" s="119" t="s">
        <v>87</v>
      </c>
      <c r="E153" s="119" t="s">
        <v>1164</v>
      </c>
      <c r="F153" s="116" t="s">
        <v>1085</v>
      </c>
      <c r="G153" s="280">
        <v>16</v>
      </c>
      <c r="H153" s="259">
        <v>18692</v>
      </c>
      <c r="I153" s="259">
        <v>299074</v>
      </c>
      <c r="J153" s="259">
        <v>0</v>
      </c>
      <c r="K153" s="259">
        <v>299074</v>
      </c>
      <c r="L153" s="259">
        <v>23926</v>
      </c>
      <c r="M153" s="259">
        <v>323000</v>
      </c>
      <c r="N153" s="118">
        <v>5.2499999999999998E-2</v>
      </c>
      <c r="O153" s="411" t="s">
        <v>1086</v>
      </c>
    </row>
    <row r="154" spans="1:15" ht="18" customHeight="1" x14ac:dyDescent="0.25">
      <c r="A154" s="115">
        <v>3</v>
      </c>
      <c r="B154" s="116" t="s">
        <v>90</v>
      </c>
      <c r="C154" s="115">
        <v>136</v>
      </c>
      <c r="D154" s="119" t="s">
        <v>89</v>
      </c>
      <c r="E154" s="119" t="s">
        <v>1091</v>
      </c>
      <c r="F154" s="116" t="s">
        <v>1085</v>
      </c>
      <c r="G154" s="280">
        <v>1</v>
      </c>
      <c r="H154" s="259">
        <v>24074</v>
      </c>
      <c r="I154" s="259">
        <v>24074</v>
      </c>
      <c r="J154" s="259">
        <v>0</v>
      </c>
      <c r="K154" s="259">
        <v>24074</v>
      </c>
      <c r="L154" s="259">
        <v>1926</v>
      </c>
      <c r="M154" s="259">
        <v>26000</v>
      </c>
      <c r="N154" s="118">
        <v>4.1999999999999997E-3</v>
      </c>
      <c r="O154" s="411" t="s">
        <v>1086</v>
      </c>
    </row>
    <row r="155" spans="1:15" ht="18" customHeight="1" x14ac:dyDescent="0.25">
      <c r="A155" s="115">
        <v>3</v>
      </c>
      <c r="B155" s="116" t="s">
        <v>90</v>
      </c>
      <c r="C155" s="115">
        <v>6</v>
      </c>
      <c r="D155" s="119" t="s">
        <v>89</v>
      </c>
      <c r="E155" s="119" t="s">
        <v>1147</v>
      </c>
      <c r="F155" s="116" t="s">
        <v>1085</v>
      </c>
      <c r="G155" s="280">
        <v>4</v>
      </c>
      <c r="H155" s="259">
        <v>14815</v>
      </c>
      <c r="I155" s="259">
        <v>59259</v>
      </c>
      <c r="J155" s="259">
        <v>0</v>
      </c>
      <c r="K155" s="259">
        <v>59259</v>
      </c>
      <c r="L155" s="259">
        <v>4741</v>
      </c>
      <c r="M155" s="259">
        <v>64000</v>
      </c>
      <c r="N155" s="118">
        <v>1.04E-2</v>
      </c>
      <c r="O155" s="411" t="s">
        <v>1086</v>
      </c>
    </row>
    <row r="156" spans="1:15" ht="18" customHeight="1" x14ac:dyDescent="0.25">
      <c r="A156" s="115">
        <v>3</v>
      </c>
      <c r="B156" s="116" t="s">
        <v>90</v>
      </c>
      <c r="C156" s="115">
        <v>8</v>
      </c>
      <c r="D156" s="119" t="s">
        <v>87</v>
      </c>
      <c r="E156" s="119" t="s">
        <v>156</v>
      </c>
      <c r="F156" s="116" t="s">
        <v>1085</v>
      </c>
      <c r="G156" s="280">
        <v>19</v>
      </c>
      <c r="H156" s="259">
        <v>18374</v>
      </c>
      <c r="I156" s="259">
        <v>353704</v>
      </c>
      <c r="J156" s="259">
        <v>4607</v>
      </c>
      <c r="K156" s="259">
        <v>349097</v>
      </c>
      <c r="L156" s="259">
        <v>27928</v>
      </c>
      <c r="M156" s="259">
        <v>377025</v>
      </c>
      <c r="N156" s="118">
        <v>6.13E-2</v>
      </c>
      <c r="O156" s="411" t="s">
        <v>1086</v>
      </c>
    </row>
    <row r="157" spans="1:15" ht="18" customHeight="1" x14ac:dyDescent="0.25">
      <c r="A157" s="115">
        <v>3</v>
      </c>
      <c r="B157" s="116" t="s">
        <v>90</v>
      </c>
      <c r="C157" s="115">
        <v>311</v>
      </c>
      <c r="D157" s="119" t="s">
        <v>93</v>
      </c>
      <c r="E157" s="119" t="s">
        <v>1092</v>
      </c>
      <c r="F157" s="116" t="s">
        <v>1085</v>
      </c>
      <c r="G157" s="280">
        <v>1</v>
      </c>
      <c r="H157" s="259">
        <v>44907</v>
      </c>
      <c r="I157" s="259">
        <v>44907</v>
      </c>
      <c r="J157" s="259">
        <v>0</v>
      </c>
      <c r="K157" s="259">
        <v>44907</v>
      </c>
      <c r="L157" s="259">
        <v>3593</v>
      </c>
      <c r="M157" s="259">
        <v>48500</v>
      </c>
      <c r="N157" s="118">
        <v>7.9000000000000008E-3</v>
      </c>
      <c r="O157" s="411" t="s">
        <v>1086</v>
      </c>
    </row>
    <row r="158" spans="1:15" ht="18" customHeight="1" x14ac:dyDescent="0.25">
      <c r="A158" s="115">
        <v>3</v>
      </c>
      <c r="B158" s="116" t="s">
        <v>90</v>
      </c>
      <c r="C158" s="115">
        <v>87</v>
      </c>
      <c r="D158" s="119" t="s">
        <v>89</v>
      </c>
      <c r="E158" s="119" t="s">
        <v>147</v>
      </c>
      <c r="F158" s="116" t="s">
        <v>1085</v>
      </c>
      <c r="G158" s="280">
        <v>1</v>
      </c>
      <c r="H158" s="259">
        <v>37500</v>
      </c>
      <c r="I158" s="259">
        <v>37500</v>
      </c>
      <c r="J158" s="259">
        <v>0</v>
      </c>
      <c r="K158" s="259">
        <v>37500</v>
      </c>
      <c r="L158" s="259">
        <v>3000</v>
      </c>
      <c r="M158" s="259">
        <v>40500</v>
      </c>
      <c r="N158" s="118">
        <v>6.6E-3</v>
      </c>
      <c r="O158" s="411" t="s">
        <v>1086</v>
      </c>
    </row>
    <row r="159" spans="1:15" ht="18" customHeight="1" x14ac:dyDescent="0.25">
      <c r="A159" s="115">
        <v>3</v>
      </c>
      <c r="B159" s="116" t="s">
        <v>90</v>
      </c>
      <c r="C159" s="115">
        <v>206</v>
      </c>
      <c r="D159" s="119" t="s">
        <v>93</v>
      </c>
      <c r="E159" s="119" t="s">
        <v>1093</v>
      </c>
      <c r="F159" s="116" t="s">
        <v>1085</v>
      </c>
      <c r="G159" s="280">
        <v>1</v>
      </c>
      <c r="H159" s="259">
        <v>44907</v>
      </c>
      <c r="I159" s="259">
        <v>44907</v>
      </c>
      <c r="J159" s="259">
        <v>0</v>
      </c>
      <c r="K159" s="259">
        <v>44907</v>
      </c>
      <c r="L159" s="259">
        <v>3593</v>
      </c>
      <c r="M159" s="259">
        <v>48500</v>
      </c>
      <c r="N159" s="118">
        <v>7.9000000000000008E-3</v>
      </c>
      <c r="O159" s="411" t="s">
        <v>1086</v>
      </c>
    </row>
    <row r="160" spans="1:15" ht="18" customHeight="1" x14ac:dyDescent="0.25">
      <c r="A160" s="115">
        <v>3</v>
      </c>
      <c r="B160" s="116" t="s">
        <v>90</v>
      </c>
      <c r="C160" s="115">
        <v>13</v>
      </c>
      <c r="D160" s="119" t="s">
        <v>87</v>
      </c>
      <c r="E160" s="119" t="s">
        <v>1094</v>
      </c>
      <c r="F160" s="116" t="s">
        <v>1085</v>
      </c>
      <c r="G160" s="280">
        <v>1</v>
      </c>
      <c r="H160" s="259">
        <v>18519</v>
      </c>
      <c r="I160" s="259">
        <v>18519</v>
      </c>
      <c r="J160" s="259">
        <v>0</v>
      </c>
      <c r="K160" s="259">
        <v>18519</v>
      </c>
      <c r="L160" s="259">
        <v>1481</v>
      </c>
      <c r="M160" s="259">
        <v>20000</v>
      </c>
      <c r="N160" s="118">
        <v>3.3E-3</v>
      </c>
      <c r="O160" s="411" t="s">
        <v>1086</v>
      </c>
    </row>
    <row r="161" spans="1:15" ht="18" customHeight="1" x14ac:dyDescent="0.25">
      <c r="A161" s="115">
        <v>3</v>
      </c>
      <c r="B161" s="116" t="s">
        <v>90</v>
      </c>
      <c r="C161" s="115">
        <v>70</v>
      </c>
      <c r="D161" s="119" t="s">
        <v>91</v>
      </c>
      <c r="E161" s="119" t="s">
        <v>1096</v>
      </c>
      <c r="F161" s="116" t="s">
        <v>1085</v>
      </c>
      <c r="G161" s="280">
        <v>4</v>
      </c>
      <c r="H161" s="259">
        <v>4630</v>
      </c>
      <c r="I161" s="259">
        <v>18519</v>
      </c>
      <c r="J161" s="259">
        <v>0</v>
      </c>
      <c r="K161" s="259">
        <v>18519</v>
      </c>
      <c r="L161" s="259">
        <v>1481</v>
      </c>
      <c r="M161" s="259">
        <v>20000</v>
      </c>
      <c r="N161" s="118">
        <v>3.3E-3</v>
      </c>
      <c r="O161" s="411" t="s">
        <v>1086</v>
      </c>
    </row>
    <row r="162" spans="1:15" ht="18" customHeight="1" x14ac:dyDescent="0.25">
      <c r="A162" s="115">
        <v>3</v>
      </c>
      <c r="B162" s="116" t="s">
        <v>90</v>
      </c>
      <c r="C162" s="115">
        <v>71</v>
      </c>
      <c r="D162" s="119" t="s">
        <v>91</v>
      </c>
      <c r="E162" s="119" t="s">
        <v>1097</v>
      </c>
      <c r="F162" s="116" t="s">
        <v>1085</v>
      </c>
      <c r="G162" s="280">
        <v>4</v>
      </c>
      <c r="H162" s="259">
        <v>5556</v>
      </c>
      <c r="I162" s="259">
        <v>22222</v>
      </c>
      <c r="J162" s="259">
        <v>0</v>
      </c>
      <c r="K162" s="259">
        <v>22222</v>
      </c>
      <c r="L162" s="259">
        <v>1778</v>
      </c>
      <c r="M162" s="259">
        <v>24000</v>
      </c>
      <c r="N162" s="118">
        <v>3.8999999999999998E-3</v>
      </c>
      <c r="O162" s="411" t="s">
        <v>1086</v>
      </c>
    </row>
    <row r="163" spans="1:15" ht="18" customHeight="1" x14ac:dyDescent="0.25">
      <c r="A163" s="115">
        <v>3</v>
      </c>
      <c r="B163" s="116" t="s">
        <v>90</v>
      </c>
      <c r="C163" s="115">
        <v>83</v>
      </c>
      <c r="D163" s="119" t="s">
        <v>87</v>
      </c>
      <c r="E163" s="119" t="s">
        <v>1098</v>
      </c>
      <c r="F163" s="116" t="s">
        <v>1085</v>
      </c>
      <c r="G163" s="280">
        <v>5</v>
      </c>
      <c r="H163" s="259">
        <v>20833</v>
      </c>
      <c r="I163" s="259">
        <v>104167</v>
      </c>
      <c r="J163" s="259">
        <v>0</v>
      </c>
      <c r="K163" s="259">
        <v>104167</v>
      </c>
      <c r="L163" s="259">
        <v>8333</v>
      </c>
      <c r="M163" s="259">
        <v>112500</v>
      </c>
      <c r="N163" s="118">
        <v>1.83E-2</v>
      </c>
      <c r="O163" s="411" t="s">
        <v>1086</v>
      </c>
    </row>
    <row r="164" spans="1:15" ht="18" customHeight="1" x14ac:dyDescent="0.25">
      <c r="A164" s="115">
        <v>3</v>
      </c>
      <c r="B164" s="116" t="s">
        <v>90</v>
      </c>
      <c r="C164" s="115">
        <v>41</v>
      </c>
      <c r="D164" s="119" t="s">
        <v>87</v>
      </c>
      <c r="E164" s="119" t="s">
        <v>168</v>
      </c>
      <c r="F164" s="116" t="s">
        <v>1085</v>
      </c>
      <c r="G164" s="280">
        <v>2</v>
      </c>
      <c r="H164" s="259">
        <v>49074</v>
      </c>
      <c r="I164" s="259">
        <v>98148</v>
      </c>
      <c r="J164" s="259">
        <v>0</v>
      </c>
      <c r="K164" s="259">
        <v>98148</v>
      </c>
      <c r="L164" s="259">
        <v>7852</v>
      </c>
      <c r="M164" s="259">
        <v>106000</v>
      </c>
      <c r="N164" s="118">
        <v>1.72E-2</v>
      </c>
      <c r="O164" s="411" t="s">
        <v>1086</v>
      </c>
    </row>
    <row r="165" spans="1:15" ht="18" customHeight="1" x14ac:dyDescent="0.25">
      <c r="A165" s="115">
        <v>3</v>
      </c>
      <c r="B165" s="116" t="s">
        <v>90</v>
      </c>
      <c r="C165" s="115">
        <v>122</v>
      </c>
      <c r="D165" s="119" t="s">
        <v>91</v>
      </c>
      <c r="E165" s="119" t="s">
        <v>1100</v>
      </c>
      <c r="F165" s="116" t="s">
        <v>1085</v>
      </c>
      <c r="G165" s="280">
        <v>5</v>
      </c>
      <c r="H165" s="259">
        <v>2778</v>
      </c>
      <c r="I165" s="259">
        <v>13889</v>
      </c>
      <c r="J165" s="259">
        <v>0</v>
      </c>
      <c r="K165" s="259">
        <v>13889</v>
      </c>
      <c r="L165" s="259">
        <v>1111</v>
      </c>
      <c r="M165" s="259">
        <v>15000</v>
      </c>
      <c r="N165" s="118">
        <v>2.3999999999999998E-3</v>
      </c>
      <c r="O165" s="411" t="s">
        <v>1086</v>
      </c>
    </row>
    <row r="166" spans="1:15" ht="18" customHeight="1" x14ac:dyDescent="0.25">
      <c r="A166" s="115">
        <v>3</v>
      </c>
      <c r="B166" s="116" t="s">
        <v>90</v>
      </c>
      <c r="C166" s="115">
        <v>247</v>
      </c>
      <c r="D166" s="119" t="s">
        <v>87</v>
      </c>
      <c r="E166" s="119" t="s">
        <v>1165</v>
      </c>
      <c r="F166" s="116" t="s">
        <v>1085</v>
      </c>
      <c r="G166" s="280">
        <v>1</v>
      </c>
      <c r="H166" s="259">
        <v>3056</v>
      </c>
      <c r="I166" s="259">
        <v>3056</v>
      </c>
      <c r="J166" s="259">
        <v>0</v>
      </c>
      <c r="K166" s="259">
        <v>3056</v>
      </c>
      <c r="L166" s="259">
        <v>244</v>
      </c>
      <c r="M166" s="259">
        <v>3300</v>
      </c>
      <c r="N166" s="118">
        <v>5.0000000000000001E-4</v>
      </c>
      <c r="O166" s="411" t="s">
        <v>1086</v>
      </c>
    </row>
    <row r="167" spans="1:15" ht="18" customHeight="1" x14ac:dyDescent="0.25">
      <c r="A167" s="115">
        <v>3</v>
      </c>
      <c r="B167" s="116" t="s">
        <v>90</v>
      </c>
      <c r="C167" s="115">
        <v>44</v>
      </c>
      <c r="D167" s="119" t="s">
        <v>87</v>
      </c>
      <c r="E167" s="119" t="s">
        <v>138</v>
      </c>
      <c r="F167" s="116" t="s">
        <v>1085</v>
      </c>
      <c r="G167" s="280">
        <v>1</v>
      </c>
      <c r="H167" s="259">
        <v>28241</v>
      </c>
      <c r="I167" s="259">
        <v>28241</v>
      </c>
      <c r="J167" s="259">
        <v>0</v>
      </c>
      <c r="K167" s="259">
        <v>28241</v>
      </c>
      <c r="L167" s="259">
        <v>2259</v>
      </c>
      <c r="M167" s="259">
        <v>30500</v>
      </c>
      <c r="N167" s="118">
        <v>5.0000000000000001E-3</v>
      </c>
      <c r="O167" s="411" t="s">
        <v>1086</v>
      </c>
    </row>
    <row r="168" spans="1:15" ht="18" customHeight="1" x14ac:dyDescent="0.25">
      <c r="A168" s="115">
        <v>3</v>
      </c>
      <c r="B168" s="116" t="s">
        <v>90</v>
      </c>
      <c r="C168" s="115">
        <v>110</v>
      </c>
      <c r="D168" s="119" t="s">
        <v>99</v>
      </c>
      <c r="E168" s="119" t="s">
        <v>1101</v>
      </c>
      <c r="F168" s="116" t="s">
        <v>1085</v>
      </c>
      <c r="G168" s="280">
        <v>15</v>
      </c>
      <c r="H168" s="259">
        <v>926</v>
      </c>
      <c r="I168" s="259">
        <v>13889</v>
      </c>
      <c r="J168" s="259">
        <v>0</v>
      </c>
      <c r="K168" s="259">
        <v>13889</v>
      </c>
      <c r="L168" s="259">
        <v>1111</v>
      </c>
      <c r="M168" s="259">
        <v>15000</v>
      </c>
      <c r="N168" s="118">
        <v>2.3999999999999998E-3</v>
      </c>
      <c r="O168" s="411" t="s">
        <v>1086</v>
      </c>
    </row>
    <row r="169" spans="1:15" ht="18" customHeight="1" x14ac:dyDescent="0.25">
      <c r="A169" s="115">
        <v>3</v>
      </c>
      <c r="B169" s="116" t="s">
        <v>90</v>
      </c>
      <c r="C169" s="115">
        <v>4</v>
      </c>
      <c r="D169" s="119" t="s">
        <v>87</v>
      </c>
      <c r="E169" s="119" t="s">
        <v>1166</v>
      </c>
      <c r="F169" s="116" t="s">
        <v>1085</v>
      </c>
      <c r="G169" s="280">
        <v>1</v>
      </c>
      <c r="H169" s="259">
        <v>18519</v>
      </c>
      <c r="I169" s="259">
        <v>18519</v>
      </c>
      <c r="J169" s="259">
        <v>0</v>
      </c>
      <c r="K169" s="259">
        <v>18519</v>
      </c>
      <c r="L169" s="259">
        <v>1481</v>
      </c>
      <c r="M169" s="259">
        <v>20000</v>
      </c>
      <c r="N169" s="118">
        <v>3.3E-3</v>
      </c>
      <c r="O169" s="411" t="s">
        <v>1086</v>
      </c>
    </row>
    <row r="170" spans="1:15" ht="18" customHeight="1" x14ac:dyDescent="0.25">
      <c r="A170" s="115">
        <v>3</v>
      </c>
      <c r="B170" s="116" t="s">
        <v>90</v>
      </c>
      <c r="C170" s="115">
        <v>26</v>
      </c>
      <c r="D170" s="119" t="s">
        <v>87</v>
      </c>
      <c r="E170" s="119" t="s">
        <v>1167</v>
      </c>
      <c r="F170" s="116" t="s">
        <v>1085</v>
      </c>
      <c r="G170" s="280">
        <v>20</v>
      </c>
      <c r="H170" s="259">
        <v>18889</v>
      </c>
      <c r="I170" s="259">
        <v>377778</v>
      </c>
      <c r="J170" s="259">
        <v>0</v>
      </c>
      <c r="K170" s="259">
        <v>377778</v>
      </c>
      <c r="L170" s="259">
        <v>30222</v>
      </c>
      <c r="M170" s="259">
        <v>408000</v>
      </c>
      <c r="N170" s="118">
        <v>6.6400000000000001E-2</v>
      </c>
      <c r="O170" s="411" t="s">
        <v>1086</v>
      </c>
    </row>
    <row r="171" spans="1:15" ht="18" customHeight="1" x14ac:dyDescent="0.25">
      <c r="A171" s="115">
        <v>3</v>
      </c>
      <c r="B171" s="116" t="s">
        <v>90</v>
      </c>
      <c r="C171" s="115">
        <v>30</v>
      </c>
      <c r="D171" s="119" t="s">
        <v>95</v>
      </c>
      <c r="E171" s="119" t="s">
        <v>1103</v>
      </c>
      <c r="F171" s="116" t="s">
        <v>1085</v>
      </c>
      <c r="G171" s="280">
        <v>2</v>
      </c>
      <c r="H171" s="259">
        <v>6481</v>
      </c>
      <c r="I171" s="259">
        <v>12963</v>
      </c>
      <c r="J171" s="259">
        <v>0</v>
      </c>
      <c r="K171" s="259">
        <v>12963</v>
      </c>
      <c r="L171" s="259">
        <v>1037</v>
      </c>
      <c r="M171" s="259">
        <v>14000</v>
      </c>
      <c r="N171" s="118">
        <v>2.3E-3</v>
      </c>
      <c r="O171" s="411" t="s">
        <v>1086</v>
      </c>
    </row>
    <row r="172" spans="1:15" ht="18" customHeight="1" x14ac:dyDescent="0.25">
      <c r="A172" s="115">
        <v>3</v>
      </c>
      <c r="B172" s="116" t="s">
        <v>90</v>
      </c>
      <c r="C172" s="115">
        <v>305</v>
      </c>
      <c r="D172" s="119" t="s">
        <v>91</v>
      </c>
      <c r="E172" s="119" t="s">
        <v>1104</v>
      </c>
      <c r="F172" s="116" t="s">
        <v>1085</v>
      </c>
      <c r="G172" s="280">
        <v>1</v>
      </c>
      <c r="H172" s="259">
        <v>9259</v>
      </c>
      <c r="I172" s="259">
        <v>9259</v>
      </c>
      <c r="J172" s="259">
        <v>0</v>
      </c>
      <c r="K172" s="259">
        <v>9259</v>
      </c>
      <c r="L172" s="259">
        <v>741</v>
      </c>
      <c r="M172" s="259">
        <v>10000</v>
      </c>
      <c r="N172" s="118">
        <v>1.6000000000000001E-3</v>
      </c>
      <c r="O172" s="411" t="s">
        <v>1086</v>
      </c>
    </row>
    <row r="173" spans="1:15" ht="18" customHeight="1" x14ac:dyDescent="0.25">
      <c r="A173" s="115">
        <v>3</v>
      </c>
      <c r="B173" s="116" t="s">
        <v>90</v>
      </c>
      <c r="C173" s="115">
        <v>94</v>
      </c>
      <c r="D173" s="119" t="s">
        <v>89</v>
      </c>
      <c r="E173" s="119" t="s">
        <v>153</v>
      </c>
      <c r="F173" s="116" t="s">
        <v>1085</v>
      </c>
      <c r="G173" s="280">
        <v>8</v>
      </c>
      <c r="H173" s="259">
        <v>18519</v>
      </c>
      <c r="I173" s="259">
        <v>148148</v>
      </c>
      <c r="J173" s="259">
        <v>0</v>
      </c>
      <c r="K173" s="259">
        <v>148148</v>
      </c>
      <c r="L173" s="259">
        <v>11852</v>
      </c>
      <c r="M173" s="259">
        <v>160000</v>
      </c>
      <c r="N173" s="118">
        <v>2.5999999999999999E-2</v>
      </c>
      <c r="O173" s="411" t="s">
        <v>1086</v>
      </c>
    </row>
    <row r="174" spans="1:15" ht="18" customHeight="1" x14ac:dyDescent="0.25">
      <c r="A174" s="115">
        <v>3</v>
      </c>
      <c r="B174" s="116" t="s">
        <v>90</v>
      </c>
      <c r="C174" s="115">
        <v>233</v>
      </c>
      <c r="D174" s="119" t="s">
        <v>89</v>
      </c>
      <c r="E174" s="119" t="s">
        <v>117</v>
      </c>
      <c r="F174" s="116" t="s">
        <v>1085</v>
      </c>
      <c r="G174" s="280">
        <v>12</v>
      </c>
      <c r="H174" s="259">
        <v>18596</v>
      </c>
      <c r="I174" s="259">
        <v>223148</v>
      </c>
      <c r="J174" s="259">
        <v>0</v>
      </c>
      <c r="K174" s="259">
        <v>223148</v>
      </c>
      <c r="L174" s="259">
        <v>17852</v>
      </c>
      <c r="M174" s="259">
        <v>241000</v>
      </c>
      <c r="N174" s="118">
        <v>3.9199999999999999E-2</v>
      </c>
      <c r="O174" s="411" t="s">
        <v>1086</v>
      </c>
    </row>
    <row r="175" spans="1:15" ht="18" customHeight="1" x14ac:dyDescent="0.25">
      <c r="A175" s="115">
        <v>3</v>
      </c>
      <c r="B175" s="116" t="s">
        <v>90</v>
      </c>
      <c r="C175" s="115">
        <v>217</v>
      </c>
      <c r="D175" s="119" t="s">
        <v>89</v>
      </c>
      <c r="E175" s="119" t="s">
        <v>1105</v>
      </c>
      <c r="F175" s="116" t="s">
        <v>1085</v>
      </c>
      <c r="G175" s="280">
        <v>2</v>
      </c>
      <c r="H175" s="259">
        <v>27778</v>
      </c>
      <c r="I175" s="259">
        <v>55556</v>
      </c>
      <c r="J175" s="259">
        <v>0</v>
      </c>
      <c r="K175" s="259">
        <v>55556</v>
      </c>
      <c r="L175" s="259">
        <v>4444</v>
      </c>
      <c r="M175" s="259">
        <v>60000</v>
      </c>
      <c r="N175" s="118">
        <v>9.7999999999999997E-3</v>
      </c>
      <c r="O175" s="411" t="s">
        <v>1086</v>
      </c>
    </row>
    <row r="176" spans="1:15" ht="18" customHeight="1" x14ac:dyDescent="0.25">
      <c r="A176" s="115">
        <v>3</v>
      </c>
      <c r="B176" s="116" t="s">
        <v>90</v>
      </c>
      <c r="C176" s="115">
        <v>218</v>
      </c>
      <c r="D176" s="119" t="s">
        <v>89</v>
      </c>
      <c r="E176" s="119" t="s">
        <v>1106</v>
      </c>
      <c r="F176" s="116" t="s">
        <v>1085</v>
      </c>
      <c r="G176" s="280">
        <v>9</v>
      </c>
      <c r="H176" s="259">
        <v>18724</v>
      </c>
      <c r="I176" s="259">
        <v>168519</v>
      </c>
      <c r="J176" s="259">
        <v>0</v>
      </c>
      <c r="K176" s="259">
        <v>168519</v>
      </c>
      <c r="L176" s="259">
        <v>13481</v>
      </c>
      <c r="M176" s="259">
        <v>182000</v>
      </c>
      <c r="N176" s="118">
        <v>2.9600000000000001E-2</v>
      </c>
      <c r="O176" s="411" t="s">
        <v>1086</v>
      </c>
    </row>
    <row r="177" spans="1:15" ht="18" customHeight="1" x14ac:dyDescent="0.25">
      <c r="A177" s="115">
        <v>3</v>
      </c>
      <c r="B177" s="116" t="s">
        <v>90</v>
      </c>
      <c r="C177" s="115">
        <v>34</v>
      </c>
      <c r="D177" s="119" t="s">
        <v>91</v>
      </c>
      <c r="E177" s="119" t="s">
        <v>1107</v>
      </c>
      <c r="F177" s="116" t="s">
        <v>1085</v>
      </c>
      <c r="G177" s="280">
        <v>4</v>
      </c>
      <c r="H177" s="259">
        <v>6481</v>
      </c>
      <c r="I177" s="259">
        <v>25926</v>
      </c>
      <c r="J177" s="259">
        <v>0</v>
      </c>
      <c r="K177" s="259">
        <v>25926</v>
      </c>
      <c r="L177" s="259">
        <v>2074</v>
      </c>
      <c r="M177" s="259">
        <v>28000</v>
      </c>
      <c r="N177" s="118">
        <v>4.5999999999999999E-3</v>
      </c>
      <c r="O177" s="411" t="s">
        <v>1086</v>
      </c>
    </row>
    <row r="178" spans="1:15" ht="18" customHeight="1" x14ac:dyDescent="0.25">
      <c r="A178" s="115">
        <v>3</v>
      </c>
      <c r="B178" s="116" t="s">
        <v>90</v>
      </c>
      <c r="C178" s="115">
        <v>121</v>
      </c>
      <c r="D178" s="119" t="s">
        <v>91</v>
      </c>
      <c r="E178" s="119" t="s">
        <v>1108</v>
      </c>
      <c r="F178" s="116" t="s">
        <v>1085</v>
      </c>
      <c r="G178" s="280">
        <v>11</v>
      </c>
      <c r="H178" s="259">
        <v>2778</v>
      </c>
      <c r="I178" s="259">
        <v>30556</v>
      </c>
      <c r="J178" s="259">
        <v>0</v>
      </c>
      <c r="K178" s="259">
        <v>30556</v>
      </c>
      <c r="L178" s="259">
        <v>2444</v>
      </c>
      <c r="M178" s="259">
        <v>33000</v>
      </c>
      <c r="N178" s="118">
        <v>5.4000000000000003E-3</v>
      </c>
      <c r="O178" s="411" t="s">
        <v>1086</v>
      </c>
    </row>
    <row r="179" spans="1:15" ht="18" customHeight="1" x14ac:dyDescent="0.25">
      <c r="A179" s="115">
        <v>3</v>
      </c>
      <c r="B179" s="116" t="s">
        <v>90</v>
      </c>
      <c r="C179" s="115">
        <v>208</v>
      </c>
      <c r="D179" s="119" t="s">
        <v>91</v>
      </c>
      <c r="E179" s="119" t="s">
        <v>1109</v>
      </c>
      <c r="F179" s="116" t="s">
        <v>1085</v>
      </c>
      <c r="G179" s="280">
        <v>9</v>
      </c>
      <c r="H179" s="259">
        <v>3684</v>
      </c>
      <c r="I179" s="259">
        <v>33333</v>
      </c>
      <c r="J179" s="259">
        <v>181</v>
      </c>
      <c r="K179" s="259">
        <v>33152</v>
      </c>
      <c r="L179" s="259">
        <v>2652</v>
      </c>
      <c r="M179" s="259">
        <v>35804</v>
      </c>
      <c r="N179" s="118">
        <v>5.7999999999999996E-3</v>
      </c>
      <c r="O179" s="411" t="s">
        <v>1086</v>
      </c>
    </row>
    <row r="180" spans="1:15" ht="18" customHeight="1" x14ac:dyDescent="0.25">
      <c r="A180" s="115">
        <v>3</v>
      </c>
      <c r="B180" s="116" t="s">
        <v>90</v>
      </c>
      <c r="C180" s="115">
        <v>90</v>
      </c>
      <c r="D180" s="119" t="s">
        <v>91</v>
      </c>
      <c r="E180" s="119" t="s">
        <v>572</v>
      </c>
      <c r="F180" s="116" t="s">
        <v>1085</v>
      </c>
      <c r="G180" s="280">
        <v>3</v>
      </c>
      <c r="H180" s="259">
        <v>4259</v>
      </c>
      <c r="I180" s="259">
        <v>12778</v>
      </c>
      <c r="J180" s="259">
        <v>0</v>
      </c>
      <c r="K180" s="259">
        <v>12778</v>
      </c>
      <c r="L180" s="259">
        <v>1022</v>
      </c>
      <c r="M180" s="259">
        <v>13800</v>
      </c>
      <c r="N180" s="118">
        <v>2.2000000000000001E-3</v>
      </c>
      <c r="O180" s="411" t="s">
        <v>1086</v>
      </c>
    </row>
    <row r="181" spans="1:15" ht="18" customHeight="1" x14ac:dyDescent="0.25">
      <c r="A181" s="115">
        <v>3</v>
      </c>
      <c r="B181" s="116" t="s">
        <v>90</v>
      </c>
      <c r="C181" s="115">
        <v>123</v>
      </c>
      <c r="D181" s="119" t="s">
        <v>91</v>
      </c>
      <c r="E181" s="119" t="s">
        <v>1110</v>
      </c>
      <c r="F181" s="116" t="s">
        <v>1085</v>
      </c>
      <c r="G181" s="280">
        <v>2</v>
      </c>
      <c r="H181" s="259">
        <v>2778</v>
      </c>
      <c r="I181" s="259">
        <v>5556</v>
      </c>
      <c r="J181" s="259">
        <v>0</v>
      </c>
      <c r="K181" s="259">
        <v>5556</v>
      </c>
      <c r="L181" s="259">
        <v>444</v>
      </c>
      <c r="M181" s="259">
        <v>6000</v>
      </c>
      <c r="N181" s="118">
        <v>1E-3</v>
      </c>
      <c r="O181" s="411" t="s">
        <v>1086</v>
      </c>
    </row>
    <row r="182" spans="1:15" ht="18" customHeight="1" x14ac:dyDescent="0.25">
      <c r="A182" s="115">
        <v>3</v>
      </c>
      <c r="B182" s="116" t="s">
        <v>90</v>
      </c>
      <c r="C182" s="115">
        <v>31</v>
      </c>
      <c r="D182" s="119" t="s">
        <v>95</v>
      </c>
      <c r="E182" s="119" t="s">
        <v>1111</v>
      </c>
      <c r="F182" s="116" t="s">
        <v>1085</v>
      </c>
      <c r="G182" s="280">
        <v>12</v>
      </c>
      <c r="H182" s="259">
        <v>1204</v>
      </c>
      <c r="I182" s="259">
        <v>14444</v>
      </c>
      <c r="J182" s="259">
        <v>0</v>
      </c>
      <c r="K182" s="259">
        <v>14444</v>
      </c>
      <c r="L182" s="259">
        <v>1156</v>
      </c>
      <c r="M182" s="259">
        <v>15600</v>
      </c>
      <c r="N182" s="118">
        <v>2.5000000000000001E-3</v>
      </c>
      <c r="O182" s="411" t="s">
        <v>1086</v>
      </c>
    </row>
    <row r="183" spans="1:15" ht="18" customHeight="1" x14ac:dyDescent="0.25">
      <c r="A183" s="115">
        <v>3</v>
      </c>
      <c r="B183" s="116" t="s">
        <v>90</v>
      </c>
      <c r="C183" s="115">
        <v>74</v>
      </c>
      <c r="D183" s="119" t="s">
        <v>91</v>
      </c>
      <c r="E183" s="119" t="s">
        <v>1153</v>
      </c>
      <c r="F183" s="116" t="s">
        <v>1085</v>
      </c>
      <c r="G183" s="280">
        <v>5</v>
      </c>
      <c r="H183" s="259">
        <v>6481</v>
      </c>
      <c r="I183" s="259">
        <v>32407</v>
      </c>
      <c r="J183" s="259">
        <v>0</v>
      </c>
      <c r="K183" s="259">
        <v>32407</v>
      </c>
      <c r="L183" s="259">
        <v>2593</v>
      </c>
      <c r="M183" s="259">
        <v>35000</v>
      </c>
      <c r="N183" s="118">
        <v>5.6999999999999993E-3</v>
      </c>
      <c r="O183" s="411" t="s">
        <v>1086</v>
      </c>
    </row>
    <row r="184" spans="1:15" ht="18" customHeight="1" x14ac:dyDescent="0.25">
      <c r="A184" s="115">
        <v>3</v>
      </c>
      <c r="B184" s="116" t="s">
        <v>90</v>
      </c>
      <c r="C184" s="115">
        <v>134</v>
      </c>
      <c r="D184" s="119" t="s">
        <v>91</v>
      </c>
      <c r="E184" s="119" t="s">
        <v>1168</v>
      </c>
      <c r="F184" s="116" t="s">
        <v>1085</v>
      </c>
      <c r="G184" s="280">
        <v>1</v>
      </c>
      <c r="H184" s="259">
        <v>12963</v>
      </c>
      <c r="I184" s="259">
        <v>12963</v>
      </c>
      <c r="J184" s="259">
        <v>0</v>
      </c>
      <c r="K184" s="259">
        <v>12963</v>
      </c>
      <c r="L184" s="259">
        <v>1037</v>
      </c>
      <c r="M184" s="259">
        <v>14000</v>
      </c>
      <c r="N184" s="118">
        <v>2.3E-3</v>
      </c>
      <c r="O184" s="411" t="s">
        <v>1086</v>
      </c>
    </row>
    <row r="185" spans="1:15" ht="18" customHeight="1" x14ac:dyDescent="0.25">
      <c r="A185" s="115">
        <v>3</v>
      </c>
      <c r="B185" s="116" t="s">
        <v>90</v>
      </c>
      <c r="C185" s="115">
        <v>75</v>
      </c>
      <c r="D185" s="119" t="s">
        <v>91</v>
      </c>
      <c r="E185" s="119" t="s">
        <v>1113</v>
      </c>
      <c r="F185" s="116" t="s">
        <v>1085</v>
      </c>
      <c r="G185" s="280">
        <v>1</v>
      </c>
      <c r="H185" s="259">
        <v>9259</v>
      </c>
      <c r="I185" s="259">
        <v>9259</v>
      </c>
      <c r="J185" s="259">
        <v>0</v>
      </c>
      <c r="K185" s="259">
        <v>9259</v>
      </c>
      <c r="L185" s="259">
        <v>741</v>
      </c>
      <c r="M185" s="259">
        <v>10000</v>
      </c>
      <c r="N185" s="118">
        <v>1.6000000000000001E-3</v>
      </c>
      <c r="O185" s="411" t="s">
        <v>1086</v>
      </c>
    </row>
    <row r="186" spans="1:15" ht="18" customHeight="1" x14ac:dyDescent="0.25">
      <c r="A186" s="115">
        <v>3</v>
      </c>
      <c r="B186" s="116" t="s">
        <v>90</v>
      </c>
      <c r="C186" s="115">
        <v>118</v>
      </c>
      <c r="D186" s="119" t="s">
        <v>87</v>
      </c>
      <c r="E186" s="119" t="s">
        <v>126</v>
      </c>
      <c r="F186" s="116" t="s">
        <v>1085</v>
      </c>
      <c r="G186" s="280">
        <v>4</v>
      </c>
      <c r="H186" s="259">
        <v>41667</v>
      </c>
      <c r="I186" s="259">
        <v>166667</v>
      </c>
      <c r="J186" s="259">
        <v>0</v>
      </c>
      <c r="K186" s="259">
        <v>166667</v>
      </c>
      <c r="L186" s="259">
        <v>13333</v>
      </c>
      <c r="M186" s="259">
        <v>180000</v>
      </c>
      <c r="N186" s="118">
        <v>2.93E-2</v>
      </c>
      <c r="O186" s="411" t="s">
        <v>1086</v>
      </c>
    </row>
    <row r="187" spans="1:15" ht="18" customHeight="1" x14ac:dyDescent="0.25">
      <c r="A187" s="115">
        <v>3</v>
      </c>
      <c r="B187" s="116" t="s">
        <v>90</v>
      </c>
      <c r="C187" s="115">
        <v>204</v>
      </c>
      <c r="D187" s="119" t="s">
        <v>91</v>
      </c>
      <c r="E187" s="119" t="s">
        <v>1114</v>
      </c>
      <c r="F187" s="116" t="s">
        <v>1085</v>
      </c>
      <c r="G187" s="280">
        <v>3</v>
      </c>
      <c r="H187" s="259">
        <v>12037</v>
      </c>
      <c r="I187" s="259">
        <v>36111</v>
      </c>
      <c r="J187" s="259">
        <v>0</v>
      </c>
      <c r="K187" s="259">
        <v>36111</v>
      </c>
      <c r="L187" s="259">
        <v>2889</v>
      </c>
      <c r="M187" s="259">
        <v>39000</v>
      </c>
      <c r="N187" s="118">
        <v>6.3E-3</v>
      </c>
      <c r="O187" s="411" t="s">
        <v>1086</v>
      </c>
    </row>
    <row r="188" spans="1:15" ht="18" customHeight="1" x14ac:dyDescent="0.25">
      <c r="A188" s="115">
        <v>3</v>
      </c>
      <c r="B188" s="116" t="s">
        <v>90</v>
      </c>
      <c r="C188" s="115">
        <v>109</v>
      </c>
      <c r="D188" s="119" t="s">
        <v>91</v>
      </c>
      <c r="E188" s="119" t="s">
        <v>144</v>
      </c>
      <c r="F188" s="116" t="s">
        <v>1085</v>
      </c>
      <c r="G188" s="280">
        <v>4</v>
      </c>
      <c r="H188" s="259">
        <v>12963</v>
      </c>
      <c r="I188" s="259">
        <v>51852</v>
      </c>
      <c r="J188" s="259">
        <v>0</v>
      </c>
      <c r="K188" s="259">
        <v>51852</v>
      </c>
      <c r="L188" s="259">
        <v>4148</v>
      </c>
      <c r="M188" s="259">
        <v>56000</v>
      </c>
      <c r="N188" s="118">
        <v>9.1000000000000004E-3</v>
      </c>
      <c r="O188" s="411" t="s">
        <v>1086</v>
      </c>
    </row>
    <row r="189" spans="1:15" ht="18" customHeight="1" x14ac:dyDescent="0.25">
      <c r="A189" s="115">
        <v>3</v>
      </c>
      <c r="B189" s="116" t="s">
        <v>90</v>
      </c>
      <c r="C189" s="115">
        <v>147</v>
      </c>
      <c r="D189" s="119" t="s">
        <v>91</v>
      </c>
      <c r="E189" s="119" t="s">
        <v>1115</v>
      </c>
      <c r="F189" s="116" t="s">
        <v>1085</v>
      </c>
      <c r="G189" s="280">
        <v>2</v>
      </c>
      <c r="H189" s="259">
        <v>6481</v>
      </c>
      <c r="I189" s="259">
        <v>12963</v>
      </c>
      <c r="J189" s="259">
        <v>0</v>
      </c>
      <c r="K189" s="259">
        <v>12963</v>
      </c>
      <c r="L189" s="259">
        <v>1037</v>
      </c>
      <c r="M189" s="259">
        <v>14000</v>
      </c>
      <c r="N189" s="118">
        <v>2.3E-3</v>
      </c>
      <c r="O189" s="411" t="s">
        <v>1086</v>
      </c>
    </row>
    <row r="190" spans="1:15" ht="18" customHeight="1" x14ac:dyDescent="0.25">
      <c r="A190" s="115">
        <v>3</v>
      </c>
      <c r="B190" s="116" t="s">
        <v>90</v>
      </c>
      <c r="C190" s="115">
        <v>72</v>
      </c>
      <c r="D190" s="119" t="s">
        <v>97</v>
      </c>
      <c r="E190" s="119" t="s">
        <v>1117</v>
      </c>
      <c r="F190" s="116" t="s">
        <v>1085</v>
      </c>
      <c r="G190" s="280">
        <v>10</v>
      </c>
      <c r="H190" s="259">
        <v>3704</v>
      </c>
      <c r="I190" s="259">
        <v>37037</v>
      </c>
      <c r="J190" s="259">
        <v>0</v>
      </c>
      <c r="K190" s="259">
        <v>37037</v>
      </c>
      <c r="L190" s="259">
        <v>2963</v>
      </c>
      <c r="M190" s="259">
        <v>40000</v>
      </c>
      <c r="N190" s="118">
        <v>6.5000000000000006E-3</v>
      </c>
      <c r="O190" s="411" t="s">
        <v>1086</v>
      </c>
    </row>
    <row r="191" spans="1:15" ht="18" customHeight="1" x14ac:dyDescent="0.25">
      <c r="A191" s="115">
        <v>3</v>
      </c>
      <c r="B191" s="116" t="s">
        <v>90</v>
      </c>
      <c r="C191" s="115">
        <v>227</v>
      </c>
      <c r="D191" s="119" t="s">
        <v>87</v>
      </c>
      <c r="E191" s="119" t="s">
        <v>1169</v>
      </c>
      <c r="F191" s="116" t="s">
        <v>1085</v>
      </c>
      <c r="G191" s="280">
        <v>2</v>
      </c>
      <c r="H191" s="259">
        <v>1389</v>
      </c>
      <c r="I191" s="259">
        <v>2778</v>
      </c>
      <c r="J191" s="259">
        <v>0</v>
      </c>
      <c r="K191" s="259">
        <v>2778</v>
      </c>
      <c r="L191" s="259">
        <v>222</v>
      </c>
      <c r="M191" s="259">
        <v>3000</v>
      </c>
      <c r="N191" s="118">
        <v>5.0000000000000001E-4</v>
      </c>
      <c r="O191" s="411" t="s">
        <v>1086</v>
      </c>
    </row>
    <row r="192" spans="1:15" ht="18" customHeight="1" x14ac:dyDescent="0.25">
      <c r="A192" s="115">
        <v>3</v>
      </c>
      <c r="B192" s="116" t="s">
        <v>90</v>
      </c>
      <c r="C192" s="115">
        <v>93</v>
      </c>
      <c r="D192" s="119" t="s">
        <v>89</v>
      </c>
      <c r="E192" s="119" t="s">
        <v>123</v>
      </c>
      <c r="F192" s="116" t="s">
        <v>1085</v>
      </c>
      <c r="G192" s="280">
        <v>78</v>
      </c>
      <c r="H192" s="259">
        <v>20370</v>
      </c>
      <c r="I192" s="259">
        <v>1588889</v>
      </c>
      <c r="J192" s="259">
        <v>0</v>
      </c>
      <c r="K192" s="259">
        <v>1588889</v>
      </c>
      <c r="L192" s="259">
        <v>127111</v>
      </c>
      <c r="M192" s="259">
        <v>1716000</v>
      </c>
      <c r="N192" s="118">
        <v>0.27910000000000001</v>
      </c>
      <c r="O192" s="411" t="s">
        <v>1086</v>
      </c>
    </row>
    <row r="193" spans="1:15" ht="18" customHeight="1" x14ac:dyDescent="0.25">
      <c r="A193" s="115">
        <v>3</v>
      </c>
      <c r="B193" s="116" t="s">
        <v>90</v>
      </c>
      <c r="C193" s="115">
        <v>119</v>
      </c>
      <c r="D193" s="119" t="s">
        <v>89</v>
      </c>
      <c r="E193" s="119" t="s">
        <v>114</v>
      </c>
      <c r="F193" s="116" t="s">
        <v>1085</v>
      </c>
      <c r="G193" s="280">
        <v>7</v>
      </c>
      <c r="H193" s="259">
        <v>44444</v>
      </c>
      <c r="I193" s="259">
        <v>311111</v>
      </c>
      <c r="J193" s="259">
        <v>0</v>
      </c>
      <c r="K193" s="259">
        <v>311111</v>
      </c>
      <c r="L193" s="259">
        <v>24889</v>
      </c>
      <c r="M193" s="259">
        <v>336000</v>
      </c>
      <c r="N193" s="118">
        <v>5.4600000000000003E-2</v>
      </c>
      <c r="O193" s="411" t="s">
        <v>1086</v>
      </c>
    </row>
    <row r="194" spans="1:15" ht="18" customHeight="1" x14ac:dyDescent="0.25">
      <c r="A194" s="115">
        <v>3</v>
      </c>
      <c r="B194" s="116" t="s">
        <v>90</v>
      </c>
      <c r="C194" s="115">
        <v>19</v>
      </c>
      <c r="D194" s="119" t="s">
        <v>87</v>
      </c>
      <c r="E194" s="119" t="s">
        <v>1120</v>
      </c>
      <c r="F194" s="116" t="s">
        <v>1085</v>
      </c>
      <c r="G194" s="280">
        <v>3</v>
      </c>
      <c r="H194" s="259">
        <v>9259</v>
      </c>
      <c r="I194" s="259">
        <v>27778</v>
      </c>
      <c r="J194" s="259">
        <v>0</v>
      </c>
      <c r="K194" s="259">
        <v>27778</v>
      </c>
      <c r="L194" s="259">
        <v>2222</v>
      </c>
      <c r="M194" s="259">
        <v>30000</v>
      </c>
      <c r="N194" s="118">
        <v>4.8999999999999998E-3</v>
      </c>
      <c r="O194" s="411" t="s">
        <v>1086</v>
      </c>
    </row>
    <row r="195" spans="1:15" ht="18" customHeight="1" x14ac:dyDescent="0.25">
      <c r="A195" s="115">
        <v>3</v>
      </c>
      <c r="B195" s="116" t="s">
        <v>90</v>
      </c>
      <c r="C195" s="115">
        <v>20</v>
      </c>
      <c r="D195" s="119" t="s">
        <v>87</v>
      </c>
      <c r="E195" s="119" t="s">
        <v>1170</v>
      </c>
      <c r="F195" s="116" t="s">
        <v>1085</v>
      </c>
      <c r="G195" s="280">
        <v>1</v>
      </c>
      <c r="H195" s="259">
        <v>6481</v>
      </c>
      <c r="I195" s="259">
        <v>6481</v>
      </c>
      <c r="J195" s="259">
        <v>0</v>
      </c>
      <c r="K195" s="259">
        <v>6481</v>
      </c>
      <c r="L195" s="259">
        <v>519</v>
      </c>
      <c r="M195" s="259">
        <v>7000</v>
      </c>
      <c r="N195" s="118">
        <v>1.1000000000000001E-3</v>
      </c>
      <c r="O195" s="411" t="s">
        <v>1086</v>
      </c>
    </row>
    <row r="196" spans="1:15" ht="18" customHeight="1" x14ac:dyDescent="0.25">
      <c r="A196" s="115">
        <v>3</v>
      </c>
      <c r="B196" s="116" t="s">
        <v>90</v>
      </c>
      <c r="C196" s="115">
        <v>77</v>
      </c>
      <c r="D196" s="119" t="s">
        <v>87</v>
      </c>
      <c r="E196" s="119" t="s">
        <v>1121</v>
      </c>
      <c r="F196" s="116" t="s">
        <v>1085</v>
      </c>
      <c r="G196" s="280">
        <v>1</v>
      </c>
      <c r="H196" s="259">
        <v>2778</v>
      </c>
      <c r="I196" s="259">
        <v>2778</v>
      </c>
      <c r="J196" s="259">
        <v>0</v>
      </c>
      <c r="K196" s="259">
        <v>2778</v>
      </c>
      <c r="L196" s="259">
        <v>222</v>
      </c>
      <c r="M196" s="259">
        <v>3000</v>
      </c>
      <c r="N196" s="118">
        <v>5.0000000000000001E-4</v>
      </c>
      <c r="O196" s="411" t="s">
        <v>1086</v>
      </c>
    </row>
    <row r="197" spans="1:15" ht="18" customHeight="1" x14ac:dyDescent="0.25">
      <c r="A197" s="115">
        <v>3</v>
      </c>
      <c r="B197" s="116" t="s">
        <v>90</v>
      </c>
      <c r="C197" s="115">
        <v>81</v>
      </c>
      <c r="D197" s="119" t="s">
        <v>95</v>
      </c>
      <c r="E197" s="119" t="s">
        <v>1123</v>
      </c>
      <c r="F197" s="116" t="s">
        <v>1085</v>
      </c>
      <c r="G197" s="280">
        <v>1</v>
      </c>
      <c r="H197" s="259">
        <v>1389</v>
      </c>
      <c r="I197" s="259">
        <v>1389</v>
      </c>
      <c r="J197" s="259">
        <v>0</v>
      </c>
      <c r="K197" s="259">
        <v>1389</v>
      </c>
      <c r="L197" s="259">
        <v>111</v>
      </c>
      <c r="M197" s="259">
        <v>1500</v>
      </c>
      <c r="N197" s="118">
        <v>2.0000000000000001E-4</v>
      </c>
      <c r="O197" s="411" t="s">
        <v>1086</v>
      </c>
    </row>
    <row r="198" spans="1:15" ht="18" customHeight="1" x14ac:dyDescent="0.25">
      <c r="A198" s="115">
        <v>3</v>
      </c>
      <c r="B198" s="116" t="s">
        <v>90</v>
      </c>
      <c r="C198" s="115">
        <v>86</v>
      </c>
      <c r="D198" s="119" t="s">
        <v>95</v>
      </c>
      <c r="E198" s="119" t="s">
        <v>1124</v>
      </c>
      <c r="F198" s="116" t="s">
        <v>1085</v>
      </c>
      <c r="G198" s="280">
        <v>17</v>
      </c>
      <c r="H198" s="259">
        <v>3241</v>
      </c>
      <c r="I198" s="259">
        <v>55093</v>
      </c>
      <c r="J198" s="259">
        <v>0</v>
      </c>
      <c r="K198" s="259">
        <v>55093</v>
      </c>
      <c r="L198" s="259">
        <v>4407</v>
      </c>
      <c r="M198" s="259">
        <v>59500</v>
      </c>
      <c r="N198" s="118">
        <v>9.7000000000000003E-3</v>
      </c>
      <c r="O198" s="411" t="s">
        <v>1086</v>
      </c>
    </row>
    <row r="199" spans="1:15" ht="18" customHeight="1" x14ac:dyDescent="0.25">
      <c r="A199" s="115">
        <v>3</v>
      </c>
      <c r="B199" s="116" t="s">
        <v>90</v>
      </c>
      <c r="C199" s="115">
        <v>79</v>
      </c>
      <c r="D199" s="119" t="s">
        <v>95</v>
      </c>
      <c r="E199" s="119" t="s">
        <v>1127</v>
      </c>
      <c r="F199" s="116" t="s">
        <v>1085</v>
      </c>
      <c r="G199" s="280">
        <v>5</v>
      </c>
      <c r="H199" s="259">
        <v>6481</v>
      </c>
      <c r="I199" s="259">
        <v>32407</v>
      </c>
      <c r="J199" s="259">
        <v>0</v>
      </c>
      <c r="K199" s="259">
        <v>32407</v>
      </c>
      <c r="L199" s="259">
        <v>2593</v>
      </c>
      <c r="M199" s="259">
        <v>35000</v>
      </c>
      <c r="N199" s="118">
        <v>5.6999999999999993E-3</v>
      </c>
      <c r="O199" s="411" t="s">
        <v>1086</v>
      </c>
    </row>
    <row r="200" spans="1:15" ht="18" customHeight="1" x14ac:dyDescent="0.25">
      <c r="A200" s="115">
        <v>3</v>
      </c>
      <c r="B200" s="116" t="s">
        <v>90</v>
      </c>
      <c r="C200" s="115">
        <v>62</v>
      </c>
      <c r="D200" s="119" t="s">
        <v>95</v>
      </c>
      <c r="E200" s="119" t="s">
        <v>1128</v>
      </c>
      <c r="F200" s="116" t="s">
        <v>1085</v>
      </c>
      <c r="G200" s="280">
        <v>2</v>
      </c>
      <c r="H200" s="259">
        <v>6944</v>
      </c>
      <c r="I200" s="259">
        <v>13889</v>
      </c>
      <c r="J200" s="259">
        <v>0</v>
      </c>
      <c r="K200" s="259">
        <v>13889</v>
      </c>
      <c r="L200" s="259">
        <v>1111</v>
      </c>
      <c r="M200" s="259">
        <v>15000</v>
      </c>
      <c r="N200" s="118">
        <v>2.3999999999999998E-3</v>
      </c>
      <c r="O200" s="411" t="s">
        <v>1086</v>
      </c>
    </row>
    <row r="201" spans="1:15" ht="18" customHeight="1" x14ac:dyDescent="0.25">
      <c r="A201" s="115">
        <v>3</v>
      </c>
      <c r="B201" s="116" t="s">
        <v>90</v>
      </c>
      <c r="C201" s="115">
        <v>170</v>
      </c>
      <c r="D201" s="119" t="s">
        <v>95</v>
      </c>
      <c r="E201" s="119" t="s">
        <v>1171</v>
      </c>
      <c r="F201" s="116" t="s">
        <v>1085</v>
      </c>
      <c r="G201" s="280">
        <v>10</v>
      </c>
      <c r="H201" s="259">
        <v>6481</v>
      </c>
      <c r="I201" s="259">
        <v>64815</v>
      </c>
      <c r="J201" s="259">
        <v>0</v>
      </c>
      <c r="K201" s="259">
        <v>64815</v>
      </c>
      <c r="L201" s="259">
        <v>5185</v>
      </c>
      <c r="M201" s="259">
        <v>70000</v>
      </c>
      <c r="N201" s="118">
        <v>1.14E-2</v>
      </c>
      <c r="O201" s="411" t="s">
        <v>1086</v>
      </c>
    </row>
    <row r="202" spans="1:15" ht="18" customHeight="1" x14ac:dyDescent="0.25">
      <c r="A202" s="115">
        <v>3</v>
      </c>
      <c r="B202" s="116" t="s">
        <v>90</v>
      </c>
      <c r="C202" s="115">
        <v>137</v>
      </c>
      <c r="D202" s="119" t="s">
        <v>95</v>
      </c>
      <c r="E202" s="119" t="s">
        <v>1159</v>
      </c>
      <c r="F202" s="116" t="s">
        <v>1085</v>
      </c>
      <c r="G202" s="280">
        <v>17</v>
      </c>
      <c r="H202" s="259">
        <v>6481</v>
      </c>
      <c r="I202" s="259">
        <v>110185</v>
      </c>
      <c r="J202" s="259">
        <v>0</v>
      </c>
      <c r="K202" s="259">
        <v>110185</v>
      </c>
      <c r="L202" s="259">
        <v>8815</v>
      </c>
      <c r="M202" s="259">
        <v>119000</v>
      </c>
      <c r="N202" s="118">
        <v>1.9400000000000001E-2</v>
      </c>
      <c r="O202" s="411" t="s">
        <v>1086</v>
      </c>
    </row>
    <row r="203" spans="1:15" ht="18" customHeight="1" x14ac:dyDescent="0.25">
      <c r="A203" s="115">
        <v>3</v>
      </c>
      <c r="B203" s="116" t="s">
        <v>90</v>
      </c>
      <c r="C203" s="115">
        <v>224</v>
      </c>
      <c r="D203" s="119" t="s">
        <v>87</v>
      </c>
      <c r="E203" s="119" t="s">
        <v>1172</v>
      </c>
      <c r="F203" s="116" t="s">
        <v>1085</v>
      </c>
      <c r="G203" s="280">
        <v>1</v>
      </c>
      <c r="H203" s="259">
        <v>62500</v>
      </c>
      <c r="I203" s="259">
        <v>62500</v>
      </c>
      <c r="J203" s="259">
        <v>0</v>
      </c>
      <c r="K203" s="259">
        <v>62500</v>
      </c>
      <c r="L203" s="259">
        <v>5000</v>
      </c>
      <c r="M203" s="259">
        <v>67500</v>
      </c>
      <c r="N203" s="118">
        <v>1.0999999999999999E-2</v>
      </c>
      <c r="O203" s="411" t="s">
        <v>1086</v>
      </c>
    </row>
    <row r="204" spans="1:15" ht="18" customHeight="1" x14ac:dyDescent="0.25">
      <c r="A204" s="115">
        <v>3</v>
      </c>
      <c r="B204" s="116" t="s">
        <v>90</v>
      </c>
      <c r="C204" s="115">
        <v>222</v>
      </c>
      <c r="D204" s="119" t="s">
        <v>93</v>
      </c>
      <c r="E204" s="119" t="s">
        <v>1133</v>
      </c>
      <c r="F204" s="116" t="s">
        <v>1085</v>
      </c>
      <c r="G204" s="280">
        <v>1</v>
      </c>
      <c r="H204" s="259">
        <v>63426</v>
      </c>
      <c r="I204" s="259">
        <v>63426</v>
      </c>
      <c r="J204" s="259">
        <v>0</v>
      </c>
      <c r="K204" s="259">
        <v>63426</v>
      </c>
      <c r="L204" s="259">
        <v>5074</v>
      </c>
      <c r="M204" s="259">
        <v>68500</v>
      </c>
      <c r="N204" s="118">
        <v>1.11E-2</v>
      </c>
      <c r="O204" s="411" t="s">
        <v>1086</v>
      </c>
    </row>
    <row r="205" spans="1:15" ht="18" customHeight="1" x14ac:dyDescent="0.25">
      <c r="A205" s="115">
        <v>3</v>
      </c>
      <c r="B205" s="116" t="s">
        <v>90</v>
      </c>
      <c r="C205" s="115">
        <v>117</v>
      </c>
      <c r="D205" s="119" t="s">
        <v>87</v>
      </c>
      <c r="E205" s="119" t="s">
        <v>120</v>
      </c>
      <c r="F205" s="116" t="s">
        <v>1085</v>
      </c>
      <c r="G205" s="280">
        <v>3</v>
      </c>
      <c r="H205" s="259">
        <v>41667</v>
      </c>
      <c r="I205" s="259">
        <v>125000</v>
      </c>
      <c r="J205" s="259">
        <v>0</v>
      </c>
      <c r="K205" s="259">
        <v>125000</v>
      </c>
      <c r="L205" s="259">
        <v>10000</v>
      </c>
      <c r="M205" s="259">
        <v>135000</v>
      </c>
      <c r="N205" s="118">
        <v>2.1999999999999999E-2</v>
      </c>
      <c r="O205" s="411" t="s">
        <v>1086</v>
      </c>
    </row>
    <row r="206" spans="1:15" ht="18" customHeight="1" x14ac:dyDescent="0.25">
      <c r="A206" s="115">
        <v>3</v>
      </c>
      <c r="B206" s="116" t="s">
        <v>90</v>
      </c>
      <c r="C206" s="115">
        <v>36</v>
      </c>
      <c r="D206" s="119" t="s">
        <v>91</v>
      </c>
      <c r="E206" s="119" t="s">
        <v>1136</v>
      </c>
      <c r="F206" s="116" t="s">
        <v>1085</v>
      </c>
      <c r="G206" s="280">
        <v>3</v>
      </c>
      <c r="H206" s="259">
        <v>3704</v>
      </c>
      <c r="I206" s="259">
        <v>11111</v>
      </c>
      <c r="J206" s="259">
        <v>0</v>
      </c>
      <c r="K206" s="259">
        <v>11111</v>
      </c>
      <c r="L206" s="259">
        <v>889</v>
      </c>
      <c r="M206" s="259">
        <v>12000</v>
      </c>
      <c r="N206" s="118">
        <v>2E-3</v>
      </c>
      <c r="O206" s="411" t="s">
        <v>1086</v>
      </c>
    </row>
    <row r="207" spans="1:15" ht="18" customHeight="1" x14ac:dyDescent="0.25">
      <c r="A207" s="115">
        <v>3</v>
      </c>
      <c r="B207" s="116" t="s">
        <v>90</v>
      </c>
      <c r="C207" s="115">
        <v>61</v>
      </c>
      <c r="D207" s="119" t="s">
        <v>97</v>
      </c>
      <c r="E207" s="119" t="s">
        <v>1137</v>
      </c>
      <c r="F207" s="116" t="s">
        <v>1085</v>
      </c>
      <c r="G207" s="280">
        <v>6</v>
      </c>
      <c r="H207" s="259">
        <v>4630</v>
      </c>
      <c r="I207" s="259">
        <v>27778</v>
      </c>
      <c r="J207" s="259">
        <v>0</v>
      </c>
      <c r="K207" s="259">
        <v>27778</v>
      </c>
      <c r="L207" s="259">
        <v>2222</v>
      </c>
      <c r="M207" s="259">
        <v>30000</v>
      </c>
      <c r="N207" s="118">
        <v>4.8999999999999998E-3</v>
      </c>
      <c r="O207" s="411" t="s">
        <v>1086</v>
      </c>
    </row>
    <row r="208" spans="1:15" ht="18" customHeight="1" x14ac:dyDescent="0.25">
      <c r="A208" s="115">
        <v>3</v>
      </c>
      <c r="B208" s="116" t="s">
        <v>90</v>
      </c>
      <c r="C208" s="115">
        <v>214</v>
      </c>
      <c r="D208" s="119" t="s">
        <v>87</v>
      </c>
      <c r="E208" s="119" t="s">
        <v>170</v>
      </c>
      <c r="F208" s="116" t="s">
        <v>1085</v>
      </c>
      <c r="G208" s="280">
        <v>3</v>
      </c>
      <c r="H208" s="259">
        <v>37500</v>
      </c>
      <c r="I208" s="259">
        <v>112500</v>
      </c>
      <c r="J208" s="259">
        <v>0</v>
      </c>
      <c r="K208" s="259">
        <v>112500</v>
      </c>
      <c r="L208" s="259">
        <v>9000</v>
      </c>
      <c r="M208" s="259">
        <v>121500</v>
      </c>
      <c r="N208" s="118">
        <v>1.9800000000000002E-2</v>
      </c>
      <c r="O208" s="411" t="s">
        <v>1086</v>
      </c>
    </row>
    <row r="209" spans="1:15" ht="18" customHeight="1" x14ac:dyDescent="0.25">
      <c r="A209" s="115">
        <v>3</v>
      </c>
      <c r="B209" s="116" t="s">
        <v>90</v>
      </c>
      <c r="C209" s="115">
        <v>96</v>
      </c>
      <c r="D209" s="119" t="s">
        <v>93</v>
      </c>
      <c r="E209" s="119" t="s">
        <v>1161</v>
      </c>
      <c r="F209" s="116" t="s">
        <v>1085</v>
      </c>
      <c r="G209" s="280">
        <v>1</v>
      </c>
      <c r="H209" s="259">
        <v>32407</v>
      </c>
      <c r="I209" s="259">
        <v>35648</v>
      </c>
      <c r="J209" s="259">
        <v>3241</v>
      </c>
      <c r="K209" s="259">
        <v>32407</v>
      </c>
      <c r="L209" s="259">
        <v>2593</v>
      </c>
      <c r="M209" s="259">
        <v>35000</v>
      </c>
      <c r="N209" s="118">
        <v>5.6999999999999993E-3</v>
      </c>
      <c r="O209" s="411" t="s">
        <v>1086</v>
      </c>
    </row>
    <row r="210" spans="1:15" ht="18" customHeight="1" x14ac:dyDescent="0.25">
      <c r="A210" s="115">
        <v>3</v>
      </c>
      <c r="B210" s="116" t="s">
        <v>90</v>
      </c>
      <c r="C210" s="115">
        <v>33</v>
      </c>
      <c r="D210" s="119" t="s">
        <v>91</v>
      </c>
      <c r="E210" s="119" t="s">
        <v>1139</v>
      </c>
      <c r="F210" s="116" t="s">
        <v>1085</v>
      </c>
      <c r="G210" s="280">
        <v>2</v>
      </c>
      <c r="H210" s="259">
        <v>1852</v>
      </c>
      <c r="I210" s="259">
        <v>3704</v>
      </c>
      <c r="J210" s="259">
        <v>0</v>
      </c>
      <c r="K210" s="259">
        <v>3704</v>
      </c>
      <c r="L210" s="259">
        <v>296</v>
      </c>
      <c r="M210" s="259">
        <v>4000</v>
      </c>
      <c r="N210" s="118">
        <v>7.000000000000001E-4</v>
      </c>
      <c r="O210" s="411" t="s">
        <v>1086</v>
      </c>
    </row>
    <row r="211" spans="1:15" ht="18" customHeight="1" x14ac:dyDescent="0.25">
      <c r="A211" s="115">
        <v>3</v>
      </c>
      <c r="B211" s="116" t="s">
        <v>90</v>
      </c>
      <c r="C211" s="115">
        <v>1050</v>
      </c>
      <c r="D211" s="119" t="s">
        <v>91</v>
      </c>
      <c r="E211" s="119" t="s">
        <v>1173</v>
      </c>
      <c r="F211" s="116" t="s">
        <v>1085</v>
      </c>
      <c r="G211" s="280">
        <v>2</v>
      </c>
      <c r="H211" s="259">
        <v>3333</v>
      </c>
      <c r="I211" s="259">
        <v>6667</v>
      </c>
      <c r="J211" s="259">
        <v>0</v>
      </c>
      <c r="K211" s="259">
        <v>6667</v>
      </c>
      <c r="L211" s="259">
        <v>533</v>
      </c>
      <c r="M211" s="259">
        <v>7200</v>
      </c>
      <c r="N211" s="118">
        <v>1.1999999999999999E-3</v>
      </c>
      <c r="O211" s="411" t="s">
        <v>1086</v>
      </c>
    </row>
    <row r="212" spans="1:15" ht="18" customHeight="1" x14ac:dyDescent="0.25">
      <c r="A212" s="115">
        <v>4</v>
      </c>
      <c r="B212" s="116" t="s">
        <v>92</v>
      </c>
      <c r="C212" s="115">
        <v>316</v>
      </c>
      <c r="D212" s="119" t="s">
        <v>87</v>
      </c>
      <c r="E212" s="119" t="s">
        <v>1174</v>
      </c>
      <c r="F212" s="116" t="s">
        <v>1085</v>
      </c>
      <c r="G212" s="280">
        <v>0</v>
      </c>
      <c r="H212" s="259">
        <v>0</v>
      </c>
      <c r="I212" s="259">
        <v>0</v>
      </c>
      <c r="J212" s="259">
        <v>0</v>
      </c>
      <c r="K212" s="259">
        <v>0</v>
      </c>
      <c r="L212" s="259">
        <v>0</v>
      </c>
      <c r="M212" s="259">
        <v>0</v>
      </c>
      <c r="N212" s="118">
        <v>0</v>
      </c>
      <c r="O212" s="411" t="s">
        <v>1086</v>
      </c>
    </row>
    <row r="213" spans="1:15" ht="18" customHeight="1" x14ac:dyDescent="0.25">
      <c r="A213" s="115">
        <v>4</v>
      </c>
      <c r="B213" s="116" t="s">
        <v>92</v>
      </c>
      <c r="C213" s="115">
        <v>73</v>
      </c>
      <c r="D213" s="119" t="s">
        <v>91</v>
      </c>
      <c r="E213" s="119" t="s">
        <v>1084</v>
      </c>
      <c r="F213" s="116" t="s">
        <v>1085</v>
      </c>
      <c r="G213" s="280">
        <v>18</v>
      </c>
      <c r="H213" s="259">
        <v>2593</v>
      </c>
      <c r="I213" s="259">
        <v>46667</v>
      </c>
      <c r="J213" s="259">
        <v>0</v>
      </c>
      <c r="K213" s="259">
        <v>46667</v>
      </c>
      <c r="L213" s="259">
        <v>3733</v>
      </c>
      <c r="M213" s="259">
        <v>50400</v>
      </c>
      <c r="N213" s="118">
        <v>7.9000000000000008E-3</v>
      </c>
      <c r="O213" s="411" t="s">
        <v>1086</v>
      </c>
    </row>
    <row r="214" spans="1:15" ht="18" customHeight="1" x14ac:dyDescent="0.25">
      <c r="A214" s="115">
        <v>4</v>
      </c>
      <c r="B214" s="116" t="s">
        <v>92</v>
      </c>
      <c r="C214" s="115">
        <v>3</v>
      </c>
      <c r="D214" s="119" t="s">
        <v>87</v>
      </c>
      <c r="E214" s="119" t="s">
        <v>1163</v>
      </c>
      <c r="F214" s="116" t="s">
        <v>1085</v>
      </c>
      <c r="G214" s="280">
        <v>28</v>
      </c>
      <c r="H214" s="259">
        <v>18585</v>
      </c>
      <c r="I214" s="259">
        <v>522222</v>
      </c>
      <c r="J214" s="259">
        <v>1852</v>
      </c>
      <c r="K214" s="259">
        <v>520370</v>
      </c>
      <c r="L214" s="259">
        <v>41630</v>
      </c>
      <c r="M214" s="259">
        <v>562000</v>
      </c>
      <c r="N214" s="118">
        <v>8.8000000000000009E-2</v>
      </c>
      <c r="O214" s="411" t="s">
        <v>1086</v>
      </c>
    </row>
    <row r="215" spans="1:15" ht="18" customHeight="1" x14ac:dyDescent="0.25">
      <c r="A215" s="115">
        <v>4</v>
      </c>
      <c r="B215" s="116" t="s">
        <v>92</v>
      </c>
      <c r="C215" s="115">
        <v>40</v>
      </c>
      <c r="D215" s="119" t="s">
        <v>87</v>
      </c>
      <c r="E215" s="119" t="s">
        <v>1143</v>
      </c>
      <c r="F215" s="116" t="s">
        <v>1085</v>
      </c>
      <c r="G215" s="280">
        <v>1</v>
      </c>
      <c r="H215" s="259">
        <v>55093</v>
      </c>
      <c r="I215" s="259">
        <v>55093</v>
      </c>
      <c r="J215" s="259">
        <v>0</v>
      </c>
      <c r="K215" s="259">
        <v>55093</v>
      </c>
      <c r="L215" s="259">
        <v>4407</v>
      </c>
      <c r="M215" s="259">
        <v>59500</v>
      </c>
      <c r="N215" s="118">
        <v>9.300000000000001E-3</v>
      </c>
      <c r="O215" s="411" t="s">
        <v>1086</v>
      </c>
    </row>
    <row r="216" spans="1:15" ht="18" customHeight="1" x14ac:dyDescent="0.25">
      <c r="A216" s="115">
        <v>4</v>
      </c>
      <c r="B216" s="116" t="s">
        <v>92</v>
      </c>
      <c r="C216" s="115">
        <v>131</v>
      </c>
      <c r="D216" s="119" t="s">
        <v>87</v>
      </c>
      <c r="E216" s="119" t="s">
        <v>1144</v>
      </c>
      <c r="F216" s="116" t="s">
        <v>1085</v>
      </c>
      <c r="G216" s="280">
        <v>2</v>
      </c>
      <c r="H216" s="259">
        <v>278</v>
      </c>
      <c r="I216" s="259">
        <v>556</v>
      </c>
      <c r="J216" s="259">
        <v>0</v>
      </c>
      <c r="K216" s="259">
        <v>556</v>
      </c>
      <c r="L216" s="259">
        <v>44</v>
      </c>
      <c r="M216" s="259">
        <v>600</v>
      </c>
      <c r="N216" s="118">
        <v>1E-4</v>
      </c>
      <c r="O216" s="411" t="s">
        <v>1086</v>
      </c>
    </row>
    <row r="217" spans="1:15" ht="18" customHeight="1" x14ac:dyDescent="0.25">
      <c r="A217" s="115">
        <v>4</v>
      </c>
      <c r="B217" s="116" t="s">
        <v>92</v>
      </c>
      <c r="C217" s="115">
        <v>104</v>
      </c>
      <c r="D217" s="119" t="s">
        <v>89</v>
      </c>
      <c r="E217" s="119" t="s">
        <v>165</v>
      </c>
      <c r="F217" s="116" t="s">
        <v>1085</v>
      </c>
      <c r="G217" s="280">
        <v>9</v>
      </c>
      <c r="H217" s="259">
        <v>16049</v>
      </c>
      <c r="I217" s="259">
        <v>144444</v>
      </c>
      <c r="J217" s="259">
        <v>0</v>
      </c>
      <c r="K217" s="259">
        <v>144444</v>
      </c>
      <c r="L217" s="259">
        <v>11556</v>
      </c>
      <c r="M217" s="259">
        <v>156000</v>
      </c>
      <c r="N217" s="118">
        <v>2.4400000000000002E-2</v>
      </c>
      <c r="O217" s="411" t="s">
        <v>1086</v>
      </c>
    </row>
    <row r="218" spans="1:15" ht="18" customHeight="1" x14ac:dyDescent="0.25">
      <c r="A218" s="115">
        <v>4</v>
      </c>
      <c r="B218" s="116" t="s">
        <v>92</v>
      </c>
      <c r="C218" s="115">
        <v>95</v>
      </c>
      <c r="D218" s="119" t="s">
        <v>87</v>
      </c>
      <c r="E218" s="119" t="s">
        <v>1090</v>
      </c>
      <c r="F218" s="116" t="s">
        <v>1085</v>
      </c>
      <c r="G218" s="280">
        <v>4</v>
      </c>
      <c r="H218" s="259">
        <v>926</v>
      </c>
      <c r="I218" s="259">
        <v>3704</v>
      </c>
      <c r="J218" s="259">
        <v>0</v>
      </c>
      <c r="K218" s="259">
        <v>3704</v>
      </c>
      <c r="L218" s="259">
        <v>296</v>
      </c>
      <c r="M218" s="259">
        <v>4000</v>
      </c>
      <c r="N218" s="118">
        <v>5.9999999999999995E-4</v>
      </c>
      <c r="O218" s="411" t="s">
        <v>1086</v>
      </c>
    </row>
    <row r="219" spans="1:15" ht="18" customHeight="1" x14ac:dyDescent="0.25">
      <c r="A219" s="115">
        <v>4</v>
      </c>
      <c r="B219" s="116" t="s">
        <v>92</v>
      </c>
      <c r="C219" s="115">
        <v>5</v>
      </c>
      <c r="D219" s="119" t="s">
        <v>89</v>
      </c>
      <c r="E219" s="119" t="s">
        <v>1146</v>
      </c>
      <c r="F219" s="116" t="s">
        <v>1085</v>
      </c>
      <c r="G219" s="280">
        <v>1</v>
      </c>
      <c r="H219" s="259">
        <v>11111</v>
      </c>
      <c r="I219" s="259">
        <v>11111</v>
      </c>
      <c r="J219" s="259">
        <v>0</v>
      </c>
      <c r="K219" s="259">
        <v>11111</v>
      </c>
      <c r="L219" s="259">
        <v>889</v>
      </c>
      <c r="M219" s="259">
        <v>12000</v>
      </c>
      <c r="N219" s="118">
        <v>1.9E-3</v>
      </c>
      <c r="O219" s="411" t="s">
        <v>1086</v>
      </c>
    </row>
    <row r="220" spans="1:15" ht="18" customHeight="1" x14ac:dyDescent="0.25">
      <c r="A220" s="115">
        <v>4</v>
      </c>
      <c r="B220" s="116" t="s">
        <v>92</v>
      </c>
      <c r="C220" s="115">
        <v>136</v>
      </c>
      <c r="D220" s="119" t="s">
        <v>89</v>
      </c>
      <c r="E220" s="119" t="s">
        <v>1091</v>
      </c>
      <c r="F220" s="116" t="s">
        <v>1085</v>
      </c>
      <c r="G220" s="280">
        <v>2</v>
      </c>
      <c r="H220" s="259">
        <v>24074</v>
      </c>
      <c r="I220" s="259">
        <v>48148</v>
      </c>
      <c r="J220" s="259">
        <v>0</v>
      </c>
      <c r="K220" s="259">
        <v>48148</v>
      </c>
      <c r="L220" s="259">
        <v>3852</v>
      </c>
      <c r="M220" s="259">
        <v>52000</v>
      </c>
      <c r="N220" s="118">
        <v>8.1000000000000013E-3</v>
      </c>
      <c r="O220" s="411" t="s">
        <v>1086</v>
      </c>
    </row>
    <row r="221" spans="1:15" ht="18" customHeight="1" x14ac:dyDescent="0.25">
      <c r="A221" s="115">
        <v>4</v>
      </c>
      <c r="B221" s="116" t="s">
        <v>92</v>
      </c>
      <c r="C221" s="115">
        <v>135</v>
      </c>
      <c r="D221" s="119" t="s">
        <v>89</v>
      </c>
      <c r="E221" s="119" t="s">
        <v>1175</v>
      </c>
      <c r="F221" s="116" t="s">
        <v>1085</v>
      </c>
      <c r="G221" s="280">
        <v>1</v>
      </c>
      <c r="H221" s="259">
        <v>13889</v>
      </c>
      <c r="I221" s="259">
        <v>13889</v>
      </c>
      <c r="J221" s="259">
        <v>0</v>
      </c>
      <c r="K221" s="259">
        <v>13889</v>
      </c>
      <c r="L221" s="259">
        <v>1111</v>
      </c>
      <c r="M221" s="259">
        <v>15000</v>
      </c>
      <c r="N221" s="118">
        <v>2.3E-3</v>
      </c>
      <c r="O221" s="411" t="s">
        <v>1086</v>
      </c>
    </row>
    <row r="222" spans="1:15" ht="18" customHeight="1" x14ac:dyDescent="0.25">
      <c r="A222" s="115">
        <v>4</v>
      </c>
      <c r="B222" s="116" t="s">
        <v>92</v>
      </c>
      <c r="C222" s="115">
        <v>6</v>
      </c>
      <c r="D222" s="119" t="s">
        <v>89</v>
      </c>
      <c r="E222" s="119" t="s">
        <v>1147</v>
      </c>
      <c r="F222" s="116" t="s">
        <v>1085</v>
      </c>
      <c r="G222" s="280">
        <v>1</v>
      </c>
      <c r="H222" s="259">
        <v>14815</v>
      </c>
      <c r="I222" s="259">
        <v>14815</v>
      </c>
      <c r="J222" s="259">
        <v>0</v>
      </c>
      <c r="K222" s="259">
        <v>14815</v>
      </c>
      <c r="L222" s="259">
        <v>1185</v>
      </c>
      <c r="M222" s="259">
        <v>16000</v>
      </c>
      <c r="N222" s="118">
        <v>2.5000000000000001E-3</v>
      </c>
      <c r="O222" s="411" t="s">
        <v>1086</v>
      </c>
    </row>
    <row r="223" spans="1:15" ht="18" customHeight="1" x14ac:dyDescent="0.25">
      <c r="A223" s="115">
        <v>4</v>
      </c>
      <c r="B223" s="116" t="s">
        <v>92</v>
      </c>
      <c r="C223" s="115">
        <v>8</v>
      </c>
      <c r="D223" s="119" t="s">
        <v>87</v>
      </c>
      <c r="E223" s="119" t="s">
        <v>156</v>
      </c>
      <c r="F223" s="116" t="s">
        <v>1085</v>
      </c>
      <c r="G223" s="280">
        <v>7</v>
      </c>
      <c r="H223" s="259">
        <v>18783</v>
      </c>
      <c r="I223" s="259">
        <v>131481</v>
      </c>
      <c r="J223" s="259">
        <v>0</v>
      </c>
      <c r="K223" s="259">
        <v>131481</v>
      </c>
      <c r="L223" s="259">
        <v>10519</v>
      </c>
      <c r="M223" s="259">
        <v>142000</v>
      </c>
      <c r="N223" s="118">
        <v>2.2200000000000001E-2</v>
      </c>
      <c r="O223" s="411" t="s">
        <v>1086</v>
      </c>
    </row>
    <row r="224" spans="1:15" ht="18" customHeight="1" x14ac:dyDescent="0.25">
      <c r="A224" s="115">
        <v>4</v>
      </c>
      <c r="B224" s="116" t="s">
        <v>92</v>
      </c>
      <c r="C224" s="115">
        <v>87</v>
      </c>
      <c r="D224" s="119" t="s">
        <v>89</v>
      </c>
      <c r="E224" s="119" t="s">
        <v>147</v>
      </c>
      <c r="F224" s="116" t="s">
        <v>1085</v>
      </c>
      <c r="G224" s="280">
        <v>3</v>
      </c>
      <c r="H224" s="259">
        <v>37500</v>
      </c>
      <c r="I224" s="259">
        <v>112500</v>
      </c>
      <c r="J224" s="259">
        <v>0</v>
      </c>
      <c r="K224" s="259">
        <v>112500</v>
      </c>
      <c r="L224" s="259">
        <v>9000</v>
      </c>
      <c r="M224" s="259">
        <v>121500</v>
      </c>
      <c r="N224" s="118">
        <v>1.9E-2</v>
      </c>
      <c r="O224" s="411" t="s">
        <v>1086</v>
      </c>
    </row>
    <row r="225" spans="1:15" ht="18" customHeight="1" x14ac:dyDescent="0.25">
      <c r="A225" s="115">
        <v>4</v>
      </c>
      <c r="B225" s="116" t="s">
        <v>92</v>
      </c>
      <c r="C225" s="115">
        <v>206</v>
      </c>
      <c r="D225" s="119" t="s">
        <v>93</v>
      </c>
      <c r="E225" s="119" t="s">
        <v>1093</v>
      </c>
      <c r="F225" s="116" t="s">
        <v>1085</v>
      </c>
      <c r="G225" s="280">
        <v>1</v>
      </c>
      <c r="H225" s="259">
        <v>44907</v>
      </c>
      <c r="I225" s="259">
        <v>44907</v>
      </c>
      <c r="J225" s="259">
        <v>0</v>
      </c>
      <c r="K225" s="259">
        <v>44907</v>
      </c>
      <c r="L225" s="259">
        <v>3593</v>
      </c>
      <c r="M225" s="259">
        <v>48500</v>
      </c>
      <c r="N225" s="118">
        <v>7.6E-3</v>
      </c>
      <c r="O225" s="411" t="s">
        <v>1086</v>
      </c>
    </row>
    <row r="226" spans="1:15" ht="18" customHeight="1" x14ac:dyDescent="0.25">
      <c r="A226" s="115">
        <v>4</v>
      </c>
      <c r="B226" s="116" t="s">
        <v>92</v>
      </c>
      <c r="C226" s="115">
        <v>246</v>
      </c>
      <c r="D226" s="119" t="s">
        <v>91</v>
      </c>
      <c r="E226" s="119" t="s">
        <v>1095</v>
      </c>
      <c r="F226" s="116" t="s">
        <v>1085</v>
      </c>
      <c r="G226" s="280">
        <v>4</v>
      </c>
      <c r="H226" s="259">
        <v>6481</v>
      </c>
      <c r="I226" s="259">
        <v>25926</v>
      </c>
      <c r="J226" s="259">
        <v>0</v>
      </c>
      <c r="K226" s="259">
        <v>25926</v>
      </c>
      <c r="L226" s="259">
        <v>2074</v>
      </c>
      <c r="M226" s="259">
        <v>28000</v>
      </c>
      <c r="N226" s="118">
        <v>4.4000000000000003E-3</v>
      </c>
      <c r="O226" s="411" t="s">
        <v>1086</v>
      </c>
    </row>
    <row r="227" spans="1:15" ht="18" customHeight="1" x14ac:dyDescent="0.25">
      <c r="A227" s="115">
        <v>4</v>
      </c>
      <c r="B227" s="116" t="s">
        <v>92</v>
      </c>
      <c r="C227" s="115">
        <v>264</v>
      </c>
      <c r="D227" s="119" t="s">
        <v>91</v>
      </c>
      <c r="E227" s="119" t="s">
        <v>1148</v>
      </c>
      <c r="F227" s="116" t="s">
        <v>1085</v>
      </c>
      <c r="G227" s="280">
        <v>1</v>
      </c>
      <c r="H227" s="259">
        <v>4630</v>
      </c>
      <c r="I227" s="259">
        <v>4630</v>
      </c>
      <c r="J227" s="259">
        <v>0</v>
      </c>
      <c r="K227" s="259">
        <v>4630</v>
      </c>
      <c r="L227" s="259">
        <v>370</v>
      </c>
      <c r="M227" s="259">
        <v>5000</v>
      </c>
      <c r="N227" s="118">
        <v>8.0000000000000004E-4</v>
      </c>
      <c r="O227" s="411" t="s">
        <v>1086</v>
      </c>
    </row>
    <row r="228" spans="1:15" ht="18" customHeight="1" x14ac:dyDescent="0.25">
      <c r="A228" s="115">
        <v>4</v>
      </c>
      <c r="B228" s="116" t="s">
        <v>92</v>
      </c>
      <c r="C228" s="115">
        <v>70</v>
      </c>
      <c r="D228" s="119" t="s">
        <v>91</v>
      </c>
      <c r="E228" s="119" t="s">
        <v>1096</v>
      </c>
      <c r="F228" s="116" t="s">
        <v>1085</v>
      </c>
      <c r="G228" s="280">
        <v>2</v>
      </c>
      <c r="H228" s="259">
        <v>4630</v>
      </c>
      <c r="I228" s="259">
        <v>9259</v>
      </c>
      <c r="J228" s="259">
        <v>0</v>
      </c>
      <c r="K228" s="259">
        <v>9259</v>
      </c>
      <c r="L228" s="259">
        <v>741</v>
      </c>
      <c r="M228" s="259">
        <v>10000</v>
      </c>
      <c r="N228" s="118">
        <v>1.6000000000000001E-3</v>
      </c>
      <c r="O228" s="411" t="s">
        <v>1086</v>
      </c>
    </row>
    <row r="229" spans="1:15" ht="18" customHeight="1" x14ac:dyDescent="0.25">
      <c r="A229" s="115">
        <v>4</v>
      </c>
      <c r="B229" s="116" t="s">
        <v>92</v>
      </c>
      <c r="C229" s="115">
        <v>71</v>
      </c>
      <c r="D229" s="119" t="s">
        <v>91</v>
      </c>
      <c r="E229" s="119" t="s">
        <v>1097</v>
      </c>
      <c r="F229" s="116" t="s">
        <v>1085</v>
      </c>
      <c r="G229" s="280">
        <v>9</v>
      </c>
      <c r="H229" s="259">
        <v>5556</v>
      </c>
      <c r="I229" s="259">
        <v>50000</v>
      </c>
      <c r="J229" s="259">
        <v>0</v>
      </c>
      <c r="K229" s="259">
        <v>50000</v>
      </c>
      <c r="L229" s="259">
        <v>4000</v>
      </c>
      <c r="M229" s="259">
        <v>54000</v>
      </c>
      <c r="N229" s="118">
        <v>8.5000000000000006E-3</v>
      </c>
      <c r="O229" s="411" t="s">
        <v>1086</v>
      </c>
    </row>
    <row r="230" spans="1:15" ht="18" customHeight="1" x14ac:dyDescent="0.25">
      <c r="A230" s="115">
        <v>4</v>
      </c>
      <c r="B230" s="116" t="s">
        <v>92</v>
      </c>
      <c r="C230" s="115">
        <v>83</v>
      </c>
      <c r="D230" s="119" t="s">
        <v>87</v>
      </c>
      <c r="E230" s="119" t="s">
        <v>1098</v>
      </c>
      <c r="F230" s="116" t="s">
        <v>1085</v>
      </c>
      <c r="G230" s="280">
        <v>6</v>
      </c>
      <c r="H230" s="259">
        <v>20833</v>
      </c>
      <c r="I230" s="259">
        <v>125000</v>
      </c>
      <c r="J230" s="259">
        <v>0</v>
      </c>
      <c r="K230" s="259">
        <v>125000</v>
      </c>
      <c r="L230" s="259">
        <v>10000</v>
      </c>
      <c r="M230" s="259">
        <v>135000</v>
      </c>
      <c r="N230" s="118">
        <v>2.1100000000000001E-2</v>
      </c>
      <c r="O230" s="411" t="s">
        <v>1086</v>
      </c>
    </row>
    <row r="231" spans="1:15" ht="18" customHeight="1" x14ac:dyDescent="0.25">
      <c r="A231" s="115">
        <v>4</v>
      </c>
      <c r="B231" s="116" t="s">
        <v>92</v>
      </c>
      <c r="C231" s="115">
        <v>41</v>
      </c>
      <c r="D231" s="119" t="s">
        <v>87</v>
      </c>
      <c r="E231" s="119" t="s">
        <v>168</v>
      </c>
      <c r="F231" s="116" t="s">
        <v>1085</v>
      </c>
      <c r="G231" s="280">
        <v>3</v>
      </c>
      <c r="H231" s="259">
        <v>49074</v>
      </c>
      <c r="I231" s="259">
        <v>147222</v>
      </c>
      <c r="J231" s="259">
        <v>0</v>
      </c>
      <c r="K231" s="259">
        <v>147222</v>
      </c>
      <c r="L231" s="259">
        <v>11778</v>
      </c>
      <c r="M231" s="259">
        <v>159000</v>
      </c>
      <c r="N231" s="118">
        <v>2.4899999999999999E-2</v>
      </c>
      <c r="O231" s="411" t="s">
        <v>1086</v>
      </c>
    </row>
    <row r="232" spans="1:15" ht="18" customHeight="1" x14ac:dyDescent="0.25">
      <c r="A232" s="115">
        <v>4</v>
      </c>
      <c r="B232" s="116" t="s">
        <v>92</v>
      </c>
      <c r="C232" s="115">
        <v>122</v>
      </c>
      <c r="D232" s="119" t="s">
        <v>91</v>
      </c>
      <c r="E232" s="119" t="s">
        <v>1100</v>
      </c>
      <c r="F232" s="116" t="s">
        <v>1085</v>
      </c>
      <c r="G232" s="280">
        <v>1</v>
      </c>
      <c r="H232" s="259">
        <v>2778</v>
      </c>
      <c r="I232" s="259">
        <v>2778</v>
      </c>
      <c r="J232" s="259">
        <v>0</v>
      </c>
      <c r="K232" s="259">
        <v>2778</v>
      </c>
      <c r="L232" s="259">
        <v>222</v>
      </c>
      <c r="M232" s="259">
        <v>3000</v>
      </c>
      <c r="N232" s="118">
        <v>5.0000000000000001E-4</v>
      </c>
      <c r="O232" s="411" t="s">
        <v>1086</v>
      </c>
    </row>
    <row r="233" spans="1:15" ht="18" customHeight="1" x14ac:dyDescent="0.25">
      <c r="A233" s="115">
        <v>4</v>
      </c>
      <c r="B233" s="116" t="s">
        <v>92</v>
      </c>
      <c r="C233" s="115">
        <v>42</v>
      </c>
      <c r="D233" s="119" t="s">
        <v>87</v>
      </c>
      <c r="E233" s="119" t="s">
        <v>359</v>
      </c>
      <c r="F233" s="116" t="s">
        <v>1085</v>
      </c>
      <c r="G233" s="280">
        <v>1</v>
      </c>
      <c r="H233" s="259">
        <v>32407</v>
      </c>
      <c r="I233" s="259">
        <v>32407</v>
      </c>
      <c r="J233" s="259">
        <v>0</v>
      </c>
      <c r="K233" s="259">
        <v>32407</v>
      </c>
      <c r="L233" s="259">
        <v>2593</v>
      </c>
      <c r="M233" s="259">
        <v>35000</v>
      </c>
      <c r="N233" s="118">
        <v>5.5000000000000014E-3</v>
      </c>
      <c r="O233" s="411" t="s">
        <v>1086</v>
      </c>
    </row>
    <row r="234" spans="1:15" ht="18" customHeight="1" x14ac:dyDescent="0.25">
      <c r="A234" s="115">
        <v>4</v>
      </c>
      <c r="B234" s="116" t="s">
        <v>92</v>
      </c>
      <c r="C234" s="115">
        <v>44</v>
      </c>
      <c r="D234" s="119" t="s">
        <v>87</v>
      </c>
      <c r="E234" s="119" t="s">
        <v>138</v>
      </c>
      <c r="F234" s="116" t="s">
        <v>1085</v>
      </c>
      <c r="G234" s="280">
        <v>2</v>
      </c>
      <c r="H234" s="259">
        <v>28241</v>
      </c>
      <c r="I234" s="259">
        <v>56481</v>
      </c>
      <c r="J234" s="259">
        <v>0</v>
      </c>
      <c r="K234" s="259">
        <v>56481</v>
      </c>
      <c r="L234" s="259">
        <v>4519</v>
      </c>
      <c r="M234" s="259">
        <v>61000</v>
      </c>
      <c r="N234" s="118">
        <v>9.5999999999999992E-3</v>
      </c>
      <c r="O234" s="411" t="s">
        <v>1086</v>
      </c>
    </row>
    <row r="235" spans="1:15" ht="18" customHeight="1" x14ac:dyDescent="0.25">
      <c r="A235" s="115">
        <v>4</v>
      </c>
      <c r="B235" s="116" t="s">
        <v>92</v>
      </c>
      <c r="C235" s="115">
        <v>110</v>
      </c>
      <c r="D235" s="119" t="s">
        <v>99</v>
      </c>
      <c r="E235" s="119" t="s">
        <v>1101</v>
      </c>
      <c r="F235" s="116" t="s">
        <v>1085</v>
      </c>
      <c r="G235" s="280">
        <v>16</v>
      </c>
      <c r="H235" s="259">
        <v>926</v>
      </c>
      <c r="I235" s="259">
        <v>14815</v>
      </c>
      <c r="J235" s="259">
        <v>0</v>
      </c>
      <c r="K235" s="259">
        <v>14815</v>
      </c>
      <c r="L235" s="259">
        <v>1185</v>
      </c>
      <c r="M235" s="259">
        <v>16000</v>
      </c>
      <c r="N235" s="118">
        <v>2.5000000000000001E-3</v>
      </c>
      <c r="O235" s="411" t="s">
        <v>1086</v>
      </c>
    </row>
    <row r="236" spans="1:15" ht="18" customHeight="1" x14ac:dyDescent="0.25">
      <c r="A236" s="115">
        <v>4</v>
      </c>
      <c r="B236" s="116" t="s">
        <v>92</v>
      </c>
      <c r="C236" s="115">
        <v>102</v>
      </c>
      <c r="D236" s="119" t="s">
        <v>87</v>
      </c>
      <c r="E236" s="119" t="s">
        <v>1151</v>
      </c>
      <c r="F236" s="116" t="s">
        <v>1085</v>
      </c>
      <c r="G236" s="280">
        <v>2</v>
      </c>
      <c r="H236" s="259">
        <v>6944</v>
      </c>
      <c r="I236" s="259">
        <v>13889</v>
      </c>
      <c r="J236" s="259">
        <v>0</v>
      </c>
      <c r="K236" s="259">
        <v>13889</v>
      </c>
      <c r="L236" s="259">
        <v>1111</v>
      </c>
      <c r="M236" s="259">
        <v>15000</v>
      </c>
      <c r="N236" s="118">
        <v>2.3E-3</v>
      </c>
      <c r="O236" s="411" t="s">
        <v>1086</v>
      </c>
    </row>
    <row r="237" spans="1:15" ht="18" customHeight="1" x14ac:dyDescent="0.25">
      <c r="A237" s="115">
        <v>4</v>
      </c>
      <c r="B237" s="116" t="s">
        <v>92</v>
      </c>
      <c r="C237" s="115">
        <v>45</v>
      </c>
      <c r="D237" s="119" t="s">
        <v>87</v>
      </c>
      <c r="E237" s="119" t="s">
        <v>1102</v>
      </c>
      <c r="F237" s="116" t="s">
        <v>1085</v>
      </c>
      <c r="G237" s="280">
        <v>2</v>
      </c>
      <c r="H237" s="259">
        <v>35648</v>
      </c>
      <c r="I237" s="259">
        <v>71296</v>
      </c>
      <c r="J237" s="259">
        <v>0</v>
      </c>
      <c r="K237" s="259">
        <v>71296</v>
      </c>
      <c r="L237" s="259">
        <v>5704</v>
      </c>
      <c r="M237" s="259">
        <v>77000</v>
      </c>
      <c r="N237" s="118">
        <v>1.21E-2</v>
      </c>
      <c r="O237" s="411" t="s">
        <v>1086</v>
      </c>
    </row>
    <row r="238" spans="1:15" ht="18" customHeight="1" x14ac:dyDescent="0.25">
      <c r="A238" s="115">
        <v>4</v>
      </c>
      <c r="B238" s="116" t="s">
        <v>92</v>
      </c>
      <c r="C238" s="115">
        <v>30</v>
      </c>
      <c r="D238" s="119" t="s">
        <v>95</v>
      </c>
      <c r="E238" s="119" t="s">
        <v>1103</v>
      </c>
      <c r="F238" s="116" t="s">
        <v>1085</v>
      </c>
      <c r="G238" s="280">
        <v>1</v>
      </c>
      <c r="H238" s="259">
        <v>6481</v>
      </c>
      <c r="I238" s="259">
        <v>6481</v>
      </c>
      <c r="J238" s="259">
        <v>0</v>
      </c>
      <c r="K238" s="259">
        <v>6481</v>
      </c>
      <c r="L238" s="259">
        <v>519</v>
      </c>
      <c r="M238" s="259">
        <v>7000</v>
      </c>
      <c r="N238" s="118">
        <v>1.1000000000000001E-3</v>
      </c>
      <c r="O238" s="411" t="s">
        <v>1086</v>
      </c>
    </row>
    <row r="239" spans="1:15" ht="18" customHeight="1" x14ac:dyDescent="0.25">
      <c r="A239" s="115">
        <v>4</v>
      </c>
      <c r="B239" s="116" t="s">
        <v>92</v>
      </c>
      <c r="C239" s="115">
        <v>305</v>
      </c>
      <c r="D239" s="119" t="s">
        <v>91</v>
      </c>
      <c r="E239" s="119" t="s">
        <v>1104</v>
      </c>
      <c r="F239" s="116" t="s">
        <v>1085</v>
      </c>
      <c r="G239" s="280">
        <v>1</v>
      </c>
      <c r="H239" s="259">
        <v>9259</v>
      </c>
      <c r="I239" s="259">
        <v>9259</v>
      </c>
      <c r="J239" s="259">
        <v>0</v>
      </c>
      <c r="K239" s="259">
        <v>9259</v>
      </c>
      <c r="L239" s="259">
        <v>741</v>
      </c>
      <c r="M239" s="259">
        <v>10000</v>
      </c>
      <c r="N239" s="118">
        <v>1.6000000000000001E-3</v>
      </c>
      <c r="O239" s="411" t="s">
        <v>1086</v>
      </c>
    </row>
    <row r="240" spans="1:15" ht="18" customHeight="1" x14ac:dyDescent="0.25">
      <c r="A240" s="115">
        <v>4</v>
      </c>
      <c r="B240" s="116" t="s">
        <v>92</v>
      </c>
      <c r="C240" s="115">
        <v>94</v>
      </c>
      <c r="D240" s="119" t="s">
        <v>89</v>
      </c>
      <c r="E240" s="119" t="s">
        <v>153</v>
      </c>
      <c r="F240" s="116" t="s">
        <v>1085</v>
      </c>
      <c r="G240" s="280">
        <v>12</v>
      </c>
      <c r="H240" s="259">
        <v>18596</v>
      </c>
      <c r="I240" s="259">
        <v>223148</v>
      </c>
      <c r="J240" s="259">
        <v>0</v>
      </c>
      <c r="K240" s="259">
        <v>223148</v>
      </c>
      <c r="L240" s="259">
        <v>17852</v>
      </c>
      <c r="M240" s="259">
        <v>241000</v>
      </c>
      <c r="N240" s="118">
        <v>3.7699999999999997E-2</v>
      </c>
      <c r="O240" s="411" t="s">
        <v>1086</v>
      </c>
    </row>
    <row r="241" spans="1:15" ht="18" customHeight="1" x14ac:dyDescent="0.25">
      <c r="A241" s="115">
        <v>4</v>
      </c>
      <c r="B241" s="116" t="s">
        <v>92</v>
      </c>
      <c r="C241" s="115">
        <v>233</v>
      </c>
      <c r="D241" s="119" t="s">
        <v>89</v>
      </c>
      <c r="E241" s="119" t="s">
        <v>117</v>
      </c>
      <c r="F241" s="116" t="s">
        <v>1085</v>
      </c>
      <c r="G241" s="280">
        <v>31</v>
      </c>
      <c r="H241" s="259">
        <v>18668</v>
      </c>
      <c r="I241" s="259">
        <v>578704</v>
      </c>
      <c r="J241" s="259">
        <v>0</v>
      </c>
      <c r="K241" s="259">
        <v>578704</v>
      </c>
      <c r="L241" s="259">
        <v>46296</v>
      </c>
      <c r="M241" s="259">
        <v>625000</v>
      </c>
      <c r="N241" s="118">
        <v>9.7899999999999987E-2</v>
      </c>
      <c r="O241" s="411" t="s">
        <v>1086</v>
      </c>
    </row>
    <row r="242" spans="1:15" ht="18" customHeight="1" x14ac:dyDescent="0.25">
      <c r="A242" s="115">
        <v>4</v>
      </c>
      <c r="B242" s="116" t="s">
        <v>92</v>
      </c>
      <c r="C242" s="115">
        <v>217</v>
      </c>
      <c r="D242" s="119" t="s">
        <v>89</v>
      </c>
      <c r="E242" s="119" t="s">
        <v>1105</v>
      </c>
      <c r="F242" s="116" t="s">
        <v>1085</v>
      </c>
      <c r="G242" s="280">
        <v>2</v>
      </c>
      <c r="H242" s="259">
        <v>27778</v>
      </c>
      <c r="I242" s="259">
        <v>55556</v>
      </c>
      <c r="J242" s="259">
        <v>0</v>
      </c>
      <c r="K242" s="259">
        <v>55556</v>
      </c>
      <c r="L242" s="259">
        <v>4444</v>
      </c>
      <c r="M242" s="259">
        <v>60000</v>
      </c>
      <c r="N242" s="118">
        <v>9.3999999999999986E-3</v>
      </c>
      <c r="O242" s="411" t="s">
        <v>1086</v>
      </c>
    </row>
    <row r="243" spans="1:15" ht="18" customHeight="1" x14ac:dyDescent="0.25">
      <c r="A243" s="115">
        <v>4</v>
      </c>
      <c r="B243" s="116" t="s">
        <v>92</v>
      </c>
      <c r="C243" s="115">
        <v>218</v>
      </c>
      <c r="D243" s="119" t="s">
        <v>89</v>
      </c>
      <c r="E243" s="119" t="s">
        <v>1106</v>
      </c>
      <c r="F243" s="116" t="s">
        <v>1085</v>
      </c>
      <c r="G243" s="280">
        <v>5</v>
      </c>
      <c r="H243" s="259">
        <v>18889</v>
      </c>
      <c r="I243" s="259">
        <v>94444</v>
      </c>
      <c r="J243" s="259">
        <v>0</v>
      </c>
      <c r="K243" s="259">
        <v>94444</v>
      </c>
      <c r="L243" s="259">
        <v>7556</v>
      </c>
      <c r="M243" s="259">
        <v>102000</v>
      </c>
      <c r="N243" s="118">
        <v>1.6E-2</v>
      </c>
      <c r="O243" s="411" t="s">
        <v>1086</v>
      </c>
    </row>
    <row r="244" spans="1:15" ht="18" customHeight="1" x14ac:dyDescent="0.25">
      <c r="A244" s="115">
        <v>4</v>
      </c>
      <c r="B244" s="116" t="s">
        <v>92</v>
      </c>
      <c r="C244" s="115">
        <v>34</v>
      </c>
      <c r="D244" s="119" t="s">
        <v>91</v>
      </c>
      <c r="E244" s="119" t="s">
        <v>1107</v>
      </c>
      <c r="F244" s="116" t="s">
        <v>1085</v>
      </c>
      <c r="G244" s="280">
        <v>3</v>
      </c>
      <c r="H244" s="259">
        <v>6481</v>
      </c>
      <c r="I244" s="259">
        <v>19444</v>
      </c>
      <c r="J244" s="259">
        <v>0</v>
      </c>
      <c r="K244" s="259">
        <v>19444</v>
      </c>
      <c r="L244" s="259">
        <v>1556</v>
      </c>
      <c r="M244" s="259">
        <v>21000</v>
      </c>
      <c r="N244" s="118">
        <v>3.3E-3</v>
      </c>
      <c r="O244" s="411" t="s">
        <v>1086</v>
      </c>
    </row>
    <row r="245" spans="1:15" ht="18" customHeight="1" x14ac:dyDescent="0.25">
      <c r="A245" s="115">
        <v>4</v>
      </c>
      <c r="B245" s="116" t="s">
        <v>92</v>
      </c>
      <c r="C245" s="115">
        <v>121</v>
      </c>
      <c r="D245" s="119" t="s">
        <v>91</v>
      </c>
      <c r="E245" s="119" t="s">
        <v>1108</v>
      </c>
      <c r="F245" s="116" t="s">
        <v>1085</v>
      </c>
      <c r="G245" s="280">
        <v>5</v>
      </c>
      <c r="H245" s="259">
        <v>2778</v>
      </c>
      <c r="I245" s="259">
        <v>13889</v>
      </c>
      <c r="J245" s="259">
        <v>0</v>
      </c>
      <c r="K245" s="259">
        <v>13889</v>
      </c>
      <c r="L245" s="259">
        <v>1111</v>
      </c>
      <c r="M245" s="259">
        <v>15000</v>
      </c>
      <c r="N245" s="118">
        <v>2.3E-3</v>
      </c>
      <c r="O245" s="411" t="s">
        <v>1086</v>
      </c>
    </row>
    <row r="246" spans="1:15" ht="18" customHeight="1" x14ac:dyDescent="0.25">
      <c r="A246" s="115">
        <v>4</v>
      </c>
      <c r="B246" s="116" t="s">
        <v>92</v>
      </c>
      <c r="C246" s="115">
        <v>208</v>
      </c>
      <c r="D246" s="119" t="s">
        <v>91</v>
      </c>
      <c r="E246" s="119" t="s">
        <v>1109</v>
      </c>
      <c r="F246" s="116" t="s">
        <v>1085</v>
      </c>
      <c r="G246" s="280">
        <v>3</v>
      </c>
      <c r="H246" s="259">
        <v>3704</v>
      </c>
      <c r="I246" s="259">
        <v>11111</v>
      </c>
      <c r="J246" s="259">
        <v>0</v>
      </c>
      <c r="K246" s="259">
        <v>11111</v>
      </c>
      <c r="L246" s="259">
        <v>889</v>
      </c>
      <c r="M246" s="259">
        <v>12000</v>
      </c>
      <c r="N246" s="118">
        <v>1.9E-3</v>
      </c>
      <c r="O246" s="411" t="s">
        <v>1086</v>
      </c>
    </row>
    <row r="247" spans="1:15" ht="18" customHeight="1" x14ac:dyDescent="0.25">
      <c r="A247" s="115">
        <v>4</v>
      </c>
      <c r="B247" s="116" t="s">
        <v>92</v>
      </c>
      <c r="C247" s="115">
        <v>90</v>
      </c>
      <c r="D247" s="119" t="s">
        <v>91</v>
      </c>
      <c r="E247" s="119" t="s">
        <v>572</v>
      </c>
      <c r="F247" s="116" t="s">
        <v>1085</v>
      </c>
      <c r="G247" s="280">
        <v>2</v>
      </c>
      <c r="H247" s="259">
        <v>4259</v>
      </c>
      <c r="I247" s="259">
        <v>8519</v>
      </c>
      <c r="J247" s="259">
        <v>0</v>
      </c>
      <c r="K247" s="259">
        <v>8519</v>
      </c>
      <c r="L247" s="259">
        <v>681</v>
      </c>
      <c r="M247" s="259">
        <v>9200</v>
      </c>
      <c r="N247" s="118">
        <v>1.4E-3</v>
      </c>
      <c r="O247" s="411" t="s">
        <v>1086</v>
      </c>
    </row>
    <row r="248" spans="1:15" ht="18" customHeight="1" x14ac:dyDescent="0.25">
      <c r="A248" s="115">
        <v>4</v>
      </c>
      <c r="B248" s="116" t="s">
        <v>92</v>
      </c>
      <c r="C248" s="115">
        <v>123</v>
      </c>
      <c r="D248" s="119" t="s">
        <v>91</v>
      </c>
      <c r="E248" s="119" t="s">
        <v>1110</v>
      </c>
      <c r="F248" s="116" t="s">
        <v>1085</v>
      </c>
      <c r="G248" s="280">
        <v>1</v>
      </c>
      <c r="H248" s="259">
        <v>2778</v>
      </c>
      <c r="I248" s="259">
        <v>2778</v>
      </c>
      <c r="J248" s="259">
        <v>0</v>
      </c>
      <c r="K248" s="259">
        <v>2778</v>
      </c>
      <c r="L248" s="259">
        <v>222</v>
      </c>
      <c r="M248" s="259">
        <v>3000</v>
      </c>
      <c r="N248" s="118">
        <v>5.0000000000000001E-4</v>
      </c>
      <c r="O248" s="411" t="s">
        <v>1086</v>
      </c>
    </row>
    <row r="249" spans="1:15" ht="18" customHeight="1" x14ac:dyDescent="0.25">
      <c r="A249" s="115">
        <v>4</v>
      </c>
      <c r="B249" s="116" t="s">
        <v>92</v>
      </c>
      <c r="C249" s="115">
        <v>314</v>
      </c>
      <c r="D249" s="119" t="s">
        <v>87</v>
      </c>
      <c r="E249" s="119" t="s">
        <v>1152</v>
      </c>
      <c r="F249" s="116" t="s">
        <v>1085</v>
      </c>
      <c r="G249" s="280">
        <v>3</v>
      </c>
      <c r="H249" s="259">
        <v>4167</v>
      </c>
      <c r="I249" s="259">
        <v>12500</v>
      </c>
      <c r="J249" s="259">
        <v>0</v>
      </c>
      <c r="K249" s="259">
        <v>12500</v>
      </c>
      <c r="L249" s="259">
        <v>1000</v>
      </c>
      <c r="M249" s="259">
        <v>13500</v>
      </c>
      <c r="N249" s="118">
        <v>2.0999999999999999E-3</v>
      </c>
      <c r="O249" s="411" t="s">
        <v>1086</v>
      </c>
    </row>
    <row r="250" spans="1:15" ht="18" customHeight="1" x14ac:dyDescent="0.25">
      <c r="A250" s="115">
        <v>4</v>
      </c>
      <c r="B250" s="116" t="s">
        <v>92</v>
      </c>
      <c r="C250" s="115">
        <v>31</v>
      </c>
      <c r="D250" s="119" t="s">
        <v>95</v>
      </c>
      <c r="E250" s="119" t="s">
        <v>1111</v>
      </c>
      <c r="F250" s="116" t="s">
        <v>1085</v>
      </c>
      <c r="G250" s="280">
        <v>11</v>
      </c>
      <c r="H250" s="259">
        <v>1164</v>
      </c>
      <c r="I250" s="259">
        <v>13241</v>
      </c>
      <c r="J250" s="259">
        <v>434</v>
      </c>
      <c r="K250" s="259">
        <v>12807</v>
      </c>
      <c r="L250" s="259">
        <v>1025</v>
      </c>
      <c r="M250" s="259">
        <v>13832</v>
      </c>
      <c r="N250" s="118">
        <v>2.2000000000000001E-3</v>
      </c>
      <c r="O250" s="411" t="s">
        <v>1086</v>
      </c>
    </row>
    <row r="251" spans="1:15" ht="18" customHeight="1" x14ac:dyDescent="0.25">
      <c r="A251" s="115">
        <v>4</v>
      </c>
      <c r="B251" s="116" t="s">
        <v>92</v>
      </c>
      <c r="C251" s="115">
        <v>212</v>
      </c>
      <c r="D251" s="119" t="s">
        <v>91</v>
      </c>
      <c r="E251" s="119" t="s">
        <v>162</v>
      </c>
      <c r="F251" s="116" t="s">
        <v>1085</v>
      </c>
      <c r="G251" s="280">
        <v>3</v>
      </c>
      <c r="H251" s="259">
        <v>22222</v>
      </c>
      <c r="I251" s="259">
        <v>66667</v>
      </c>
      <c r="J251" s="259">
        <v>0</v>
      </c>
      <c r="K251" s="259">
        <v>66667</v>
      </c>
      <c r="L251" s="259">
        <v>5333</v>
      </c>
      <c r="M251" s="259">
        <v>72000</v>
      </c>
      <c r="N251" s="118">
        <v>1.1299999999999999E-2</v>
      </c>
      <c r="O251" s="411" t="s">
        <v>1086</v>
      </c>
    </row>
    <row r="252" spans="1:15" ht="18" customHeight="1" x14ac:dyDescent="0.25">
      <c r="A252" s="115">
        <v>4</v>
      </c>
      <c r="B252" s="116" t="s">
        <v>92</v>
      </c>
      <c r="C252" s="115">
        <v>74</v>
      </c>
      <c r="D252" s="119" t="s">
        <v>91</v>
      </c>
      <c r="E252" s="119" t="s">
        <v>1153</v>
      </c>
      <c r="F252" s="116" t="s">
        <v>1085</v>
      </c>
      <c r="G252" s="280">
        <v>1</v>
      </c>
      <c r="H252" s="259">
        <v>6481</v>
      </c>
      <c r="I252" s="259">
        <v>6481</v>
      </c>
      <c r="J252" s="259">
        <v>0</v>
      </c>
      <c r="K252" s="259">
        <v>6481</v>
      </c>
      <c r="L252" s="259">
        <v>519</v>
      </c>
      <c r="M252" s="259">
        <v>7000</v>
      </c>
      <c r="N252" s="118">
        <v>1.1000000000000001E-3</v>
      </c>
      <c r="O252" s="411" t="s">
        <v>1086</v>
      </c>
    </row>
    <row r="253" spans="1:15" ht="18" customHeight="1" x14ac:dyDescent="0.25">
      <c r="A253" s="115">
        <v>4</v>
      </c>
      <c r="B253" s="116" t="s">
        <v>92</v>
      </c>
      <c r="C253" s="115">
        <v>306</v>
      </c>
      <c r="D253" s="119" t="s">
        <v>91</v>
      </c>
      <c r="E253" s="119" t="s">
        <v>1176</v>
      </c>
      <c r="F253" s="116" t="s">
        <v>1085</v>
      </c>
      <c r="G253" s="280">
        <v>1</v>
      </c>
      <c r="H253" s="259">
        <v>2315</v>
      </c>
      <c r="I253" s="259">
        <v>2315</v>
      </c>
      <c r="J253" s="259">
        <v>0</v>
      </c>
      <c r="K253" s="259">
        <v>2315</v>
      </c>
      <c r="L253" s="259">
        <v>185</v>
      </c>
      <c r="M253" s="259">
        <v>2500</v>
      </c>
      <c r="N253" s="118">
        <v>4.0000000000000002E-4</v>
      </c>
      <c r="O253" s="411" t="s">
        <v>1086</v>
      </c>
    </row>
    <row r="254" spans="1:15" ht="18" customHeight="1" x14ac:dyDescent="0.25">
      <c r="A254" s="115">
        <v>4</v>
      </c>
      <c r="B254" s="116" t="s">
        <v>92</v>
      </c>
      <c r="C254" s="115">
        <v>235</v>
      </c>
      <c r="D254" s="119" t="s">
        <v>91</v>
      </c>
      <c r="E254" s="119" t="s">
        <v>1154</v>
      </c>
      <c r="F254" s="116" t="s">
        <v>1085</v>
      </c>
      <c r="G254" s="280">
        <v>2</v>
      </c>
      <c r="H254" s="259">
        <v>3426</v>
      </c>
      <c r="I254" s="259">
        <v>6852</v>
      </c>
      <c r="J254" s="259">
        <v>0</v>
      </c>
      <c r="K254" s="259">
        <v>6852</v>
      </c>
      <c r="L254" s="259">
        <v>548</v>
      </c>
      <c r="M254" s="259">
        <v>7400</v>
      </c>
      <c r="N254" s="118">
        <v>1.1999999999999999E-3</v>
      </c>
      <c r="O254" s="411" t="s">
        <v>1086</v>
      </c>
    </row>
    <row r="255" spans="1:15" ht="18" customHeight="1" x14ac:dyDescent="0.25">
      <c r="A255" s="115">
        <v>4</v>
      </c>
      <c r="B255" s="116" t="s">
        <v>92</v>
      </c>
      <c r="C255" s="115">
        <v>134</v>
      </c>
      <c r="D255" s="119" t="s">
        <v>91</v>
      </c>
      <c r="E255" s="119" t="s">
        <v>1168</v>
      </c>
      <c r="F255" s="116" t="s">
        <v>1085</v>
      </c>
      <c r="G255" s="280">
        <v>2</v>
      </c>
      <c r="H255" s="259">
        <v>12963</v>
      </c>
      <c r="I255" s="259">
        <v>25926</v>
      </c>
      <c r="J255" s="259">
        <v>0</v>
      </c>
      <c r="K255" s="259">
        <v>25926</v>
      </c>
      <c r="L255" s="259">
        <v>2074</v>
      </c>
      <c r="M255" s="259">
        <v>28000</v>
      </c>
      <c r="N255" s="118">
        <v>4.4000000000000003E-3</v>
      </c>
      <c r="O255" s="411" t="s">
        <v>1086</v>
      </c>
    </row>
    <row r="256" spans="1:15" ht="18" customHeight="1" x14ac:dyDescent="0.25">
      <c r="A256" s="115">
        <v>4</v>
      </c>
      <c r="B256" s="116" t="s">
        <v>92</v>
      </c>
      <c r="C256" s="115">
        <v>118</v>
      </c>
      <c r="D256" s="119" t="s">
        <v>87</v>
      </c>
      <c r="E256" s="119" t="s">
        <v>126</v>
      </c>
      <c r="F256" s="116" t="s">
        <v>1085</v>
      </c>
      <c r="G256" s="280">
        <v>4</v>
      </c>
      <c r="H256" s="259">
        <v>41667</v>
      </c>
      <c r="I256" s="259">
        <v>166667</v>
      </c>
      <c r="J256" s="259">
        <v>0</v>
      </c>
      <c r="K256" s="259">
        <v>166667</v>
      </c>
      <c r="L256" s="259">
        <v>13333</v>
      </c>
      <c r="M256" s="259">
        <v>180000</v>
      </c>
      <c r="N256" s="118">
        <v>2.8199999999999999E-2</v>
      </c>
      <c r="O256" s="411" t="s">
        <v>1086</v>
      </c>
    </row>
    <row r="257" spans="1:15" ht="18" customHeight="1" x14ac:dyDescent="0.25">
      <c r="A257" s="115">
        <v>4</v>
      </c>
      <c r="B257" s="116" t="s">
        <v>92</v>
      </c>
      <c r="C257" s="115">
        <v>204</v>
      </c>
      <c r="D257" s="119" t="s">
        <v>91</v>
      </c>
      <c r="E257" s="119" t="s">
        <v>1114</v>
      </c>
      <c r="F257" s="116" t="s">
        <v>1085</v>
      </c>
      <c r="G257" s="280">
        <v>2</v>
      </c>
      <c r="H257" s="259">
        <v>12037</v>
      </c>
      <c r="I257" s="259">
        <v>24074</v>
      </c>
      <c r="J257" s="259">
        <v>0</v>
      </c>
      <c r="K257" s="259">
        <v>24074</v>
      </c>
      <c r="L257" s="259">
        <v>1926</v>
      </c>
      <c r="M257" s="259">
        <v>26000</v>
      </c>
      <c r="N257" s="118">
        <v>4.0999999999999986E-3</v>
      </c>
      <c r="O257" s="411" t="s">
        <v>1086</v>
      </c>
    </row>
    <row r="258" spans="1:15" ht="18" customHeight="1" x14ac:dyDescent="0.25">
      <c r="A258" s="115">
        <v>4</v>
      </c>
      <c r="B258" s="116" t="s">
        <v>92</v>
      </c>
      <c r="C258" s="115">
        <v>109</v>
      </c>
      <c r="D258" s="119" t="s">
        <v>91</v>
      </c>
      <c r="E258" s="119" t="s">
        <v>144</v>
      </c>
      <c r="F258" s="116" t="s">
        <v>1085</v>
      </c>
      <c r="G258" s="280">
        <v>5</v>
      </c>
      <c r="H258" s="259">
        <v>12963</v>
      </c>
      <c r="I258" s="259">
        <v>64815</v>
      </c>
      <c r="J258" s="259">
        <v>0</v>
      </c>
      <c r="K258" s="259">
        <v>64815</v>
      </c>
      <c r="L258" s="259">
        <v>5185</v>
      </c>
      <c r="M258" s="259">
        <v>70000</v>
      </c>
      <c r="N258" s="118">
        <v>1.0999999999999999E-2</v>
      </c>
      <c r="O258" s="411" t="s">
        <v>1086</v>
      </c>
    </row>
    <row r="259" spans="1:15" ht="18" customHeight="1" x14ac:dyDescent="0.25">
      <c r="A259" s="115">
        <v>4</v>
      </c>
      <c r="B259" s="116" t="s">
        <v>92</v>
      </c>
      <c r="C259" s="115">
        <v>147</v>
      </c>
      <c r="D259" s="119" t="s">
        <v>91</v>
      </c>
      <c r="E259" s="119" t="s">
        <v>1115</v>
      </c>
      <c r="F259" s="116" t="s">
        <v>1085</v>
      </c>
      <c r="G259" s="280">
        <v>2</v>
      </c>
      <c r="H259" s="259">
        <v>6481</v>
      </c>
      <c r="I259" s="259">
        <v>12963</v>
      </c>
      <c r="J259" s="259">
        <v>0</v>
      </c>
      <c r="K259" s="259">
        <v>12963</v>
      </c>
      <c r="L259" s="259">
        <v>1037</v>
      </c>
      <c r="M259" s="259">
        <v>14000</v>
      </c>
      <c r="N259" s="118">
        <v>2.2000000000000001E-3</v>
      </c>
      <c r="O259" s="411" t="s">
        <v>1086</v>
      </c>
    </row>
    <row r="260" spans="1:15" ht="18" customHeight="1" x14ac:dyDescent="0.25">
      <c r="A260" s="115">
        <v>4</v>
      </c>
      <c r="B260" s="116" t="s">
        <v>92</v>
      </c>
      <c r="C260" s="115">
        <v>72</v>
      </c>
      <c r="D260" s="119" t="s">
        <v>97</v>
      </c>
      <c r="E260" s="119" t="s">
        <v>1117</v>
      </c>
      <c r="F260" s="116" t="s">
        <v>1085</v>
      </c>
      <c r="G260" s="280">
        <v>3</v>
      </c>
      <c r="H260" s="259">
        <v>3704</v>
      </c>
      <c r="I260" s="259">
        <v>11111</v>
      </c>
      <c r="J260" s="259">
        <v>0</v>
      </c>
      <c r="K260" s="259">
        <v>11111</v>
      </c>
      <c r="L260" s="259">
        <v>889</v>
      </c>
      <c r="M260" s="259">
        <v>12000</v>
      </c>
      <c r="N260" s="118">
        <v>1.9E-3</v>
      </c>
      <c r="O260" s="411" t="s">
        <v>1086</v>
      </c>
    </row>
    <row r="261" spans="1:15" ht="18" customHeight="1" x14ac:dyDescent="0.25">
      <c r="A261" s="115">
        <v>4</v>
      </c>
      <c r="B261" s="116" t="s">
        <v>92</v>
      </c>
      <c r="C261" s="115">
        <v>227</v>
      </c>
      <c r="D261" s="119" t="s">
        <v>87</v>
      </c>
      <c r="E261" s="119" t="s">
        <v>1169</v>
      </c>
      <c r="F261" s="116" t="s">
        <v>1085</v>
      </c>
      <c r="G261" s="280">
        <v>1</v>
      </c>
      <c r="H261" s="259">
        <v>1389</v>
      </c>
      <c r="I261" s="259">
        <v>1389</v>
      </c>
      <c r="J261" s="259">
        <v>0</v>
      </c>
      <c r="K261" s="259">
        <v>1389</v>
      </c>
      <c r="L261" s="259">
        <v>111</v>
      </c>
      <c r="M261" s="259">
        <v>1500</v>
      </c>
      <c r="N261" s="118">
        <v>2.0000000000000001E-4</v>
      </c>
      <c r="O261" s="411" t="s">
        <v>1086</v>
      </c>
    </row>
    <row r="262" spans="1:15" ht="18" customHeight="1" x14ac:dyDescent="0.25">
      <c r="A262" s="115">
        <v>4</v>
      </c>
      <c r="B262" s="116" t="s">
        <v>92</v>
      </c>
      <c r="C262" s="115">
        <v>93</v>
      </c>
      <c r="D262" s="119" t="s">
        <v>89</v>
      </c>
      <c r="E262" s="119" t="s">
        <v>123</v>
      </c>
      <c r="F262" s="116" t="s">
        <v>1085</v>
      </c>
      <c r="G262" s="280">
        <v>2</v>
      </c>
      <c r="H262" s="259">
        <v>20370</v>
      </c>
      <c r="I262" s="259">
        <v>40741</v>
      </c>
      <c r="J262" s="259">
        <v>0</v>
      </c>
      <c r="K262" s="259">
        <v>40741</v>
      </c>
      <c r="L262" s="259">
        <v>3259</v>
      </c>
      <c r="M262" s="259">
        <v>44000</v>
      </c>
      <c r="N262" s="118">
        <v>6.8999999999999999E-3</v>
      </c>
      <c r="O262" s="411" t="s">
        <v>1086</v>
      </c>
    </row>
    <row r="263" spans="1:15" ht="18" customHeight="1" x14ac:dyDescent="0.25">
      <c r="A263" s="115">
        <v>4</v>
      </c>
      <c r="B263" s="116" t="s">
        <v>92</v>
      </c>
      <c r="C263" s="115">
        <v>119</v>
      </c>
      <c r="D263" s="119" t="s">
        <v>89</v>
      </c>
      <c r="E263" s="119" t="s">
        <v>114</v>
      </c>
      <c r="F263" s="116" t="s">
        <v>1085</v>
      </c>
      <c r="G263" s="280">
        <v>8</v>
      </c>
      <c r="H263" s="259">
        <v>44444</v>
      </c>
      <c r="I263" s="259">
        <v>355556</v>
      </c>
      <c r="J263" s="259">
        <v>0</v>
      </c>
      <c r="K263" s="259">
        <v>355556</v>
      </c>
      <c r="L263" s="259">
        <v>28444</v>
      </c>
      <c r="M263" s="259">
        <v>384000</v>
      </c>
      <c r="N263" s="118">
        <v>6.0100000000000001E-2</v>
      </c>
      <c r="O263" s="411" t="s">
        <v>1086</v>
      </c>
    </row>
    <row r="264" spans="1:15" ht="18" customHeight="1" x14ac:dyDescent="0.25">
      <c r="A264" s="115">
        <v>4</v>
      </c>
      <c r="B264" s="116" t="s">
        <v>92</v>
      </c>
      <c r="C264" s="115">
        <v>20</v>
      </c>
      <c r="D264" s="119" t="s">
        <v>87</v>
      </c>
      <c r="E264" s="119" t="s">
        <v>1170</v>
      </c>
      <c r="F264" s="116" t="s">
        <v>1085</v>
      </c>
      <c r="G264" s="280">
        <v>1</v>
      </c>
      <c r="H264" s="259">
        <v>6481</v>
      </c>
      <c r="I264" s="259">
        <v>6481</v>
      </c>
      <c r="J264" s="259">
        <v>0</v>
      </c>
      <c r="K264" s="259">
        <v>6481</v>
      </c>
      <c r="L264" s="259">
        <v>519</v>
      </c>
      <c r="M264" s="259">
        <v>7000</v>
      </c>
      <c r="N264" s="118">
        <v>1.1000000000000001E-3</v>
      </c>
      <c r="O264" s="411" t="s">
        <v>1086</v>
      </c>
    </row>
    <row r="265" spans="1:15" ht="18" customHeight="1" x14ac:dyDescent="0.25">
      <c r="A265" s="115">
        <v>4</v>
      </c>
      <c r="B265" s="116" t="s">
        <v>92</v>
      </c>
      <c r="C265" s="115">
        <v>22</v>
      </c>
      <c r="D265" s="119" t="s">
        <v>93</v>
      </c>
      <c r="E265" s="119" t="s">
        <v>1177</v>
      </c>
      <c r="F265" s="116" t="s">
        <v>1085</v>
      </c>
      <c r="G265" s="280">
        <v>11</v>
      </c>
      <c r="H265" s="259">
        <v>18855</v>
      </c>
      <c r="I265" s="259">
        <v>207407</v>
      </c>
      <c r="J265" s="259">
        <v>0</v>
      </c>
      <c r="K265" s="259">
        <v>207407</v>
      </c>
      <c r="L265" s="259">
        <v>16593</v>
      </c>
      <c r="M265" s="259">
        <v>224000</v>
      </c>
      <c r="N265" s="118">
        <v>3.5099999999999999E-2</v>
      </c>
      <c r="O265" s="411" t="s">
        <v>1086</v>
      </c>
    </row>
    <row r="266" spans="1:15" ht="18" customHeight="1" x14ac:dyDescent="0.25">
      <c r="A266" s="115">
        <v>4</v>
      </c>
      <c r="B266" s="116" t="s">
        <v>92</v>
      </c>
      <c r="C266" s="115">
        <v>239</v>
      </c>
      <c r="D266" s="119" t="s">
        <v>87</v>
      </c>
      <c r="E266" s="119" t="s">
        <v>1178</v>
      </c>
      <c r="F266" s="116" t="s">
        <v>1085</v>
      </c>
      <c r="G266" s="280">
        <v>17</v>
      </c>
      <c r="H266" s="259">
        <v>18627</v>
      </c>
      <c r="I266" s="259">
        <v>316667</v>
      </c>
      <c r="J266" s="259">
        <v>0</v>
      </c>
      <c r="K266" s="259">
        <v>316667</v>
      </c>
      <c r="L266" s="259">
        <v>25333</v>
      </c>
      <c r="M266" s="259">
        <v>342000</v>
      </c>
      <c r="N266" s="118">
        <v>5.3600000000000002E-2</v>
      </c>
      <c r="O266" s="411" t="s">
        <v>1086</v>
      </c>
    </row>
    <row r="267" spans="1:15" ht="18" customHeight="1" x14ac:dyDescent="0.25">
      <c r="A267" s="115">
        <v>4</v>
      </c>
      <c r="B267" s="116" t="s">
        <v>92</v>
      </c>
      <c r="C267" s="115">
        <v>145</v>
      </c>
      <c r="D267" s="119" t="s">
        <v>87</v>
      </c>
      <c r="E267" s="119" t="s">
        <v>1179</v>
      </c>
      <c r="F267" s="116" t="s">
        <v>1085</v>
      </c>
      <c r="G267" s="280">
        <v>8</v>
      </c>
      <c r="H267" s="259">
        <v>18866</v>
      </c>
      <c r="I267" s="259">
        <v>150926</v>
      </c>
      <c r="J267" s="259">
        <v>0</v>
      </c>
      <c r="K267" s="259">
        <v>150926</v>
      </c>
      <c r="L267" s="259">
        <v>12074</v>
      </c>
      <c r="M267" s="259">
        <v>163000</v>
      </c>
      <c r="N267" s="118">
        <v>2.5499999999999998E-2</v>
      </c>
      <c r="O267" s="411" t="s">
        <v>1086</v>
      </c>
    </row>
    <row r="268" spans="1:15" ht="18" customHeight="1" x14ac:dyDescent="0.25">
      <c r="A268" s="115">
        <v>4</v>
      </c>
      <c r="B268" s="116" t="s">
        <v>92</v>
      </c>
      <c r="C268" s="115">
        <v>77</v>
      </c>
      <c r="D268" s="119" t="s">
        <v>87</v>
      </c>
      <c r="E268" s="119" t="s">
        <v>1121</v>
      </c>
      <c r="F268" s="116" t="s">
        <v>1085</v>
      </c>
      <c r="G268" s="280">
        <v>1</v>
      </c>
      <c r="H268" s="259">
        <v>2778</v>
      </c>
      <c r="I268" s="259">
        <v>2778</v>
      </c>
      <c r="J268" s="259">
        <v>0</v>
      </c>
      <c r="K268" s="259">
        <v>2778</v>
      </c>
      <c r="L268" s="259">
        <v>222</v>
      </c>
      <c r="M268" s="259">
        <v>3000</v>
      </c>
      <c r="N268" s="118">
        <v>5.0000000000000001E-4</v>
      </c>
      <c r="O268" s="411" t="s">
        <v>1086</v>
      </c>
    </row>
    <row r="269" spans="1:15" ht="18" customHeight="1" x14ac:dyDescent="0.25">
      <c r="A269" s="115">
        <v>4</v>
      </c>
      <c r="B269" s="116" t="s">
        <v>92</v>
      </c>
      <c r="C269" s="115">
        <v>240</v>
      </c>
      <c r="D269" s="119" t="s">
        <v>87</v>
      </c>
      <c r="E269" s="119" t="s">
        <v>1180</v>
      </c>
      <c r="F269" s="116" t="s">
        <v>1085</v>
      </c>
      <c r="G269" s="280">
        <v>2</v>
      </c>
      <c r="H269" s="259">
        <v>6481</v>
      </c>
      <c r="I269" s="259">
        <v>12963</v>
      </c>
      <c r="J269" s="259">
        <v>0</v>
      </c>
      <c r="K269" s="259">
        <v>12963</v>
      </c>
      <c r="L269" s="259">
        <v>1037</v>
      </c>
      <c r="M269" s="259">
        <v>14000</v>
      </c>
      <c r="N269" s="118">
        <v>2.2000000000000001E-3</v>
      </c>
      <c r="O269" s="411" t="s">
        <v>1086</v>
      </c>
    </row>
    <row r="270" spans="1:15" ht="18" customHeight="1" x14ac:dyDescent="0.25">
      <c r="A270" s="115">
        <v>4</v>
      </c>
      <c r="B270" s="116" t="s">
        <v>92</v>
      </c>
      <c r="C270" s="115">
        <v>156</v>
      </c>
      <c r="D270" s="119" t="s">
        <v>93</v>
      </c>
      <c r="E270" s="119" t="s">
        <v>1181</v>
      </c>
      <c r="F270" s="116" t="s">
        <v>1085</v>
      </c>
      <c r="G270" s="280">
        <v>5</v>
      </c>
      <c r="H270" s="259">
        <v>6481</v>
      </c>
      <c r="I270" s="259">
        <v>32407</v>
      </c>
      <c r="J270" s="259">
        <v>0</v>
      </c>
      <c r="K270" s="259">
        <v>32407</v>
      </c>
      <c r="L270" s="259">
        <v>2593</v>
      </c>
      <c r="M270" s="259">
        <v>35000</v>
      </c>
      <c r="N270" s="118">
        <v>5.5000000000000014E-3</v>
      </c>
      <c r="O270" s="411" t="s">
        <v>1086</v>
      </c>
    </row>
    <row r="271" spans="1:15" ht="18" customHeight="1" x14ac:dyDescent="0.25">
      <c r="A271" s="115">
        <v>4</v>
      </c>
      <c r="B271" s="116" t="s">
        <v>92</v>
      </c>
      <c r="C271" s="115">
        <v>86</v>
      </c>
      <c r="D271" s="119" t="s">
        <v>95</v>
      </c>
      <c r="E271" s="119" t="s">
        <v>1124</v>
      </c>
      <c r="F271" s="116" t="s">
        <v>1085</v>
      </c>
      <c r="G271" s="280">
        <v>23</v>
      </c>
      <c r="H271" s="259">
        <v>3215</v>
      </c>
      <c r="I271" s="259">
        <v>74537</v>
      </c>
      <c r="J271" s="259">
        <v>584</v>
      </c>
      <c r="K271" s="259">
        <v>73953</v>
      </c>
      <c r="L271" s="259">
        <v>5916</v>
      </c>
      <c r="M271" s="259">
        <v>79869</v>
      </c>
      <c r="N271" s="118">
        <v>1.2500000000000001E-2</v>
      </c>
      <c r="O271" s="411" t="s">
        <v>1086</v>
      </c>
    </row>
    <row r="272" spans="1:15" ht="18" customHeight="1" x14ac:dyDescent="0.25">
      <c r="A272" s="115">
        <v>4</v>
      </c>
      <c r="B272" s="116" t="s">
        <v>92</v>
      </c>
      <c r="C272" s="115">
        <v>63</v>
      </c>
      <c r="D272" s="119" t="s">
        <v>95</v>
      </c>
      <c r="E272" s="119" t="s">
        <v>1182</v>
      </c>
      <c r="F272" s="116" t="s">
        <v>1085</v>
      </c>
      <c r="G272" s="280">
        <v>2</v>
      </c>
      <c r="H272" s="259">
        <v>3704</v>
      </c>
      <c r="I272" s="259">
        <v>7407</v>
      </c>
      <c r="J272" s="259">
        <v>0</v>
      </c>
      <c r="K272" s="259">
        <v>7407</v>
      </c>
      <c r="L272" s="259">
        <v>593</v>
      </c>
      <c r="M272" s="259">
        <v>8000</v>
      </c>
      <c r="N272" s="118">
        <v>1.2999999999999999E-3</v>
      </c>
      <c r="O272" s="411" t="s">
        <v>1086</v>
      </c>
    </row>
    <row r="273" spans="1:15" ht="18" customHeight="1" x14ac:dyDescent="0.25">
      <c r="A273" s="115">
        <v>4</v>
      </c>
      <c r="B273" s="116" t="s">
        <v>92</v>
      </c>
      <c r="C273" s="115">
        <v>79</v>
      </c>
      <c r="D273" s="119" t="s">
        <v>95</v>
      </c>
      <c r="E273" s="119" t="s">
        <v>1127</v>
      </c>
      <c r="F273" s="116" t="s">
        <v>1085</v>
      </c>
      <c r="G273" s="280">
        <v>5</v>
      </c>
      <c r="H273" s="259">
        <v>6481</v>
      </c>
      <c r="I273" s="259">
        <v>32407</v>
      </c>
      <c r="J273" s="259">
        <v>0</v>
      </c>
      <c r="K273" s="259">
        <v>32407</v>
      </c>
      <c r="L273" s="259">
        <v>2593</v>
      </c>
      <c r="M273" s="259">
        <v>35000</v>
      </c>
      <c r="N273" s="118">
        <v>5.5000000000000014E-3</v>
      </c>
      <c r="O273" s="411" t="s">
        <v>1086</v>
      </c>
    </row>
    <row r="274" spans="1:15" ht="18" customHeight="1" x14ac:dyDescent="0.25">
      <c r="A274" s="115">
        <v>4</v>
      </c>
      <c r="B274" s="116" t="s">
        <v>92</v>
      </c>
      <c r="C274" s="115">
        <v>62</v>
      </c>
      <c r="D274" s="119" t="s">
        <v>95</v>
      </c>
      <c r="E274" s="119" t="s">
        <v>1128</v>
      </c>
      <c r="F274" s="116" t="s">
        <v>1085</v>
      </c>
      <c r="G274" s="280">
        <v>7</v>
      </c>
      <c r="H274" s="259">
        <v>6944</v>
      </c>
      <c r="I274" s="259">
        <v>48611</v>
      </c>
      <c r="J274" s="259">
        <v>0</v>
      </c>
      <c r="K274" s="259">
        <v>48611</v>
      </c>
      <c r="L274" s="259">
        <v>3889</v>
      </c>
      <c r="M274" s="259">
        <v>52500</v>
      </c>
      <c r="N274" s="118">
        <v>8.199999999999999E-3</v>
      </c>
      <c r="O274" s="411" t="s">
        <v>1086</v>
      </c>
    </row>
    <row r="275" spans="1:15" ht="18" customHeight="1" x14ac:dyDescent="0.25">
      <c r="A275" s="115">
        <v>4</v>
      </c>
      <c r="B275" s="116" t="s">
        <v>92</v>
      </c>
      <c r="C275" s="115">
        <v>78</v>
      </c>
      <c r="D275" s="119" t="s">
        <v>95</v>
      </c>
      <c r="E275" s="119" t="s">
        <v>1129</v>
      </c>
      <c r="F275" s="116" t="s">
        <v>1085</v>
      </c>
      <c r="G275" s="280">
        <v>18</v>
      </c>
      <c r="H275" s="259">
        <v>6481</v>
      </c>
      <c r="I275" s="259">
        <v>116667</v>
      </c>
      <c r="J275" s="259">
        <v>0</v>
      </c>
      <c r="K275" s="259">
        <v>116667</v>
      </c>
      <c r="L275" s="259">
        <v>9333</v>
      </c>
      <c r="M275" s="259">
        <v>126000</v>
      </c>
      <c r="N275" s="118">
        <v>1.9699999999999999E-2</v>
      </c>
      <c r="O275" s="411" t="s">
        <v>1086</v>
      </c>
    </row>
    <row r="276" spans="1:15" ht="18" customHeight="1" x14ac:dyDescent="0.25">
      <c r="A276" s="115">
        <v>4</v>
      </c>
      <c r="B276" s="116" t="s">
        <v>92</v>
      </c>
      <c r="C276" s="115">
        <v>137</v>
      </c>
      <c r="D276" s="119" t="s">
        <v>95</v>
      </c>
      <c r="E276" s="119" t="s">
        <v>1159</v>
      </c>
      <c r="F276" s="116" t="s">
        <v>1085</v>
      </c>
      <c r="G276" s="280">
        <v>7</v>
      </c>
      <c r="H276" s="259">
        <v>6481</v>
      </c>
      <c r="I276" s="259">
        <v>45370</v>
      </c>
      <c r="J276" s="259">
        <v>0</v>
      </c>
      <c r="K276" s="259">
        <v>45370</v>
      </c>
      <c r="L276" s="259">
        <v>3630</v>
      </c>
      <c r="M276" s="259">
        <v>49000</v>
      </c>
      <c r="N276" s="118">
        <v>7.7000000000000002E-3</v>
      </c>
      <c r="O276" s="411" t="s">
        <v>1086</v>
      </c>
    </row>
    <row r="277" spans="1:15" ht="18" customHeight="1" x14ac:dyDescent="0.25">
      <c r="A277" s="115">
        <v>4</v>
      </c>
      <c r="B277" s="116" t="s">
        <v>92</v>
      </c>
      <c r="C277" s="115">
        <v>226</v>
      </c>
      <c r="D277" s="119" t="s">
        <v>87</v>
      </c>
      <c r="E277" s="119" t="s">
        <v>1183</v>
      </c>
      <c r="F277" s="116" t="s">
        <v>1085</v>
      </c>
      <c r="G277" s="280">
        <v>1</v>
      </c>
      <c r="H277" s="259">
        <v>90741</v>
      </c>
      <c r="I277" s="259">
        <v>90741</v>
      </c>
      <c r="J277" s="259">
        <v>0</v>
      </c>
      <c r="K277" s="259">
        <v>90741</v>
      </c>
      <c r="L277" s="259">
        <v>7259</v>
      </c>
      <c r="M277" s="259">
        <v>98000</v>
      </c>
      <c r="N277" s="118">
        <v>1.5299999999999999E-2</v>
      </c>
      <c r="O277" s="411" t="s">
        <v>1086</v>
      </c>
    </row>
    <row r="278" spans="1:15" ht="18" customHeight="1" x14ac:dyDescent="0.25">
      <c r="A278" s="115">
        <v>4</v>
      </c>
      <c r="B278" s="116" t="s">
        <v>92</v>
      </c>
      <c r="C278" s="115">
        <v>222</v>
      </c>
      <c r="D278" s="119" t="s">
        <v>93</v>
      </c>
      <c r="E278" s="119" t="s">
        <v>1133</v>
      </c>
      <c r="F278" s="116" t="s">
        <v>1085</v>
      </c>
      <c r="G278" s="280">
        <v>1</v>
      </c>
      <c r="H278" s="259">
        <v>63426</v>
      </c>
      <c r="I278" s="259">
        <v>63426</v>
      </c>
      <c r="J278" s="259">
        <v>0</v>
      </c>
      <c r="K278" s="259">
        <v>63426</v>
      </c>
      <c r="L278" s="259">
        <v>5074</v>
      </c>
      <c r="M278" s="259">
        <v>68500</v>
      </c>
      <c r="N278" s="118">
        <v>1.0699999999999999E-2</v>
      </c>
      <c r="O278" s="411" t="s">
        <v>1086</v>
      </c>
    </row>
    <row r="279" spans="1:15" ht="18" customHeight="1" x14ac:dyDescent="0.25">
      <c r="A279" s="115">
        <v>4</v>
      </c>
      <c r="B279" s="116" t="s">
        <v>92</v>
      </c>
      <c r="C279" s="115">
        <v>223</v>
      </c>
      <c r="D279" s="119" t="s">
        <v>87</v>
      </c>
      <c r="E279" s="119" t="s">
        <v>141</v>
      </c>
      <c r="F279" s="116" t="s">
        <v>1085</v>
      </c>
      <c r="G279" s="280">
        <v>6</v>
      </c>
      <c r="H279" s="259">
        <v>69444</v>
      </c>
      <c r="I279" s="259">
        <v>416667</v>
      </c>
      <c r="J279" s="259">
        <v>0</v>
      </c>
      <c r="K279" s="259">
        <v>416667</v>
      </c>
      <c r="L279" s="259">
        <v>33333</v>
      </c>
      <c r="M279" s="259">
        <v>450000</v>
      </c>
      <c r="N279" s="118">
        <v>7.0499999999999993E-2</v>
      </c>
      <c r="O279" s="411" t="s">
        <v>1086</v>
      </c>
    </row>
    <row r="280" spans="1:15" ht="18" customHeight="1" x14ac:dyDescent="0.25">
      <c r="A280" s="115">
        <v>4</v>
      </c>
      <c r="B280" s="116" t="s">
        <v>92</v>
      </c>
      <c r="C280" s="115">
        <v>50</v>
      </c>
      <c r="D280" s="119" t="s">
        <v>87</v>
      </c>
      <c r="E280" s="119" t="s">
        <v>159</v>
      </c>
      <c r="F280" s="116" t="s">
        <v>1085</v>
      </c>
      <c r="G280" s="280">
        <v>1</v>
      </c>
      <c r="H280" s="259">
        <v>49074</v>
      </c>
      <c r="I280" s="259">
        <v>49074</v>
      </c>
      <c r="J280" s="259">
        <v>0</v>
      </c>
      <c r="K280" s="259">
        <v>49074</v>
      </c>
      <c r="L280" s="259">
        <v>3926</v>
      </c>
      <c r="M280" s="259">
        <v>53000</v>
      </c>
      <c r="N280" s="118">
        <v>8.3000000000000001E-3</v>
      </c>
      <c r="O280" s="411" t="s">
        <v>1086</v>
      </c>
    </row>
    <row r="281" spans="1:15" ht="18" customHeight="1" x14ac:dyDescent="0.25">
      <c r="A281" s="115">
        <v>4</v>
      </c>
      <c r="B281" s="116" t="s">
        <v>92</v>
      </c>
      <c r="C281" s="115">
        <v>10</v>
      </c>
      <c r="D281" s="119" t="s">
        <v>87</v>
      </c>
      <c r="E281" s="119" t="s">
        <v>1184</v>
      </c>
      <c r="F281" s="116" t="s">
        <v>1085</v>
      </c>
      <c r="G281" s="280">
        <v>2</v>
      </c>
      <c r="H281" s="259">
        <v>13889</v>
      </c>
      <c r="I281" s="259">
        <v>27778</v>
      </c>
      <c r="J281" s="259">
        <v>0</v>
      </c>
      <c r="K281" s="259">
        <v>27778</v>
      </c>
      <c r="L281" s="259">
        <v>2222</v>
      </c>
      <c r="M281" s="259">
        <v>30000</v>
      </c>
      <c r="N281" s="118">
        <v>4.6999999999999993E-3</v>
      </c>
      <c r="O281" s="411" t="s">
        <v>1086</v>
      </c>
    </row>
    <row r="282" spans="1:15" ht="18" customHeight="1" x14ac:dyDescent="0.25">
      <c r="A282" s="115">
        <v>4</v>
      </c>
      <c r="B282" s="116" t="s">
        <v>92</v>
      </c>
      <c r="C282" s="115">
        <v>120</v>
      </c>
      <c r="D282" s="119" t="s">
        <v>93</v>
      </c>
      <c r="E282" s="119" t="s">
        <v>1134</v>
      </c>
      <c r="F282" s="116" t="s">
        <v>1085</v>
      </c>
      <c r="G282" s="280">
        <v>1</v>
      </c>
      <c r="H282" s="259">
        <v>41667</v>
      </c>
      <c r="I282" s="259">
        <v>41667</v>
      </c>
      <c r="J282" s="259">
        <v>0</v>
      </c>
      <c r="K282" s="259">
        <v>41667</v>
      </c>
      <c r="L282" s="259">
        <v>3333</v>
      </c>
      <c r="M282" s="259">
        <v>45000</v>
      </c>
      <c r="N282" s="118">
        <v>6.9999999999999993E-3</v>
      </c>
      <c r="O282" s="411" t="s">
        <v>1086</v>
      </c>
    </row>
    <row r="283" spans="1:15" ht="18" customHeight="1" x14ac:dyDescent="0.25">
      <c r="A283" s="115">
        <v>4</v>
      </c>
      <c r="B283" s="116" t="s">
        <v>92</v>
      </c>
      <c r="C283" s="115">
        <v>129</v>
      </c>
      <c r="D283" s="119" t="s">
        <v>93</v>
      </c>
      <c r="E283" s="119" t="s">
        <v>1135</v>
      </c>
      <c r="F283" s="116" t="s">
        <v>1085</v>
      </c>
      <c r="G283" s="280">
        <v>1</v>
      </c>
      <c r="H283" s="259">
        <v>44444</v>
      </c>
      <c r="I283" s="259">
        <v>44444</v>
      </c>
      <c r="J283" s="259">
        <v>0</v>
      </c>
      <c r="K283" s="259">
        <v>44444</v>
      </c>
      <c r="L283" s="259">
        <v>3556</v>
      </c>
      <c r="M283" s="259">
        <v>48000</v>
      </c>
      <c r="N283" s="118">
        <v>7.4999999999999997E-3</v>
      </c>
      <c r="O283" s="411" t="s">
        <v>1086</v>
      </c>
    </row>
    <row r="284" spans="1:15" ht="18" customHeight="1" x14ac:dyDescent="0.25">
      <c r="A284" s="115">
        <v>4</v>
      </c>
      <c r="B284" s="116" t="s">
        <v>92</v>
      </c>
      <c r="C284" s="115">
        <v>117</v>
      </c>
      <c r="D284" s="119" t="s">
        <v>87</v>
      </c>
      <c r="E284" s="119" t="s">
        <v>120</v>
      </c>
      <c r="F284" s="116" t="s">
        <v>1085</v>
      </c>
      <c r="G284" s="280">
        <v>4</v>
      </c>
      <c r="H284" s="259">
        <v>41667</v>
      </c>
      <c r="I284" s="259">
        <v>166667</v>
      </c>
      <c r="J284" s="259">
        <v>0</v>
      </c>
      <c r="K284" s="259">
        <v>166667</v>
      </c>
      <c r="L284" s="259">
        <v>13333</v>
      </c>
      <c r="M284" s="259">
        <v>180000</v>
      </c>
      <c r="N284" s="118">
        <v>2.8199999999999999E-2</v>
      </c>
      <c r="O284" s="411" t="s">
        <v>1086</v>
      </c>
    </row>
    <row r="285" spans="1:15" ht="18" customHeight="1" x14ac:dyDescent="0.25">
      <c r="A285" s="115">
        <v>4</v>
      </c>
      <c r="B285" s="116" t="s">
        <v>92</v>
      </c>
      <c r="C285" s="115">
        <v>36</v>
      </c>
      <c r="D285" s="119" t="s">
        <v>91</v>
      </c>
      <c r="E285" s="119" t="s">
        <v>1136</v>
      </c>
      <c r="F285" s="116" t="s">
        <v>1085</v>
      </c>
      <c r="G285" s="280">
        <v>5</v>
      </c>
      <c r="H285" s="259">
        <v>3704</v>
      </c>
      <c r="I285" s="259">
        <v>18519</v>
      </c>
      <c r="J285" s="259">
        <v>0</v>
      </c>
      <c r="K285" s="259">
        <v>18519</v>
      </c>
      <c r="L285" s="259">
        <v>1481</v>
      </c>
      <c r="M285" s="259">
        <v>20000</v>
      </c>
      <c r="N285" s="118">
        <v>3.0999999999999999E-3</v>
      </c>
      <c r="O285" s="411" t="s">
        <v>1086</v>
      </c>
    </row>
    <row r="286" spans="1:15" ht="18" customHeight="1" x14ac:dyDescent="0.25">
      <c r="A286" s="115">
        <v>4</v>
      </c>
      <c r="B286" s="116" t="s">
        <v>92</v>
      </c>
      <c r="C286" s="115">
        <v>61</v>
      </c>
      <c r="D286" s="119" t="s">
        <v>97</v>
      </c>
      <c r="E286" s="119" t="s">
        <v>1137</v>
      </c>
      <c r="F286" s="116" t="s">
        <v>1085</v>
      </c>
      <c r="G286" s="280">
        <v>18</v>
      </c>
      <c r="H286" s="259">
        <v>4630</v>
      </c>
      <c r="I286" s="259">
        <v>83333</v>
      </c>
      <c r="J286" s="259">
        <v>0</v>
      </c>
      <c r="K286" s="259">
        <v>83333</v>
      </c>
      <c r="L286" s="259">
        <v>6667</v>
      </c>
      <c r="M286" s="259">
        <v>90000</v>
      </c>
      <c r="N286" s="118">
        <v>1.41E-2</v>
      </c>
      <c r="O286" s="411" t="s">
        <v>1086</v>
      </c>
    </row>
    <row r="287" spans="1:15" ht="18" customHeight="1" x14ac:dyDescent="0.25">
      <c r="A287" s="115">
        <v>4</v>
      </c>
      <c r="B287" s="116" t="s">
        <v>92</v>
      </c>
      <c r="C287" s="115">
        <v>215</v>
      </c>
      <c r="D287" s="119" t="s">
        <v>87</v>
      </c>
      <c r="E287" s="119" t="s">
        <v>135</v>
      </c>
      <c r="F287" s="116" t="s">
        <v>1085</v>
      </c>
      <c r="G287" s="280">
        <v>4</v>
      </c>
      <c r="H287" s="259">
        <v>33912</v>
      </c>
      <c r="I287" s="259">
        <v>150000</v>
      </c>
      <c r="J287" s="259">
        <v>14352</v>
      </c>
      <c r="K287" s="259">
        <v>135648</v>
      </c>
      <c r="L287" s="259">
        <v>10852</v>
      </c>
      <c r="M287" s="259">
        <v>146500</v>
      </c>
      <c r="N287" s="118">
        <v>2.29E-2</v>
      </c>
      <c r="O287" s="411" t="s">
        <v>1086</v>
      </c>
    </row>
    <row r="288" spans="1:15" ht="18" customHeight="1" x14ac:dyDescent="0.25">
      <c r="A288" s="115">
        <v>4</v>
      </c>
      <c r="B288" s="116" t="s">
        <v>92</v>
      </c>
      <c r="C288" s="115">
        <v>214</v>
      </c>
      <c r="D288" s="119" t="s">
        <v>87</v>
      </c>
      <c r="E288" s="119" t="s">
        <v>170</v>
      </c>
      <c r="F288" s="116" t="s">
        <v>1085</v>
      </c>
      <c r="G288" s="280">
        <v>3</v>
      </c>
      <c r="H288" s="259">
        <v>37500</v>
      </c>
      <c r="I288" s="259">
        <v>112500</v>
      </c>
      <c r="J288" s="259">
        <v>0</v>
      </c>
      <c r="K288" s="259">
        <v>112500</v>
      </c>
      <c r="L288" s="259">
        <v>9000</v>
      </c>
      <c r="M288" s="259">
        <v>121500</v>
      </c>
      <c r="N288" s="118">
        <v>1.9E-2</v>
      </c>
      <c r="O288" s="411" t="s">
        <v>1086</v>
      </c>
    </row>
    <row r="289" spans="1:15" ht="18" customHeight="1" x14ac:dyDescent="0.25">
      <c r="A289" s="115">
        <v>4</v>
      </c>
      <c r="B289" s="116" t="s">
        <v>92</v>
      </c>
      <c r="C289" s="115">
        <v>96</v>
      </c>
      <c r="D289" s="119" t="s">
        <v>93</v>
      </c>
      <c r="E289" s="119" t="s">
        <v>1161</v>
      </c>
      <c r="F289" s="116" t="s">
        <v>1085</v>
      </c>
      <c r="G289" s="280">
        <v>2</v>
      </c>
      <c r="H289" s="259">
        <v>35648</v>
      </c>
      <c r="I289" s="259">
        <v>71296</v>
      </c>
      <c r="J289" s="259">
        <v>0</v>
      </c>
      <c r="K289" s="259">
        <v>71296</v>
      </c>
      <c r="L289" s="259">
        <v>5704</v>
      </c>
      <c r="M289" s="259">
        <v>77000</v>
      </c>
      <c r="N289" s="118">
        <v>1.21E-2</v>
      </c>
      <c r="O289" s="411" t="s">
        <v>1086</v>
      </c>
    </row>
    <row r="290" spans="1:15" ht="18" customHeight="1" x14ac:dyDescent="0.25">
      <c r="A290" s="115">
        <v>4</v>
      </c>
      <c r="B290" s="116" t="s">
        <v>92</v>
      </c>
      <c r="C290" s="115">
        <v>33</v>
      </c>
      <c r="D290" s="119" t="s">
        <v>91</v>
      </c>
      <c r="E290" s="119" t="s">
        <v>1139</v>
      </c>
      <c r="F290" s="116" t="s">
        <v>1085</v>
      </c>
      <c r="G290" s="280">
        <v>1</v>
      </c>
      <c r="H290" s="259">
        <v>1852</v>
      </c>
      <c r="I290" s="259">
        <v>1852</v>
      </c>
      <c r="J290" s="259">
        <v>0</v>
      </c>
      <c r="K290" s="259">
        <v>1852</v>
      </c>
      <c r="L290" s="259">
        <v>148</v>
      </c>
      <c r="M290" s="259">
        <v>2000</v>
      </c>
      <c r="N290" s="118">
        <v>2.9999999999999997E-4</v>
      </c>
      <c r="O290" s="411" t="s">
        <v>1086</v>
      </c>
    </row>
    <row r="291" spans="1:15" ht="18" customHeight="1" x14ac:dyDescent="0.25">
      <c r="A291" s="115">
        <v>5</v>
      </c>
      <c r="B291" s="116" t="s">
        <v>94</v>
      </c>
      <c r="C291" s="115">
        <v>73</v>
      </c>
      <c r="D291" s="119" t="s">
        <v>91</v>
      </c>
      <c r="E291" s="119" t="s">
        <v>1084</v>
      </c>
      <c r="F291" s="116" t="s">
        <v>1085</v>
      </c>
      <c r="G291" s="280">
        <v>29</v>
      </c>
      <c r="H291" s="259">
        <v>2593</v>
      </c>
      <c r="I291" s="259">
        <v>75185</v>
      </c>
      <c r="J291" s="259">
        <v>0</v>
      </c>
      <c r="K291" s="259">
        <v>75185</v>
      </c>
      <c r="L291" s="259">
        <v>6015</v>
      </c>
      <c r="M291" s="259">
        <v>81200</v>
      </c>
      <c r="N291" s="118">
        <v>7.3000000000000001E-3</v>
      </c>
      <c r="O291" s="411" t="s">
        <v>1086</v>
      </c>
    </row>
    <row r="292" spans="1:15" ht="18" customHeight="1" x14ac:dyDescent="0.25">
      <c r="A292" s="115">
        <v>5</v>
      </c>
      <c r="B292" s="116" t="s">
        <v>94</v>
      </c>
      <c r="C292" s="115">
        <v>65</v>
      </c>
      <c r="D292" s="119" t="s">
        <v>91</v>
      </c>
      <c r="E292" s="119" t="s">
        <v>1087</v>
      </c>
      <c r="F292" s="116" t="s">
        <v>1085</v>
      </c>
      <c r="G292" s="280">
        <v>2</v>
      </c>
      <c r="H292" s="259">
        <v>2778</v>
      </c>
      <c r="I292" s="259">
        <v>5556</v>
      </c>
      <c r="J292" s="259">
        <v>0</v>
      </c>
      <c r="K292" s="259">
        <v>5556</v>
      </c>
      <c r="L292" s="259">
        <v>444</v>
      </c>
      <c r="M292" s="259">
        <v>6000</v>
      </c>
      <c r="N292" s="118">
        <v>5.0000000000000001E-4</v>
      </c>
      <c r="O292" s="411" t="s">
        <v>1086</v>
      </c>
    </row>
    <row r="293" spans="1:15" ht="18" customHeight="1" x14ac:dyDescent="0.25">
      <c r="A293" s="115">
        <v>5</v>
      </c>
      <c r="B293" s="116" t="s">
        <v>94</v>
      </c>
      <c r="C293" s="115">
        <v>12</v>
      </c>
      <c r="D293" s="119" t="s">
        <v>93</v>
      </c>
      <c r="E293" s="119" t="s">
        <v>1089</v>
      </c>
      <c r="F293" s="116" t="s">
        <v>1085</v>
      </c>
      <c r="G293" s="280">
        <v>3</v>
      </c>
      <c r="H293" s="259">
        <v>41667</v>
      </c>
      <c r="I293" s="259">
        <v>125000</v>
      </c>
      <c r="J293" s="259">
        <v>0</v>
      </c>
      <c r="K293" s="259">
        <v>125000</v>
      </c>
      <c r="L293" s="259">
        <v>10000</v>
      </c>
      <c r="M293" s="259">
        <v>135000</v>
      </c>
      <c r="N293" s="118">
        <v>1.21E-2</v>
      </c>
      <c r="O293" s="411" t="s">
        <v>1086</v>
      </c>
    </row>
    <row r="294" spans="1:15" ht="18" customHeight="1" x14ac:dyDescent="0.25">
      <c r="A294" s="115">
        <v>5</v>
      </c>
      <c r="B294" s="116" t="s">
        <v>94</v>
      </c>
      <c r="C294" s="115">
        <v>40</v>
      </c>
      <c r="D294" s="119" t="s">
        <v>87</v>
      </c>
      <c r="E294" s="119" t="s">
        <v>1143</v>
      </c>
      <c r="F294" s="116" t="s">
        <v>1085</v>
      </c>
      <c r="G294" s="280">
        <v>2</v>
      </c>
      <c r="H294" s="259">
        <v>55093</v>
      </c>
      <c r="I294" s="259">
        <v>110185</v>
      </c>
      <c r="J294" s="259">
        <v>0</v>
      </c>
      <c r="K294" s="259">
        <v>110185</v>
      </c>
      <c r="L294" s="259">
        <v>8815</v>
      </c>
      <c r="M294" s="259">
        <v>119000</v>
      </c>
      <c r="N294" s="118">
        <v>1.0699999999999999E-2</v>
      </c>
      <c r="O294" s="411" t="s">
        <v>1086</v>
      </c>
    </row>
    <row r="295" spans="1:15" ht="18" customHeight="1" x14ac:dyDescent="0.25">
      <c r="A295" s="115">
        <v>5</v>
      </c>
      <c r="B295" s="116" t="s">
        <v>94</v>
      </c>
      <c r="C295" s="115">
        <v>131</v>
      </c>
      <c r="D295" s="119" t="s">
        <v>87</v>
      </c>
      <c r="E295" s="119" t="s">
        <v>1144</v>
      </c>
      <c r="F295" s="116" t="s">
        <v>1085</v>
      </c>
      <c r="G295" s="280">
        <v>1</v>
      </c>
      <c r="H295" s="259">
        <v>278</v>
      </c>
      <c r="I295" s="259">
        <v>278</v>
      </c>
      <c r="J295" s="259">
        <v>0</v>
      </c>
      <c r="K295" s="259">
        <v>278</v>
      </c>
      <c r="L295" s="259">
        <v>22</v>
      </c>
      <c r="M295" s="259">
        <v>300</v>
      </c>
      <c r="N295" s="118">
        <v>0</v>
      </c>
      <c r="O295" s="411" t="s">
        <v>1086</v>
      </c>
    </row>
    <row r="296" spans="1:15" ht="18" customHeight="1" x14ac:dyDescent="0.25">
      <c r="A296" s="115">
        <v>5</v>
      </c>
      <c r="B296" s="116" t="s">
        <v>94</v>
      </c>
      <c r="C296" s="115">
        <v>95</v>
      </c>
      <c r="D296" s="119" t="s">
        <v>87</v>
      </c>
      <c r="E296" s="119" t="s">
        <v>1090</v>
      </c>
      <c r="F296" s="116" t="s">
        <v>1085</v>
      </c>
      <c r="G296" s="280">
        <v>4</v>
      </c>
      <c r="H296" s="259">
        <v>926</v>
      </c>
      <c r="I296" s="259">
        <v>3704</v>
      </c>
      <c r="J296" s="259">
        <v>0</v>
      </c>
      <c r="K296" s="259">
        <v>3704</v>
      </c>
      <c r="L296" s="259">
        <v>296</v>
      </c>
      <c r="M296" s="259">
        <v>4000</v>
      </c>
      <c r="N296" s="118">
        <v>4.0000000000000002E-4</v>
      </c>
      <c r="O296" s="411" t="s">
        <v>1086</v>
      </c>
    </row>
    <row r="297" spans="1:15" ht="18" customHeight="1" x14ac:dyDescent="0.25">
      <c r="A297" s="115">
        <v>5</v>
      </c>
      <c r="B297" s="116" t="s">
        <v>94</v>
      </c>
      <c r="C297" s="115">
        <v>54</v>
      </c>
      <c r="D297" s="119" t="s">
        <v>91</v>
      </c>
      <c r="E297" s="119" t="s">
        <v>1145</v>
      </c>
      <c r="F297" s="116" t="s">
        <v>1085</v>
      </c>
      <c r="G297" s="280">
        <v>1</v>
      </c>
      <c r="H297" s="259">
        <v>2315</v>
      </c>
      <c r="I297" s="259">
        <v>2315</v>
      </c>
      <c r="J297" s="259">
        <v>0</v>
      </c>
      <c r="K297" s="259">
        <v>2315</v>
      </c>
      <c r="L297" s="259">
        <v>185</v>
      </c>
      <c r="M297" s="259">
        <v>2500</v>
      </c>
      <c r="N297" s="118">
        <v>2.0000000000000001E-4</v>
      </c>
      <c r="O297" s="411" t="s">
        <v>1086</v>
      </c>
    </row>
    <row r="298" spans="1:15" ht="18" customHeight="1" x14ac:dyDescent="0.25">
      <c r="A298" s="115">
        <v>5</v>
      </c>
      <c r="B298" s="116" t="s">
        <v>94</v>
      </c>
      <c r="C298" s="115">
        <v>5</v>
      </c>
      <c r="D298" s="119" t="s">
        <v>89</v>
      </c>
      <c r="E298" s="119" t="s">
        <v>1146</v>
      </c>
      <c r="F298" s="116" t="s">
        <v>1085</v>
      </c>
      <c r="G298" s="280">
        <v>1</v>
      </c>
      <c r="H298" s="259">
        <v>11111</v>
      </c>
      <c r="I298" s="259">
        <v>11111</v>
      </c>
      <c r="J298" s="259">
        <v>0</v>
      </c>
      <c r="K298" s="259">
        <v>11111</v>
      </c>
      <c r="L298" s="259">
        <v>889</v>
      </c>
      <c r="M298" s="259">
        <v>12000</v>
      </c>
      <c r="N298" s="118">
        <v>1.1000000000000001E-3</v>
      </c>
      <c r="O298" s="411" t="s">
        <v>1086</v>
      </c>
    </row>
    <row r="299" spans="1:15" ht="18" customHeight="1" x14ac:dyDescent="0.25">
      <c r="A299" s="115">
        <v>5</v>
      </c>
      <c r="B299" s="116" t="s">
        <v>94</v>
      </c>
      <c r="C299" s="115">
        <v>136</v>
      </c>
      <c r="D299" s="119" t="s">
        <v>89</v>
      </c>
      <c r="E299" s="119" t="s">
        <v>1091</v>
      </c>
      <c r="F299" s="116" t="s">
        <v>1085</v>
      </c>
      <c r="G299" s="280">
        <v>5</v>
      </c>
      <c r="H299" s="259">
        <v>24074</v>
      </c>
      <c r="I299" s="259">
        <v>120370</v>
      </c>
      <c r="J299" s="259">
        <v>0</v>
      </c>
      <c r="K299" s="259">
        <v>120370</v>
      </c>
      <c r="L299" s="259">
        <v>9630</v>
      </c>
      <c r="M299" s="259">
        <v>130000</v>
      </c>
      <c r="N299" s="118">
        <v>1.1599999999999999E-2</v>
      </c>
      <c r="O299" s="411" t="s">
        <v>1086</v>
      </c>
    </row>
    <row r="300" spans="1:15" ht="18" customHeight="1" x14ac:dyDescent="0.25">
      <c r="A300" s="115">
        <v>5</v>
      </c>
      <c r="B300" s="116" t="s">
        <v>94</v>
      </c>
      <c r="C300" s="115">
        <v>135</v>
      </c>
      <c r="D300" s="119" t="s">
        <v>89</v>
      </c>
      <c r="E300" s="119" t="s">
        <v>1175</v>
      </c>
      <c r="F300" s="116" t="s">
        <v>1085</v>
      </c>
      <c r="G300" s="280">
        <v>2</v>
      </c>
      <c r="H300" s="259">
        <v>13889</v>
      </c>
      <c r="I300" s="259">
        <v>27778</v>
      </c>
      <c r="J300" s="259">
        <v>0</v>
      </c>
      <c r="K300" s="259">
        <v>27778</v>
      </c>
      <c r="L300" s="259">
        <v>2222</v>
      </c>
      <c r="M300" s="259">
        <v>30000</v>
      </c>
      <c r="N300" s="118">
        <v>2.7000000000000001E-3</v>
      </c>
      <c r="O300" s="411" t="s">
        <v>1086</v>
      </c>
    </row>
    <row r="301" spans="1:15" ht="18" customHeight="1" x14ac:dyDescent="0.25">
      <c r="A301" s="115">
        <v>5</v>
      </c>
      <c r="B301" s="116" t="s">
        <v>94</v>
      </c>
      <c r="C301" s="115">
        <v>6</v>
      </c>
      <c r="D301" s="119" t="s">
        <v>89</v>
      </c>
      <c r="E301" s="119" t="s">
        <v>1147</v>
      </c>
      <c r="F301" s="116" t="s">
        <v>1085</v>
      </c>
      <c r="G301" s="280">
        <v>1</v>
      </c>
      <c r="H301" s="259">
        <v>14815</v>
      </c>
      <c r="I301" s="259">
        <v>14815</v>
      </c>
      <c r="J301" s="259">
        <v>0</v>
      </c>
      <c r="K301" s="259">
        <v>14815</v>
      </c>
      <c r="L301" s="259">
        <v>1185</v>
      </c>
      <c r="M301" s="259">
        <v>16000</v>
      </c>
      <c r="N301" s="118">
        <v>1.4E-3</v>
      </c>
      <c r="O301" s="411" t="s">
        <v>1086</v>
      </c>
    </row>
    <row r="302" spans="1:15" ht="18" customHeight="1" x14ac:dyDescent="0.25">
      <c r="A302" s="115">
        <v>5</v>
      </c>
      <c r="B302" s="116" t="s">
        <v>94</v>
      </c>
      <c r="C302" s="115">
        <v>311</v>
      </c>
      <c r="D302" s="119" t="s">
        <v>93</v>
      </c>
      <c r="E302" s="119" t="s">
        <v>1092</v>
      </c>
      <c r="F302" s="116" t="s">
        <v>1085</v>
      </c>
      <c r="G302" s="280">
        <v>1</v>
      </c>
      <c r="H302" s="259">
        <v>44907</v>
      </c>
      <c r="I302" s="259">
        <v>44907</v>
      </c>
      <c r="J302" s="259">
        <v>0</v>
      </c>
      <c r="K302" s="259">
        <v>44907</v>
      </c>
      <c r="L302" s="259">
        <v>3593</v>
      </c>
      <c r="M302" s="259">
        <v>48500</v>
      </c>
      <c r="N302" s="118">
        <v>4.3E-3</v>
      </c>
      <c r="O302" s="411" t="s">
        <v>1086</v>
      </c>
    </row>
    <row r="303" spans="1:15" ht="18" customHeight="1" x14ac:dyDescent="0.25">
      <c r="A303" s="115">
        <v>5</v>
      </c>
      <c r="B303" s="116" t="s">
        <v>94</v>
      </c>
      <c r="C303" s="115">
        <v>87</v>
      </c>
      <c r="D303" s="119" t="s">
        <v>89</v>
      </c>
      <c r="E303" s="119" t="s">
        <v>147</v>
      </c>
      <c r="F303" s="116" t="s">
        <v>1085</v>
      </c>
      <c r="G303" s="280">
        <v>6</v>
      </c>
      <c r="H303" s="259">
        <v>37500</v>
      </c>
      <c r="I303" s="259">
        <v>225000</v>
      </c>
      <c r="J303" s="259">
        <v>0</v>
      </c>
      <c r="K303" s="259">
        <v>225000</v>
      </c>
      <c r="L303" s="259">
        <v>18000</v>
      </c>
      <c r="M303" s="259">
        <v>243000</v>
      </c>
      <c r="N303" s="118">
        <v>2.18E-2</v>
      </c>
      <c r="O303" s="411" t="s">
        <v>1086</v>
      </c>
    </row>
    <row r="304" spans="1:15" ht="18" customHeight="1" x14ac:dyDescent="0.25">
      <c r="A304" s="115">
        <v>5</v>
      </c>
      <c r="B304" s="116" t="s">
        <v>94</v>
      </c>
      <c r="C304" s="115">
        <v>206</v>
      </c>
      <c r="D304" s="119" t="s">
        <v>93</v>
      </c>
      <c r="E304" s="119" t="s">
        <v>1093</v>
      </c>
      <c r="F304" s="116" t="s">
        <v>1085</v>
      </c>
      <c r="G304" s="280">
        <v>3</v>
      </c>
      <c r="H304" s="259">
        <v>44907</v>
      </c>
      <c r="I304" s="259">
        <v>134722</v>
      </c>
      <c r="J304" s="259">
        <v>0</v>
      </c>
      <c r="K304" s="259">
        <v>134722</v>
      </c>
      <c r="L304" s="259">
        <v>10778</v>
      </c>
      <c r="M304" s="259">
        <v>145500</v>
      </c>
      <c r="N304" s="118">
        <v>1.2999999999999999E-2</v>
      </c>
      <c r="O304" s="411" t="s">
        <v>1086</v>
      </c>
    </row>
    <row r="305" spans="1:15" ht="18" customHeight="1" x14ac:dyDescent="0.25">
      <c r="A305" s="115">
        <v>5</v>
      </c>
      <c r="B305" s="116" t="s">
        <v>94</v>
      </c>
      <c r="C305" s="115">
        <v>246</v>
      </c>
      <c r="D305" s="119" t="s">
        <v>91</v>
      </c>
      <c r="E305" s="119" t="s">
        <v>1095</v>
      </c>
      <c r="F305" s="116" t="s">
        <v>1085</v>
      </c>
      <c r="G305" s="280">
        <v>1</v>
      </c>
      <c r="H305" s="259">
        <v>6481</v>
      </c>
      <c r="I305" s="259">
        <v>6481</v>
      </c>
      <c r="J305" s="259">
        <v>0</v>
      </c>
      <c r="K305" s="259">
        <v>6481</v>
      </c>
      <c r="L305" s="259">
        <v>519</v>
      </c>
      <c r="M305" s="259">
        <v>7000</v>
      </c>
      <c r="N305" s="118">
        <v>5.9999999999999995E-4</v>
      </c>
      <c r="O305" s="411" t="s">
        <v>1086</v>
      </c>
    </row>
    <row r="306" spans="1:15" ht="18" customHeight="1" x14ac:dyDescent="0.25">
      <c r="A306" s="115">
        <v>5</v>
      </c>
      <c r="B306" s="116" t="s">
        <v>94</v>
      </c>
      <c r="C306" s="115">
        <v>264</v>
      </c>
      <c r="D306" s="119" t="s">
        <v>91</v>
      </c>
      <c r="E306" s="119" t="s">
        <v>1148</v>
      </c>
      <c r="F306" s="116" t="s">
        <v>1085</v>
      </c>
      <c r="G306" s="280">
        <v>1</v>
      </c>
      <c r="H306" s="259">
        <v>4630</v>
      </c>
      <c r="I306" s="259">
        <v>4630</v>
      </c>
      <c r="J306" s="259">
        <v>0</v>
      </c>
      <c r="K306" s="259">
        <v>4630</v>
      </c>
      <c r="L306" s="259">
        <v>370</v>
      </c>
      <c r="M306" s="259">
        <v>5000</v>
      </c>
      <c r="N306" s="118">
        <v>4.0000000000000002E-4</v>
      </c>
      <c r="O306" s="411" t="s">
        <v>1086</v>
      </c>
    </row>
    <row r="307" spans="1:15" ht="18" customHeight="1" x14ac:dyDescent="0.25">
      <c r="A307" s="115">
        <v>5</v>
      </c>
      <c r="B307" s="116" t="s">
        <v>94</v>
      </c>
      <c r="C307" s="115">
        <v>70</v>
      </c>
      <c r="D307" s="119" t="s">
        <v>91</v>
      </c>
      <c r="E307" s="119" t="s">
        <v>1096</v>
      </c>
      <c r="F307" s="116" t="s">
        <v>1085</v>
      </c>
      <c r="G307" s="280">
        <v>5</v>
      </c>
      <c r="H307" s="259">
        <v>4630</v>
      </c>
      <c r="I307" s="259">
        <v>23148</v>
      </c>
      <c r="J307" s="259">
        <v>0</v>
      </c>
      <c r="K307" s="259">
        <v>23148</v>
      </c>
      <c r="L307" s="259">
        <v>1852</v>
      </c>
      <c r="M307" s="259">
        <v>25000</v>
      </c>
      <c r="N307" s="118">
        <v>2.2000000000000001E-3</v>
      </c>
      <c r="O307" s="411" t="s">
        <v>1086</v>
      </c>
    </row>
    <row r="308" spans="1:15" ht="18" customHeight="1" x14ac:dyDescent="0.25">
      <c r="A308" s="115">
        <v>5</v>
      </c>
      <c r="B308" s="116" t="s">
        <v>94</v>
      </c>
      <c r="C308" s="115">
        <v>71</v>
      </c>
      <c r="D308" s="119" t="s">
        <v>91</v>
      </c>
      <c r="E308" s="119" t="s">
        <v>1097</v>
      </c>
      <c r="F308" s="116" t="s">
        <v>1085</v>
      </c>
      <c r="G308" s="280">
        <v>4</v>
      </c>
      <c r="H308" s="259">
        <v>5556</v>
      </c>
      <c r="I308" s="259">
        <v>22222</v>
      </c>
      <c r="J308" s="259">
        <v>0</v>
      </c>
      <c r="K308" s="259">
        <v>22222</v>
      </c>
      <c r="L308" s="259">
        <v>1778</v>
      </c>
      <c r="M308" s="259">
        <v>24000</v>
      </c>
      <c r="N308" s="118">
        <v>2.2000000000000001E-3</v>
      </c>
      <c r="O308" s="411" t="s">
        <v>1086</v>
      </c>
    </row>
    <row r="309" spans="1:15" ht="18" customHeight="1" x14ac:dyDescent="0.25">
      <c r="A309" s="115">
        <v>5</v>
      </c>
      <c r="B309" s="116" t="s">
        <v>94</v>
      </c>
      <c r="C309" s="115">
        <v>83</v>
      </c>
      <c r="D309" s="119" t="s">
        <v>87</v>
      </c>
      <c r="E309" s="119" t="s">
        <v>1098</v>
      </c>
      <c r="F309" s="116" t="s">
        <v>1085</v>
      </c>
      <c r="G309" s="280">
        <v>2</v>
      </c>
      <c r="H309" s="259">
        <v>20833</v>
      </c>
      <c r="I309" s="259">
        <v>41667</v>
      </c>
      <c r="J309" s="259">
        <v>0</v>
      </c>
      <c r="K309" s="259">
        <v>41667</v>
      </c>
      <c r="L309" s="259">
        <v>3333</v>
      </c>
      <c r="M309" s="259">
        <v>45000</v>
      </c>
      <c r="N309" s="118">
        <v>4.0000000000000001E-3</v>
      </c>
      <c r="O309" s="411" t="s">
        <v>1086</v>
      </c>
    </row>
    <row r="310" spans="1:15" ht="18" customHeight="1" x14ac:dyDescent="0.25">
      <c r="A310" s="115">
        <v>5</v>
      </c>
      <c r="B310" s="116" t="s">
        <v>94</v>
      </c>
      <c r="C310" s="115">
        <v>43</v>
      </c>
      <c r="D310" s="119" t="s">
        <v>87</v>
      </c>
      <c r="E310" s="119" t="s">
        <v>1099</v>
      </c>
      <c r="F310" s="116" t="s">
        <v>1085</v>
      </c>
      <c r="G310" s="280">
        <v>1</v>
      </c>
      <c r="H310" s="259">
        <v>8333</v>
      </c>
      <c r="I310" s="259">
        <v>8333</v>
      </c>
      <c r="J310" s="259">
        <v>0</v>
      </c>
      <c r="K310" s="259">
        <v>8333</v>
      </c>
      <c r="L310" s="259">
        <v>667</v>
      </c>
      <c r="M310" s="259">
        <v>9000</v>
      </c>
      <c r="N310" s="118">
        <v>8.0000000000000004E-4</v>
      </c>
      <c r="O310" s="411" t="s">
        <v>1086</v>
      </c>
    </row>
    <row r="311" spans="1:15" ht="18" customHeight="1" x14ac:dyDescent="0.25">
      <c r="A311" s="115">
        <v>5</v>
      </c>
      <c r="B311" s="116" t="s">
        <v>94</v>
      </c>
      <c r="C311" s="115">
        <v>37</v>
      </c>
      <c r="D311" s="119" t="s">
        <v>87</v>
      </c>
      <c r="E311" s="119" t="s">
        <v>1185</v>
      </c>
      <c r="F311" s="116" t="s">
        <v>1085</v>
      </c>
      <c r="G311" s="280">
        <v>1</v>
      </c>
      <c r="H311" s="259">
        <v>8333</v>
      </c>
      <c r="I311" s="259">
        <v>8333</v>
      </c>
      <c r="J311" s="259">
        <v>0</v>
      </c>
      <c r="K311" s="259">
        <v>8333</v>
      </c>
      <c r="L311" s="259">
        <v>667</v>
      </c>
      <c r="M311" s="259">
        <v>9000</v>
      </c>
      <c r="N311" s="118">
        <v>8.0000000000000004E-4</v>
      </c>
      <c r="O311" s="411" t="s">
        <v>1086</v>
      </c>
    </row>
    <row r="312" spans="1:15" ht="18" customHeight="1" x14ac:dyDescent="0.25">
      <c r="A312" s="115">
        <v>5</v>
      </c>
      <c r="B312" s="116" t="s">
        <v>94</v>
      </c>
      <c r="C312" s="115">
        <v>41</v>
      </c>
      <c r="D312" s="119" t="s">
        <v>87</v>
      </c>
      <c r="E312" s="119" t="s">
        <v>168</v>
      </c>
      <c r="F312" s="116" t="s">
        <v>1085</v>
      </c>
      <c r="G312" s="280">
        <v>5</v>
      </c>
      <c r="H312" s="259">
        <v>49074</v>
      </c>
      <c r="I312" s="259">
        <v>245370</v>
      </c>
      <c r="J312" s="259">
        <v>0</v>
      </c>
      <c r="K312" s="259">
        <v>245370</v>
      </c>
      <c r="L312" s="259">
        <v>19630</v>
      </c>
      <c r="M312" s="259">
        <v>265000</v>
      </c>
      <c r="N312" s="118">
        <v>2.3699999999999999E-2</v>
      </c>
      <c r="O312" s="411" t="s">
        <v>1086</v>
      </c>
    </row>
    <row r="313" spans="1:15" ht="18" customHeight="1" x14ac:dyDescent="0.25">
      <c r="A313" s="115">
        <v>5</v>
      </c>
      <c r="B313" s="116" t="s">
        <v>94</v>
      </c>
      <c r="C313" s="115">
        <v>122</v>
      </c>
      <c r="D313" s="119" t="s">
        <v>91</v>
      </c>
      <c r="E313" s="119" t="s">
        <v>1100</v>
      </c>
      <c r="F313" s="116" t="s">
        <v>1085</v>
      </c>
      <c r="G313" s="280">
        <v>7</v>
      </c>
      <c r="H313" s="259">
        <v>2778</v>
      </c>
      <c r="I313" s="259">
        <v>19444</v>
      </c>
      <c r="J313" s="259">
        <v>0</v>
      </c>
      <c r="K313" s="259">
        <v>19444</v>
      </c>
      <c r="L313" s="259">
        <v>1556</v>
      </c>
      <c r="M313" s="259">
        <v>21000</v>
      </c>
      <c r="N313" s="118">
        <v>1.9E-3</v>
      </c>
      <c r="O313" s="411" t="s">
        <v>1086</v>
      </c>
    </row>
    <row r="314" spans="1:15" ht="18" customHeight="1" x14ac:dyDescent="0.25">
      <c r="A314" s="115">
        <v>5</v>
      </c>
      <c r="B314" s="116" t="s">
        <v>94</v>
      </c>
      <c r="C314" s="115">
        <v>42</v>
      </c>
      <c r="D314" s="119" t="s">
        <v>87</v>
      </c>
      <c r="E314" s="119" t="s">
        <v>359</v>
      </c>
      <c r="F314" s="116" t="s">
        <v>1085</v>
      </c>
      <c r="G314" s="280">
        <v>5</v>
      </c>
      <c r="H314" s="259">
        <v>32407</v>
      </c>
      <c r="I314" s="259">
        <v>162037</v>
      </c>
      <c r="J314" s="259">
        <v>0</v>
      </c>
      <c r="K314" s="259">
        <v>162037</v>
      </c>
      <c r="L314" s="259">
        <v>12963</v>
      </c>
      <c r="M314" s="259">
        <v>175000</v>
      </c>
      <c r="N314" s="118">
        <v>1.5699999999999999E-2</v>
      </c>
      <c r="O314" s="411" t="s">
        <v>1086</v>
      </c>
    </row>
    <row r="315" spans="1:15" ht="18" customHeight="1" x14ac:dyDescent="0.25">
      <c r="A315" s="115">
        <v>5</v>
      </c>
      <c r="B315" s="116" t="s">
        <v>94</v>
      </c>
      <c r="C315" s="115">
        <v>44</v>
      </c>
      <c r="D315" s="119" t="s">
        <v>87</v>
      </c>
      <c r="E315" s="119" t="s">
        <v>138</v>
      </c>
      <c r="F315" s="116" t="s">
        <v>1085</v>
      </c>
      <c r="G315" s="280">
        <v>16</v>
      </c>
      <c r="H315" s="259">
        <v>28241</v>
      </c>
      <c r="I315" s="259">
        <v>451852</v>
      </c>
      <c r="J315" s="259">
        <v>0</v>
      </c>
      <c r="K315" s="259">
        <v>451852</v>
      </c>
      <c r="L315" s="259">
        <v>36148</v>
      </c>
      <c r="M315" s="259">
        <v>488000</v>
      </c>
      <c r="N315" s="118">
        <v>4.3700000000000003E-2</v>
      </c>
      <c r="O315" s="411" t="s">
        <v>1086</v>
      </c>
    </row>
    <row r="316" spans="1:15" ht="18" customHeight="1" x14ac:dyDescent="0.25">
      <c r="A316" s="115">
        <v>5</v>
      </c>
      <c r="B316" s="116" t="s">
        <v>94</v>
      </c>
      <c r="C316" s="115">
        <v>110</v>
      </c>
      <c r="D316" s="119" t="s">
        <v>99</v>
      </c>
      <c r="E316" s="119" t="s">
        <v>1101</v>
      </c>
      <c r="F316" s="116" t="s">
        <v>1085</v>
      </c>
      <c r="G316" s="280">
        <v>25</v>
      </c>
      <c r="H316" s="259">
        <v>926</v>
      </c>
      <c r="I316" s="259">
        <v>23148</v>
      </c>
      <c r="J316" s="259">
        <v>0</v>
      </c>
      <c r="K316" s="259">
        <v>23148</v>
      </c>
      <c r="L316" s="259">
        <v>1852</v>
      </c>
      <c r="M316" s="259">
        <v>25000</v>
      </c>
      <c r="N316" s="118">
        <v>2.2000000000000001E-3</v>
      </c>
      <c r="O316" s="411" t="s">
        <v>1086</v>
      </c>
    </row>
    <row r="317" spans="1:15" ht="18" customHeight="1" x14ac:dyDescent="0.25">
      <c r="A317" s="115">
        <v>5</v>
      </c>
      <c r="B317" s="116" t="s">
        <v>94</v>
      </c>
      <c r="C317" s="115">
        <v>102</v>
      </c>
      <c r="D317" s="119" t="s">
        <v>87</v>
      </c>
      <c r="E317" s="119" t="s">
        <v>1151</v>
      </c>
      <c r="F317" s="116" t="s">
        <v>1085</v>
      </c>
      <c r="G317" s="280">
        <v>6</v>
      </c>
      <c r="H317" s="259">
        <v>6944</v>
      </c>
      <c r="I317" s="259">
        <v>41667</v>
      </c>
      <c r="J317" s="259">
        <v>0</v>
      </c>
      <c r="K317" s="259">
        <v>41667</v>
      </c>
      <c r="L317" s="259">
        <v>3333</v>
      </c>
      <c r="M317" s="259">
        <v>45000</v>
      </c>
      <c r="N317" s="118">
        <v>4.0000000000000001E-3</v>
      </c>
      <c r="O317" s="411" t="s">
        <v>1086</v>
      </c>
    </row>
    <row r="318" spans="1:15" ht="18" customHeight="1" x14ac:dyDescent="0.25">
      <c r="A318" s="115">
        <v>5</v>
      </c>
      <c r="B318" s="116" t="s">
        <v>94</v>
      </c>
      <c r="C318" s="115">
        <v>45</v>
      </c>
      <c r="D318" s="119" t="s">
        <v>87</v>
      </c>
      <c r="E318" s="119" t="s">
        <v>1102</v>
      </c>
      <c r="F318" s="116" t="s">
        <v>1085</v>
      </c>
      <c r="G318" s="280">
        <v>4</v>
      </c>
      <c r="H318" s="259">
        <v>35648</v>
      </c>
      <c r="I318" s="259">
        <v>142593</v>
      </c>
      <c r="J318" s="259">
        <v>0</v>
      </c>
      <c r="K318" s="259">
        <v>142593</v>
      </c>
      <c r="L318" s="259">
        <v>11407</v>
      </c>
      <c r="M318" s="259">
        <v>154000</v>
      </c>
      <c r="N318" s="118">
        <v>1.38E-2</v>
      </c>
      <c r="O318" s="411" t="s">
        <v>1086</v>
      </c>
    </row>
    <row r="319" spans="1:15" ht="18" customHeight="1" x14ac:dyDescent="0.25">
      <c r="A319" s="115">
        <v>5</v>
      </c>
      <c r="B319" s="116" t="s">
        <v>94</v>
      </c>
      <c r="C319" s="115">
        <v>30</v>
      </c>
      <c r="D319" s="119" t="s">
        <v>95</v>
      </c>
      <c r="E319" s="119" t="s">
        <v>1103</v>
      </c>
      <c r="F319" s="116" t="s">
        <v>1085</v>
      </c>
      <c r="G319" s="280">
        <v>1</v>
      </c>
      <c r="H319" s="259">
        <v>6481</v>
      </c>
      <c r="I319" s="259">
        <v>6481</v>
      </c>
      <c r="J319" s="259">
        <v>0</v>
      </c>
      <c r="K319" s="259">
        <v>6481</v>
      </c>
      <c r="L319" s="259">
        <v>519</v>
      </c>
      <c r="M319" s="259">
        <v>7000</v>
      </c>
      <c r="N319" s="118">
        <v>5.9999999999999995E-4</v>
      </c>
      <c r="O319" s="411" t="s">
        <v>1086</v>
      </c>
    </row>
    <row r="320" spans="1:15" ht="18" customHeight="1" x14ac:dyDescent="0.25">
      <c r="A320" s="115">
        <v>5</v>
      </c>
      <c r="B320" s="116" t="s">
        <v>94</v>
      </c>
      <c r="C320" s="115">
        <v>305</v>
      </c>
      <c r="D320" s="119" t="s">
        <v>91</v>
      </c>
      <c r="E320" s="119" t="s">
        <v>1104</v>
      </c>
      <c r="F320" s="116" t="s">
        <v>1085</v>
      </c>
      <c r="G320" s="280">
        <v>2</v>
      </c>
      <c r="H320" s="259">
        <v>9259</v>
      </c>
      <c r="I320" s="259">
        <v>18519</v>
      </c>
      <c r="J320" s="259">
        <v>0</v>
      </c>
      <c r="K320" s="259">
        <v>18519</v>
      </c>
      <c r="L320" s="259">
        <v>1481</v>
      </c>
      <c r="M320" s="259">
        <v>20000</v>
      </c>
      <c r="N320" s="118">
        <v>1.8E-3</v>
      </c>
      <c r="O320" s="411" t="s">
        <v>1086</v>
      </c>
    </row>
    <row r="321" spans="1:15" ht="18" customHeight="1" x14ac:dyDescent="0.25">
      <c r="A321" s="115">
        <v>5</v>
      </c>
      <c r="B321" s="116" t="s">
        <v>94</v>
      </c>
      <c r="C321" s="115">
        <v>217</v>
      </c>
      <c r="D321" s="119" t="s">
        <v>89</v>
      </c>
      <c r="E321" s="119" t="s">
        <v>1105</v>
      </c>
      <c r="F321" s="116" t="s">
        <v>1085</v>
      </c>
      <c r="G321" s="280">
        <v>5</v>
      </c>
      <c r="H321" s="259">
        <v>27778</v>
      </c>
      <c r="I321" s="259">
        <v>138889</v>
      </c>
      <c r="J321" s="259">
        <v>0</v>
      </c>
      <c r="K321" s="259">
        <v>138889</v>
      </c>
      <c r="L321" s="259">
        <v>11111</v>
      </c>
      <c r="M321" s="259">
        <v>150000</v>
      </c>
      <c r="N321" s="118">
        <v>1.34E-2</v>
      </c>
      <c r="O321" s="411" t="s">
        <v>1086</v>
      </c>
    </row>
    <row r="322" spans="1:15" ht="18" customHeight="1" x14ac:dyDescent="0.25">
      <c r="A322" s="115">
        <v>5</v>
      </c>
      <c r="B322" s="116" t="s">
        <v>94</v>
      </c>
      <c r="C322" s="115">
        <v>34</v>
      </c>
      <c r="D322" s="119" t="s">
        <v>91</v>
      </c>
      <c r="E322" s="119" t="s">
        <v>1107</v>
      </c>
      <c r="F322" s="116" t="s">
        <v>1085</v>
      </c>
      <c r="G322" s="280">
        <v>5</v>
      </c>
      <c r="H322" s="259">
        <v>6481</v>
      </c>
      <c r="I322" s="259">
        <v>32407</v>
      </c>
      <c r="J322" s="259">
        <v>0</v>
      </c>
      <c r="K322" s="259">
        <v>32407</v>
      </c>
      <c r="L322" s="259">
        <v>2593</v>
      </c>
      <c r="M322" s="259">
        <v>35000</v>
      </c>
      <c r="N322" s="118">
        <v>3.0999999999999999E-3</v>
      </c>
      <c r="O322" s="411" t="s">
        <v>1086</v>
      </c>
    </row>
    <row r="323" spans="1:15" ht="18" customHeight="1" x14ac:dyDescent="0.25">
      <c r="A323" s="115">
        <v>5</v>
      </c>
      <c r="B323" s="116" t="s">
        <v>94</v>
      </c>
      <c r="C323" s="115">
        <v>66</v>
      </c>
      <c r="D323" s="119" t="s">
        <v>91</v>
      </c>
      <c r="E323" s="119" t="s">
        <v>1186</v>
      </c>
      <c r="F323" s="116" t="s">
        <v>1085</v>
      </c>
      <c r="G323" s="280">
        <v>0</v>
      </c>
      <c r="H323" s="259">
        <v>0</v>
      </c>
      <c r="I323" s="259">
        <v>0</v>
      </c>
      <c r="J323" s="259">
        <v>0</v>
      </c>
      <c r="K323" s="259">
        <v>0</v>
      </c>
      <c r="L323" s="259">
        <v>0</v>
      </c>
      <c r="M323" s="259">
        <v>0</v>
      </c>
      <c r="N323" s="118">
        <v>0</v>
      </c>
      <c r="O323" s="411" t="s">
        <v>1086</v>
      </c>
    </row>
    <row r="324" spans="1:15" ht="18" customHeight="1" x14ac:dyDescent="0.25">
      <c r="A324" s="115">
        <v>5</v>
      </c>
      <c r="B324" s="116" t="s">
        <v>94</v>
      </c>
      <c r="C324" s="115">
        <v>121</v>
      </c>
      <c r="D324" s="119" t="s">
        <v>91</v>
      </c>
      <c r="E324" s="119" t="s">
        <v>1108</v>
      </c>
      <c r="F324" s="116" t="s">
        <v>1085</v>
      </c>
      <c r="G324" s="280">
        <v>15</v>
      </c>
      <c r="H324" s="259">
        <v>2778</v>
      </c>
      <c r="I324" s="259">
        <v>41667</v>
      </c>
      <c r="J324" s="259">
        <v>0</v>
      </c>
      <c r="K324" s="259">
        <v>41667</v>
      </c>
      <c r="L324" s="259">
        <v>3333</v>
      </c>
      <c r="M324" s="259">
        <v>45000</v>
      </c>
      <c r="N324" s="118">
        <v>4.0000000000000001E-3</v>
      </c>
      <c r="O324" s="411" t="s">
        <v>1086</v>
      </c>
    </row>
    <row r="325" spans="1:15" ht="18" customHeight="1" x14ac:dyDescent="0.25">
      <c r="A325" s="115">
        <v>5</v>
      </c>
      <c r="B325" s="116" t="s">
        <v>94</v>
      </c>
      <c r="C325" s="115">
        <v>208</v>
      </c>
      <c r="D325" s="119" t="s">
        <v>91</v>
      </c>
      <c r="E325" s="119" t="s">
        <v>1109</v>
      </c>
      <c r="F325" s="116" t="s">
        <v>1085</v>
      </c>
      <c r="G325" s="280">
        <v>26</v>
      </c>
      <c r="H325" s="259">
        <v>3704</v>
      </c>
      <c r="I325" s="259">
        <v>96296</v>
      </c>
      <c r="J325" s="259">
        <v>0</v>
      </c>
      <c r="K325" s="259">
        <v>96296</v>
      </c>
      <c r="L325" s="259">
        <v>7704</v>
      </c>
      <c r="M325" s="259">
        <v>104000</v>
      </c>
      <c r="N325" s="118">
        <v>9.300000000000001E-3</v>
      </c>
      <c r="O325" s="411" t="s">
        <v>1086</v>
      </c>
    </row>
    <row r="326" spans="1:15" ht="18" customHeight="1" x14ac:dyDescent="0.25">
      <c r="A326" s="115">
        <v>5</v>
      </c>
      <c r="B326" s="116" t="s">
        <v>94</v>
      </c>
      <c r="C326" s="115">
        <v>90</v>
      </c>
      <c r="D326" s="119" t="s">
        <v>91</v>
      </c>
      <c r="E326" s="119" t="s">
        <v>572</v>
      </c>
      <c r="F326" s="116" t="s">
        <v>1085</v>
      </c>
      <c r="G326" s="280">
        <v>2</v>
      </c>
      <c r="H326" s="259">
        <v>4259</v>
      </c>
      <c r="I326" s="259">
        <v>8519</v>
      </c>
      <c r="J326" s="259">
        <v>0</v>
      </c>
      <c r="K326" s="259">
        <v>8519</v>
      </c>
      <c r="L326" s="259">
        <v>681</v>
      </c>
      <c r="M326" s="259">
        <v>9200</v>
      </c>
      <c r="N326" s="118">
        <v>8.0000000000000004E-4</v>
      </c>
      <c r="O326" s="411" t="s">
        <v>1086</v>
      </c>
    </row>
    <row r="327" spans="1:15" ht="18" customHeight="1" x14ac:dyDescent="0.25">
      <c r="A327" s="115">
        <v>5</v>
      </c>
      <c r="B327" s="116" t="s">
        <v>94</v>
      </c>
      <c r="C327" s="115">
        <v>123</v>
      </c>
      <c r="D327" s="119" t="s">
        <v>91</v>
      </c>
      <c r="E327" s="119" t="s">
        <v>1110</v>
      </c>
      <c r="F327" s="116" t="s">
        <v>1085</v>
      </c>
      <c r="G327" s="280">
        <v>6</v>
      </c>
      <c r="H327" s="259">
        <v>2778</v>
      </c>
      <c r="I327" s="259">
        <v>16667</v>
      </c>
      <c r="J327" s="259">
        <v>0</v>
      </c>
      <c r="K327" s="259">
        <v>16667</v>
      </c>
      <c r="L327" s="259">
        <v>1333</v>
      </c>
      <c r="M327" s="259">
        <v>18000</v>
      </c>
      <c r="N327" s="118">
        <v>1.6000000000000001E-3</v>
      </c>
      <c r="O327" s="411" t="s">
        <v>1086</v>
      </c>
    </row>
    <row r="328" spans="1:15" ht="18" customHeight="1" x14ac:dyDescent="0.25">
      <c r="A328" s="115">
        <v>5</v>
      </c>
      <c r="B328" s="116" t="s">
        <v>94</v>
      </c>
      <c r="C328" s="115">
        <v>31</v>
      </c>
      <c r="D328" s="119" t="s">
        <v>95</v>
      </c>
      <c r="E328" s="119" t="s">
        <v>1111</v>
      </c>
      <c r="F328" s="116" t="s">
        <v>1085</v>
      </c>
      <c r="G328" s="280">
        <v>8</v>
      </c>
      <c r="H328" s="259">
        <v>1204</v>
      </c>
      <c r="I328" s="259">
        <v>9630</v>
      </c>
      <c r="J328" s="259">
        <v>0</v>
      </c>
      <c r="K328" s="259">
        <v>9630</v>
      </c>
      <c r="L328" s="259">
        <v>770</v>
      </c>
      <c r="M328" s="259">
        <v>10400</v>
      </c>
      <c r="N328" s="118">
        <v>8.9999999999999998E-4</v>
      </c>
      <c r="O328" s="411" t="s">
        <v>1086</v>
      </c>
    </row>
    <row r="329" spans="1:15" ht="18" customHeight="1" x14ac:dyDescent="0.25">
      <c r="A329" s="115">
        <v>5</v>
      </c>
      <c r="B329" s="116" t="s">
        <v>94</v>
      </c>
      <c r="C329" s="115">
        <v>201</v>
      </c>
      <c r="D329" s="119" t="s">
        <v>91</v>
      </c>
      <c r="E329" s="119" t="s">
        <v>1187</v>
      </c>
      <c r="F329" s="116" t="s">
        <v>1085</v>
      </c>
      <c r="G329" s="280">
        <v>5</v>
      </c>
      <c r="H329" s="259">
        <v>18519</v>
      </c>
      <c r="I329" s="259">
        <v>92593</v>
      </c>
      <c r="J329" s="259">
        <v>0</v>
      </c>
      <c r="K329" s="259">
        <v>92593</v>
      </c>
      <c r="L329" s="259">
        <v>7407</v>
      </c>
      <c r="M329" s="259">
        <v>100000</v>
      </c>
      <c r="N329" s="118">
        <v>9.0000000000000011E-3</v>
      </c>
      <c r="O329" s="411" t="s">
        <v>1086</v>
      </c>
    </row>
    <row r="330" spans="1:15" ht="18" customHeight="1" x14ac:dyDescent="0.25">
      <c r="A330" s="115">
        <v>5</v>
      </c>
      <c r="B330" s="116" t="s">
        <v>94</v>
      </c>
      <c r="C330" s="115">
        <v>202</v>
      </c>
      <c r="D330" s="119" t="s">
        <v>91</v>
      </c>
      <c r="E330" s="119" t="s">
        <v>1188</v>
      </c>
      <c r="F330" s="116" t="s">
        <v>1085</v>
      </c>
      <c r="G330" s="280">
        <v>1</v>
      </c>
      <c r="H330" s="259">
        <v>32407</v>
      </c>
      <c r="I330" s="259">
        <v>32407</v>
      </c>
      <c r="J330" s="259">
        <v>0</v>
      </c>
      <c r="K330" s="259">
        <v>32407</v>
      </c>
      <c r="L330" s="259">
        <v>2593</v>
      </c>
      <c r="M330" s="259">
        <v>35000</v>
      </c>
      <c r="N330" s="118">
        <v>3.0999999999999999E-3</v>
      </c>
      <c r="O330" s="411" t="s">
        <v>1086</v>
      </c>
    </row>
    <row r="331" spans="1:15" ht="18" customHeight="1" x14ac:dyDescent="0.25">
      <c r="A331" s="115">
        <v>5</v>
      </c>
      <c r="B331" s="116" t="s">
        <v>94</v>
      </c>
      <c r="C331" s="115">
        <v>212</v>
      </c>
      <c r="D331" s="119" t="s">
        <v>91</v>
      </c>
      <c r="E331" s="119" t="s">
        <v>162</v>
      </c>
      <c r="F331" s="116" t="s">
        <v>1085</v>
      </c>
      <c r="G331" s="280">
        <v>6</v>
      </c>
      <c r="H331" s="259">
        <v>22222</v>
      </c>
      <c r="I331" s="259">
        <v>133333</v>
      </c>
      <c r="J331" s="259">
        <v>0</v>
      </c>
      <c r="K331" s="259">
        <v>133333</v>
      </c>
      <c r="L331" s="259">
        <v>10667</v>
      </c>
      <c r="M331" s="259">
        <v>144000</v>
      </c>
      <c r="N331" s="118">
        <v>1.29E-2</v>
      </c>
      <c r="O331" s="411" t="s">
        <v>1086</v>
      </c>
    </row>
    <row r="332" spans="1:15" ht="18" customHeight="1" x14ac:dyDescent="0.25">
      <c r="A332" s="115">
        <v>5</v>
      </c>
      <c r="B332" s="116" t="s">
        <v>94</v>
      </c>
      <c r="C332" s="115">
        <v>74</v>
      </c>
      <c r="D332" s="119" t="s">
        <v>91</v>
      </c>
      <c r="E332" s="119" t="s">
        <v>1153</v>
      </c>
      <c r="F332" s="116" t="s">
        <v>1085</v>
      </c>
      <c r="G332" s="280">
        <v>2</v>
      </c>
      <c r="H332" s="259">
        <v>6481</v>
      </c>
      <c r="I332" s="259">
        <v>12963</v>
      </c>
      <c r="J332" s="259">
        <v>0</v>
      </c>
      <c r="K332" s="259">
        <v>12963</v>
      </c>
      <c r="L332" s="259">
        <v>1037</v>
      </c>
      <c r="M332" s="259">
        <v>14000</v>
      </c>
      <c r="N332" s="118">
        <v>1.2999999999999999E-3</v>
      </c>
      <c r="O332" s="411" t="s">
        <v>1086</v>
      </c>
    </row>
    <row r="333" spans="1:15" ht="18" customHeight="1" x14ac:dyDescent="0.25">
      <c r="A333" s="115">
        <v>5</v>
      </c>
      <c r="B333" s="116" t="s">
        <v>94</v>
      </c>
      <c r="C333" s="115">
        <v>134</v>
      </c>
      <c r="D333" s="119" t="s">
        <v>91</v>
      </c>
      <c r="E333" s="119" t="s">
        <v>1168</v>
      </c>
      <c r="F333" s="116" t="s">
        <v>1085</v>
      </c>
      <c r="G333" s="280">
        <v>5</v>
      </c>
      <c r="H333" s="259">
        <v>12963</v>
      </c>
      <c r="I333" s="259">
        <v>64815</v>
      </c>
      <c r="J333" s="259">
        <v>0</v>
      </c>
      <c r="K333" s="259">
        <v>64815</v>
      </c>
      <c r="L333" s="259">
        <v>5185</v>
      </c>
      <c r="M333" s="259">
        <v>70000</v>
      </c>
      <c r="N333" s="118">
        <v>6.3E-3</v>
      </c>
      <c r="O333" s="411" t="s">
        <v>1086</v>
      </c>
    </row>
    <row r="334" spans="1:15" ht="18" customHeight="1" x14ac:dyDescent="0.25">
      <c r="A334" s="115">
        <v>5</v>
      </c>
      <c r="B334" s="116" t="s">
        <v>94</v>
      </c>
      <c r="C334" s="115">
        <v>501</v>
      </c>
      <c r="D334" s="119" t="s">
        <v>91</v>
      </c>
      <c r="E334" s="119" t="s">
        <v>1112</v>
      </c>
      <c r="F334" s="116" t="s">
        <v>1085</v>
      </c>
      <c r="G334" s="280">
        <v>1</v>
      </c>
      <c r="H334" s="259">
        <v>22222</v>
      </c>
      <c r="I334" s="259">
        <v>22222</v>
      </c>
      <c r="J334" s="259">
        <v>0</v>
      </c>
      <c r="K334" s="259">
        <v>22222</v>
      </c>
      <c r="L334" s="259">
        <v>1778</v>
      </c>
      <c r="M334" s="259">
        <v>24000</v>
      </c>
      <c r="N334" s="118">
        <v>2.2000000000000001E-3</v>
      </c>
      <c r="O334" s="411" t="s">
        <v>1086</v>
      </c>
    </row>
    <row r="335" spans="1:15" ht="18" customHeight="1" x14ac:dyDescent="0.25">
      <c r="A335" s="115">
        <v>5</v>
      </c>
      <c r="B335" s="116" t="s">
        <v>94</v>
      </c>
      <c r="C335" s="115">
        <v>75</v>
      </c>
      <c r="D335" s="119" t="s">
        <v>91</v>
      </c>
      <c r="E335" s="119" t="s">
        <v>1113</v>
      </c>
      <c r="F335" s="116" t="s">
        <v>1085</v>
      </c>
      <c r="G335" s="280">
        <v>1</v>
      </c>
      <c r="H335" s="259">
        <v>9259</v>
      </c>
      <c r="I335" s="259">
        <v>9259</v>
      </c>
      <c r="J335" s="259">
        <v>0</v>
      </c>
      <c r="K335" s="259">
        <v>9259</v>
      </c>
      <c r="L335" s="259">
        <v>741</v>
      </c>
      <c r="M335" s="259">
        <v>10000</v>
      </c>
      <c r="N335" s="118">
        <v>8.9999999999999998E-4</v>
      </c>
      <c r="O335" s="411" t="s">
        <v>1086</v>
      </c>
    </row>
    <row r="336" spans="1:15" ht="18" customHeight="1" x14ac:dyDescent="0.25">
      <c r="A336" s="115">
        <v>5</v>
      </c>
      <c r="B336" s="116" t="s">
        <v>94</v>
      </c>
      <c r="C336" s="115">
        <v>51</v>
      </c>
      <c r="D336" s="119" t="s">
        <v>87</v>
      </c>
      <c r="E336" s="119" t="s">
        <v>1189</v>
      </c>
      <c r="F336" s="116" t="s">
        <v>1085</v>
      </c>
      <c r="G336" s="280">
        <v>5</v>
      </c>
      <c r="H336" s="259">
        <v>29167</v>
      </c>
      <c r="I336" s="259">
        <v>145833</v>
      </c>
      <c r="J336" s="259">
        <v>0</v>
      </c>
      <c r="K336" s="259">
        <v>145833</v>
      </c>
      <c r="L336" s="259">
        <v>11667</v>
      </c>
      <c r="M336" s="259">
        <v>157500</v>
      </c>
      <c r="N336" s="118">
        <v>1.41E-2</v>
      </c>
      <c r="O336" s="411" t="s">
        <v>1086</v>
      </c>
    </row>
    <row r="337" spans="1:15" ht="18" customHeight="1" x14ac:dyDescent="0.25">
      <c r="A337" s="115">
        <v>5</v>
      </c>
      <c r="B337" s="116" t="s">
        <v>94</v>
      </c>
      <c r="C337" s="115">
        <v>88</v>
      </c>
      <c r="D337" s="119" t="s">
        <v>87</v>
      </c>
      <c r="E337" s="119" t="s">
        <v>132</v>
      </c>
      <c r="F337" s="116" t="s">
        <v>1085</v>
      </c>
      <c r="G337" s="280">
        <v>21</v>
      </c>
      <c r="H337" s="259">
        <v>32870</v>
      </c>
      <c r="I337" s="259">
        <v>690278</v>
      </c>
      <c r="J337" s="259">
        <v>0</v>
      </c>
      <c r="K337" s="259">
        <v>690278</v>
      </c>
      <c r="L337" s="259">
        <v>55222</v>
      </c>
      <c r="M337" s="259">
        <v>745500</v>
      </c>
      <c r="N337" s="118">
        <v>6.6799999999999998E-2</v>
      </c>
      <c r="O337" s="411" t="s">
        <v>1086</v>
      </c>
    </row>
    <row r="338" spans="1:15" ht="18" customHeight="1" x14ac:dyDescent="0.25">
      <c r="A338" s="115">
        <v>5</v>
      </c>
      <c r="B338" s="116" t="s">
        <v>94</v>
      </c>
      <c r="C338" s="115">
        <v>118</v>
      </c>
      <c r="D338" s="119" t="s">
        <v>87</v>
      </c>
      <c r="E338" s="119" t="s">
        <v>126</v>
      </c>
      <c r="F338" s="116" t="s">
        <v>1085</v>
      </c>
      <c r="G338" s="280">
        <v>10</v>
      </c>
      <c r="H338" s="259">
        <v>41667</v>
      </c>
      <c r="I338" s="259">
        <v>416667</v>
      </c>
      <c r="J338" s="259">
        <v>0</v>
      </c>
      <c r="K338" s="259">
        <v>416667</v>
      </c>
      <c r="L338" s="259">
        <v>33333</v>
      </c>
      <c r="M338" s="259">
        <v>450000</v>
      </c>
      <c r="N338" s="118">
        <v>4.0300000000000002E-2</v>
      </c>
      <c r="O338" s="411" t="s">
        <v>1086</v>
      </c>
    </row>
    <row r="339" spans="1:15" ht="18" customHeight="1" x14ac:dyDescent="0.25">
      <c r="A339" s="115">
        <v>5</v>
      </c>
      <c r="B339" s="116" t="s">
        <v>94</v>
      </c>
      <c r="C339" s="115">
        <v>205</v>
      </c>
      <c r="D339" s="119" t="s">
        <v>91</v>
      </c>
      <c r="E339" s="119" t="s">
        <v>1155</v>
      </c>
      <c r="F339" s="116" t="s">
        <v>1085</v>
      </c>
      <c r="G339" s="280">
        <v>1</v>
      </c>
      <c r="H339" s="259">
        <v>12037</v>
      </c>
      <c r="I339" s="259">
        <v>12037</v>
      </c>
      <c r="J339" s="259">
        <v>0</v>
      </c>
      <c r="K339" s="259">
        <v>12037</v>
      </c>
      <c r="L339" s="259">
        <v>963</v>
      </c>
      <c r="M339" s="259">
        <v>13000</v>
      </c>
      <c r="N339" s="118">
        <v>1.1999999999999999E-3</v>
      </c>
      <c r="O339" s="411" t="s">
        <v>1086</v>
      </c>
    </row>
    <row r="340" spans="1:15" ht="18" customHeight="1" x14ac:dyDescent="0.25">
      <c r="A340" s="115">
        <v>5</v>
      </c>
      <c r="B340" s="116" t="s">
        <v>94</v>
      </c>
      <c r="C340" s="115">
        <v>204</v>
      </c>
      <c r="D340" s="119" t="s">
        <v>91</v>
      </c>
      <c r="E340" s="119" t="s">
        <v>1114</v>
      </c>
      <c r="F340" s="116" t="s">
        <v>1085</v>
      </c>
      <c r="G340" s="280">
        <v>5</v>
      </c>
      <c r="H340" s="259">
        <v>12037</v>
      </c>
      <c r="I340" s="259">
        <v>60185</v>
      </c>
      <c r="J340" s="259">
        <v>0</v>
      </c>
      <c r="K340" s="259">
        <v>60185</v>
      </c>
      <c r="L340" s="259">
        <v>4815</v>
      </c>
      <c r="M340" s="259">
        <v>65000</v>
      </c>
      <c r="N340" s="118">
        <v>5.7999999999999996E-3</v>
      </c>
      <c r="O340" s="411" t="s">
        <v>1086</v>
      </c>
    </row>
    <row r="341" spans="1:15" ht="18" customHeight="1" x14ac:dyDescent="0.25">
      <c r="A341" s="115">
        <v>5</v>
      </c>
      <c r="B341" s="116" t="s">
        <v>94</v>
      </c>
      <c r="C341" s="115">
        <v>109</v>
      </c>
      <c r="D341" s="119" t="s">
        <v>91</v>
      </c>
      <c r="E341" s="119" t="s">
        <v>144</v>
      </c>
      <c r="F341" s="116" t="s">
        <v>1085</v>
      </c>
      <c r="G341" s="280">
        <v>32</v>
      </c>
      <c r="H341" s="259">
        <v>12963</v>
      </c>
      <c r="I341" s="259">
        <v>414815</v>
      </c>
      <c r="J341" s="259">
        <v>0</v>
      </c>
      <c r="K341" s="259">
        <v>414815</v>
      </c>
      <c r="L341" s="259">
        <v>33185</v>
      </c>
      <c r="M341" s="259">
        <v>448000</v>
      </c>
      <c r="N341" s="118">
        <v>4.0099999999999997E-2</v>
      </c>
      <c r="O341" s="411" t="s">
        <v>1086</v>
      </c>
    </row>
    <row r="342" spans="1:15" ht="18" customHeight="1" x14ac:dyDescent="0.25">
      <c r="A342" s="115">
        <v>5</v>
      </c>
      <c r="B342" s="116" t="s">
        <v>94</v>
      </c>
      <c r="C342" s="115">
        <v>147</v>
      </c>
      <c r="D342" s="119" t="s">
        <v>91</v>
      </c>
      <c r="E342" s="119" t="s">
        <v>1115</v>
      </c>
      <c r="F342" s="116" t="s">
        <v>1085</v>
      </c>
      <c r="G342" s="280">
        <v>13</v>
      </c>
      <c r="H342" s="259">
        <v>6481</v>
      </c>
      <c r="I342" s="259">
        <v>84259</v>
      </c>
      <c r="J342" s="259">
        <v>0</v>
      </c>
      <c r="K342" s="259">
        <v>84259</v>
      </c>
      <c r="L342" s="259">
        <v>6741</v>
      </c>
      <c r="M342" s="259">
        <v>91000</v>
      </c>
      <c r="N342" s="118">
        <v>8.199999999999999E-3</v>
      </c>
      <c r="O342" s="411" t="s">
        <v>1086</v>
      </c>
    </row>
    <row r="343" spans="1:15" ht="18" customHeight="1" x14ac:dyDescent="0.25">
      <c r="A343" s="115">
        <v>5</v>
      </c>
      <c r="B343" s="116" t="s">
        <v>94</v>
      </c>
      <c r="C343" s="115">
        <v>46</v>
      </c>
      <c r="D343" s="119" t="s">
        <v>87</v>
      </c>
      <c r="E343" s="119" t="s">
        <v>1116</v>
      </c>
      <c r="F343" s="116" t="s">
        <v>1085</v>
      </c>
      <c r="G343" s="280">
        <v>1</v>
      </c>
      <c r="H343" s="259">
        <v>35648</v>
      </c>
      <c r="I343" s="259">
        <v>35648</v>
      </c>
      <c r="J343" s="259">
        <v>0</v>
      </c>
      <c r="K343" s="259">
        <v>35648</v>
      </c>
      <c r="L343" s="259">
        <v>2852</v>
      </c>
      <c r="M343" s="259">
        <v>38500</v>
      </c>
      <c r="N343" s="118">
        <v>3.3999999999999998E-3</v>
      </c>
      <c r="O343" s="411" t="s">
        <v>1086</v>
      </c>
    </row>
    <row r="344" spans="1:15" ht="18" customHeight="1" x14ac:dyDescent="0.25">
      <c r="A344" s="115">
        <v>5</v>
      </c>
      <c r="B344" s="116" t="s">
        <v>94</v>
      </c>
      <c r="C344" s="115">
        <v>72</v>
      </c>
      <c r="D344" s="119" t="s">
        <v>97</v>
      </c>
      <c r="E344" s="119" t="s">
        <v>1117</v>
      </c>
      <c r="F344" s="116" t="s">
        <v>1085</v>
      </c>
      <c r="G344" s="280">
        <v>14</v>
      </c>
      <c r="H344" s="259">
        <v>3704</v>
      </c>
      <c r="I344" s="259">
        <v>51852</v>
      </c>
      <c r="J344" s="259">
        <v>0</v>
      </c>
      <c r="K344" s="259">
        <v>51852</v>
      </c>
      <c r="L344" s="259">
        <v>4148</v>
      </c>
      <c r="M344" s="259">
        <v>56000</v>
      </c>
      <c r="N344" s="118">
        <v>5.0000000000000001E-3</v>
      </c>
      <c r="O344" s="411" t="s">
        <v>1086</v>
      </c>
    </row>
    <row r="345" spans="1:15" ht="18" customHeight="1" x14ac:dyDescent="0.25">
      <c r="A345" s="115">
        <v>5</v>
      </c>
      <c r="B345" s="116" t="s">
        <v>94</v>
      </c>
      <c r="C345" s="115">
        <v>112</v>
      </c>
      <c r="D345" s="119" t="s">
        <v>87</v>
      </c>
      <c r="E345" s="119" t="s">
        <v>1118</v>
      </c>
      <c r="F345" s="116" t="s">
        <v>1085</v>
      </c>
      <c r="G345" s="280">
        <v>1</v>
      </c>
      <c r="H345" s="259">
        <v>41667</v>
      </c>
      <c r="I345" s="259">
        <v>41667</v>
      </c>
      <c r="J345" s="259">
        <v>0</v>
      </c>
      <c r="K345" s="259">
        <v>41667</v>
      </c>
      <c r="L345" s="259">
        <v>3333</v>
      </c>
      <c r="M345" s="259">
        <v>45000</v>
      </c>
      <c r="N345" s="118">
        <v>4.0000000000000001E-3</v>
      </c>
      <c r="O345" s="411" t="s">
        <v>1086</v>
      </c>
    </row>
    <row r="346" spans="1:15" ht="18" customHeight="1" x14ac:dyDescent="0.25">
      <c r="A346" s="115">
        <v>5</v>
      </c>
      <c r="B346" s="116" t="s">
        <v>94</v>
      </c>
      <c r="C346" s="115">
        <v>227</v>
      </c>
      <c r="D346" s="119" t="s">
        <v>87</v>
      </c>
      <c r="E346" s="119" t="s">
        <v>1169</v>
      </c>
      <c r="F346" s="116" t="s">
        <v>1085</v>
      </c>
      <c r="G346" s="280">
        <v>2</v>
      </c>
      <c r="H346" s="259">
        <v>1389</v>
      </c>
      <c r="I346" s="259">
        <v>2778</v>
      </c>
      <c r="J346" s="259">
        <v>0</v>
      </c>
      <c r="K346" s="259">
        <v>2778</v>
      </c>
      <c r="L346" s="259">
        <v>222</v>
      </c>
      <c r="M346" s="259">
        <v>3000</v>
      </c>
      <c r="N346" s="118">
        <v>2.9999999999999997E-4</v>
      </c>
      <c r="O346" s="411" t="s">
        <v>1086</v>
      </c>
    </row>
    <row r="347" spans="1:15" ht="18" customHeight="1" x14ac:dyDescent="0.25">
      <c r="A347" s="115">
        <v>5</v>
      </c>
      <c r="B347" s="116" t="s">
        <v>94</v>
      </c>
      <c r="C347" s="115">
        <v>101</v>
      </c>
      <c r="D347" s="119" t="s">
        <v>87</v>
      </c>
      <c r="E347" s="119" t="s">
        <v>1119</v>
      </c>
      <c r="F347" s="116" t="s">
        <v>1085</v>
      </c>
      <c r="G347" s="280">
        <v>2</v>
      </c>
      <c r="H347" s="259">
        <v>2315</v>
      </c>
      <c r="I347" s="259">
        <v>4630</v>
      </c>
      <c r="J347" s="259">
        <v>0</v>
      </c>
      <c r="K347" s="259">
        <v>4630</v>
      </c>
      <c r="L347" s="259">
        <v>370</v>
      </c>
      <c r="M347" s="259">
        <v>5000</v>
      </c>
      <c r="N347" s="118">
        <v>4.0000000000000002E-4</v>
      </c>
      <c r="O347" s="411" t="s">
        <v>1086</v>
      </c>
    </row>
    <row r="348" spans="1:15" ht="18" customHeight="1" x14ac:dyDescent="0.25">
      <c r="A348" s="115">
        <v>5</v>
      </c>
      <c r="B348" s="116" t="s">
        <v>94</v>
      </c>
      <c r="C348" s="115">
        <v>119</v>
      </c>
      <c r="D348" s="119" t="s">
        <v>89</v>
      </c>
      <c r="E348" s="119" t="s">
        <v>114</v>
      </c>
      <c r="F348" s="116" t="s">
        <v>1085</v>
      </c>
      <c r="G348" s="280">
        <v>19</v>
      </c>
      <c r="H348" s="259">
        <v>44444</v>
      </c>
      <c r="I348" s="259">
        <v>844444</v>
      </c>
      <c r="J348" s="259">
        <v>0</v>
      </c>
      <c r="K348" s="259">
        <v>844444</v>
      </c>
      <c r="L348" s="259">
        <v>67556</v>
      </c>
      <c r="M348" s="259">
        <v>912000</v>
      </c>
      <c r="N348" s="118">
        <v>8.1699999999999995E-2</v>
      </c>
      <c r="O348" s="411" t="s">
        <v>1086</v>
      </c>
    </row>
    <row r="349" spans="1:15" ht="18" customHeight="1" x14ac:dyDescent="0.25">
      <c r="A349" s="115">
        <v>5</v>
      </c>
      <c r="B349" s="116" t="s">
        <v>94</v>
      </c>
      <c r="C349" s="115">
        <v>19</v>
      </c>
      <c r="D349" s="119" t="s">
        <v>87</v>
      </c>
      <c r="E349" s="119" t="s">
        <v>1120</v>
      </c>
      <c r="F349" s="116" t="s">
        <v>1085</v>
      </c>
      <c r="G349" s="280">
        <v>4</v>
      </c>
      <c r="H349" s="259">
        <v>9259</v>
      </c>
      <c r="I349" s="259">
        <v>37037</v>
      </c>
      <c r="J349" s="259">
        <v>0</v>
      </c>
      <c r="K349" s="259">
        <v>37037</v>
      </c>
      <c r="L349" s="259">
        <v>2963</v>
      </c>
      <c r="M349" s="259">
        <v>40000</v>
      </c>
      <c r="N349" s="118">
        <v>3.5999999999999999E-3</v>
      </c>
      <c r="O349" s="411" t="s">
        <v>1086</v>
      </c>
    </row>
    <row r="350" spans="1:15" ht="18" customHeight="1" x14ac:dyDescent="0.25">
      <c r="A350" s="115">
        <v>5</v>
      </c>
      <c r="B350" s="116" t="s">
        <v>94</v>
      </c>
      <c r="C350" s="115">
        <v>20</v>
      </c>
      <c r="D350" s="119" t="s">
        <v>87</v>
      </c>
      <c r="E350" s="119" t="s">
        <v>1170</v>
      </c>
      <c r="F350" s="116" t="s">
        <v>1085</v>
      </c>
      <c r="G350" s="280">
        <v>1</v>
      </c>
      <c r="H350" s="259">
        <v>6481</v>
      </c>
      <c r="I350" s="259">
        <v>6481</v>
      </c>
      <c r="J350" s="259">
        <v>0</v>
      </c>
      <c r="K350" s="259">
        <v>6481</v>
      </c>
      <c r="L350" s="259">
        <v>519</v>
      </c>
      <c r="M350" s="259">
        <v>7000</v>
      </c>
      <c r="N350" s="118">
        <v>5.9999999999999995E-4</v>
      </c>
      <c r="O350" s="411" t="s">
        <v>1086</v>
      </c>
    </row>
    <row r="351" spans="1:15" ht="18" customHeight="1" x14ac:dyDescent="0.25">
      <c r="A351" s="115">
        <v>5</v>
      </c>
      <c r="B351" s="116" t="s">
        <v>94</v>
      </c>
      <c r="C351" s="115">
        <v>48</v>
      </c>
      <c r="D351" s="119" t="s">
        <v>87</v>
      </c>
      <c r="E351" s="119" t="s">
        <v>1190</v>
      </c>
      <c r="F351" s="116" t="s">
        <v>1085</v>
      </c>
      <c r="G351" s="280">
        <v>1</v>
      </c>
      <c r="H351" s="259">
        <v>129630</v>
      </c>
      <c r="I351" s="259">
        <v>129630</v>
      </c>
      <c r="J351" s="259">
        <v>0</v>
      </c>
      <c r="K351" s="259">
        <v>129630</v>
      </c>
      <c r="L351" s="259">
        <v>10370</v>
      </c>
      <c r="M351" s="259">
        <v>140000</v>
      </c>
      <c r="N351" s="118">
        <v>1.2500000000000001E-2</v>
      </c>
      <c r="O351" s="411" t="s">
        <v>1086</v>
      </c>
    </row>
    <row r="352" spans="1:15" ht="18" customHeight="1" x14ac:dyDescent="0.25">
      <c r="A352" s="115">
        <v>5</v>
      </c>
      <c r="B352" s="116" t="s">
        <v>94</v>
      </c>
      <c r="C352" s="115">
        <v>47</v>
      </c>
      <c r="D352" s="119" t="s">
        <v>87</v>
      </c>
      <c r="E352" s="119" t="s">
        <v>1191</v>
      </c>
      <c r="F352" s="116" t="s">
        <v>1085</v>
      </c>
      <c r="G352" s="280">
        <v>1</v>
      </c>
      <c r="H352" s="259">
        <v>64815</v>
      </c>
      <c r="I352" s="259">
        <v>64815</v>
      </c>
      <c r="J352" s="259">
        <v>0</v>
      </c>
      <c r="K352" s="259">
        <v>64815</v>
      </c>
      <c r="L352" s="259">
        <v>5185</v>
      </c>
      <c r="M352" s="259">
        <v>70000</v>
      </c>
      <c r="N352" s="118">
        <v>6.3E-3</v>
      </c>
      <c r="O352" s="411" t="s">
        <v>1086</v>
      </c>
    </row>
    <row r="353" spans="1:15" ht="18" customHeight="1" x14ac:dyDescent="0.25">
      <c r="A353" s="115">
        <v>5</v>
      </c>
      <c r="B353" s="116" t="s">
        <v>94</v>
      </c>
      <c r="C353" s="115">
        <v>77</v>
      </c>
      <c r="D353" s="119" t="s">
        <v>87</v>
      </c>
      <c r="E353" s="119" t="s">
        <v>1121</v>
      </c>
      <c r="F353" s="116" t="s">
        <v>1085</v>
      </c>
      <c r="G353" s="280">
        <v>2</v>
      </c>
      <c r="H353" s="259">
        <v>2778</v>
      </c>
      <c r="I353" s="259">
        <v>5556</v>
      </c>
      <c r="J353" s="259">
        <v>0</v>
      </c>
      <c r="K353" s="259">
        <v>5556</v>
      </c>
      <c r="L353" s="259">
        <v>444</v>
      </c>
      <c r="M353" s="259">
        <v>6000</v>
      </c>
      <c r="N353" s="118">
        <v>5.0000000000000001E-4</v>
      </c>
      <c r="O353" s="411" t="s">
        <v>1086</v>
      </c>
    </row>
    <row r="354" spans="1:15" ht="18" customHeight="1" x14ac:dyDescent="0.25">
      <c r="A354" s="115">
        <v>5</v>
      </c>
      <c r="B354" s="116" t="s">
        <v>94</v>
      </c>
      <c r="C354" s="115">
        <v>111</v>
      </c>
      <c r="D354" s="119" t="s">
        <v>87</v>
      </c>
      <c r="E354" s="119" t="s">
        <v>1192</v>
      </c>
      <c r="F354" s="116" t="s">
        <v>1085</v>
      </c>
      <c r="G354" s="280">
        <v>0</v>
      </c>
      <c r="H354" s="259">
        <v>0</v>
      </c>
      <c r="I354" s="259">
        <v>0</v>
      </c>
      <c r="J354" s="259">
        <v>0</v>
      </c>
      <c r="K354" s="259">
        <v>0</v>
      </c>
      <c r="L354" s="259">
        <v>0</v>
      </c>
      <c r="M354" s="259">
        <v>0</v>
      </c>
      <c r="N354" s="118">
        <v>0</v>
      </c>
      <c r="O354" s="411" t="s">
        <v>1086</v>
      </c>
    </row>
    <row r="355" spans="1:15" ht="18" customHeight="1" x14ac:dyDescent="0.25">
      <c r="A355" s="115">
        <v>5</v>
      </c>
      <c r="B355" s="116" t="s">
        <v>94</v>
      </c>
      <c r="C355" s="115">
        <v>86</v>
      </c>
      <c r="D355" s="119" t="s">
        <v>95</v>
      </c>
      <c r="E355" s="119" t="s">
        <v>1124</v>
      </c>
      <c r="F355" s="116" t="s">
        <v>1085</v>
      </c>
      <c r="G355" s="280">
        <v>15</v>
      </c>
      <c r="H355" s="259">
        <v>3241</v>
      </c>
      <c r="I355" s="259">
        <v>48611</v>
      </c>
      <c r="J355" s="259">
        <v>0</v>
      </c>
      <c r="K355" s="259">
        <v>48611</v>
      </c>
      <c r="L355" s="259">
        <v>3889</v>
      </c>
      <c r="M355" s="259">
        <v>52500</v>
      </c>
      <c r="N355" s="118">
        <v>4.6999999999999993E-3</v>
      </c>
      <c r="O355" s="411" t="s">
        <v>1086</v>
      </c>
    </row>
    <row r="356" spans="1:15" ht="18" customHeight="1" x14ac:dyDescent="0.25">
      <c r="A356" s="115">
        <v>5</v>
      </c>
      <c r="B356" s="116" t="s">
        <v>94</v>
      </c>
      <c r="C356" s="115">
        <v>80</v>
      </c>
      <c r="D356" s="119" t="s">
        <v>95</v>
      </c>
      <c r="E356" s="119" t="s">
        <v>1125</v>
      </c>
      <c r="F356" s="116" t="s">
        <v>1085</v>
      </c>
      <c r="G356" s="280">
        <v>0</v>
      </c>
      <c r="H356" s="259">
        <v>0</v>
      </c>
      <c r="I356" s="259">
        <v>0</v>
      </c>
      <c r="J356" s="259">
        <v>0</v>
      </c>
      <c r="K356" s="259">
        <v>0</v>
      </c>
      <c r="L356" s="259">
        <v>0</v>
      </c>
      <c r="M356" s="259">
        <v>0</v>
      </c>
      <c r="N356" s="118">
        <v>0</v>
      </c>
      <c r="O356" s="411" t="s">
        <v>1086</v>
      </c>
    </row>
    <row r="357" spans="1:15" ht="18" customHeight="1" x14ac:dyDescent="0.25">
      <c r="A357" s="115">
        <v>5</v>
      </c>
      <c r="B357" s="116" t="s">
        <v>94</v>
      </c>
      <c r="C357" s="115">
        <v>91</v>
      </c>
      <c r="D357" s="119" t="s">
        <v>95</v>
      </c>
      <c r="E357" s="119" t="s">
        <v>1193</v>
      </c>
      <c r="F357" s="116" t="s">
        <v>1085</v>
      </c>
      <c r="G357" s="280">
        <v>0</v>
      </c>
      <c r="H357" s="259">
        <v>0</v>
      </c>
      <c r="I357" s="259">
        <v>0</v>
      </c>
      <c r="J357" s="259">
        <v>0</v>
      </c>
      <c r="K357" s="259">
        <v>0</v>
      </c>
      <c r="L357" s="259">
        <v>0</v>
      </c>
      <c r="M357" s="259">
        <v>0</v>
      </c>
      <c r="N357" s="118">
        <v>0</v>
      </c>
      <c r="O357" s="411" t="s">
        <v>1086</v>
      </c>
    </row>
    <row r="358" spans="1:15" ht="18" customHeight="1" x14ac:dyDescent="0.25">
      <c r="A358" s="115">
        <v>5</v>
      </c>
      <c r="B358" s="116" t="s">
        <v>94</v>
      </c>
      <c r="C358" s="115">
        <v>100</v>
      </c>
      <c r="D358" s="119" t="s">
        <v>95</v>
      </c>
      <c r="E358" s="119" t="s">
        <v>1194</v>
      </c>
      <c r="F358" s="116" t="s">
        <v>1085</v>
      </c>
      <c r="G358" s="280">
        <v>4</v>
      </c>
      <c r="H358" s="259">
        <v>19444</v>
      </c>
      <c r="I358" s="259">
        <v>77778</v>
      </c>
      <c r="J358" s="259">
        <v>0</v>
      </c>
      <c r="K358" s="259">
        <v>77778</v>
      </c>
      <c r="L358" s="259">
        <v>6222</v>
      </c>
      <c r="M358" s="259">
        <v>84000</v>
      </c>
      <c r="N358" s="118">
        <v>7.4999999999999997E-3</v>
      </c>
      <c r="O358" s="411" t="s">
        <v>1086</v>
      </c>
    </row>
    <row r="359" spans="1:15" ht="18" customHeight="1" x14ac:dyDescent="0.25">
      <c r="A359" s="115">
        <v>5</v>
      </c>
      <c r="B359" s="116" t="s">
        <v>94</v>
      </c>
      <c r="C359" s="115">
        <v>63</v>
      </c>
      <c r="D359" s="119" t="s">
        <v>95</v>
      </c>
      <c r="E359" s="119" t="s">
        <v>1182</v>
      </c>
      <c r="F359" s="116" t="s">
        <v>1085</v>
      </c>
      <c r="G359" s="280">
        <v>1</v>
      </c>
      <c r="H359" s="259">
        <v>3704</v>
      </c>
      <c r="I359" s="259">
        <v>3704</v>
      </c>
      <c r="J359" s="259">
        <v>0</v>
      </c>
      <c r="K359" s="259">
        <v>3704</v>
      </c>
      <c r="L359" s="259">
        <v>296</v>
      </c>
      <c r="M359" s="259">
        <v>4000</v>
      </c>
      <c r="N359" s="118">
        <v>4.0000000000000002E-4</v>
      </c>
      <c r="O359" s="411" t="s">
        <v>1086</v>
      </c>
    </row>
    <row r="360" spans="1:15" ht="18" customHeight="1" x14ac:dyDescent="0.25">
      <c r="A360" s="115">
        <v>5</v>
      </c>
      <c r="B360" s="116" t="s">
        <v>94</v>
      </c>
      <c r="C360" s="115">
        <v>79</v>
      </c>
      <c r="D360" s="119" t="s">
        <v>95</v>
      </c>
      <c r="E360" s="119" t="s">
        <v>1127</v>
      </c>
      <c r="F360" s="116" t="s">
        <v>1085</v>
      </c>
      <c r="G360" s="280">
        <v>2</v>
      </c>
      <c r="H360" s="259">
        <v>6481</v>
      </c>
      <c r="I360" s="259">
        <v>12963</v>
      </c>
      <c r="J360" s="259">
        <v>0</v>
      </c>
      <c r="K360" s="259">
        <v>12963</v>
      </c>
      <c r="L360" s="259">
        <v>1037</v>
      </c>
      <c r="M360" s="259">
        <v>14000</v>
      </c>
      <c r="N360" s="118">
        <v>1.2999999999999999E-3</v>
      </c>
      <c r="O360" s="411" t="s">
        <v>1086</v>
      </c>
    </row>
    <row r="361" spans="1:15" ht="18" customHeight="1" x14ac:dyDescent="0.25">
      <c r="A361" s="115">
        <v>5</v>
      </c>
      <c r="B361" s="116" t="s">
        <v>94</v>
      </c>
      <c r="C361" s="115">
        <v>62</v>
      </c>
      <c r="D361" s="119" t="s">
        <v>95</v>
      </c>
      <c r="E361" s="119" t="s">
        <v>1128</v>
      </c>
      <c r="F361" s="116" t="s">
        <v>1085</v>
      </c>
      <c r="G361" s="280">
        <v>4</v>
      </c>
      <c r="H361" s="259">
        <v>6944</v>
      </c>
      <c r="I361" s="259">
        <v>27778</v>
      </c>
      <c r="J361" s="259">
        <v>0</v>
      </c>
      <c r="K361" s="259">
        <v>27778</v>
      </c>
      <c r="L361" s="259">
        <v>2222</v>
      </c>
      <c r="M361" s="259">
        <v>30000</v>
      </c>
      <c r="N361" s="118">
        <v>2.7000000000000001E-3</v>
      </c>
      <c r="O361" s="411" t="s">
        <v>1086</v>
      </c>
    </row>
    <row r="362" spans="1:15" ht="18" customHeight="1" x14ac:dyDescent="0.25">
      <c r="A362" s="115">
        <v>5</v>
      </c>
      <c r="B362" s="116" t="s">
        <v>94</v>
      </c>
      <c r="C362" s="115">
        <v>78</v>
      </c>
      <c r="D362" s="119" t="s">
        <v>95</v>
      </c>
      <c r="E362" s="119" t="s">
        <v>1129</v>
      </c>
      <c r="F362" s="116" t="s">
        <v>1085</v>
      </c>
      <c r="G362" s="280">
        <v>0</v>
      </c>
      <c r="H362" s="259">
        <v>0</v>
      </c>
      <c r="I362" s="259">
        <v>0</v>
      </c>
      <c r="J362" s="259">
        <v>0</v>
      </c>
      <c r="K362" s="259">
        <v>0</v>
      </c>
      <c r="L362" s="259">
        <v>0</v>
      </c>
      <c r="M362" s="259">
        <v>0</v>
      </c>
      <c r="N362" s="118">
        <v>0</v>
      </c>
      <c r="O362" s="411" t="s">
        <v>1086</v>
      </c>
    </row>
    <row r="363" spans="1:15" ht="18" customHeight="1" x14ac:dyDescent="0.25">
      <c r="A363" s="115">
        <v>5</v>
      </c>
      <c r="B363" s="116" t="s">
        <v>94</v>
      </c>
      <c r="C363" s="115">
        <v>137</v>
      </c>
      <c r="D363" s="119" t="s">
        <v>95</v>
      </c>
      <c r="E363" s="119" t="s">
        <v>1159</v>
      </c>
      <c r="F363" s="116" t="s">
        <v>1085</v>
      </c>
      <c r="G363" s="280">
        <v>0</v>
      </c>
      <c r="H363" s="259">
        <v>0</v>
      </c>
      <c r="I363" s="259">
        <v>0</v>
      </c>
      <c r="J363" s="259">
        <v>0</v>
      </c>
      <c r="K363" s="259">
        <v>0</v>
      </c>
      <c r="L363" s="259">
        <v>0</v>
      </c>
      <c r="M363" s="259">
        <v>0</v>
      </c>
      <c r="N363" s="118">
        <v>0</v>
      </c>
      <c r="O363" s="411" t="s">
        <v>1086</v>
      </c>
    </row>
    <row r="364" spans="1:15" ht="18" customHeight="1" x14ac:dyDescent="0.25">
      <c r="A364" s="115">
        <v>5</v>
      </c>
      <c r="B364" s="116" t="s">
        <v>94</v>
      </c>
      <c r="C364" s="115">
        <v>219</v>
      </c>
      <c r="D364" s="119" t="s">
        <v>87</v>
      </c>
      <c r="E364" s="119" t="s">
        <v>150</v>
      </c>
      <c r="F364" s="116" t="s">
        <v>1085</v>
      </c>
      <c r="G364" s="280">
        <v>4</v>
      </c>
      <c r="H364" s="259">
        <v>69444</v>
      </c>
      <c r="I364" s="259">
        <v>277778</v>
      </c>
      <c r="J364" s="259">
        <v>0</v>
      </c>
      <c r="K364" s="259">
        <v>277778</v>
      </c>
      <c r="L364" s="259">
        <v>22222</v>
      </c>
      <c r="M364" s="259">
        <v>300000</v>
      </c>
      <c r="N364" s="118">
        <v>2.69E-2</v>
      </c>
      <c r="O364" s="411" t="s">
        <v>1086</v>
      </c>
    </row>
    <row r="365" spans="1:15" ht="18" customHeight="1" x14ac:dyDescent="0.25">
      <c r="A365" s="115">
        <v>5</v>
      </c>
      <c r="B365" s="116" t="s">
        <v>94</v>
      </c>
      <c r="C365" s="115">
        <v>220</v>
      </c>
      <c r="D365" s="119" t="s">
        <v>87</v>
      </c>
      <c r="E365" s="119" t="s">
        <v>1195</v>
      </c>
      <c r="F365" s="116" t="s">
        <v>1085</v>
      </c>
      <c r="G365" s="280">
        <v>2</v>
      </c>
      <c r="H365" s="259">
        <v>69444</v>
      </c>
      <c r="I365" s="259">
        <v>138889</v>
      </c>
      <c r="J365" s="259">
        <v>0</v>
      </c>
      <c r="K365" s="259">
        <v>138889</v>
      </c>
      <c r="L365" s="259">
        <v>11111</v>
      </c>
      <c r="M365" s="259">
        <v>150000</v>
      </c>
      <c r="N365" s="118">
        <v>1.34E-2</v>
      </c>
      <c r="O365" s="411" t="s">
        <v>1086</v>
      </c>
    </row>
    <row r="366" spans="1:15" ht="18" customHeight="1" x14ac:dyDescent="0.25">
      <c r="A366" s="115">
        <v>5</v>
      </c>
      <c r="B366" s="116" t="s">
        <v>94</v>
      </c>
      <c r="C366" s="115">
        <v>140</v>
      </c>
      <c r="D366" s="119" t="s">
        <v>87</v>
      </c>
      <c r="E366" s="119" t="s">
        <v>1131</v>
      </c>
      <c r="F366" s="116" t="s">
        <v>1085</v>
      </c>
      <c r="G366" s="280">
        <v>1</v>
      </c>
      <c r="H366" s="259">
        <v>90741</v>
      </c>
      <c r="I366" s="259">
        <v>90741</v>
      </c>
      <c r="J366" s="259">
        <v>0</v>
      </c>
      <c r="K366" s="259">
        <v>90741</v>
      </c>
      <c r="L366" s="259">
        <v>7259</v>
      </c>
      <c r="M366" s="259">
        <v>98000</v>
      </c>
      <c r="N366" s="118">
        <v>8.8000000000000005E-3</v>
      </c>
      <c r="O366" s="411" t="s">
        <v>1086</v>
      </c>
    </row>
    <row r="367" spans="1:15" ht="18" customHeight="1" x14ac:dyDescent="0.25">
      <c r="A367" s="115">
        <v>5</v>
      </c>
      <c r="B367" s="116" t="s">
        <v>94</v>
      </c>
      <c r="C367" s="115">
        <v>221</v>
      </c>
      <c r="D367" s="119" t="s">
        <v>87</v>
      </c>
      <c r="E367" s="119" t="s">
        <v>1132</v>
      </c>
      <c r="F367" s="116" t="s">
        <v>1085</v>
      </c>
      <c r="G367" s="280">
        <v>4</v>
      </c>
      <c r="H367" s="259">
        <v>54167</v>
      </c>
      <c r="I367" s="259">
        <v>216667</v>
      </c>
      <c r="J367" s="259">
        <v>0</v>
      </c>
      <c r="K367" s="259">
        <v>216667</v>
      </c>
      <c r="L367" s="259">
        <v>17333</v>
      </c>
      <c r="M367" s="259">
        <v>234000</v>
      </c>
      <c r="N367" s="118">
        <v>2.1000000000000001E-2</v>
      </c>
      <c r="O367" s="411" t="s">
        <v>1086</v>
      </c>
    </row>
    <row r="368" spans="1:15" ht="18" customHeight="1" x14ac:dyDescent="0.25">
      <c r="A368" s="115">
        <v>5</v>
      </c>
      <c r="B368" s="116" t="s">
        <v>94</v>
      </c>
      <c r="C368" s="115">
        <v>225</v>
      </c>
      <c r="D368" s="119" t="s">
        <v>87</v>
      </c>
      <c r="E368" s="119" t="s">
        <v>1196</v>
      </c>
      <c r="F368" s="116" t="s">
        <v>1085</v>
      </c>
      <c r="G368" s="280">
        <v>1</v>
      </c>
      <c r="H368" s="259">
        <v>62500</v>
      </c>
      <c r="I368" s="259">
        <v>62500</v>
      </c>
      <c r="J368" s="259">
        <v>0</v>
      </c>
      <c r="K368" s="259">
        <v>62500</v>
      </c>
      <c r="L368" s="259">
        <v>5000</v>
      </c>
      <c r="M368" s="259">
        <v>67500</v>
      </c>
      <c r="N368" s="118">
        <v>6.0000000000000001E-3</v>
      </c>
      <c r="O368" s="411" t="s">
        <v>1086</v>
      </c>
    </row>
    <row r="369" spans="1:15" ht="18" customHeight="1" x14ac:dyDescent="0.25">
      <c r="A369" s="115">
        <v>5</v>
      </c>
      <c r="B369" s="116" t="s">
        <v>94</v>
      </c>
      <c r="C369" s="115">
        <v>226</v>
      </c>
      <c r="D369" s="119" t="s">
        <v>87</v>
      </c>
      <c r="E369" s="119" t="s">
        <v>1183</v>
      </c>
      <c r="F369" s="116" t="s">
        <v>1085</v>
      </c>
      <c r="G369" s="280">
        <v>1</v>
      </c>
      <c r="H369" s="259">
        <v>90741</v>
      </c>
      <c r="I369" s="259">
        <v>90741</v>
      </c>
      <c r="J369" s="259">
        <v>0</v>
      </c>
      <c r="K369" s="259">
        <v>90741</v>
      </c>
      <c r="L369" s="259">
        <v>7259</v>
      </c>
      <c r="M369" s="259">
        <v>98000</v>
      </c>
      <c r="N369" s="118">
        <v>8.8000000000000005E-3</v>
      </c>
      <c r="O369" s="411" t="s">
        <v>1086</v>
      </c>
    </row>
    <row r="370" spans="1:15" ht="18" customHeight="1" x14ac:dyDescent="0.25">
      <c r="A370" s="115">
        <v>5</v>
      </c>
      <c r="B370" s="116" t="s">
        <v>94</v>
      </c>
      <c r="C370" s="115">
        <v>222</v>
      </c>
      <c r="D370" s="119" t="s">
        <v>93</v>
      </c>
      <c r="E370" s="119" t="s">
        <v>1133</v>
      </c>
      <c r="F370" s="116" t="s">
        <v>1085</v>
      </c>
      <c r="G370" s="280">
        <v>6</v>
      </c>
      <c r="H370" s="259">
        <v>63426</v>
      </c>
      <c r="I370" s="259">
        <v>380556</v>
      </c>
      <c r="J370" s="259">
        <v>0</v>
      </c>
      <c r="K370" s="259">
        <v>380556</v>
      </c>
      <c r="L370" s="259">
        <v>30444</v>
      </c>
      <c r="M370" s="259">
        <v>411000</v>
      </c>
      <c r="N370" s="118">
        <v>3.6799999999999999E-2</v>
      </c>
      <c r="O370" s="411" t="s">
        <v>1086</v>
      </c>
    </row>
    <row r="371" spans="1:15" ht="18" customHeight="1" x14ac:dyDescent="0.25">
      <c r="A371" s="115">
        <v>5</v>
      </c>
      <c r="B371" s="116" t="s">
        <v>94</v>
      </c>
      <c r="C371" s="115">
        <v>223</v>
      </c>
      <c r="D371" s="119" t="s">
        <v>87</v>
      </c>
      <c r="E371" s="119" t="s">
        <v>141</v>
      </c>
      <c r="F371" s="116" t="s">
        <v>1085</v>
      </c>
      <c r="G371" s="280">
        <v>4</v>
      </c>
      <c r="H371" s="259">
        <v>69444</v>
      </c>
      <c r="I371" s="259">
        <v>277778</v>
      </c>
      <c r="J371" s="259">
        <v>0</v>
      </c>
      <c r="K371" s="259">
        <v>277778</v>
      </c>
      <c r="L371" s="259">
        <v>22222</v>
      </c>
      <c r="M371" s="259">
        <v>300000</v>
      </c>
      <c r="N371" s="118">
        <v>2.69E-2</v>
      </c>
      <c r="O371" s="411" t="s">
        <v>1086</v>
      </c>
    </row>
    <row r="372" spans="1:15" ht="18" customHeight="1" x14ac:dyDescent="0.25">
      <c r="A372" s="115">
        <v>5</v>
      </c>
      <c r="B372" s="116" t="s">
        <v>94</v>
      </c>
      <c r="C372" s="115">
        <v>229</v>
      </c>
      <c r="D372" s="119" t="s">
        <v>87</v>
      </c>
      <c r="E372" s="119" t="s">
        <v>1197</v>
      </c>
      <c r="F372" s="116" t="s">
        <v>1085</v>
      </c>
      <c r="G372" s="280">
        <v>2</v>
      </c>
      <c r="H372" s="259">
        <v>66204</v>
      </c>
      <c r="I372" s="259">
        <v>132407</v>
      </c>
      <c r="J372" s="259">
        <v>0</v>
      </c>
      <c r="K372" s="259">
        <v>132407</v>
      </c>
      <c r="L372" s="259">
        <v>10593</v>
      </c>
      <c r="M372" s="259">
        <v>143000</v>
      </c>
      <c r="N372" s="118">
        <v>1.2800000000000001E-2</v>
      </c>
      <c r="O372" s="411" t="s">
        <v>1086</v>
      </c>
    </row>
    <row r="373" spans="1:15" ht="18" customHeight="1" x14ac:dyDescent="0.25">
      <c r="A373" s="115">
        <v>5</v>
      </c>
      <c r="B373" s="116" t="s">
        <v>94</v>
      </c>
      <c r="C373" s="115">
        <v>50</v>
      </c>
      <c r="D373" s="119" t="s">
        <v>87</v>
      </c>
      <c r="E373" s="119" t="s">
        <v>159</v>
      </c>
      <c r="F373" s="116" t="s">
        <v>1085</v>
      </c>
      <c r="G373" s="280">
        <v>9</v>
      </c>
      <c r="H373" s="259">
        <v>49074</v>
      </c>
      <c r="I373" s="259">
        <v>441667</v>
      </c>
      <c r="J373" s="259">
        <v>0</v>
      </c>
      <c r="K373" s="259">
        <v>441667</v>
      </c>
      <c r="L373" s="259">
        <v>35333</v>
      </c>
      <c r="M373" s="259">
        <v>477000</v>
      </c>
      <c r="N373" s="118">
        <v>4.2699999999999988E-2</v>
      </c>
      <c r="O373" s="411" t="s">
        <v>1086</v>
      </c>
    </row>
    <row r="374" spans="1:15" ht="18" customHeight="1" x14ac:dyDescent="0.25">
      <c r="A374" s="115">
        <v>5</v>
      </c>
      <c r="B374" s="116" t="s">
        <v>94</v>
      </c>
      <c r="C374" s="115">
        <v>10</v>
      </c>
      <c r="D374" s="119" t="s">
        <v>87</v>
      </c>
      <c r="E374" s="119" t="s">
        <v>1184</v>
      </c>
      <c r="F374" s="116" t="s">
        <v>1085</v>
      </c>
      <c r="G374" s="280">
        <v>2</v>
      </c>
      <c r="H374" s="259">
        <v>13889</v>
      </c>
      <c r="I374" s="259">
        <v>27778</v>
      </c>
      <c r="J374" s="259">
        <v>0</v>
      </c>
      <c r="K374" s="259">
        <v>27778</v>
      </c>
      <c r="L374" s="259">
        <v>2222</v>
      </c>
      <c r="M374" s="259">
        <v>30000</v>
      </c>
      <c r="N374" s="118">
        <v>2.7000000000000001E-3</v>
      </c>
      <c r="O374" s="411" t="s">
        <v>1086</v>
      </c>
    </row>
    <row r="375" spans="1:15" ht="18" customHeight="1" x14ac:dyDescent="0.25">
      <c r="A375" s="115">
        <v>5</v>
      </c>
      <c r="B375" s="116" t="s">
        <v>94</v>
      </c>
      <c r="C375" s="115">
        <v>120</v>
      </c>
      <c r="D375" s="119" t="s">
        <v>93</v>
      </c>
      <c r="E375" s="119" t="s">
        <v>1134</v>
      </c>
      <c r="F375" s="116" t="s">
        <v>1085</v>
      </c>
      <c r="G375" s="280">
        <v>1</v>
      </c>
      <c r="H375" s="259">
        <v>41667</v>
      </c>
      <c r="I375" s="259">
        <v>41667</v>
      </c>
      <c r="J375" s="259">
        <v>0</v>
      </c>
      <c r="K375" s="259">
        <v>41667</v>
      </c>
      <c r="L375" s="259">
        <v>3333</v>
      </c>
      <c r="M375" s="259">
        <v>45000</v>
      </c>
      <c r="N375" s="118">
        <v>4.0000000000000001E-3</v>
      </c>
      <c r="O375" s="411" t="s">
        <v>1086</v>
      </c>
    </row>
    <row r="376" spans="1:15" ht="18" customHeight="1" x14ac:dyDescent="0.25">
      <c r="A376" s="115">
        <v>5</v>
      </c>
      <c r="B376" s="116" t="s">
        <v>94</v>
      </c>
      <c r="C376" s="115">
        <v>129</v>
      </c>
      <c r="D376" s="119" t="s">
        <v>93</v>
      </c>
      <c r="E376" s="119" t="s">
        <v>1135</v>
      </c>
      <c r="F376" s="116" t="s">
        <v>1085</v>
      </c>
      <c r="G376" s="280">
        <v>1</v>
      </c>
      <c r="H376" s="259">
        <v>44444</v>
      </c>
      <c r="I376" s="259">
        <v>44444</v>
      </c>
      <c r="J376" s="259">
        <v>0</v>
      </c>
      <c r="K376" s="259">
        <v>44444</v>
      </c>
      <c r="L376" s="259">
        <v>3556</v>
      </c>
      <c r="M376" s="259">
        <v>48000</v>
      </c>
      <c r="N376" s="118">
        <v>4.3E-3</v>
      </c>
      <c r="O376" s="411" t="s">
        <v>1086</v>
      </c>
    </row>
    <row r="377" spans="1:15" ht="18" customHeight="1" x14ac:dyDescent="0.25">
      <c r="A377" s="115">
        <v>5</v>
      </c>
      <c r="B377" s="116" t="s">
        <v>94</v>
      </c>
      <c r="C377" s="115">
        <v>116</v>
      </c>
      <c r="D377" s="119" t="s">
        <v>89</v>
      </c>
      <c r="E377" s="119" t="s">
        <v>1198</v>
      </c>
      <c r="F377" s="116" t="s">
        <v>1085</v>
      </c>
      <c r="G377" s="280">
        <v>14</v>
      </c>
      <c r="H377" s="259">
        <v>5556</v>
      </c>
      <c r="I377" s="259">
        <v>77778</v>
      </c>
      <c r="J377" s="259">
        <v>0</v>
      </c>
      <c r="K377" s="259">
        <v>77778</v>
      </c>
      <c r="L377" s="259">
        <v>6222</v>
      </c>
      <c r="M377" s="259">
        <v>84000</v>
      </c>
      <c r="N377" s="118">
        <v>7.4999999999999997E-3</v>
      </c>
      <c r="O377" s="411" t="s">
        <v>1086</v>
      </c>
    </row>
    <row r="378" spans="1:15" ht="18" customHeight="1" x14ac:dyDescent="0.25">
      <c r="A378" s="115">
        <v>5</v>
      </c>
      <c r="B378" s="116" t="s">
        <v>94</v>
      </c>
      <c r="C378" s="115">
        <v>117</v>
      </c>
      <c r="D378" s="119" t="s">
        <v>87</v>
      </c>
      <c r="E378" s="119" t="s">
        <v>120</v>
      </c>
      <c r="F378" s="116" t="s">
        <v>1085</v>
      </c>
      <c r="G378" s="280">
        <v>7</v>
      </c>
      <c r="H378" s="259">
        <v>41667</v>
      </c>
      <c r="I378" s="259">
        <v>291667</v>
      </c>
      <c r="J378" s="259">
        <v>0</v>
      </c>
      <c r="K378" s="259">
        <v>291667</v>
      </c>
      <c r="L378" s="259">
        <v>23333</v>
      </c>
      <c r="M378" s="259">
        <v>315000</v>
      </c>
      <c r="N378" s="118">
        <v>2.8199999999999999E-2</v>
      </c>
      <c r="O378" s="411" t="s">
        <v>1086</v>
      </c>
    </row>
    <row r="379" spans="1:15" ht="18" customHeight="1" x14ac:dyDescent="0.25">
      <c r="A379" s="115">
        <v>5</v>
      </c>
      <c r="B379" s="116" t="s">
        <v>94</v>
      </c>
      <c r="C379" s="115">
        <v>36</v>
      </c>
      <c r="D379" s="119" t="s">
        <v>91</v>
      </c>
      <c r="E379" s="119" t="s">
        <v>1136</v>
      </c>
      <c r="F379" s="116" t="s">
        <v>1085</v>
      </c>
      <c r="G379" s="280">
        <v>4</v>
      </c>
      <c r="H379" s="259">
        <v>3704</v>
      </c>
      <c r="I379" s="259">
        <v>14815</v>
      </c>
      <c r="J379" s="259">
        <v>0</v>
      </c>
      <c r="K379" s="259">
        <v>14815</v>
      </c>
      <c r="L379" s="259">
        <v>1185</v>
      </c>
      <c r="M379" s="259">
        <v>16000</v>
      </c>
      <c r="N379" s="118">
        <v>1.4E-3</v>
      </c>
      <c r="O379" s="411" t="s">
        <v>1086</v>
      </c>
    </row>
    <row r="380" spans="1:15" ht="18" customHeight="1" x14ac:dyDescent="0.25">
      <c r="A380" s="115">
        <v>5</v>
      </c>
      <c r="B380" s="116" t="s">
        <v>94</v>
      </c>
      <c r="C380" s="115">
        <v>61</v>
      </c>
      <c r="D380" s="119" t="s">
        <v>97</v>
      </c>
      <c r="E380" s="119" t="s">
        <v>1137</v>
      </c>
      <c r="F380" s="116" t="s">
        <v>1085</v>
      </c>
      <c r="G380" s="280">
        <v>1</v>
      </c>
      <c r="H380" s="259">
        <v>4630</v>
      </c>
      <c r="I380" s="259">
        <v>4630</v>
      </c>
      <c r="J380" s="259">
        <v>0</v>
      </c>
      <c r="K380" s="259">
        <v>4630</v>
      </c>
      <c r="L380" s="259">
        <v>370</v>
      </c>
      <c r="M380" s="259">
        <v>5000</v>
      </c>
      <c r="N380" s="118">
        <v>4.0000000000000002E-4</v>
      </c>
      <c r="O380" s="411" t="s">
        <v>1086</v>
      </c>
    </row>
    <row r="381" spans="1:15" ht="18" customHeight="1" x14ac:dyDescent="0.25">
      <c r="A381" s="115">
        <v>5</v>
      </c>
      <c r="B381" s="116" t="s">
        <v>94</v>
      </c>
      <c r="C381" s="115">
        <v>215</v>
      </c>
      <c r="D381" s="119" t="s">
        <v>87</v>
      </c>
      <c r="E381" s="119" t="s">
        <v>135</v>
      </c>
      <c r="F381" s="116" t="s">
        <v>1085</v>
      </c>
      <c r="G381" s="280">
        <v>11</v>
      </c>
      <c r="H381" s="259">
        <v>37500</v>
      </c>
      <c r="I381" s="259">
        <v>412500</v>
      </c>
      <c r="J381" s="259">
        <v>0</v>
      </c>
      <c r="K381" s="259">
        <v>412500</v>
      </c>
      <c r="L381" s="259">
        <v>33000</v>
      </c>
      <c r="M381" s="259">
        <v>445500</v>
      </c>
      <c r="N381" s="118">
        <v>3.9899999999999998E-2</v>
      </c>
      <c r="O381" s="411" t="s">
        <v>1086</v>
      </c>
    </row>
    <row r="382" spans="1:15" ht="18" customHeight="1" x14ac:dyDescent="0.25">
      <c r="A382" s="115">
        <v>5</v>
      </c>
      <c r="B382" s="116" t="s">
        <v>94</v>
      </c>
      <c r="C382" s="115">
        <v>214</v>
      </c>
      <c r="D382" s="119" t="s">
        <v>87</v>
      </c>
      <c r="E382" s="119" t="s">
        <v>170</v>
      </c>
      <c r="F382" s="116" t="s">
        <v>1085</v>
      </c>
      <c r="G382" s="280">
        <v>7</v>
      </c>
      <c r="H382" s="259">
        <v>37500</v>
      </c>
      <c r="I382" s="259">
        <v>262500</v>
      </c>
      <c r="J382" s="259">
        <v>0</v>
      </c>
      <c r="K382" s="259">
        <v>262500</v>
      </c>
      <c r="L382" s="259">
        <v>21000</v>
      </c>
      <c r="M382" s="259">
        <v>283500</v>
      </c>
      <c r="N382" s="118">
        <v>2.5399999999999999E-2</v>
      </c>
      <c r="O382" s="411" t="s">
        <v>1086</v>
      </c>
    </row>
    <row r="383" spans="1:15" ht="18" customHeight="1" x14ac:dyDescent="0.25">
      <c r="A383" s="115">
        <v>5</v>
      </c>
      <c r="B383" s="116" t="s">
        <v>94</v>
      </c>
      <c r="C383" s="115">
        <v>113</v>
      </c>
      <c r="D383" s="119" t="s">
        <v>89</v>
      </c>
      <c r="E383" s="119" t="s">
        <v>129</v>
      </c>
      <c r="F383" s="116" t="s">
        <v>1085</v>
      </c>
      <c r="G383" s="280">
        <v>26</v>
      </c>
      <c r="H383" s="259">
        <v>22222</v>
      </c>
      <c r="I383" s="259">
        <v>577778</v>
      </c>
      <c r="J383" s="259">
        <v>0</v>
      </c>
      <c r="K383" s="259">
        <v>577778</v>
      </c>
      <c r="L383" s="259">
        <v>46222</v>
      </c>
      <c r="M383" s="259">
        <v>624000</v>
      </c>
      <c r="N383" s="118">
        <v>5.5899999999999998E-2</v>
      </c>
      <c r="O383" s="411" t="s">
        <v>1086</v>
      </c>
    </row>
    <row r="384" spans="1:15" ht="18" customHeight="1" x14ac:dyDescent="0.25">
      <c r="A384" s="115">
        <v>5</v>
      </c>
      <c r="B384" s="116" t="s">
        <v>94</v>
      </c>
      <c r="C384" s="115">
        <v>96</v>
      </c>
      <c r="D384" s="119" t="s">
        <v>93</v>
      </c>
      <c r="E384" s="119" t="s">
        <v>1161</v>
      </c>
      <c r="F384" s="116" t="s">
        <v>1085</v>
      </c>
      <c r="G384" s="280">
        <v>7</v>
      </c>
      <c r="H384" s="259">
        <v>35648</v>
      </c>
      <c r="I384" s="259">
        <v>249537</v>
      </c>
      <c r="J384" s="259">
        <v>0</v>
      </c>
      <c r="K384" s="259">
        <v>249537</v>
      </c>
      <c r="L384" s="259">
        <v>19963</v>
      </c>
      <c r="M384" s="259">
        <v>269500</v>
      </c>
      <c r="N384" s="118">
        <v>2.41E-2</v>
      </c>
      <c r="O384" s="411" t="s">
        <v>1086</v>
      </c>
    </row>
    <row r="385" spans="1:15" ht="18" customHeight="1" x14ac:dyDescent="0.25">
      <c r="A385" s="115">
        <v>5</v>
      </c>
      <c r="B385" s="116" t="s">
        <v>94</v>
      </c>
      <c r="C385" s="115">
        <v>68</v>
      </c>
      <c r="D385" s="119" t="s">
        <v>93</v>
      </c>
      <c r="E385" s="119" t="s">
        <v>1138</v>
      </c>
      <c r="F385" s="116" t="s">
        <v>1085</v>
      </c>
      <c r="G385" s="280">
        <v>2</v>
      </c>
      <c r="H385" s="259">
        <v>41667</v>
      </c>
      <c r="I385" s="259">
        <v>83333</v>
      </c>
      <c r="J385" s="259">
        <v>0</v>
      </c>
      <c r="K385" s="259">
        <v>83333</v>
      </c>
      <c r="L385" s="259">
        <v>6667</v>
      </c>
      <c r="M385" s="259">
        <v>90000</v>
      </c>
      <c r="N385" s="118">
        <v>8.1000000000000013E-3</v>
      </c>
      <c r="O385" s="411" t="s">
        <v>1086</v>
      </c>
    </row>
    <row r="386" spans="1:15" ht="18" customHeight="1" x14ac:dyDescent="0.25">
      <c r="A386" s="115">
        <v>5</v>
      </c>
      <c r="B386" s="116" t="s">
        <v>94</v>
      </c>
      <c r="C386" s="115">
        <v>33</v>
      </c>
      <c r="D386" s="119" t="s">
        <v>91</v>
      </c>
      <c r="E386" s="119" t="s">
        <v>1139</v>
      </c>
      <c r="F386" s="116" t="s">
        <v>1085</v>
      </c>
      <c r="G386" s="280">
        <v>4</v>
      </c>
      <c r="H386" s="259">
        <v>1852</v>
      </c>
      <c r="I386" s="259">
        <v>7407</v>
      </c>
      <c r="J386" s="259">
        <v>0</v>
      </c>
      <c r="K386" s="259">
        <v>7407</v>
      </c>
      <c r="L386" s="259">
        <v>593</v>
      </c>
      <c r="M386" s="259">
        <v>8000</v>
      </c>
      <c r="N386" s="118">
        <v>7.000000000000001E-4</v>
      </c>
      <c r="O386" s="411" t="s">
        <v>1086</v>
      </c>
    </row>
    <row r="387" spans="1:15" ht="18" customHeight="1" x14ac:dyDescent="0.25">
      <c r="A387" s="115">
        <v>5</v>
      </c>
      <c r="B387" s="116" t="s">
        <v>94</v>
      </c>
      <c r="C387" s="115">
        <v>255</v>
      </c>
      <c r="D387" s="119" t="s">
        <v>93</v>
      </c>
      <c r="E387" s="119" t="s">
        <v>482</v>
      </c>
      <c r="F387" s="116" t="s">
        <v>1085</v>
      </c>
      <c r="G387" s="280">
        <v>2</v>
      </c>
      <c r="H387" s="259">
        <v>35648</v>
      </c>
      <c r="I387" s="259">
        <v>71296</v>
      </c>
      <c r="J387" s="259">
        <v>0</v>
      </c>
      <c r="K387" s="259">
        <v>71296</v>
      </c>
      <c r="L387" s="259">
        <v>5704</v>
      </c>
      <c r="M387" s="259">
        <v>77000</v>
      </c>
      <c r="N387" s="118">
        <v>6.8999999999999999E-3</v>
      </c>
      <c r="O387" s="411" t="s">
        <v>1086</v>
      </c>
    </row>
    <row r="388" spans="1:15" ht="18" customHeight="1" x14ac:dyDescent="0.25">
      <c r="A388" s="115">
        <v>6</v>
      </c>
      <c r="B388" s="116" t="s">
        <v>96</v>
      </c>
      <c r="C388" s="115">
        <v>73</v>
      </c>
      <c r="D388" s="119" t="s">
        <v>91</v>
      </c>
      <c r="E388" s="119" t="s">
        <v>1084</v>
      </c>
      <c r="F388" s="116" t="s">
        <v>1085</v>
      </c>
      <c r="G388" s="280">
        <v>30</v>
      </c>
      <c r="H388" s="259">
        <v>2593</v>
      </c>
      <c r="I388" s="259">
        <v>77778</v>
      </c>
      <c r="J388" s="259">
        <v>0</v>
      </c>
      <c r="K388" s="259">
        <v>77778</v>
      </c>
      <c r="L388" s="259">
        <v>6222</v>
      </c>
      <c r="M388" s="259">
        <v>84000</v>
      </c>
      <c r="N388" s="118">
        <v>4.0999999999999986E-3</v>
      </c>
      <c r="O388" s="411" t="s">
        <v>1086</v>
      </c>
    </row>
    <row r="389" spans="1:15" ht="18" customHeight="1" x14ac:dyDescent="0.25">
      <c r="A389" s="115">
        <v>6</v>
      </c>
      <c r="B389" s="116" t="s">
        <v>96</v>
      </c>
      <c r="C389" s="115">
        <v>65</v>
      </c>
      <c r="D389" s="119" t="s">
        <v>91</v>
      </c>
      <c r="E389" s="119" t="s">
        <v>1087</v>
      </c>
      <c r="F389" s="116" t="s">
        <v>1085</v>
      </c>
      <c r="G389" s="280">
        <v>1</v>
      </c>
      <c r="H389" s="259">
        <v>2778</v>
      </c>
      <c r="I389" s="259">
        <v>2778</v>
      </c>
      <c r="J389" s="259">
        <v>0</v>
      </c>
      <c r="K389" s="259">
        <v>2778</v>
      </c>
      <c r="L389" s="259">
        <v>222</v>
      </c>
      <c r="M389" s="259">
        <v>3000</v>
      </c>
      <c r="N389" s="118">
        <v>1E-4</v>
      </c>
      <c r="O389" s="411" t="s">
        <v>1086</v>
      </c>
    </row>
    <row r="390" spans="1:15" ht="18" customHeight="1" x14ac:dyDescent="0.25">
      <c r="A390" s="115">
        <v>6</v>
      </c>
      <c r="B390" s="116" t="s">
        <v>96</v>
      </c>
      <c r="C390" s="115">
        <v>12</v>
      </c>
      <c r="D390" s="119" t="s">
        <v>93</v>
      </c>
      <c r="E390" s="119" t="s">
        <v>1089</v>
      </c>
      <c r="F390" s="116" t="s">
        <v>1085</v>
      </c>
      <c r="G390" s="280">
        <v>4</v>
      </c>
      <c r="H390" s="259">
        <v>41667</v>
      </c>
      <c r="I390" s="259">
        <v>166667</v>
      </c>
      <c r="J390" s="259">
        <v>0</v>
      </c>
      <c r="K390" s="259">
        <v>166667</v>
      </c>
      <c r="L390" s="259">
        <v>13333</v>
      </c>
      <c r="M390" s="259">
        <v>180000</v>
      </c>
      <c r="N390" s="118">
        <v>8.8999999999999999E-3</v>
      </c>
      <c r="O390" s="411" t="s">
        <v>1086</v>
      </c>
    </row>
    <row r="391" spans="1:15" ht="18" customHeight="1" x14ac:dyDescent="0.25">
      <c r="A391" s="115">
        <v>6</v>
      </c>
      <c r="B391" s="116" t="s">
        <v>96</v>
      </c>
      <c r="C391" s="115">
        <v>313</v>
      </c>
      <c r="D391" s="119" t="s">
        <v>87</v>
      </c>
      <c r="E391" s="119" t="s">
        <v>1199</v>
      </c>
      <c r="F391" s="116" t="s">
        <v>1085</v>
      </c>
      <c r="G391" s="280">
        <v>2</v>
      </c>
      <c r="H391" s="259">
        <v>4167</v>
      </c>
      <c r="I391" s="259">
        <v>8333</v>
      </c>
      <c r="J391" s="259">
        <v>0</v>
      </c>
      <c r="K391" s="259">
        <v>8333</v>
      </c>
      <c r="L391" s="259">
        <v>667</v>
      </c>
      <c r="M391" s="259">
        <v>9000</v>
      </c>
      <c r="N391" s="118">
        <v>4.0000000000000002E-4</v>
      </c>
      <c r="O391" s="411" t="s">
        <v>1086</v>
      </c>
    </row>
    <row r="392" spans="1:15" ht="18" customHeight="1" x14ac:dyDescent="0.25">
      <c r="A392" s="115">
        <v>6</v>
      </c>
      <c r="B392" s="116" t="s">
        <v>96</v>
      </c>
      <c r="C392" s="115">
        <v>40</v>
      </c>
      <c r="D392" s="119" t="s">
        <v>87</v>
      </c>
      <c r="E392" s="119" t="s">
        <v>1143</v>
      </c>
      <c r="F392" s="116" t="s">
        <v>1085</v>
      </c>
      <c r="G392" s="280">
        <v>9</v>
      </c>
      <c r="H392" s="259">
        <v>55093</v>
      </c>
      <c r="I392" s="259">
        <v>495833</v>
      </c>
      <c r="J392" s="259">
        <v>0</v>
      </c>
      <c r="K392" s="259">
        <v>495833</v>
      </c>
      <c r="L392" s="259">
        <v>39667</v>
      </c>
      <c r="M392" s="259">
        <v>535500</v>
      </c>
      <c r="N392" s="118">
        <v>2.64E-2</v>
      </c>
      <c r="O392" s="411" t="s">
        <v>1086</v>
      </c>
    </row>
    <row r="393" spans="1:15" ht="18" customHeight="1" x14ac:dyDescent="0.25">
      <c r="A393" s="115">
        <v>6</v>
      </c>
      <c r="B393" s="116" t="s">
        <v>96</v>
      </c>
      <c r="C393" s="115">
        <v>131</v>
      </c>
      <c r="D393" s="119" t="s">
        <v>87</v>
      </c>
      <c r="E393" s="119" t="s">
        <v>1144</v>
      </c>
      <c r="F393" s="116" t="s">
        <v>1085</v>
      </c>
      <c r="G393" s="280">
        <v>1</v>
      </c>
      <c r="H393" s="259">
        <v>278</v>
      </c>
      <c r="I393" s="259">
        <v>278</v>
      </c>
      <c r="J393" s="259">
        <v>0</v>
      </c>
      <c r="K393" s="259">
        <v>278</v>
      </c>
      <c r="L393" s="259">
        <v>22</v>
      </c>
      <c r="M393" s="259">
        <v>300</v>
      </c>
      <c r="N393" s="118">
        <v>0</v>
      </c>
      <c r="O393" s="411" t="s">
        <v>1086</v>
      </c>
    </row>
    <row r="394" spans="1:15" ht="18" customHeight="1" x14ac:dyDescent="0.25">
      <c r="A394" s="115">
        <v>6</v>
      </c>
      <c r="B394" s="116" t="s">
        <v>96</v>
      </c>
      <c r="C394" s="115">
        <v>104</v>
      </c>
      <c r="D394" s="119" t="s">
        <v>89</v>
      </c>
      <c r="E394" s="119" t="s">
        <v>165</v>
      </c>
      <c r="F394" s="116" t="s">
        <v>1085</v>
      </c>
      <c r="G394" s="280">
        <v>2</v>
      </c>
      <c r="H394" s="259">
        <v>15741</v>
      </c>
      <c r="I394" s="259">
        <v>31481</v>
      </c>
      <c r="J394" s="259">
        <v>0</v>
      </c>
      <c r="K394" s="259">
        <v>31481</v>
      </c>
      <c r="L394" s="259">
        <v>2519</v>
      </c>
      <c r="M394" s="259">
        <v>34000</v>
      </c>
      <c r="N394" s="118">
        <v>1.6999999999999999E-3</v>
      </c>
      <c r="O394" s="411" t="s">
        <v>1086</v>
      </c>
    </row>
    <row r="395" spans="1:15" ht="18" customHeight="1" x14ac:dyDescent="0.25">
      <c r="A395" s="115">
        <v>6</v>
      </c>
      <c r="B395" s="116" t="s">
        <v>96</v>
      </c>
      <c r="C395" s="115">
        <v>5</v>
      </c>
      <c r="D395" s="119" t="s">
        <v>89</v>
      </c>
      <c r="E395" s="119" t="s">
        <v>1146</v>
      </c>
      <c r="F395" s="116" t="s">
        <v>1085</v>
      </c>
      <c r="G395" s="280">
        <v>3</v>
      </c>
      <c r="H395" s="259">
        <v>11111</v>
      </c>
      <c r="I395" s="259">
        <v>33333</v>
      </c>
      <c r="J395" s="259">
        <v>0</v>
      </c>
      <c r="K395" s="259">
        <v>33333</v>
      </c>
      <c r="L395" s="259">
        <v>2667</v>
      </c>
      <c r="M395" s="259">
        <v>36000</v>
      </c>
      <c r="N395" s="118">
        <v>1.8E-3</v>
      </c>
      <c r="O395" s="411" t="s">
        <v>1086</v>
      </c>
    </row>
    <row r="396" spans="1:15" ht="18" customHeight="1" x14ac:dyDescent="0.25">
      <c r="A396" s="115">
        <v>6</v>
      </c>
      <c r="B396" s="116" t="s">
        <v>96</v>
      </c>
      <c r="C396" s="115">
        <v>136</v>
      </c>
      <c r="D396" s="119" t="s">
        <v>89</v>
      </c>
      <c r="E396" s="119" t="s">
        <v>1091</v>
      </c>
      <c r="F396" s="116" t="s">
        <v>1085</v>
      </c>
      <c r="G396" s="280">
        <v>11</v>
      </c>
      <c r="H396" s="259">
        <v>24074</v>
      </c>
      <c r="I396" s="259">
        <v>264815</v>
      </c>
      <c r="J396" s="259">
        <v>0</v>
      </c>
      <c r="K396" s="259">
        <v>264815</v>
      </c>
      <c r="L396" s="259">
        <v>21185</v>
      </c>
      <c r="M396" s="259">
        <v>286000</v>
      </c>
      <c r="N396" s="118">
        <v>1.41E-2</v>
      </c>
      <c r="O396" s="411" t="s">
        <v>1086</v>
      </c>
    </row>
    <row r="397" spans="1:15" ht="18" customHeight="1" x14ac:dyDescent="0.25">
      <c r="A397" s="115">
        <v>6</v>
      </c>
      <c r="B397" s="116" t="s">
        <v>96</v>
      </c>
      <c r="C397" s="115">
        <v>135</v>
      </c>
      <c r="D397" s="119" t="s">
        <v>89</v>
      </c>
      <c r="E397" s="119" t="s">
        <v>1175</v>
      </c>
      <c r="F397" s="116" t="s">
        <v>1085</v>
      </c>
      <c r="G397" s="280">
        <v>1</v>
      </c>
      <c r="H397" s="259">
        <v>13889</v>
      </c>
      <c r="I397" s="259">
        <v>13889</v>
      </c>
      <c r="J397" s="259">
        <v>0</v>
      </c>
      <c r="K397" s="259">
        <v>13889</v>
      </c>
      <c r="L397" s="259">
        <v>1111</v>
      </c>
      <c r="M397" s="259">
        <v>15000</v>
      </c>
      <c r="N397" s="118">
        <v>7.000000000000001E-4</v>
      </c>
      <c r="O397" s="411" t="s">
        <v>1086</v>
      </c>
    </row>
    <row r="398" spans="1:15" ht="18" customHeight="1" x14ac:dyDescent="0.25">
      <c r="A398" s="115">
        <v>6</v>
      </c>
      <c r="B398" s="116" t="s">
        <v>96</v>
      </c>
      <c r="C398" s="115">
        <v>6</v>
      </c>
      <c r="D398" s="119" t="s">
        <v>89</v>
      </c>
      <c r="E398" s="119" t="s">
        <v>1147</v>
      </c>
      <c r="F398" s="116" t="s">
        <v>1085</v>
      </c>
      <c r="G398" s="280">
        <v>4</v>
      </c>
      <c r="H398" s="259">
        <v>14815</v>
      </c>
      <c r="I398" s="259">
        <v>59259</v>
      </c>
      <c r="J398" s="259">
        <v>0</v>
      </c>
      <c r="K398" s="259">
        <v>59259</v>
      </c>
      <c r="L398" s="259">
        <v>4741</v>
      </c>
      <c r="M398" s="259">
        <v>64000</v>
      </c>
      <c r="N398" s="118">
        <v>3.2000000000000002E-3</v>
      </c>
      <c r="O398" s="411" t="s">
        <v>1086</v>
      </c>
    </row>
    <row r="399" spans="1:15" ht="18" customHeight="1" x14ac:dyDescent="0.25">
      <c r="A399" s="115">
        <v>6</v>
      </c>
      <c r="B399" s="116" t="s">
        <v>96</v>
      </c>
      <c r="C399" s="115">
        <v>311</v>
      </c>
      <c r="D399" s="119" t="s">
        <v>93</v>
      </c>
      <c r="E399" s="119" t="s">
        <v>1092</v>
      </c>
      <c r="F399" s="116" t="s">
        <v>1085</v>
      </c>
      <c r="G399" s="280">
        <v>2</v>
      </c>
      <c r="H399" s="259">
        <v>44907</v>
      </c>
      <c r="I399" s="259">
        <v>89815</v>
      </c>
      <c r="J399" s="259">
        <v>0</v>
      </c>
      <c r="K399" s="259">
        <v>89815</v>
      </c>
      <c r="L399" s="259">
        <v>7185</v>
      </c>
      <c r="M399" s="259">
        <v>97000</v>
      </c>
      <c r="N399" s="118">
        <v>4.7999999999999996E-3</v>
      </c>
      <c r="O399" s="411" t="s">
        <v>1086</v>
      </c>
    </row>
    <row r="400" spans="1:15" ht="18" customHeight="1" x14ac:dyDescent="0.25">
      <c r="A400" s="115">
        <v>6</v>
      </c>
      <c r="B400" s="116" t="s">
        <v>96</v>
      </c>
      <c r="C400" s="115">
        <v>87</v>
      </c>
      <c r="D400" s="119" t="s">
        <v>89</v>
      </c>
      <c r="E400" s="119" t="s">
        <v>147</v>
      </c>
      <c r="F400" s="116" t="s">
        <v>1085</v>
      </c>
      <c r="G400" s="280">
        <v>23</v>
      </c>
      <c r="H400" s="259">
        <v>37500</v>
      </c>
      <c r="I400" s="259">
        <v>862500</v>
      </c>
      <c r="J400" s="259">
        <v>0</v>
      </c>
      <c r="K400" s="259">
        <v>862500</v>
      </c>
      <c r="L400" s="259">
        <v>69000</v>
      </c>
      <c r="M400" s="259">
        <v>931500</v>
      </c>
      <c r="N400" s="118">
        <v>4.5999999999999999E-2</v>
      </c>
      <c r="O400" s="411" t="s">
        <v>1086</v>
      </c>
    </row>
    <row r="401" spans="1:15" ht="18" customHeight="1" x14ac:dyDescent="0.25">
      <c r="A401" s="115">
        <v>6</v>
      </c>
      <c r="B401" s="116" t="s">
        <v>96</v>
      </c>
      <c r="C401" s="115">
        <v>206</v>
      </c>
      <c r="D401" s="119" t="s">
        <v>93</v>
      </c>
      <c r="E401" s="119" t="s">
        <v>1093</v>
      </c>
      <c r="F401" s="116" t="s">
        <v>1085</v>
      </c>
      <c r="G401" s="280">
        <v>1</v>
      </c>
      <c r="H401" s="259">
        <v>44907</v>
      </c>
      <c r="I401" s="259">
        <v>44907</v>
      </c>
      <c r="J401" s="259">
        <v>0</v>
      </c>
      <c r="K401" s="259">
        <v>44907</v>
      </c>
      <c r="L401" s="259">
        <v>3593</v>
      </c>
      <c r="M401" s="259">
        <v>48500</v>
      </c>
      <c r="N401" s="118">
        <v>2.3999999999999998E-3</v>
      </c>
      <c r="O401" s="411" t="s">
        <v>1086</v>
      </c>
    </row>
    <row r="402" spans="1:15" ht="18" customHeight="1" x14ac:dyDescent="0.25">
      <c r="A402" s="115">
        <v>6</v>
      </c>
      <c r="B402" s="116" t="s">
        <v>96</v>
      </c>
      <c r="C402" s="115">
        <v>246</v>
      </c>
      <c r="D402" s="119" t="s">
        <v>91</v>
      </c>
      <c r="E402" s="119" t="s">
        <v>1095</v>
      </c>
      <c r="F402" s="116" t="s">
        <v>1085</v>
      </c>
      <c r="G402" s="280">
        <v>10</v>
      </c>
      <c r="H402" s="259">
        <v>6481</v>
      </c>
      <c r="I402" s="259">
        <v>64815</v>
      </c>
      <c r="J402" s="259">
        <v>0</v>
      </c>
      <c r="K402" s="259">
        <v>64815</v>
      </c>
      <c r="L402" s="259">
        <v>5185</v>
      </c>
      <c r="M402" s="259">
        <v>70000</v>
      </c>
      <c r="N402" s="118">
        <v>3.5000000000000001E-3</v>
      </c>
      <c r="O402" s="411" t="s">
        <v>1086</v>
      </c>
    </row>
    <row r="403" spans="1:15" ht="18" customHeight="1" x14ac:dyDescent="0.25">
      <c r="A403" s="115">
        <v>6</v>
      </c>
      <c r="B403" s="116" t="s">
        <v>96</v>
      </c>
      <c r="C403" s="115">
        <v>70</v>
      </c>
      <c r="D403" s="119" t="s">
        <v>91</v>
      </c>
      <c r="E403" s="119" t="s">
        <v>1096</v>
      </c>
      <c r="F403" s="116" t="s">
        <v>1085</v>
      </c>
      <c r="G403" s="280">
        <v>12</v>
      </c>
      <c r="H403" s="259">
        <v>4630</v>
      </c>
      <c r="I403" s="259">
        <v>55556</v>
      </c>
      <c r="J403" s="259">
        <v>0</v>
      </c>
      <c r="K403" s="259">
        <v>55556</v>
      </c>
      <c r="L403" s="259">
        <v>4444</v>
      </c>
      <c r="M403" s="259">
        <v>60000</v>
      </c>
      <c r="N403" s="118">
        <v>3.0000000000000001E-3</v>
      </c>
      <c r="O403" s="411" t="s">
        <v>1086</v>
      </c>
    </row>
    <row r="404" spans="1:15" ht="18" customHeight="1" x14ac:dyDescent="0.25">
      <c r="A404" s="115">
        <v>6</v>
      </c>
      <c r="B404" s="116" t="s">
        <v>96</v>
      </c>
      <c r="C404" s="115">
        <v>71</v>
      </c>
      <c r="D404" s="119" t="s">
        <v>91</v>
      </c>
      <c r="E404" s="119" t="s">
        <v>1097</v>
      </c>
      <c r="F404" s="116" t="s">
        <v>1085</v>
      </c>
      <c r="G404" s="280">
        <v>5</v>
      </c>
      <c r="H404" s="259">
        <v>5556</v>
      </c>
      <c r="I404" s="259">
        <v>27778</v>
      </c>
      <c r="J404" s="259">
        <v>0</v>
      </c>
      <c r="K404" s="259">
        <v>27778</v>
      </c>
      <c r="L404" s="259">
        <v>2222</v>
      </c>
      <c r="M404" s="259">
        <v>30000</v>
      </c>
      <c r="N404" s="118">
        <v>1.5E-3</v>
      </c>
      <c r="O404" s="411" t="s">
        <v>1086</v>
      </c>
    </row>
    <row r="405" spans="1:15" ht="18" customHeight="1" x14ac:dyDescent="0.25">
      <c r="A405" s="115">
        <v>6</v>
      </c>
      <c r="B405" s="116" t="s">
        <v>96</v>
      </c>
      <c r="C405" s="115">
        <v>83</v>
      </c>
      <c r="D405" s="119" t="s">
        <v>87</v>
      </c>
      <c r="E405" s="119" t="s">
        <v>1098</v>
      </c>
      <c r="F405" s="116" t="s">
        <v>1085</v>
      </c>
      <c r="G405" s="280">
        <v>8</v>
      </c>
      <c r="H405" s="259">
        <v>20833</v>
      </c>
      <c r="I405" s="259">
        <v>166667</v>
      </c>
      <c r="J405" s="259">
        <v>0</v>
      </c>
      <c r="K405" s="259">
        <v>166667</v>
      </c>
      <c r="L405" s="259">
        <v>13333</v>
      </c>
      <c r="M405" s="259">
        <v>180000</v>
      </c>
      <c r="N405" s="118">
        <v>8.8999999999999999E-3</v>
      </c>
      <c r="O405" s="411" t="s">
        <v>1086</v>
      </c>
    </row>
    <row r="406" spans="1:15" ht="18" customHeight="1" x14ac:dyDescent="0.25">
      <c r="A406" s="115">
        <v>6</v>
      </c>
      <c r="B406" s="116" t="s">
        <v>96</v>
      </c>
      <c r="C406" s="115">
        <v>52</v>
      </c>
      <c r="D406" s="119" t="s">
        <v>87</v>
      </c>
      <c r="E406" s="119" t="s">
        <v>1149</v>
      </c>
      <c r="F406" s="116" t="s">
        <v>1085</v>
      </c>
      <c r="G406" s="280">
        <v>2</v>
      </c>
      <c r="H406" s="259">
        <v>5556</v>
      </c>
      <c r="I406" s="259">
        <v>11111</v>
      </c>
      <c r="J406" s="259">
        <v>0</v>
      </c>
      <c r="K406" s="259">
        <v>11111</v>
      </c>
      <c r="L406" s="259">
        <v>889</v>
      </c>
      <c r="M406" s="259">
        <v>12000</v>
      </c>
      <c r="N406" s="118">
        <v>5.9999999999999995E-4</v>
      </c>
      <c r="O406" s="411" t="s">
        <v>1086</v>
      </c>
    </row>
    <row r="407" spans="1:15" ht="18" customHeight="1" x14ac:dyDescent="0.25">
      <c r="A407" s="115">
        <v>6</v>
      </c>
      <c r="B407" s="116" t="s">
        <v>96</v>
      </c>
      <c r="C407" s="115">
        <v>43</v>
      </c>
      <c r="D407" s="119" t="s">
        <v>87</v>
      </c>
      <c r="E407" s="119" t="s">
        <v>1099</v>
      </c>
      <c r="F407" s="116" t="s">
        <v>1085</v>
      </c>
      <c r="G407" s="280">
        <v>3</v>
      </c>
      <c r="H407" s="259">
        <v>8333</v>
      </c>
      <c r="I407" s="259">
        <v>25000</v>
      </c>
      <c r="J407" s="259">
        <v>0</v>
      </c>
      <c r="K407" s="259">
        <v>25000</v>
      </c>
      <c r="L407" s="259">
        <v>2000</v>
      </c>
      <c r="M407" s="259">
        <v>27000</v>
      </c>
      <c r="N407" s="118">
        <v>1.2999999999999999E-3</v>
      </c>
      <c r="O407" s="411" t="s">
        <v>1086</v>
      </c>
    </row>
    <row r="408" spans="1:15" ht="18" customHeight="1" x14ac:dyDescent="0.25">
      <c r="A408" s="115">
        <v>6</v>
      </c>
      <c r="B408" s="116" t="s">
        <v>96</v>
      </c>
      <c r="C408" s="115">
        <v>41</v>
      </c>
      <c r="D408" s="119" t="s">
        <v>87</v>
      </c>
      <c r="E408" s="119" t="s">
        <v>168</v>
      </c>
      <c r="F408" s="116" t="s">
        <v>1085</v>
      </c>
      <c r="G408" s="280">
        <v>5</v>
      </c>
      <c r="H408" s="259">
        <v>49074</v>
      </c>
      <c r="I408" s="259">
        <v>245370</v>
      </c>
      <c r="J408" s="259">
        <v>0</v>
      </c>
      <c r="K408" s="259">
        <v>245370</v>
      </c>
      <c r="L408" s="259">
        <v>19630</v>
      </c>
      <c r="M408" s="259">
        <v>265000</v>
      </c>
      <c r="N408" s="118">
        <v>1.3100000000000001E-2</v>
      </c>
      <c r="O408" s="411" t="s">
        <v>1086</v>
      </c>
    </row>
    <row r="409" spans="1:15" ht="18" customHeight="1" x14ac:dyDescent="0.25">
      <c r="A409" s="115">
        <v>6</v>
      </c>
      <c r="B409" s="116" t="s">
        <v>96</v>
      </c>
      <c r="C409" s="115">
        <v>42</v>
      </c>
      <c r="D409" s="119" t="s">
        <v>87</v>
      </c>
      <c r="E409" s="119" t="s">
        <v>359</v>
      </c>
      <c r="F409" s="116" t="s">
        <v>1085</v>
      </c>
      <c r="G409" s="280">
        <v>4</v>
      </c>
      <c r="H409" s="259">
        <v>32407</v>
      </c>
      <c r="I409" s="259">
        <v>129630</v>
      </c>
      <c r="J409" s="259">
        <v>0</v>
      </c>
      <c r="K409" s="259">
        <v>129630</v>
      </c>
      <c r="L409" s="259">
        <v>10370</v>
      </c>
      <c r="M409" s="259">
        <v>140000</v>
      </c>
      <c r="N409" s="118">
        <v>6.8999999999999999E-3</v>
      </c>
      <c r="O409" s="411" t="s">
        <v>1086</v>
      </c>
    </row>
    <row r="410" spans="1:15" ht="18" customHeight="1" x14ac:dyDescent="0.25">
      <c r="A410" s="115">
        <v>6</v>
      </c>
      <c r="B410" s="116" t="s">
        <v>96</v>
      </c>
      <c r="C410" s="115">
        <v>44</v>
      </c>
      <c r="D410" s="119" t="s">
        <v>87</v>
      </c>
      <c r="E410" s="119" t="s">
        <v>138</v>
      </c>
      <c r="F410" s="116" t="s">
        <v>1085</v>
      </c>
      <c r="G410" s="280">
        <v>26</v>
      </c>
      <c r="H410" s="259">
        <v>28241</v>
      </c>
      <c r="I410" s="259">
        <v>734259</v>
      </c>
      <c r="J410" s="259">
        <v>0</v>
      </c>
      <c r="K410" s="259">
        <v>734259</v>
      </c>
      <c r="L410" s="259">
        <v>58741</v>
      </c>
      <c r="M410" s="259">
        <v>793000</v>
      </c>
      <c r="N410" s="118">
        <v>3.9100000000000003E-2</v>
      </c>
      <c r="O410" s="411" t="s">
        <v>1086</v>
      </c>
    </row>
    <row r="411" spans="1:15" ht="18" customHeight="1" x14ac:dyDescent="0.25">
      <c r="A411" s="115">
        <v>6</v>
      </c>
      <c r="B411" s="116" t="s">
        <v>96</v>
      </c>
      <c r="C411" s="115">
        <v>110</v>
      </c>
      <c r="D411" s="119" t="s">
        <v>99</v>
      </c>
      <c r="E411" s="119" t="s">
        <v>1101</v>
      </c>
      <c r="F411" s="116" t="s">
        <v>1085</v>
      </c>
      <c r="G411" s="280">
        <v>23</v>
      </c>
      <c r="H411" s="259">
        <v>926</v>
      </c>
      <c r="I411" s="259">
        <v>21296</v>
      </c>
      <c r="J411" s="259">
        <v>0</v>
      </c>
      <c r="K411" s="259">
        <v>21296</v>
      </c>
      <c r="L411" s="259">
        <v>1704</v>
      </c>
      <c r="M411" s="259">
        <v>23000</v>
      </c>
      <c r="N411" s="118">
        <v>1.1000000000000001E-3</v>
      </c>
      <c r="O411" s="411" t="s">
        <v>1086</v>
      </c>
    </row>
    <row r="412" spans="1:15" ht="18" customHeight="1" x14ac:dyDescent="0.25">
      <c r="A412" s="115">
        <v>6</v>
      </c>
      <c r="B412" s="116" t="s">
        <v>96</v>
      </c>
      <c r="C412" s="115">
        <v>102</v>
      </c>
      <c r="D412" s="119" t="s">
        <v>87</v>
      </c>
      <c r="E412" s="119" t="s">
        <v>1151</v>
      </c>
      <c r="F412" s="116" t="s">
        <v>1085</v>
      </c>
      <c r="G412" s="280">
        <v>3</v>
      </c>
      <c r="H412" s="259">
        <v>6944</v>
      </c>
      <c r="I412" s="259">
        <v>20833</v>
      </c>
      <c r="J412" s="259">
        <v>0</v>
      </c>
      <c r="K412" s="259">
        <v>20833</v>
      </c>
      <c r="L412" s="259">
        <v>1667</v>
      </c>
      <c r="M412" s="259">
        <v>22500</v>
      </c>
      <c r="N412" s="118">
        <v>1.1000000000000001E-3</v>
      </c>
      <c r="O412" s="411" t="s">
        <v>1086</v>
      </c>
    </row>
    <row r="413" spans="1:15" ht="18" customHeight="1" x14ac:dyDescent="0.25">
      <c r="A413" s="115">
        <v>6</v>
      </c>
      <c r="B413" s="116" t="s">
        <v>96</v>
      </c>
      <c r="C413" s="115">
        <v>45</v>
      </c>
      <c r="D413" s="119" t="s">
        <v>87</v>
      </c>
      <c r="E413" s="119" t="s">
        <v>1102</v>
      </c>
      <c r="F413" s="116" t="s">
        <v>1085</v>
      </c>
      <c r="G413" s="280">
        <v>5</v>
      </c>
      <c r="H413" s="259">
        <v>35648</v>
      </c>
      <c r="I413" s="259">
        <v>178241</v>
      </c>
      <c r="J413" s="259">
        <v>0</v>
      </c>
      <c r="K413" s="259">
        <v>178241</v>
      </c>
      <c r="L413" s="259">
        <v>14259</v>
      </c>
      <c r="M413" s="259">
        <v>192500</v>
      </c>
      <c r="N413" s="118">
        <v>9.4999999999999998E-3</v>
      </c>
      <c r="O413" s="411" t="s">
        <v>1086</v>
      </c>
    </row>
    <row r="414" spans="1:15" ht="18" customHeight="1" x14ac:dyDescent="0.25">
      <c r="A414" s="115">
        <v>6</v>
      </c>
      <c r="B414" s="116" t="s">
        <v>96</v>
      </c>
      <c r="C414" s="115">
        <v>30</v>
      </c>
      <c r="D414" s="119" t="s">
        <v>95</v>
      </c>
      <c r="E414" s="119" t="s">
        <v>1103</v>
      </c>
      <c r="F414" s="116" t="s">
        <v>1085</v>
      </c>
      <c r="G414" s="280">
        <v>5</v>
      </c>
      <c r="H414" s="259">
        <v>6481</v>
      </c>
      <c r="I414" s="259">
        <v>32407</v>
      </c>
      <c r="J414" s="259">
        <v>0</v>
      </c>
      <c r="K414" s="259">
        <v>32407</v>
      </c>
      <c r="L414" s="259">
        <v>2593</v>
      </c>
      <c r="M414" s="259">
        <v>35000</v>
      </c>
      <c r="N414" s="118">
        <v>1.6999999999999999E-3</v>
      </c>
      <c r="O414" s="411" t="s">
        <v>1086</v>
      </c>
    </row>
    <row r="415" spans="1:15" ht="18" customHeight="1" x14ac:dyDescent="0.25">
      <c r="A415" s="115">
        <v>6</v>
      </c>
      <c r="B415" s="116" t="s">
        <v>96</v>
      </c>
      <c r="C415" s="115">
        <v>217</v>
      </c>
      <c r="D415" s="119" t="s">
        <v>89</v>
      </c>
      <c r="E415" s="119" t="s">
        <v>1105</v>
      </c>
      <c r="F415" s="116" t="s">
        <v>1085</v>
      </c>
      <c r="G415" s="280">
        <v>6</v>
      </c>
      <c r="H415" s="259">
        <v>28086</v>
      </c>
      <c r="I415" s="259">
        <v>168519</v>
      </c>
      <c r="J415" s="259">
        <v>0</v>
      </c>
      <c r="K415" s="259">
        <v>168519</v>
      </c>
      <c r="L415" s="259">
        <v>13481</v>
      </c>
      <c r="M415" s="259">
        <v>182000</v>
      </c>
      <c r="N415" s="118">
        <v>9.0000000000000011E-3</v>
      </c>
      <c r="O415" s="411" t="s">
        <v>1086</v>
      </c>
    </row>
    <row r="416" spans="1:15" ht="18" customHeight="1" x14ac:dyDescent="0.25">
      <c r="A416" s="115">
        <v>6</v>
      </c>
      <c r="B416" s="116" t="s">
        <v>96</v>
      </c>
      <c r="C416" s="115">
        <v>34</v>
      </c>
      <c r="D416" s="119" t="s">
        <v>91</v>
      </c>
      <c r="E416" s="119" t="s">
        <v>1107</v>
      </c>
      <c r="F416" s="116" t="s">
        <v>1085</v>
      </c>
      <c r="G416" s="280">
        <v>10</v>
      </c>
      <c r="H416" s="259">
        <v>6481</v>
      </c>
      <c r="I416" s="259">
        <v>64815</v>
      </c>
      <c r="J416" s="259">
        <v>0</v>
      </c>
      <c r="K416" s="259">
        <v>64815</v>
      </c>
      <c r="L416" s="259">
        <v>5185</v>
      </c>
      <c r="M416" s="259">
        <v>70000</v>
      </c>
      <c r="N416" s="118">
        <v>3.5000000000000001E-3</v>
      </c>
      <c r="O416" s="411" t="s">
        <v>1086</v>
      </c>
    </row>
    <row r="417" spans="1:15" ht="18" customHeight="1" x14ac:dyDescent="0.25">
      <c r="A417" s="115">
        <v>6</v>
      </c>
      <c r="B417" s="116" t="s">
        <v>96</v>
      </c>
      <c r="C417" s="115">
        <v>66</v>
      </c>
      <c r="D417" s="119" t="s">
        <v>91</v>
      </c>
      <c r="E417" s="119" t="s">
        <v>1186</v>
      </c>
      <c r="F417" s="116" t="s">
        <v>1085</v>
      </c>
      <c r="G417" s="280">
        <v>2</v>
      </c>
      <c r="H417" s="259">
        <v>11574</v>
      </c>
      <c r="I417" s="259">
        <v>23148</v>
      </c>
      <c r="J417" s="259">
        <v>0</v>
      </c>
      <c r="K417" s="259">
        <v>23148</v>
      </c>
      <c r="L417" s="259">
        <v>1852</v>
      </c>
      <c r="M417" s="259">
        <v>25000</v>
      </c>
      <c r="N417" s="118">
        <v>1.1999999999999999E-3</v>
      </c>
      <c r="O417" s="411" t="s">
        <v>1086</v>
      </c>
    </row>
    <row r="418" spans="1:15" ht="18" customHeight="1" x14ac:dyDescent="0.25">
      <c r="A418" s="115">
        <v>6</v>
      </c>
      <c r="B418" s="116" t="s">
        <v>96</v>
      </c>
      <c r="C418" s="115">
        <v>121</v>
      </c>
      <c r="D418" s="119" t="s">
        <v>91</v>
      </c>
      <c r="E418" s="119" t="s">
        <v>1108</v>
      </c>
      <c r="F418" s="116" t="s">
        <v>1085</v>
      </c>
      <c r="G418" s="280">
        <v>18</v>
      </c>
      <c r="H418" s="259">
        <v>2778</v>
      </c>
      <c r="I418" s="259">
        <v>50000</v>
      </c>
      <c r="J418" s="259">
        <v>0</v>
      </c>
      <c r="K418" s="259">
        <v>50000</v>
      </c>
      <c r="L418" s="259">
        <v>4000</v>
      </c>
      <c r="M418" s="259">
        <v>54000</v>
      </c>
      <c r="N418" s="118">
        <v>2.7000000000000001E-3</v>
      </c>
      <c r="O418" s="411" t="s">
        <v>1086</v>
      </c>
    </row>
    <row r="419" spans="1:15" ht="18" customHeight="1" x14ac:dyDescent="0.25">
      <c r="A419" s="115">
        <v>6</v>
      </c>
      <c r="B419" s="116" t="s">
        <v>96</v>
      </c>
      <c r="C419" s="115">
        <v>208</v>
      </c>
      <c r="D419" s="119" t="s">
        <v>91</v>
      </c>
      <c r="E419" s="119" t="s">
        <v>1109</v>
      </c>
      <c r="F419" s="116" t="s">
        <v>1085</v>
      </c>
      <c r="G419" s="280">
        <v>34</v>
      </c>
      <c r="H419" s="259">
        <v>3704</v>
      </c>
      <c r="I419" s="259">
        <v>125926</v>
      </c>
      <c r="J419" s="259">
        <v>0</v>
      </c>
      <c r="K419" s="259">
        <v>125926</v>
      </c>
      <c r="L419" s="259">
        <v>10074</v>
      </c>
      <c r="M419" s="259">
        <v>136000</v>
      </c>
      <c r="N419" s="118">
        <v>6.7000000000000002E-3</v>
      </c>
      <c r="O419" s="411" t="s">
        <v>1086</v>
      </c>
    </row>
    <row r="420" spans="1:15" ht="18" customHeight="1" x14ac:dyDescent="0.25">
      <c r="A420" s="115">
        <v>6</v>
      </c>
      <c r="B420" s="116" t="s">
        <v>96</v>
      </c>
      <c r="C420" s="115">
        <v>90</v>
      </c>
      <c r="D420" s="119" t="s">
        <v>91</v>
      </c>
      <c r="E420" s="119" t="s">
        <v>572</v>
      </c>
      <c r="F420" s="116" t="s">
        <v>1085</v>
      </c>
      <c r="G420" s="280">
        <v>6</v>
      </c>
      <c r="H420" s="259">
        <v>4259</v>
      </c>
      <c r="I420" s="259">
        <v>25556</v>
      </c>
      <c r="J420" s="259">
        <v>0</v>
      </c>
      <c r="K420" s="259">
        <v>25556</v>
      </c>
      <c r="L420" s="259">
        <v>2044</v>
      </c>
      <c r="M420" s="259">
        <v>27600</v>
      </c>
      <c r="N420" s="118">
        <v>1.4E-3</v>
      </c>
      <c r="O420" s="411" t="s">
        <v>1086</v>
      </c>
    </row>
    <row r="421" spans="1:15" ht="18" customHeight="1" x14ac:dyDescent="0.25">
      <c r="A421" s="115">
        <v>6</v>
      </c>
      <c r="B421" s="116" t="s">
        <v>96</v>
      </c>
      <c r="C421" s="115">
        <v>123</v>
      </c>
      <c r="D421" s="119" t="s">
        <v>91</v>
      </c>
      <c r="E421" s="119" t="s">
        <v>1110</v>
      </c>
      <c r="F421" s="116" t="s">
        <v>1085</v>
      </c>
      <c r="G421" s="280">
        <v>6</v>
      </c>
      <c r="H421" s="259">
        <v>2778</v>
      </c>
      <c r="I421" s="259">
        <v>16667</v>
      </c>
      <c r="J421" s="259">
        <v>0</v>
      </c>
      <c r="K421" s="259">
        <v>16667</v>
      </c>
      <c r="L421" s="259">
        <v>1333</v>
      </c>
      <c r="M421" s="259">
        <v>18000</v>
      </c>
      <c r="N421" s="118">
        <v>8.9999999999999998E-4</v>
      </c>
      <c r="O421" s="411" t="s">
        <v>1086</v>
      </c>
    </row>
    <row r="422" spans="1:15" ht="18" customHeight="1" x14ac:dyDescent="0.25">
      <c r="A422" s="115">
        <v>6</v>
      </c>
      <c r="B422" s="116" t="s">
        <v>96</v>
      </c>
      <c r="C422" s="115">
        <v>31</v>
      </c>
      <c r="D422" s="119" t="s">
        <v>95</v>
      </c>
      <c r="E422" s="119" t="s">
        <v>1111</v>
      </c>
      <c r="F422" s="116" t="s">
        <v>1085</v>
      </c>
      <c r="G422" s="280">
        <v>6</v>
      </c>
      <c r="H422" s="259">
        <v>1204</v>
      </c>
      <c r="I422" s="259">
        <v>7222</v>
      </c>
      <c r="J422" s="259">
        <v>0</v>
      </c>
      <c r="K422" s="259">
        <v>7222</v>
      </c>
      <c r="L422" s="259">
        <v>578</v>
      </c>
      <c r="M422" s="259">
        <v>7800</v>
      </c>
      <c r="N422" s="118">
        <v>4.0000000000000002E-4</v>
      </c>
      <c r="O422" s="411" t="s">
        <v>1086</v>
      </c>
    </row>
    <row r="423" spans="1:15" ht="18" customHeight="1" x14ac:dyDescent="0.25">
      <c r="A423" s="115">
        <v>6</v>
      </c>
      <c r="B423" s="116" t="s">
        <v>96</v>
      </c>
      <c r="C423" s="115">
        <v>202</v>
      </c>
      <c r="D423" s="119" t="s">
        <v>91</v>
      </c>
      <c r="E423" s="119" t="s">
        <v>1188</v>
      </c>
      <c r="F423" s="116" t="s">
        <v>1085</v>
      </c>
      <c r="G423" s="280">
        <v>2</v>
      </c>
      <c r="H423" s="259">
        <v>32407</v>
      </c>
      <c r="I423" s="259">
        <v>64815</v>
      </c>
      <c r="J423" s="259">
        <v>0</v>
      </c>
      <c r="K423" s="259">
        <v>64815</v>
      </c>
      <c r="L423" s="259">
        <v>5185</v>
      </c>
      <c r="M423" s="259">
        <v>70000</v>
      </c>
      <c r="N423" s="118">
        <v>3.5000000000000001E-3</v>
      </c>
      <c r="O423" s="411" t="s">
        <v>1086</v>
      </c>
    </row>
    <row r="424" spans="1:15" ht="18" customHeight="1" x14ac:dyDescent="0.25">
      <c r="A424" s="115">
        <v>6</v>
      </c>
      <c r="B424" s="116" t="s">
        <v>96</v>
      </c>
      <c r="C424" s="115">
        <v>212</v>
      </c>
      <c r="D424" s="119" t="s">
        <v>91</v>
      </c>
      <c r="E424" s="119" t="s">
        <v>162</v>
      </c>
      <c r="F424" s="116" t="s">
        <v>1085</v>
      </c>
      <c r="G424" s="280">
        <v>28</v>
      </c>
      <c r="H424" s="259">
        <v>22222</v>
      </c>
      <c r="I424" s="259">
        <v>622222</v>
      </c>
      <c r="J424" s="259">
        <v>0</v>
      </c>
      <c r="K424" s="259">
        <v>622222</v>
      </c>
      <c r="L424" s="259">
        <v>49778</v>
      </c>
      <c r="M424" s="259">
        <v>672000</v>
      </c>
      <c r="N424" s="118">
        <v>3.32E-2</v>
      </c>
      <c r="O424" s="411" t="s">
        <v>1086</v>
      </c>
    </row>
    <row r="425" spans="1:15" ht="18" customHeight="1" x14ac:dyDescent="0.25">
      <c r="A425" s="115">
        <v>6</v>
      </c>
      <c r="B425" s="116" t="s">
        <v>96</v>
      </c>
      <c r="C425" s="115">
        <v>74</v>
      </c>
      <c r="D425" s="119" t="s">
        <v>91</v>
      </c>
      <c r="E425" s="119" t="s">
        <v>1153</v>
      </c>
      <c r="F425" s="116" t="s">
        <v>1085</v>
      </c>
      <c r="G425" s="280">
        <v>14</v>
      </c>
      <c r="H425" s="259">
        <v>6481</v>
      </c>
      <c r="I425" s="259">
        <v>90741</v>
      </c>
      <c r="J425" s="259">
        <v>0</v>
      </c>
      <c r="K425" s="259">
        <v>90741</v>
      </c>
      <c r="L425" s="259">
        <v>7259</v>
      </c>
      <c r="M425" s="259">
        <v>98000</v>
      </c>
      <c r="N425" s="118">
        <v>4.7999999999999996E-3</v>
      </c>
      <c r="O425" s="411" t="s">
        <v>1086</v>
      </c>
    </row>
    <row r="426" spans="1:15" ht="18" customHeight="1" x14ac:dyDescent="0.25">
      <c r="A426" s="115">
        <v>6</v>
      </c>
      <c r="B426" s="116" t="s">
        <v>96</v>
      </c>
      <c r="C426" s="115">
        <v>235</v>
      </c>
      <c r="D426" s="119" t="s">
        <v>91</v>
      </c>
      <c r="E426" s="119" t="s">
        <v>1154</v>
      </c>
      <c r="F426" s="116" t="s">
        <v>1085</v>
      </c>
      <c r="G426" s="280">
        <v>2</v>
      </c>
      <c r="H426" s="259">
        <v>3426</v>
      </c>
      <c r="I426" s="259">
        <v>6852</v>
      </c>
      <c r="J426" s="259">
        <v>0</v>
      </c>
      <c r="K426" s="259">
        <v>6852</v>
      </c>
      <c r="L426" s="259">
        <v>548</v>
      </c>
      <c r="M426" s="259">
        <v>7400</v>
      </c>
      <c r="N426" s="118">
        <v>4.0000000000000002E-4</v>
      </c>
      <c r="O426" s="411" t="s">
        <v>1086</v>
      </c>
    </row>
    <row r="427" spans="1:15" ht="18" customHeight="1" x14ac:dyDescent="0.25">
      <c r="A427" s="115">
        <v>6</v>
      </c>
      <c r="B427" s="116" t="s">
        <v>96</v>
      </c>
      <c r="C427" s="115">
        <v>134</v>
      </c>
      <c r="D427" s="119" t="s">
        <v>91</v>
      </c>
      <c r="E427" s="119" t="s">
        <v>1168</v>
      </c>
      <c r="F427" s="116" t="s">
        <v>1085</v>
      </c>
      <c r="G427" s="280">
        <v>4</v>
      </c>
      <c r="H427" s="259">
        <v>12963</v>
      </c>
      <c r="I427" s="259">
        <v>51852</v>
      </c>
      <c r="J427" s="259">
        <v>0</v>
      </c>
      <c r="K427" s="259">
        <v>51852</v>
      </c>
      <c r="L427" s="259">
        <v>4148</v>
      </c>
      <c r="M427" s="259">
        <v>56000</v>
      </c>
      <c r="N427" s="118">
        <v>2.8E-3</v>
      </c>
      <c r="O427" s="411" t="s">
        <v>1086</v>
      </c>
    </row>
    <row r="428" spans="1:15" ht="18" customHeight="1" x14ac:dyDescent="0.25">
      <c r="A428" s="115">
        <v>6</v>
      </c>
      <c r="B428" s="116" t="s">
        <v>96</v>
      </c>
      <c r="C428" s="115">
        <v>501</v>
      </c>
      <c r="D428" s="119" t="s">
        <v>91</v>
      </c>
      <c r="E428" s="119" t="s">
        <v>1112</v>
      </c>
      <c r="F428" s="116" t="s">
        <v>1085</v>
      </c>
      <c r="G428" s="280">
        <v>2</v>
      </c>
      <c r="H428" s="259">
        <v>22222</v>
      </c>
      <c r="I428" s="259">
        <v>44444</v>
      </c>
      <c r="J428" s="259">
        <v>0</v>
      </c>
      <c r="K428" s="259">
        <v>44444</v>
      </c>
      <c r="L428" s="259">
        <v>3556</v>
      </c>
      <c r="M428" s="259">
        <v>48000</v>
      </c>
      <c r="N428" s="118">
        <v>2.3999999999999998E-3</v>
      </c>
      <c r="O428" s="411" t="s">
        <v>1086</v>
      </c>
    </row>
    <row r="429" spans="1:15" ht="18" customHeight="1" x14ac:dyDescent="0.25">
      <c r="A429" s="115">
        <v>6</v>
      </c>
      <c r="B429" s="116" t="s">
        <v>96</v>
      </c>
      <c r="C429" s="115">
        <v>107</v>
      </c>
      <c r="D429" s="119" t="s">
        <v>91</v>
      </c>
      <c r="E429" s="119" t="s">
        <v>1200</v>
      </c>
      <c r="F429" s="116" t="s">
        <v>1085</v>
      </c>
      <c r="G429" s="280">
        <v>3</v>
      </c>
      <c r="H429" s="259">
        <v>32407</v>
      </c>
      <c r="I429" s="259">
        <v>97222</v>
      </c>
      <c r="J429" s="259">
        <v>0</v>
      </c>
      <c r="K429" s="259">
        <v>97222</v>
      </c>
      <c r="L429" s="259">
        <v>7778</v>
      </c>
      <c r="M429" s="259">
        <v>105000</v>
      </c>
      <c r="N429" s="118">
        <v>5.1999999999999998E-3</v>
      </c>
      <c r="O429" s="411" t="s">
        <v>1086</v>
      </c>
    </row>
    <row r="430" spans="1:15" ht="18" customHeight="1" x14ac:dyDescent="0.25">
      <c r="A430" s="115">
        <v>6</v>
      </c>
      <c r="B430" s="116" t="s">
        <v>96</v>
      </c>
      <c r="C430" s="115">
        <v>75</v>
      </c>
      <c r="D430" s="119" t="s">
        <v>91</v>
      </c>
      <c r="E430" s="119" t="s">
        <v>1113</v>
      </c>
      <c r="F430" s="116" t="s">
        <v>1085</v>
      </c>
      <c r="G430" s="280">
        <v>7</v>
      </c>
      <c r="H430" s="259">
        <v>9259</v>
      </c>
      <c r="I430" s="259">
        <v>64815</v>
      </c>
      <c r="J430" s="259">
        <v>0</v>
      </c>
      <c r="K430" s="259">
        <v>64815</v>
      </c>
      <c r="L430" s="259">
        <v>5185</v>
      </c>
      <c r="M430" s="259">
        <v>70000</v>
      </c>
      <c r="N430" s="118">
        <v>3.5000000000000001E-3</v>
      </c>
      <c r="O430" s="411" t="s">
        <v>1086</v>
      </c>
    </row>
    <row r="431" spans="1:15" ht="18" customHeight="1" x14ac:dyDescent="0.25">
      <c r="A431" s="115">
        <v>6</v>
      </c>
      <c r="B431" s="116" t="s">
        <v>96</v>
      </c>
      <c r="C431" s="115">
        <v>51</v>
      </c>
      <c r="D431" s="119" t="s">
        <v>87</v>
      </c>
      <c r="E431" s="119" t="s">
        <v>1189</v>
      </c>
      <c r="F431" s="116" t="s">
        <v>1085</v>
      </c>
      <c r="G431" s="280">
        <v>5</v>
      </c>
      <c r="H431" s="259">
        <v>29167</v>
      </c>
      <c r="I431" s="259">
        <v>145833</v>
      </c>
      <c r="J431" s="259">
        <v>0</v>
      </c>
      <c r="K431" s="259">
        <v>145833</v>
      </c>
      <c r="L431" s="259">
        <v>11667</v>
      </c>
      <c r="M431" s="259">
        <v>157500</v>
      </c>
      <c r="N431" s="118">
        <v>7.8000000000000014E-3</v>
      </c>
      <c r="O431" s="411" t="s">
        <v>1086</v>
      </c>
    </row>
    <row r="432" spans="1:15" ht="18" customHeight="1" x14ac:dyDescent="0.25">
      <c r="A432" s="115">
        <v>6</v>
      </c>
      <c r="B432" s="116" t="s">
        <v>96</v>
      </c>
      <c r="C432" s="115">
        <v>88</v>
      </c>
      <c r="D432" s="119" t="s">
        <v>87</v>
      </c>
      <c r="E432" s="119" t="s">
        <v>132</v>
      </c>
      <c r="F432" s="116" t="s">
        <v>1085</v>
      </c>
      <c r="G432" s="280">
        <v>32</v>
      </c>
      <c r="H432" s="259">
        <v>32870</v>
      </c>
      <c r="I432" s="259">
        <v>1051852</v>
      </c>
      <c r="J432" s="259">
        <v>0</v>
      </c>
      <c r="K432" s="259">
        <v>1051852</v>
      </c>
      <c r="L432" s="259">
        <v>84148</v>
      </c>
      <c r="M432" s="259">
        <v>1136000</v>
      </c>
      <c r="N432" s="118">
        <v>5.6099999999999997E-2</v>
      </c>
      <c r="O432" s="411" t="s">
        <v>1086</v>
      </c>
    </row>
    <row r="433" spans="1:15" ht="18" customHeight="1" x14ac:dyDescent="0.25">
      <c r="A433" s="115">
        <v>6</v>
      </c>
      <c r="B433" s="116" t="s">
        <v>96</v>
      </c>
      <c r="C433" s="115">
        <v>118</v>
      </c>
      <c r="D433" s="119" t="s">
        <v>87</v>
      </c>
      <c r="E433" s="119" t="s">
        <v>126</v>
      </c>
      <c r="F433" s="116" t="s">
        <v>1085</v>
      </c>
      <c r="G433" s="280">
        <v>25</v>
      </c>
      <c r="H433" s="259">
        <v>41667</v>
      </c>
      <c r="I433" s="259">
        <v>1041667</v>
      </c>
      <c r="J433" s="259">
        <v>0</v>
      </c>
      <c r="K433" s="259">
        <v>1041667</v>
      </c>
      <c r="L433" s="259">
        <v>83333</v>
      </c>
      <c r="M433" s="259">
        <v>1125000</v>
      </c>
      <c r="N433" s="118">
        <v>5.5500000000000001E-2</v>
      </c>
      <c r="O433" s="411" t="s">
        <v>1086</v>
      </c>
    </row>
    <row r="434" spans="1:15" ht="18" customHeight="1" x14ac:dyDescent="0.25">
      <c r="A434" s="115">
        <v>6</v>
      </c>
      <c r="B434" s="116" t="s">
        <v>96</v>
      </c>
      <c r="C434" s="115">
        <v>205</v>
      </c>
      <c r="D434" s="119" t="s">
        <v>91</v>
      </c>
      <c r="E434" s="119" t="s">
        <v>1155</v>
      </c>
      <c r="F434" s="116" t="s">
        <v>1085</v>
      </c>
      <c r="G434" s="280">
        <v>3</v>
      </c>
      <c r="H434" s="259">
        <v>12037</v>
      </c>
      <c r="I434" s="259">
        <v>36111</v>
      </c>
      <c r="J434" s="259">
        <v>0</v>
      </c>
      <c r="K434" s="259">
        <v>36111</v>
      </c>
      <c r="L434" s="259">
        <v>2889</v>
      </c>
      <c r="M434" s="259">
        <v>39000</v>
      </c>
      <c r="N434" s="118">
        <v>1.9E-3</v>
      </c>
      <c r="O434" s="411" t="s">
        <v>1086</v>
      </c>
    </row>
    <row r="435" spans="1:15" ht="18" customHeight="1" x14ac:dyDescent="0.25">
      <c r="A435" s="115">
        <v>6</v>
      </c>
      <c r="B435" s="116" t="s">
        <v>96</v>
      </c>
      <c r="C435" s="115">
        <v>204</v>
      </c>
      <c r="D435" s="119" t="s">
        <v>91</v>
      </c>
      <c r="E435" s="119" t="s">
        <v>1114</v>
      </c>
      <c r="F435" s="116" t="s">
        <v>1085</v>
      </c>
      <c r="G435" s="280">
        <v>8</v>
      </c>
      <c r="H435" s="259">
        <v>12037</v>
      </c>
      <c r="I435" s="259">
        <v>96296</v>
      </c>
      <c r="J435" s="259">
        <v>0</v>
      </c>
      <c r="K435" s="259">
        <v>96296</v>
      </c>
      <c r="L435" s="259">
        <v>7704</v>
      </c>
      <c r="M435" s="259">
        <v>104000</v>
      </c>
      <c r="N435" s="118">
        <v>5.1000000000000004E-3</v>
      </c>
      <c r="O435" s="411" t="s">
        <v>1086</v>
      </c>
    </row>
    <row r="436" spans="1:15" ht="18" customHeight="1" x14ac:dyDescent="0.25">
      <c r="A436" s="115">
        <v>6</v>
      </c>
      <c r="B436" s="116" t="s">
        <v>96</v>
      </c>
      <c r="C436" s="115">
        <v>109</v>
      </c>
      <c r="D436" s="119" t="s">
        <v>91</v>
      </c>
      <c r="E436" s="119" t="s">
        <v>144</v>
      </c>
      <c r="F436" s="116" t="s">
        <v>1085</v>
      </c>
      <c r="G436" s="280">
        <v>43</v>
      </c>
      <c r="H436" s="259">
        <v>12963</v>
      </c>
      <c r="I436" s="259">
        <v>557407</v>
      </c>
      <c r="J436" s="259">
        <v>0</v>
      </c>
      <c r="K436" s="259">
        <v>557407</v>
      </c>
      <c r="L436" s="259">
        <v>44593</v>
      </c>
      <c r="M436" s="259">
        <v>602000</v>
      </c>
      <c r="N436" s="118">
        <v>2.9700000000000001E-2</v>
      </c>
      <c r="O436" s="411" t="s">
        <v>1086</v>
      </c>
    </row>
    <row r="437" spans="1:15" ht="18" customHeight="1" x14ac:dyDescent="0.25">
      <c r="A437" s="115">
        <v>6</v>
      </c>
      <c r="B437" s="116" t="s">
        <v>96</v>
      </c>
      <c r="C437" s="115">
        <v>147</v>
      </c>
      <c r="D437" s="119" t="s">
        <v>91</v>
      </c>
      <c r="E437" s="119" t="s">
        <v>1115</v>
      </c>
      <c r="F437" s="116" t="s">
        <v>1085</v>
      </c>
      <c r="G437" s="280">
        <v>7</v>
      </c>
      <c r="H437" s="259">
        <v>6481</v>
      </c>
      <c r="I437" s="259">
        <v>45370</v>
      </c>
      <c r="J437" s="259">
        <v>0</v>
      </c>
      <c r="K437" s="259">
        <v>45370</v>
      </c>
      <c r="L437" s="259">
        <v>3630</v>
      </c>
      <c r="M437" s="259">
        <v>49000</v>
      </c>
      <c r="N437" s="118">
        <v>2.3999999999999998E-3</v>
      </c>
      <c r="O437" s="411" t="s">
        <v>1086</v>
      </c>
    </row>
    <row r="438" spans="1:15" ht="18" customHeight="1" x14ac:dyDescent="0.25">
      <c r="A438" s="115">
        <v>6</v>
      </c>
      <c r="B438" s="116" t="s">
        <v>96</v>
      </c>
      <c r="C438" s="115">
        <v>46</v>
      </c>
      <c r="D438" s="119" t="s">
        <v>87</v>
      </c>
      <c r="E438" s="119" t="s">
        <v>1116</v>
      </c>
      <c r="F438" s="116" t="s">
        <v>1085</v>
      </c>
      <c r="G438" s="280">
        <v>4</v>
      </c>
      <c r="H438" s="259">
        <v>35648</v>
      </c>
      <c r="I438" s="259">
        <v>142593</v>
      </c>
      <c r="J438" s="259">
        <v>0</v>
      </c>
      <c r="K438" s="259">
        <v>142593</v>
      </c>
      <c r="L438" s="259">
        <v>11407</v>
      </c>
      <c r="M438" s="259">
        <v>154000</v>
      </c>
      <c r="N438" s="118">
        <v>7.6E-3</v>
      </c>
      <c r="O438" s="411" t="s">
        <v>1086</v>
      </c>
    </row>
    <row r="439" spans="1:15" ht="18" customHeight="1" x14ac:dyDescent="0.25">
      <c r="A439" s="115">
        <v>6</v>
      </c>
      <c r="B439" s="116" t="s">
        <v>96</v>
      </c>
      <c r="C439" s="115">
        <v>72</v>
      </c>
      <c r="D439" s="119" t="s">
        <v>97</v>
      </c>
      <c r="E439" s="119" t="s">
        <v>1117</v>
      </c>
      <c r="F439" s="116" t="s">
        <v>1085</v>
      </c>
      <c r="G439" s="280">
        <v>25</v>
      </c>
      <c r="H439" s="259">
        <v>3704</v>
      </c>
      <c r="I439" s="259">
        <v>92593</v>
      </c>
      <c r="J439" s="259">
        <v>0</v>
      </c>
      <c r="K439" s="259">
        <v>92593</v>
      </c>
      <c r="L439" s="259">
        <v>7407</v>
      </c>
      <c r="M439" s="259">
        <v>100000</v>
      </c>
      <c r="N439" s="118">
        <v>4.8999999999999998E-3</v>
      </c>
      <c r="O439" s="411" t="s">
        <v>1086</v>
      </c>
    </row>
    <row r="440" spans="1:15" ht="18" customHeight="1" x14ac:dyDescent="0.25">
      <c r="A440" s="115">
        <v>6</v>
      </c>
      <c r="B440" s="116" t="s">
        <v>96</v>
      </c>
      <c r="C440" s="115">
        <v>112</v>
      </c>
      <c r="D440" s="119" t="s">
        <v>87</v>
      </c>
      <c r="E440" s="119" t="s">
        <v>1118</v>
      </c>
      <c r="F440" s="116" t="s">
        <v>1085</v>
      </c>
      <c r="G440" s="280">
        <v>3</v>
      </c>
      <c r="H440" s="259">
        <v>41667</v>
      </c>
      <c r="I440" s="259">
        <v>125000</v>
      </c>
      <c r="J440" s="259">
        <v>0</v>
      </c>
      <c r="K440" s="259">
        <v>125000</v>
      </c>
      <c r="L440" s="259">
        <v>10000</v>
      </c>
      <c r="M440" s="259">
        <v>135000</v>
      </c>
      <c r="N440" s="118">
        <v>6.7000000000000002E-3</v>
      </c>
      <c r="O440" s="411" t="s">
        <v>1086</v>
      </c>
    </row>
    <row r="441" spans="1:15" ht="18" customHeight="1" x14ac:dyDescent="0.25">
      <c r="A441" s="115">
        <v>6</v>
      </c>
      <c r="B441" s="116" t="s">
        <v>96</v>
      </c>
      <c r="C441" s="115">
        <v>227</v>
      </c>
      <c r="D441" s="119" t="s">
        <v>87</v>
      </c>
      <c r="E441" s="119" t="s">
        <v>1169</v>
      </c>
      <c r="F441" s="116" t="s">
        <v>1085</v>
      </c>
      <c r="G441" s="280">
        <v>5</v>
      </c>
      <c r="H441" s="259">
        <v>1389</v>
      </c>
      <c r="I441" s="259">
        <v>6944</v>
      </c>
      <c r="J441" s="259">
        <v>0</v>
      </c>
      <c r="K441" s="259">
        <v>6944</v>
      </c>
      <c r="L441" s="259">
        <v>556</v>
      </c>
      <c r="M441" s="259">
        <v>7500</v>
      </c>
      <c r="N441" s="118">
        <v>4.0000000000000002E-4</v>
      </c>
      <c r="O441" s="411" t="s">
        <v>1086</v>
      </c>
    </row>
    <row r="442" spans="1:15" ht="18" customHeight="1" x14ac:dyDescent="0.25">
      <c r="A442" s="115">
        <v>6</v>
      </c>
      <c r="B442" s="116" t="s">
        <v>96</v>
      </c>
      <c r="C442" s="115">
        <v>101</v>
      </c>
      <c r="D442" s="119" t="s">
        <v>87</v>
      </c>
      <c r="E442" s="119" t="s">
        <v>1119</v>
      </c>
      <c r="F442" s="116" t="s">
        <v>1085</v>
      </c>
      <c r="G442" s="280">
        <v>5</v>
      </c>
      <c r="H442" s="259">
        <v>2315</v>
      </c>
      <c r="I442" s="259">
        <v>11574</v>
      </c>
      <c r="J442" s="259">
        <v>0</v>
      </c>
      <c r="K442" s="259">
        <v>11574</v>
      </c>
      <c r="L442" s="259">
        <v>926</v>
      </c>
      <c r="M442" s="259">
        <v>12500</v>
      </c>
      <c r="N442" s="118">
        <v>5.9999999999999995E-4</v>
      </c>
      <c r="O442" s="411" t="s">
        <v>1086</v>
      </c>
    </row>
    <row r="443" spans="1:15" ht="18" customHeight="1" x14ac:dyDescent="0.25">
      <c r="A443" s="115">
        <v>6</v>
      </c>
      <c r="B443" s="116" t="s">
        <v>96</v>
      </c>
      <c r="C443" s="115">
        <v>93</v>
      </c>
      <c r="D443" s="119" t="s">
        <v>89</v>
      </c>
      <c r="E443" s="119" t="s">
        <v>123</v>
      </c>
      <c r="F443" s="116" t="s">
        <v>1085</v>
      </c>
      <c r="G443" s="280">
        <v>1</v>
      </c>
      <c r="H443" s="259">
        <v>20370</v>
      </c>
      <c r="I443" s="259">
        <v>20370</v>
      </c>
      <c r="J443" s="259">
        <v>0</v>
      </c>
      <c r="K443" s="259">
        <v>20370</v>
      </c>
      <c r="L443" s="259">
        <v>1630</v>
      </c>
      <c r="M443" s="259">
        <v>22000</v>
      </c>
      <c r="N443" s="118">
        <v>1.1000000000000001E-3</v>
      </c>
      <c r="O443" s="411" t="s">
        <v>1086</v>
      </c>
    </row>
    <row r="444" spans="1:15" ht="18" customHeight="1" x14ac:dyDescent="0.25">
      <c r="A444" s="115">
        <v>6</v>
      </c>
      <c r="B444" s="116" t="s">
        <v>96</v>
      </c>
      <c r="C444" s="115">
        <v>119</v>
      </c>
      <c r="D444" s="119" t="s">
        <v>89</v>
      </c>
      <c r="E444" s="119" t="s">
        <v>114</v>
      </c>
      <c r="F444" s="116" t="s">
        <v>1085</v>
      </c>
      <c r="G444" s="280">
        <v>37</v>
      </c>
      <c r="H444" s="259">
        <v>44444</v>
      </c>
      <c r="I444" s="259">
        <v>1644444</v>
      </c>
      <c r="J444" s="259">
        <v>0</v>
      </c>
      <c r="K444" s="259">
        <v>1644444</v>
      </c>
      <c r="L444" s="259">
        <v>131556</v>
      </c>
      <c r="M444" s="259">
        <v>1776000</v>
      </c>
      <c r="N444" s="118">
        <v>8.7599999999999997E-2</v>
      </c>
      <c r="O444" s="411" t="s">
        <v>1086</v>
      </c>
    </row>
    <row r="445" spans="1:15" ht="18" customHeight="1" x14ac:dyDescent="0.25">
      <c r="A445" s="115">
        <v>6</v>
      </c>
      <c r="B445" s="116" t="s">
        <v>96</v>
      </c>
      <c r="C445" s="115">
        <v>64</v>
      </c>
      <c r="D445" s="119" t="s">
        <v>87</v>
      </c>
      <c r="E445" s="119" t="s">
        <v>1201</v>
      </c>
      <c r="F445" s="116" t="s">
        <v>1085</v>
      </c>
      <c r="G445" s="280">
        <v>1</v>
      </c>
      <c r="H445" s="259">
        <v>2315</v>
      </c>
      <c r="I445" s="259">
        <v>2315</v>
      </c>
      <c r="J445" s="259">
        <v>0</v>
      </c>
      <c r="K445" s="259">
        <v>2315</v>
      </c>
      <c r="L445" s="259">
        <v>185</v>
      </c>
      <c r="M445" s="259">
        <v>2500</v>
      </c>
      <c r="N445" s="118">
        <v>1E-4</v>
      </c>
      <c r="O445" s="411" t="s">
        <v>1086</v>
      </c>
    </row>
    <row r="446" spans="1:15" ht="18" customHeight="1" x14ac:dyDescent="0.25">
      <c r="A446" s="115">
        <v>6</v>
      </c>
      <c r="B446" s="116" t="s">
        <v>96</v>
      </c>
      <c r="C446" s="115">
        <v>21</v>
      </c>
      <c r="D446" s="119" t="s">
        <v>95</v>
      </c>
      <c r="E446" s="119" t="s">
        <v>1202</v>
      </c>
      <c r="F446" s="116" t="s">
        <v>1085</v>
      </c>
      <c r="G446" s="280">
        <v>3</v>
      </c>
      <c r="H446" s="259">
        <v>7407</v>
      </c>
      <c r="I446" s="259">
        <v>22222</v>
      </c>
      <c r="J446" s="259">
        <v>0</v>
      </c>
      <c r="K446" s="259">
        <v>22222</v>
      </c>
      <c r="L446" s="259">
        <v>1778</v>
      </c>
      <c r="M446" s="259">
        <v>24000</v>
      </c>
      <c r="N446" s="118">
        <v>1.1999999999999999E-3</v>
      </c>
      <c r="O446" s="411" t="s">
        <v>1086</v>
      </c>
    </row>
    <row r="447" spans="1:15" ht="18" customHeight="1" x14ac:dyDescent="0.25">
      <c r="A447" s="115">
        <v>6</v>
      </c>
      <c r="B447" s="116" t="s">
        <v>96</v>
      </c>
      <c r="C447" s="115">
        <v>19</v>
      </c>
      <c r="D447" s="119" t="s">
        <v>87</v>
      </c>
      <c r="E447" s="119" t="s">
        <v>1120</v>
      </c>
      <c r="F447" s="116" t="s">
        <v>1085</v>
      </c>
      <c r="G447" s="280">
        <v>14</v>
      </c>
      <c r="H447" s="259">
        <v>9259</v>
      </c>
      <c r="I447" s="259">
        <v>129630</v>
      </c>
      <c r="J447" s="259">
        <v>0</v>
      </c>
      <c r="K447" s="259">
        <v>129630</v>
      </c>
      <c r="L447" s="259">
        <v>10370</v>
      </c>
      <c r="M447" s="259">
        <v>140000</v>
      </c>
      <c r="N447" s="118">
        <v>6.8999999999999999E-3</v>
      </c>
      <c r="O447" s="411" t="s">
        <v>1086</v>
      </c>
    </row>
    <row r="448" spans="1:15" ht="18" customHeight="1" x14ac:dyDescent="0.25">
      <c r="A448" s="115">
        <v>6</v>
      </c>
      <c r="B448" s="116" t="s">
        <v>96</v>
      </c>
      <c r="C448" s="115">
        <v>47</v>
      </c>
      <c r="D448" s="119" t="s">
        <v>87</v>
      </c>
      <c r="E448" s="119" t="s">
        <v>1191</v>
      </c>
      <c r="F448" s="116" t="s">
        <v>1085</v>
      </c>
      <c r="G448" s="280">
        <v>2</v>
      </c>
      <c r="H448" s="259">
        <v>64815</v>
      </c>
      <c r="I448" s="259">
        <v>129630</v>
      </c>
      <c r="J448" s="259">
        <v>0</v>
      </c>
      <c r="K448" s="259">
        <v>129630</v>
      </c>
      <c r="L448" s="259">
        <v>10370</v>
      </c>
      <c r="M448" s="259">
        <v>140000</v>
      </c>
      <c r="N448" s="118">
        <v>6.8999999999999999E-3</v>
      </c>
      <c r="O448" s="411" t="s">
        <v>1086</v>
      </c>
    </row>
    <row r="449" spans="1:15" ht="18" customHeight="1" x14ac:dyDescent="0.25">
      <c r="A449" s="115">
        <v>6</v>
      </c>
      <c r="B449" s="116" t="s">
        <v>96</v>
      </c>
      <c r="C449" s="115">
        <v>77</v>
      </c>
      <c r="D449" s="119" t="s">
        <v>87</v>
      </c>
      <c r="E449" s="119" t="s">
        <v>1121</v>
      </c>
      <c r="F449" s="116" t="s">
        <v>1085</v>
      </c>
      <c r="G449" s="280">
        <v>2</v>
      </c>
      <c r="H449" s="259">
        <v>2778</v>
      </c>
      <c r="I449" s="259">
        <v>5556</v>
      </c>
      <c r="J449" s="259">
        <v>0</v>
      </c>
      <c r="K449" s="259">
        <v>5556</v>
      </c>
      <c r="L449" s="259">
        <v>444</v>
      </c>
      <c r="M449" s="259">
        <v>6000</v>
      </c>
      <c r="N449" s="118">
        <v>2.9999999999999997E-4</v>
      </c>
      <c r="O449" s="411" t="s">
        <v>1086</v>
      </c>
    </row>
    <row r="450" spans="1:15" ht="18" customHeight="1" x14ac:dyDescent="0.25">
      <c r="A450" s="115">
        <v>6</v>
      </c>
      <c r="B450" s="116" t="s">
        <v>96</v>
      </c>
      <c r="C450" s="115">
        <v>86</v>
      </c>
      <c r="D450" s="119" t="s">
        <v>95</v>
      </c>
      <c r="E450" s="119" t="s">
        <v>1124</v>
      </c>
      <c r="F450" s="116" t="s">
        <v>1085</v>
      </c>
      <c r="G450" s="280">
        <v>8</v>
      </c>
      <c r="H450" s="259">
        <v>3241</v>
      </c>
      <c r="I450" s="259">
        <v>25926</v>
      </c>
      <c r="J450" s="259">
        <v>0</v>
      </c>
      <c r="K450" s="259">
        <v>25926</v>
      </c>
      <c r="L450" s="259">
        <v>2074</v>
      </c>
      <c r="M450" s="259">
        <v>28000</v>
      </c>
      <c r="N450" s="118">
        <v>1.4E-3</v>
      </c>
      <c r="O450" s="411" t="s">
        <v>1086</v>
      </c>
    </row>
    <row r="451" spans="1:15" ht="18" customHeight="1" x14ac:dyDescent="0.25">
      <c r="A451" s="115">
        <v>6</v>
      </c>
      <c r="B451" s="116" t="s">
        <v>96</v>
      </c>
      <c r="C451" s="115">
        <v>85</v>
      </c>
      <c r="D451" s="119" t="s">
        <v>95</v>
      </c>
      <c r="E451" s="119" t="s">
        <v>1157</v>
      </c>
      <c r="F451" s="116" t="s">
        <v>1085</v>
      </c>
      <c r="G451" s="280">
        <v>1</v>
      </c>
      <c r="H451" s="259">
        <v>2315</v>
      </c>
      <c r="I451" s="259">
        <v>2315</v>
      </c>
      <c r="J451" s="259">
        <v>0</v>
      </c>
      <c r="K451" s="259">
        <v>2315</v>
      </c>
      <c r="L451" s="259">
        <v>185</v>
      </c>
      <c r="M451" s="259">
        <v>2500</v>
      </c>
      <c r="N451" s="118">
        <v>1E-4</v>
      </c>
      <c r="O451" s="411" t="s">
        <v>1086</v>
      </c>
    </row>
    <row r="452" spans="1:15" ht="18" customHeight="1" x14ac:dyDescent="0.25">
      <c r="A452" s="115">
        <v>6</v>
      </c>
      <c r="B452" s="116" t="s">
        <v>96</v>
      </c>
      <c r="C452" s="115">
        <v>91</v>
      </c>
      <c r="D452" s="119" t="s">
        <v>95</v>
      </c>
      <c r="E452" s="119" t="s">
        <v>1193</v>
      </c>
      <c r="F452" s="116" t="s">
        <v>1085</v>
      </c>
      <c r="G452" s="280">
        <v>2</v>
      </c>
      <c r="H452" s="259">
        <v>11111</v>
      </c>
      <c r="I452" s="259">
        <v>22222</v>
      </c>
      <c r="J452" s="259">
        <v>0</v>
      </c>
      <c r="K452" s="259">
        <v>22222</v>
      </c>
      <c r="L452" s="259">
        <v>1778</v>
      </c>
      <c r="M452" s="259">
        <v>24000</v>
      </c>
      <c r="N452" s="118">
        <v>1.1999999999999999E-3</v>
      </c>
      <c r="O452" s="411" t="s">
        <v>1086</v>
      </c>
    </row>
    <row r="453" spans="1:15" ht="18" customHeight="1" x14ac:dyDescent="0.25">
      <c r="A453" s="115">
        <v>6</v>
      </c>
      <c r="B453" s="116" t="s">
        <v>96</v>
      </c>
      <c r="C453" s="115">
        <v>100</v>
      </c>
      <c r="D453" s="119" t="s">
        <v>95</v>
      </c>
      <c r="E453" s="119" t="s">
        <v>1194</v>
      </c>
      <c r="F453" s="116" t="s">
        <v>1085</v>
      </c>
      <c r="G453" s="280">
        <v>2</v>
      </c>
      <c r="H453" s="259">
        <v>18981</v>
      </c>
      <c r="I453" s="259">
        <v>37963</v>
      </c>
      <c r="J453" s="259">
        <v>0</v>
      </c>
      <c r="K453" s="259">
        <v>37963</v>
      </c>
      <c r="L453" s="259">
        <v>3037</v>
      </c>
      <c r="M453" s="259">
        <v>41000</v>
      </c>
      <c r="N453" s="118">
        <v>2E-3</v>
      </c>
      <c r="O453" s="411" t="s">
        <v>1086</v>
      </c>
    </row>
    <row r="454" spans="1:15" ht="18" customHeight="1" x14ac:dyDescent="0.25">
      <c r="A454" s="115">
        <v>6</v>
      </c>
      <c r="B454" s="116" t="s">
        <v>96</v>
      </c>
      <c r="C454" s="115">
        <v>157</v>
      </c>
      <c r="D454" s="119" t="s">
        <v>95</v>
      </c>
      <c r="E454" s="119" t="s">
        <v>1203</v>
      </c>
      <c r="F454" s="116" t="s">
        <v>1085</v>
      </c>
      <c r="G454" s="280">
        <v>0</v>
      </c>
      <c r="H454" s="259">
        <v>0</v>
      </c>
      <c r="I454" s="259">
        <v>0</v>
      </c>
      <c r="J454" s="259">
        <v>0</v>
      </c>
      <c r="K454" s="259">
        <v>0</v>
      </c>
      <c r="L454" s="259">
        <v>0</v>
      </c>
      <c r="M454" s="259">
        <v>0</v>
      </c>
      <c r="N454" s="118">
        <v>0</v>
      </c>
      <c r="O454" s="411" t="s">
        <v>1086</v>
      </c>
    </row>
    <row r="455" spans="1:15" ht="18" customHeight="1" x14ac:dyDescent="0.25">
      <c r="A455" s="115">
        <v>6</v>
      </c>
      <c r="B455" s="116" t="s">
        <v>96</v>
      </c>
      <c r="C455" s="115">
        <v>63</v>
      </c>
      <c r="D455" s="119" t="s">
        <v>95</v>
      </c>
      <c r="E455" s="119" t="s">
        <v>1182</v>
      </c>
      <c r="F455" s="116" t="s">
        <v>1085</v>
      </c>
      <c r="G455" s="280">
        <v>4</v>
      </c>
      <c r="H455" s="259">
        <v>3704</v>
      </c>
      <c r="I455" s="259">
        <v>14815</v>
      </c>
      <c r="J455" s="259">
        <v>0</v>
      </c>
      <c r="K455" s="259">
        <v>14815</v>
      </c>
      <c r="L455" s="259">
        <v>1185</v>
      </c>
      <c r="M455" s="259">
        <v>16000</v>
      </c>
      <c r="N455" s="118">
        <v>8.0000000000000004E-4</v>
      </c>
      <c r="O455" s="411" t="s">
        <v>1086</v>
      </c>
    </row>
    <row r="456" spans="1:15" ht="18" customHeight="1" x14ac:dyDescent="0.25">
      <c r="A456" s="115">
        <v>6</v>
      </c>
      <c r="B456" s="116" t="s">
        <v>96</v>
      </c>
      <c r="C456" s="115">
        <v>79</v>
      </c>
      <c r="D456" s="119" t="s">
        <v>95</v>
      </c>
      <c r="E456" s="119" t="s">
        <v>1127</v>
      </c>
      <c r="F456" s="116" t="s">
        <v>1085</v>
      </c>
      <c r="G456" s="280">
        <v>5</v>
      </c>
      <c r="H456" s="259">
        <v>6481</v>
      </c>
      <c r="I456" s="259">
        <v>32407</v>
      </c>
      <c r="J456" s="259">
        <v>0</v>
      </c>
      <c r="K456" s="259">
        <v>32407</v>
      </c>
      <c r="L456" s="259">
        <v>2593</v>
      </c>
      <c r="M456" s="259">
        <v>35000</v>
      </c>
      <c r="N456" s="118">
        <v>1.6999999999999999E-3</v>
      </c>
      <c r="O456" s="411" t="s">
        <v>1086</v>
      </c>
    </row>
    <row r="457" spans="1:15" ht="18" customHeight="1" x14ac:dyDescent="0.25">
      <c r="A457" s="115">
        <v>6</v>
      </c>
      <c r="B457" s="116" t="s">
        <v>96</v>
      </c>
      <c r="C457" s="115">
        <v>82</v>
      </c>
      <c r="D457" s="119" t="s">
        <v>95</v>
      </c>
      <c r="E457" s="119" t="s">
        <v>1158</v>
      </c>
      <c r="F457" s="116" t="s">
        <v>1085</v>
      </c>
      <c r="G457" s="280">
        <v>0</v>
      </c>
      <c r="H457" s="259">
        <v>0</v>
      </c>
      <c r="I457" s="259">
        <v>0</v>
      </c>
      <c r="J457" s="259">
        <v>0</v>
      </c>
      <c r="K457" s="259">
        <v>0</v>
      </c>
      <c r="L457" s="259">
        <v>0</v>
      </c>
      <c r="M457" s="259">
        <v>0</v>
      </c>
      <c r="N457" s="118">
        <v>0</v>
      </c>
      <c r="O457" s="411" t="s">
        <v>1086</v>
      </c>
    </row>
    <row r="458" spans="1:15" ht="18" customHeight="1" x14ac:dyDescent="0.25">
      <c r="A458" s="115">
        <v>6</v>
      </c>
      <c r="B458" s="116" t="s">
        <v>96</v>
      </c>
      <c r="C458" s="115">
        <v>62</v>
      </c>
      <c r="D458" s="119" t="s">
        <v>95</v>
      </c>
      <c r="E458" s="119" t="s">
        <v>1128</v>
      </c>
      <c r="F458" s="116" t="s">
        <v>1085</v>
      </c>
      <c r="G458" s="280">
        <v>1</v>
      </c>
      <c r="H458" s="259">
        <v>6944</v>
      </c>
      <c r="I458" s="259">
        <v>6944</v>
      </c>
      <c r="J458" s="259">
        <v>0</v>
      </c>
      <c r="K458" s="259">
        <v>6944</v>
      </c>
      <c r="L458" s="259">
        <v>556</v>
      </c>
      <c r="M458" s="259">
        <v>7500</v>
      </c>
      <c r="N458" s="118">
        <v>4.0000000000000002E-4</v>
      </c>
      <c r="O458" s="411" t="s">
        <v>1086</v>
      </c>
    </row>
    <row r="459" spans="1:15" ht="18" customHeight="1" x14ac:dyDescent="0.25">
      <c r="A459" s="115">
        <v>6</v>
      </c>
      <c r="B459" s="116" t="s">
        <v>96</v>
      </c>
      <c r="C459" s="115">
        <v>137</v>
      </c>
      <c r="D459" s="119" t="s">
        <v>95</v>
      </c>
      <c r="E459" s="119" t="s">
        <v>1159</v>
      </c>
      <c r="F459" s="116" t="s">
        <v>1085</v>
      </c>
      <c r="G459" s="280">
        <v>1</v>
      </c>
      <c r="H459" s="259">
        <v>6481</v>
      </c>
      <c r="I459" s="259">
        <v>6481</v>
      </c>
      <c r="J459" s="259">
        <v>0</v>
      </c>
      <c r="K459" s="259">
        <v>6481</v>
      </c>
      <c r="L459" s="259">
        <v>519</v>
      </c>
      <c r="M459" s="259">
        <v>7000</v>
      </c>
      <c r="N459" s="118">
        <v>2.9999999999999997E-4</v>
      </c>
      <c r="O459" s="411" t="s">
        <v>1086</v>
      </c>
    </row>
    <row r="460" spans="1:15" ht="18" customHeight="1" x14ac:dyDescent="0.25">
      <c r="A460" s="115">
        <v>6</v>
      </c>
      <c r="B460" s="116" t="s">
        <v>96</v>
      </c>
      <c r="C460" s="115">
        <v>219</v>
      </c>
      <c r="D460" s="119" t="s">
        <v>87</v>
      </c>
      <c r="E460" s="119" t="s">
        <v>150</v>
      </c>
      <c r="F460" s="116" t="s">
        <v>1085</v>
      </c>
      <c r="G460" s="280">
        <v>13</v>
      </c>
      <c r="H460" s="259">
        <v>69444</v>
      </c>
      <c r="I460" s="259">
        <v>902778</v>
      </c>
      <c r="J460" s="259">
        <v>0</v>
      </c>
      <c r="K460" s="259">
        <v>902778</v>
      </c>
      <c r="L460" s="259">
        <v>72222</v>
      </c>
      <c r="M460" s="259">
        <v>975000</v>
      </c>
      <c r="N460" s="118">
        <v>4.8099999999999997E-2</v>
      </c>
      <c r="O460" s="411" t="s">
        <v>1086</v>
      </c>
    </row>
    <row r="461" spans="1:15" ht="18" customHeight="1" x14ac:dyDescent="0.25">
      <c r="A461" s="115">
        <v>6</v>
      </c>
      <c r="B461" s="116" t="s">
        <v>96</v>
      </c>
      <c r="C461" s="115">
        <v>220</v>
      </c>
      <c r="D461" s="119" t="s">
        <v>87</v>
      </c>
      <c r="E461" s="119" t="s">
        <v>1195</v>
      </c>
      <c r="F461" s="116" t="s">
        <v>1085</v>
      </c>
      <c r="G461" s="280">
        <v>2</v>
      </c>
      <c r="H461" s="259">
        <v>69444</v>
      </c>
      <c r="I461" s="259">
        <v>138889</v>
      </c>
      <c r="J461" s="259">
        <v>0</v>
      </c>
      <c r="K461" s="259">
        <v>138889</v>
      </c>
      <c r="L461" s="259">
        <v>11111</v>
      </c>
      <c r="M461" s="259">
        <v>150000</v>
      </c>
      <c r="N461" s="118">
        <v>7.4000000000000003E-3</v>
      </c>
      <c r="O461" s="411" t="s">
        <v>1086</v>
      </c>
    </row>
    <row r="462" spans="1:15" ht="18" customHeight="1" x14ac:dyDescent="0.25">
      <c r="A462" s="115">
        <v>6</v>
      </c>
      <c r="B462" s="116" t="s">
        <v>96</v>
      </c>
      <c r="C462" s="115">
        <v>140</v>
      </c>
      <c r="D462" s="119" t="s">
        <v>87</v>
      </c>
      <c r="E462" s="119" t="s">
        <v>1131</v>
      </c>
      <c r="F462" s="116" t="s">
        <v>1085</v>
      </c>
      <c r="G462" s="280">
        <v>6</v>
      </c>
      <c r="H462" s="259">
        <v>90741</v>
      </c>
      <c r="I462" s="259">
        <v>544444</v>
      </c>
      <c r="J462" s="259">
        <v>0</v>
      </c>
      <c r="K462" s="259">
        <v>544444</v>
      </c>
      <c r="L462" s="259">
        <v>43556</v>
      </c>
      <c r="M462" s="259">
        <v>588000</v>
      </c>
      <c r="N462" s="118">
        <v>2.9000000000000001E-2</v>
      </c>
      <c r="O462" s="411" t="s">
        <v>1086</v>
      </c>
    </row>
    <row r="463" spans="1:15" ht="18" customHeight="1" x14ac:dyDescent="0.25">
      <c r="A463" s="115">
        <v>6</v>
      </c>
      <c r="B463" s="116" t="s">
        <v>96</v>
      </c>
      <c r="C463" s="115">
        <v>226</v>
      </c>
      <c r="D463" s="119" t="s">
        <v>87</v>
      </c>
      <c r="E463" s="119" t="s">
        <v>1183</v>
      </c>
      <c r="F463" s="116" t="s">
        <v>1085</v>
      </c>
      <c r="G463" s="280">
        <v>7</v>
      </c>
      <c r="H463" s="259">
        <v>90741</v>
      </c>
      <c r="I463" s="259">
        <v>635185</v>
      </c>
      <c r="J463" s="259">
        <v>0</v>
      </c>
      <c r="K463" s="259">
        <v>635185</v>
      </c>
      <c r="L463" s="259">
        <v>50815</v>
      </c>
      <c r="M463" s="259">
        <v>686000</v>
      </c>
      <c r="N463" s="118">
        <v>3.39E-2</v>
      </c>
      <c r="O463" s="411" t="s">
        <v>1086</v>
      </c>
    </row>
    <row r="464" spans="1:15" ht="18" customHeight="1" x14ac:dyDescent="0.25">
      <c r="A464" s="115">
        <v>6</v>
      </c>
      <c r="B464" s="116" t="s">
        <v>96</v>
      </c>
      <c r="C464" s="115">
        <v>222</v>
      </c>
      <c r="D464" s="119" t="s">
        <v>93</v>
      </c>
      <c r="E464" s="119" t="s">
        <v>1133</v>
      </c>
      <c r="F464" s="116" t="s">
        <v>1085</v>
      </c>
      <c r="G464" s="280">
        <v>2</v>
      </c>
      <c r="H464" s="259">
        <v>63426</v>
      </c>
      <c r="I464" s="259">
        <v>126852</v>
      </c>
      <c r="J464" s="259">
        <v>0</v>
      </c>
      <c r="K464" s="259">
        <v>126852</v>
      </c>
      <c r="L464" s="259">
        <v>10148</v>
      </c>
      <c r="M464" s="259">
        <v>137000</v>
      </c>
      <c r="N464" s="118">
        <v>6.7999999999999996E-3</v>
      </c>
      <c r="O464" s="411" t="s">
        <v>1086</v>
      </c>
    </row>
    <row r="465" spans="1:15" ht="18" customHeight="1" x14ac:dyDescent="0.25">
      <c r="A465" s="115">
        <v>6</v>
      </c>
      <c r="B465" s="116" t="s">
        <v>96</v>
      </c>
      <c r="C465" s="115">
        <v>223</v>
      </c>
      <c r="D465" s="119" t="s">
        <v>87</v>
      </c>
      <c r="E465" s="119" t="s">
        <v>141</v>
      </c>
      <c r="F465" s="116" t="s">
        <v>1085</v>
      </c>
      <c r="G465" s="280">
        <v>8</v>
      </c>
      <c r="H465" s="259">
        <v>69444</v>
      </c>
      <c r="I465" s="259">
        <v>555556</v>
      </c>
      <c r="J465" s="259">
        <v>0</v>
      </c>
      <c r="K465" s="259">
        <v>555556</v>
      </c>
      <c r="L465" s="259">
        <v>44444</v>
      </c>
      <c r="M465" s="259">
        <v>600000</v>
      </c>
      <c r="N465" s="118">
        <v>2.9600000000000001E-2</v>
      </c>
      <c r="O465" s="411" t="s">
        <v>1086</v>
      </c>
    </row>
    <row r="466" spans="1:15" ht="18" customHeight="1" x14ac:dyDescent="0.25">
      <c r="A466" s="115">
        <v>6</v>
      </c>
      <c r="B466" s="116" t="s">
        <v>96</v>
      </c>
      <c r="C466" s="115">
        <v>229</v>
      </c>
      <c r="D466" s="119" t="s">
        <v>87</v>
      </c>
      <c r="E466" s="119" t="s">
        <v>1197</v>
      </c>
      <c r="F466" s="116" t="s">
        <v>1085</v>
      </c>
      <c r="G466" s="280">
        <v>4</v>
      </c>
      <c r="H466" s="259">
        <v>66204</v>
      </c>
      <c r="I466" s="259">
        <v>264815</v>
      </c>
      <c r="J466" s="259">
        <v>0</v>
      </c>
      <c r="K466" s="259">
        <v>264815</v>
      </c>
      <c r="L466" s="259">
        <v>21185</v>
      </c>
      <c r="M466" s="259">
        <v>286000</v>
      </c>
      <c r="N466" s="118">
        <v>1.41E-2</v>
      </c>
      <c r="O466" s="411" t="s">
        <v>1086</v>
      </c>
    </row>
    <row r="467" spans="1:15" ht="18" customHeight="1" x14ac:dyDescent="0.25">
      <c r="A467" s="115">
        <v>6</v>
      </c>
      <c r="B467" s="116" t="s">
        <v>96</v>
      </c>
      <c r="C467" s="115">
        <v>50</v>
      </c>
      <c r="D467" s="119" t="s">
        <v>87</v>
      </c>
      <c r="E467" s="119" t="s">
        <v>159</v>
      </c>
      <c r="F467" s="116" t="s">
        <v>1085</v>
      </c>
      <c r="G467" s="280">
        <v>9</v>
      </c>
      <c r="H467" s="259">
        <v>49074</v>
      </c>
      <c r="I467" s="259">
        <v>441667</v>
      </c>
      <c r="J467" s="259">
        <v>0</v>
      </c>
      <c r="K467" s="259">
        <v>441667</v>
      </c>
      <c r="L467" s="259">
        <v>35333</v>
      </c>
      <c r="M467" s="259">
        <v>477000</v>
      </c>
      <c r="N467" s="118">
        <v>2.35E-2</v>
      </c>
      <c r="O467" s="411" t="s">
        <v>1086</v>
      </c>
    </row>
    <row r="468" spans="1:15" ht="18" customHeight="1" x14ac:dyDescent="0.25">
      <c r="A468" s="115">
        <v>6</v>
      </c>
      <c r="B468" s="116" t="s">
        <v>96</v>
      </c>
      <c r="C468" s="115">
        <v>10</v>
      </c>
      <c r="D468" s="119" t="s">
        <v>87</v>
      </c>
      <c r="E468" s="119" t="s">
        <v>1184</v>
      </c>
      <c r="F468" s="116" t="s">
        <v>1085</v>
      </c>
      <c r="G468" s="280">
        <v>1</v>
      </c>
      <c r="H468" s="259">
        <v>13889</v>
      </c>
      <c r="I468" s="259">
        <v>13889</v>
      </c>
      <c r="J468" s="259">
        <v>0</v>
      </c>
      <c r="K468" s="259">
        <v>13889</v>
      </c>
      <c r="L468" s="259">
        <v>1111</v>
      </c>
      <c r="M468" s="259">
        <v>15000</v>
      </c>
      <c r="N468" s="118">
        <v>7.000000000000001E-4</v>
      </c>
      <c r="O468" s="411" t="s">
        <v>1086</v>
      </c>
    </row>
    <row r="469" spans="1:15" ht="18" customHeight="1" x14ac:dyDescent="0.25">
      <c r="A469" s="115">
        <v>6</v>
      </c>
      <c r="B469" s="116" t="s">
        <v>96</v>
      </c>
      <c r="C469" s="115">
        <v>120</v>
      </c>
      <c r="D469" s="119" t="s">
        <v>93</v>
      </c>
      <c r="E469" s="119" t="s">
        <v>1134</v>
      </c>
      <c r="F469" s="116" t="s">
        <v>1085</v>
      </c>
      <c r="G469" s="280">
        <v>3</v>
      </c>
      <c r="H469" s="259">
        <v>41667</v>
      </c>
      <c r="I469" s="259">
        <v>125000</v>
      </c>
      <c r="J469" s="259">
        <v>0</v>
      </c>
      <c r="K469" s="259">
        <v>125000</v>
      </c>
      <c r="L469" s="259">
        <v>10000</v>
      </c>
      <c r="M469" s="259">
        <v>135000</v>
      </c>
      <c r="N469" s="118">
        <v>6.7000000000000002E-3</v>
      </c>
      <c r="O469" s="411" t="s">
        <v>1086</v>
      </c>
    </row>
    <row r="470" spans="1:15" ht="18" customHeight="1" x14ac:dyDescent="0.25">
      <c r="A470" s="115">
        <v>6</v>
      </c>
      <c r="B470" s="116" t="s">
        <v>96</v>
      </c>
      <c r="C470" s="115">
        <v>129</v>
      </c>
      <c r="D470" s="119" t="s">
        <v>93</v>
      </c>
      <c r="E470" s="119" t="s">
        <v>1135</v>
      </c>
      <c r="F470" s="116" t="s">
        <v>1085</v>
      </c>
      <c r="G470" s="280">
        <v>6</v>
      </c>
      <c r="H470" s="259">
        <v>44444</v>
      </c>
      <c r="I470" s="259">
        <v>266667</v>
      </c>
      <c r="J470" s="259">
        <v>0</v>
      </c>
      <c r="K470" s="259">
        <v>266667</v>
      </c>
      <c r="L470" s="259">
        <v>21333</v>
      </c>
      <c r="M470" s="259">
        <v>288000</v>
      </c>
      <c r="N470" s="118">
        <v>1.4200000000000001E-2</v>
      </c>
      <c r="O470" s="411" t="s">
        <v>1086</v>
      </c>
    </row>
    <row r="471" spans="1:15" ht="18" customHeight="1" x14ac:dyDescent="0.25">
      <c r="A471" s="115">
        <v>6</v>
      </c>
      <c r="B471" s="116" t="s">
        <v>96</v>
      </c>
      <c r="C471" s="115">
        <v>116</v>
      </c>
      <c r="D471" s="119" t="s">
        <v>89</v>
      </c>
      <c r="E471" s="119" t="s">
        <v>1198</v>
      </c>
      <c r="F471" s="116" t="s">
        <v>1085</v>
      </c>
      <c r="G471" s="280">
        <v>51</v>
      </c>
      <c r="H471" s="259">
        <v>5556</v>
      </c>
      <c r="I471" s="259">
        <v>283333</v>
      </c>
      <c r="J471" s="259">
        <v>0</v>
      </c>
      <c r="K471" s="259">
        <v>283333</v>
      </c>
      <c r="L471" s="259">
        <v>22667</v>
      </c>
      <c r="M471" s="259">
        <v>306000</v>
      </c>
      <c r="N471" s="118">
        <v>1.5100000000000001E-2</v>
      </c>
      <c r="O471" s="411" t="s">
        <v>1086</v>
      </c>
    </row>
    <row r="472" spans="1:15" ht="18" customHeight="1" x14ac:dyDescent="0.25">
      <c r="A472" s="115">
        <v>6</v>
      </c>
      <c r="B472" s="116" t="s">
        <v>96</v>
      </c>
      <c r="C472" s="115">
        <v>117</v>
      </c>
      <c r="D472" s="119" t="s">
        <v>87</v>
      </c>
      <c r="E472" s="119" t="s">
        <v>120</v>
      </c>
      <c r="F472" s="116" t="s">
        <v>1085</v>
      </c>
      <c r="G472" s="280">
        <v>25</v>
      </c>
      <c r="H472" s="259">
        <v>41667</v>
      </c>
      <c r="I472" s="259">
        <v>1041667</v>
      </c>
      <c r="J472" s="259">
        <v>0</v>
      </c>
      <c r="K472" s="259">
        <v>1041667</v>
      </c>
      <c r="L472" s="259">
        <v>83333</v>
      </c>
      <c r="M472" s="259">
        <v>1125000</v>
      </c>
      <c r="N472" s="118">
        <v>5.5500000000000001E-2</v>
      </c>
      <c r="O472" s="411" t="s">
        <v>1086</v>
      </c>
    </row>
    <row r="473" spans="1:15" ht="18" customHeight="1" x14ac:dyDescent="0.25">
      <c r="A473" s="115">
        <v>6</v>
      </c>
      <c r="B473" s="116" t="s">
        <v>96</v>
      </c>
      <c r="C473" s="115">
        <v>36</v>
      </c>
      <c r="D473" s="119" t="s">
        <v>91</v>
      </c>
      <c r="E473" s="119" t="s">
        <v>1136</v>
      </c>
      <c r="F473" s="116" t="s">
        <v>1085</v>
      </c>
      <c r="G473" s="280">
        <v>11</v>
      </c>
      <c r="H473" s="259">
        <v>3704</v>
      </c>
      <c r="I473" s="259">
        <v>40741</v>
      </c>
      <c r="J473" s="259">
        <v>0</v>
      </c>
      <c r="K473" s="259">
        <v>40741</v>
      </c>
      <c r="L473" s="259">
        <v>3259</v>
      </c>
      <c r="M473" s="259">
        <v>44000</v>
      </c>
      <c r="N473" s="118">
        <v>2.2000000000000001E-3</v>
      </c>
      <c r="O473" s="411" t="s">
        <v>1086</v>
      </c>
    </row>
    <row r="474" spans="1:15" ht="18" customHeight="1" x14ac:dyDescent="0.25">
      <c r="A474" s="115">
        <v>6</v>
      </c>
      <c r="B474" s="116" t="s">
        <v>96</v>
      </c>
      <c r="C474" s="115">
        <v>215</v>
      </c>
      <c r="D474" s="119" t="s">
        <v>87</v>
      </c>
      <c r="E474" s="119" t="s">
        <v>135</v>
      </c>
      <c r="F474" s="116" t="s">
        <v>1085</v>
      </c>
      <c r="G474" s="280">
        <v>15</v>
      </c>
      <c r="H474" s="259">
        <v>37500</v>
      </c>
      <c r="I474" s="259">
        <v>562500</v>
      </c>
      <c r="J474" s="259">
        <v>0</v>
      </c>
      <c r="K474" s="259">
        <v>562500</v>
      </c>
      <c r="L474" s="259">
        <v>45000</v>
      </c>
      <c r="M474" s="259">
        <v>607500</v>
      </c>
      <c r="N474" s="118">
        <v>0.03</v>
      </c>
      <c r="O474" s="411" t="s">
        <v>1086</v>
      </c>
    </row>
    <row r="475" spans="1:15" ht="18" customHeight="1" x14ac:dyDescent="0.25">
      <c r="A475" s="115">
        <v>6</v>
      </c>
      <c r="B475" s="116" t="s">
        <v>96</v>
      </c>
      <c r="C475" s="115">
        <v>214</v>
      </c>
      <c r="D475" s="119" t="s">
        <v>87</v>
      </c>
      <c r="E475" s="119" t="s">
        <v>170</v>
      </c>
      <c r="F475" s="116" t="s">
        <v>1085</v>
      </c>
      <c r="G475" s="280">
        <v>12</v>
      </c>
      <c r="H475" s="259">
        <v>37500</v>
      </c>
      <c r="I475" s="259">
        <v>450000</v>
      </c>
      <c r="J475" s="259">
        <v>0</v>
      </c>
      <c r="K475" s="259">
        <v>450000</v>
      </c>
      <c r="L475" s="259">
        <v>36000</v>
      </c>
      <c r="M475" s="259">
        <v>486000</v>
      </c>
      <c r="N475" s="118">
        <v>2.4E-2</v>
      </c>
      <c r="O475" s="411" t="s">
        <v>1086</v>
      </c>
    </row>
    <row r="476" spans="1:15" ht="18" customHeight="1" x14ac:dyDescent="0.25">
      <c r="A476" s="115">
        <v>6</v>
      </c>
      <c r="B476" s="116" t="s">
        <v>96</v>
      </c>
      <c r="C476" s="115">
        <v>113</v>
      </c>
      <c r="D476" s="119" t="s">
        <v>89</v>
      </c>
      <c r="E476" s="119" t="s">
        <v>129</v>
      </c>
      <c r="F476" s="116" t="s">
        <v>1085</v>
      </c>
      <c r="G476" s="280">
        <v>42</v>
      </c>
      <c r="H476" s="259">
        <v>22222</v>
      </c>
      <c r="I476" s="259">
        <v>933333</v>
      </c>
      <c r="J476" s="259">
        <v>0</v>
      </c>
      <c r="K476" s="259">
        <v>933333</v>
      </c>
      <c r="L476" s="259">
        <v>74667</v>
      </c>
      <c r="M476" s="259">
        <v>1008000</v>
      </c>
      <c r="N476" s="118">
        <v>4.9699999999999987E-2</v>
      </c>
      <c r="O476" s="411" t="s">
        <v>1086</v>
      </c>
    </row>
    <row r="477" spans="1:15" ht="18" customHeight="1" x14ac:dyDescent="0.25">
      <c r="A477" s="115">
        <v>6</v>
      </c>
      <c r="B477" s="116" t="s">
        <v>96</v>
      </c>
      <c r="C477" s="115">
        <v>315</v>
      </c>
      <c r="D477" s="119" t="s">
        <v>87</v>
      </c>
      <c r="E477" s="119" t="s">
        <v>1160</v>
      </c>
      <c r="F477" s="116" t="s">
        <v>1085</v>
      </c>
      <c r="G477" s="280">
        <v>1</v>
      </c>
      <c r="H477" s="259">
        <v>1852</v>
      </c>
      <c r="I477" s="259">
        <v>1852</v>
      </c>
      <c r="J477" s="259">
        <v>0</v>
      </c>
      <c r="K477" s="259">
        <v>1852</v>
      </c>
      <c r="L477" s="259">
        <v>148</v>
      </c>
      <c r="M477" s="259">
        <v>2000</v>
      </c>
      <c r="N477" s="118">
        <v>1E-4</v>
      </c>
      <c r="O477" s="411" t="s">
        <v>1086</v>
      </c>
    </row>
    <row r="478" spans="1:15" ht="18" customHeight="1" x14ac:dyDescent="0.25">
      <c r="A478" s="115">
        <v>6</v>
      </c>
      <c r="B478" s="116" t="s">
        <v>96</v>
      </c>
      <c r="C478" s="115">
        <v>96</v>
      </c>
      <c r="D478" s="119" t="s">
        <v>93</v>
      </c>
      <c r="E478" s="119" t="s">
        <v>1161</v>
      </c>
      <c r="F478" s="116" t="s">
        <v>1085</v>
      </c>
      <c r="G478" s="280">
        <v>10</v>
      </c>
      <c r="H478" s="259">
        <v>35648</v>
      </c>
      <c r="I478" s="259">
        <v>356482</v>
      </c>
      <c r="J478" s="259">
        <v>0</v>
      </c>
      <c r="K478" s="259">
        <v>356482</v>
      </c>
      <c r="L478" s="259">
        <v>28519</v>
      </c>
      <c r="M478" s="259">
        <v>385001</v>
      </c>
      <c r="N478" s="118">
        <v>1.9E-2</v>
      </c>
      <c r="O478" s="411" t="s">
        <v>1086</v>
      </c>
    </row>
    <row r="479" spans="1:15" ht="18" customHeight="1" x14ac:dyDescent="0.25">
      <c r="A479" s="115">
        <v>6</v>
      </c>
      <c r="B479" s="116" t="s">
        <v>96</v>
      </c>
      <c r="C479" s="115">
        <v>33</v>
      </c>
      <c r="D479" s="119" t="s">
        <v>91</v>
      </c>
      <c r="E479" s="119" t="s">
        <v>1139</v>
      </c>
      <c r="F479" s="116" t="s">
        <v>1085</v>
      </c>
      <c r="G479" s="280">
        <v>2</v>
      </c>
      <c r="H479" s="259">
        <v>1852</v>
      </c>
      <c r="I479" s="259">
        <v>3704</v>
      </c>
      <c r="J479" s="259">
        <v>0</v>
      </c>
      <c r="K479" s="259">
        <v>3704</v>
      </c>
      <c r="L479" s="259">
        <v>296</v>
      </c>
      <c r="M479" s="259">
        <v>4000</v>
      </c>
      <c r="N479" s="118">
        <v>2.0000000000000001E-4</v>
      </c>
      <c r="O479" s="411" t="s">
        <v>1086</v>
      </c>
    </row>
    <row r="480" spans="1:15" ht="18" customHeight="1" x14ac:dyDescent="0.25">
      <c r="A480" s="115">
        <v>6</v>
      </c>
      <c r="B480" s="116" t="s">
        <v>96</v>
      </c>
      <c r="C480" s="115">
        <v>255</v>
      </c>
      <c r="D480" s="119" t="s">
        <v>93</v>
      </c>
      <c r="E480" s="119" t="s">
        <v>482</v>
      </c>
      <c r="F480" s="116" t="s">
        <v>1085</v>
      </c>
      <c r="G480" s="280">
        <v>5</v>
      </c>
      <c r="H480" s="259">
        <v>35648</v>
      </c>
      <c r="I480" s="259">
        <v>178241</v>
      </c>
      <c r="J480" s="259">
        <v>0</v>
      </c>
      <c r="K480" s="259">
        <v>178241</v>
      </c>
      <c r="L480" s="259">
        <v>14259</v>
      </c>
      <c r="M480" s="259">
        <v>192500</v>
      </c>
      <c r="N480" s="118">
        <v>9.4999999999999998E-3</v>
      </c>
      <c r="O480" s="411" t="s">
        <v>1086</v>
      </c>
    </row>
    <row r="481" spans="1:15" ht="18" customHeight="1" x14ac:dyDescent="0.25">
      <c r="A481" s="115">
        <v>6</v>
      </c>
      <c r="B481" s="116" t="s">
        <v>96</v>
      </c>
      <c r="C481" s="115">
        <v>67</v>
      </c>
      <c r="D481" s="119" t="s">
        <v>93</v>
      </c>
      <c r="E481" s="119" t="s">
        <v>1140</v>
      </c>
      <c r="F481" s="116" t="s">
        <v>1085</v>
      </c>
      <c r="G481" s="280">
        <v>1</v>
      </c>
      <c r="H481" s="259">
        <v>41667</v>
      </c>
      <c r="I481" s="259">
        <v>41667</v>
      </c>
      <c r="J481" s="259">
        <v>0</v>
      </c>
      <c r="K481" s="259">
        <v>41667</v>
      </c>
      <c r="L481" s="259">
        <v>3333</v>
      </c>
      <c r="M481" s="259">
        <v>45000</v>
      </c>
      <c r="N481" s="118">
        <v>2.2000000000000001E-3</v>
      </c>
      <c r="O481" s="411" t="s">
        <v>1086</v>
      </c>
    </row>
    <row r="482" spans="1:15" ht="18" customHeight="1" x14ac:dyDescent="0.25">
      <c r="A482" s="115">
        <v>6</v>
      </c>
      <c r="B482" s="116" t="s">
        <v>96</v>
      </c>
      <c r="C482" s="115">
        <v>39</v>
      </c>
      <c r="D482" s="119" t="s">
        <v>91</v>
      </c>
      <c r="E482" s="119" t="s">
        <v>1162</v>
      </c>
      <c r="F482" s="116" t="s">
        <v>1085</v>
      </c>
      <c r="G482" s="280">
        <v>2</v>
      </c>
      <c r="H482" s="259">
        <v>3333</v>
      </c>
      <c r="I482" s="259">
        <v>6667</v>
      </c>
      <c r="J482" s="259">
        <v>0</v>
      </c>
      <c r="K482" s="259">
        <v>6667</v>
      </c>
      <c r="L482" s="259">
        <v>533</v>
      </c>
      <c r="M482" s="259">
        <v>7200</v>
      </c>
      <c r="N482" s="118">
        <v>4.0000000000000002E-4</v>
      </c>
      <c r="O482" s="411" t="s">
        <v>1086</v>
      </c>
    </row>
    <row r="483" spans="1:15" ht="18" customHeight="1" x14ac:dyDescent="0.25">
      <c r="A483" s="115">
        <v>7</v>
      </c>
      <c r="B483" s="116" t="s">
        <v>98</v>
      </c>
      <c r="C483" s="115">
        <v>73</v>
      </c>
      <c r="D483" s="119" t="s">
        <v>91</v>
      </c>
      <c r="E483" s="119" t="s">
        <v>1084</v>
      </c>
      <c r="F483" s="116" t="s">
        <v>1085</v>
      </c>
      <c r="G483" s="280">
        <v>13</v>
      </c>
      <c r="H483" s="259">
        <v>2593</v>
      </c>
      <c r="I483" s="259">
        <v>33704</v>
      </c>
      <c r="J483" s="259">
        <v>0</v>
      </c>
      <c r="K483" s="259">
        <v>33704</v>
      </c>
      <c r="L483" s="259">
        <v>2696</v>
      </c>
      <c r="M483" s="259">
        <v>36400</v>
      </c>
      <c r="N483" s="118">
        <v>6.6E-3</v>
      </c>
      <c r="O483" s="411" t="s">
        <v>1086</v>
      </c>
    </row>
    <row r="484" spans="1:15" ht="18" customHeight="1" x14ac:dyDescent="0.25">
      <c r="A484" s="115">
        <v>7</v>
      </c>
      <c r="B484" s="116" t="s">
        <v>98</v>
      </c>
      <c r="C484" s="115">
        <v>65</v>
      </c>
      <c r="D484" s="119" t="s">
        <v>91</v>
      </c>
      <c r="E484" s="119" t="s">
        <v>1087</v>
      </c>
      <c r="F484" s="116" t="s">
        <v>1085</v>
      </c>
      <c r="G484" s="280">
        <v>1</v>
      </c>
      <c r="H484" s="259">
        <v>2778</v>
      </c>
      <c r="I484" s="259">
        <v>2778</v>
      </c>
      <c r="J484" s="259">
        <v>0</v>
      </c>
      <c r="K484" s="259">
        <v>2778</v>
      </c>
      <c r="L484" s="259">
        <v>222</v>
      </c>
      <c r="M484" s="259">
        <v>3000</v>
      </c>
      <c r="N484" s="118">
        <v>5.0000000000000001E-4</v>
      </c>
      <c r="O484" s="411" t="s">
        <v>1086</v>
      </c>
    </row>
    <row r="485" spans="1:15" ht="18" customHeight="1" x14ac:dyDescent="0.25">
      <c r="A485" s="115">
        <v>7</v>
      </c>
      <c r="B485" s="116" t="s">
        <v>98</v>
      </c>
      <c r="C485" s="115">
        <v>207</v>
      </c>
      <c r="D485" s="119" t="s">
        <v>87</v>
      </c>
      <c r="E485" s="119" t="s">
        <v>1204</v>
      </c>
      <c r="F485" s="116" t="s">
        <v>1085</v>
      </c>
      <c r="G485" s="280">
        <v>31</v>
      </c>
      <c r="H485" s="259">
        <v>18608</v>
      </c>
      <c r="I485" s="259">
        <v>576852</v>
      </c>
      <c r="J485" s="259">
        <v>0</v>
      </c>
      <c r="K485" s="259">
        <v>576852</v>
      </c>
      <c r="L485" s="259">
        <v>46148</v>
      </c>
      <c r="M485" s="259">
        <v>623000</v>
      </c>
      <c r="N485" s="118">
        <v>0.11210000000000001</v>
      </c>
      <c r="O485" s="411" t="s">
        <v>1086</v>
      </c>
    </row>
    <row r="486" spans="1:15" ht="18" customHeight="1" x14ac:dyDescent="0.25">
      <c r="A486" s="115">
        <v>7</v>
      </c>
      <c r="B486" s="116" t="s">
        <v>98</v>
      </c>
      <c r="C486" s="115">
        <v>3</v>
      </c>
      <c r="D486" s="119" t="s">
        <v>87</v>
      </c>
      <c r="E486" s="119" t="s">
        <v>1163</v>
      </c>
      <c r="F486" s="116" t="s">
        <v>1085</v>
      </c>
      <c r="G486" s="280">
        <v>13</v>
      </c>
      <c r="H486" s="259">
        <v>18590</v>
      </c>
      <c r="I486" s="259">
        <v>241667</v>
      </c>
      <c r="J486" s="259">
        <v>0</v>
      </c>
      <c r="K486" s="259">
        <v>241667</v>
      </c>
      <c r="L486" s="259">
        <v>19333</v>
      </c>
      <c r="M486" s="259">
        <v>261000</v>
      </c>
      <c r="N486" s="118">
        <v>4.7E-2</v>
      </c>
      <c r="O486" s="411" t="s">
        <v>1086</v>
      </c>
    </row>
    <row r="487" spans="1:15" ht="18" customHeight="1" x14ac:dyDescent="0.25">
      <c r="A487" s="115">
        <v>7</v>
      </c>
      <c r="B487" s="116" t="s">
        <v>98</v>
      </c>
      <c r="C487" s="115">
        <v>40</v>
      </c>
      <c r="D487" s="119" t="s">
        <v>87</v>
      </c>
      <c r="E487" s="119" t="s">
        <v>1143</v>
      </c>
      <c r="F487" s="116" t="s">
        <v>1085</v>
      </c>
      <c r="G487" s="280">
        <v>2</v>
      </c>
      <c r="H487" s="259">
        <v>55093</v>
      </c>
      <c r="I487" s="259">
        <v>110185</v>
      </c>
      <c r="J487" s="259">
        <v>0</v>
      </c>
      <c r="K487" s="259">
        <v>110185</v>
      </c>
      <c r="L487" s="259">
        <v>8815</v>
      </c>
      <c r="M487" s="259">
        <v>119000</v>
      </c>
      <c r="N487" s="118">
        <v>2.1399999999999999E-2</v>
      </c>
      <c r="O487" s="411" t="s">
        <v>1086</v>
      </c>
    </row>
    <row r="488" spans="1:15" ht="18" customHeight="1" x14ac:dyDescent="0.25">
      <c r="A488" s="115">
        <v>7</v>
      </c>
      <c r="B488" s="116" t="s">
        <v>98</v>
      </c>
      <c r="C488" s="115">
        <v>131</v>
      </c>
      <c r="D488" s="119" t="s">
        <v>87</v>
      </c>
      <c r="E488" s="119" t="s">
        <v>1144</v>
      </c>
      <c r="F488" s="116" t="s">
        <v>1085</v>
      </c>
      <c r="G488" s="280">
        <v>1</v>
      </c>
      <c r="H488" s="259">
        <v>278</v>
      </c>
      <c r="I488" s="259">
        <v>278</v>
      </c>
      <c r="J488" s="259">
        <v>0</v>
      </c>
      <c r="K488" s="259">
        <v>278</v>
      </c>
      <c r="L488" s="259">
        <v>22</v>
      </c>
      <c r="M488" s="259">
        <v>300</v>
      </c>
      <c r="N488" s="118">
        <v>1E-4</v>
      </c>
      <c r="O488" s="411" t="s">
        <v>1086</v>
      </c>
    </row>
    <row r="489" spans="1:15" ht="18" customHeight="1" x14ac:dyDescent="0.25">
      <c r="A489" s="115">
        <v>7</v>
      </c>
      <c r="B489" s="116" t="s">
        <v>98</v>
      </c>
      <c r="C489" s="115">
        <v>104</v>
      </c>
      <c r="D489" s="119" t="s">
        <v>89</v>
      </c>
      <c r="E489" s="119" t="s">
        <v>165</v>
      </c>
      <c r="F489" s="116" t="s">
        <v>1085</v>
      </c>
      <c r="G489" s="280">
        <v>8</v>
      </c>
      <c r="H489" s="259">
        <v>15741</v>
      </c>
      <c r="I489" s="259">
        <v>125926</v>
      </c>
      <c r="J489" s="259">
        <v>0</v>
      </c>
      <c r="K489" s="259">
        <v>125926</v>
      </c>
      <c r="L489" s="259">
        <v>10074</v>
      </c>
      <c r="M489" s="259">
        <v>136000</v>
      </c>
      <c r="N489" s="118">
        <v>2.4500000000000001E-2</v>
      </c>
      <c r="O489" s="411" t="s">
        <v>1086</v>
      </c>
    </row>
    <row r="490" spans="1:15" ht="18" customHeight="1" x14ac:dyDescent="0.25">
      <c r="A490" s="115">
        <v>7</v>
      </c>
      <c r="B490" s="116" t="s">
        <v>98</v>
      </c>
      <c r="C490" s="115">
        <v>95</v>
      </c>
      <c r="D490" s="119" t="s">
        <v>87</v>
      </c>
      <c r="E490" s="119" t="s">
        <v>1090</v>
      </c>
      <c r="F490" s="116" t="s">
        <v>1085</v>
      </c>
      <c r="G490" s="280">
        <v>2</v>
      </c>
      <c r="H490" s="259">
        <v>926</v>
      </c>
      <c r="I490" s="259">
        <v>1852</v>
      </c>
      <c r="J490" s="259">
        <v>0</v>
      </c>
      <c r="K490" s="259">
        <v>1852</v>
      </c>
      <c r="L490" s="259">
        <v>148</v>
      </c>
      <c r="M490" s="259">
        <v>2000</v>
      </c>
      <c r="N490" s="118">
        <v>4.0000000000000002E-4</v>
      </c>
      <c r="O490" s="411" t="s">
        <v>1086</v>
      </c>
    </row>
    <row r="491" spans="1:15" ht="18" customHeight="1" x14ac:dyDescent="0.25">
      <c r="A491" s="115">
        <v>7</v>
      </c>
      <c r="B491" s="116" t="s">
        <v>98</v>
      </c>
      <c r="C491" s="115">
        <v>54</v>
      </c>
      <c r="D491" s="119" t="s">
        <v>91</v>
      </c>
      <c r="E491" s="119" t="s">
        <v>1145</v>
      </c>
      <c r="F491" s="116" t="s">
        <v>1085</v>
      </c>
      <c r="G491" s="280">
        <v>2</v>
      </c>
      <c r="H491" s="259">
        <v>2315</v>
      </c>
      <c r="I491" s="259">
        <v>4630</v>
      </c>
      <c r="J491" s="259">
        <v>0</v>
      </c>
      <c r="K491" s="259">
        <v>4630</v>
      </c>
      <c r="L491" s="259">
        <v>370</v>
      </c>
      <c r="M491" s="259">
        <v>5000</v>
      </c>
      <c r="N491" s="118">
        <v>8.9999999999999998E-4</v>
      </c>
      <c r="O491" s="411" t="s">
        <v>1086</v>
      </c>
    </row>
    <row r="492" spans="1:15" ht="18" customHeight="1" x14ac:dyDescent="0.25">
      <c r="A492" s="115">
        <v>7</v>
      </c>
      <c r="B492" s="116" t="s">
        <v>98</v>
      </c>
      <c r="C492" s="115">
        <v>5</v>
      </c>
      <c r="D492" s="119" t="s">
        <v>89</v>
      </c>
      <c r="E492" s="119" t="s">
        <v>1146</v>
      </c>
      <c r="F492" s="116" t="s">
        <v>1085</v>
      </c>
      <c r="G492" s="280">
        <v>3</v>
      </c>
      <c r="H492" s="259">
        <v>11111</v>
      </c>
      <c r="I492" s="259">
        <v>33333</v>
      </c>
      <c r="J492" s="259">
        <v>0</v>
      </c>
      <c r="K492" s="259">
        <v>33333</v>
      </c>
      <c r="L492" s="259">
        <v>2667</v>
      </c>
      <c r="M492" s="259">
        <v>36000</v>
      </c>
      <c r="N492" s="118">
        <v>6.5000000000000006E-3</v>
      </c>
      <c r="O492" s="411" t="s">
        <v>1086</v>
      </c>
    </row>
    <row r="493" spans="1:15" ht="18" customHeight="1" x14ac:dyDescent="0.25">
      <c r="A493" s="115">
        <v>7</v>
      </c>
      <c r="B493" s="116" t="s">
        <v>98</v>
      </c>
      <c r="C493" s="115">
        <v>6</v>
      </c>
      <c r="D493" s="119" t="s">
        <v>89</v>
      </c>
      <c r="E493" s="119" t="s">
        <v>1147</v>
      </c>
      <c r="F493" s="116" t="s">
        <v>1085</v>
      </c>
      <c r="G493" s="280">
        <v>1</v>
      </c>
      <c r="H493" s="259">
        <v>14815</v>
      </c>
      <c r="I493" s="259">
        <v>14815</v>
      </c>
      <c r="J493" s="259">
        <v>0</v>
      </c>
      <c r="K493" s="259">
        <v>14815</v>
      </c>
      <c r="L493" s="259">
        <v>1185</v>
      </c>
      <c r="M493" s="259">
        <v>16000</v>
      </c>
      <c r="N493" s="118">
        <v>2.8999999999999998E-3</v>
      </c>
      <c r="O493" s="411" t="s">
        <v>1086</v>
      </c>
    </row>
    <row r="494" spans="1:15" ht="18" customHeight="1" x14ac:dyDescent="0.25">
      <c r="A494" s="115">
        <v>7</v>
      </c>
      <c r="B494" s="116" t="s">
        <v>98</v>
      </c>
      <c r="C494" s="115">
        <v>8</v>
      </c>
      <c r="D494" s="119" t="s">
        <v>87</v>
      </c>
      <c r="E494" s="119" t="s">
        <v>156</v>
      </c>
      <c r="F494" s="116" t="s">
        <v>1085</v>
      </c>
      <c r="G494" s="280">
        <v>20</v>
      </c>
      <c r="H494" s="259">
        <v>18565</v>
      </c>
      <c r="I494" s="259">
        <v>371296</v>
      </c>
      <c r="J494" s="259">
        <v>0</v>
      </c>
      <c r="K494" s="259">
        <v>371296</v>
      </c>
      <c r="L494" s="259">
        <v>29704</v>
      </c>
      <c r="M494" s="259">
        <v>401000</v>
      </c>
      <c r="N494" s="118">
        <v>7.22E-2</v>
      </c>
      <c r="O494" s="411" t="s">
        <v>1086</v>
      </c>
    </row>
    <row r="495" spans="1:15" ht="18" customHeight="1" x14ac:dyDescent="0.25">
      <c r="A495" s="115">
        <v>7</v>
      </c>
      <c r="B495" s="116" t="s">
        <v>98</v>
      </c>
      <c r="C495" s="115">
        <v>87</v>
      </c>
      <c r="D495" s="119" t="s">
        <v>89</v>
      </c>
      <c r="E495" s="119" t="s">
        <v>147</v>
      </c>
      <c r="F495" s="116" t="s">
        <v>1085</v>
      </c>
      <c r="G495" s="280">
        <v>3</v>
      </c>
      <c r="H495" s="259">
        <v>37500</v>
      </c>
      <c r="I495" s="259">
        <v>112500</v>
      </c>
      <c r="J495" s="259">
        <v>0</v>
      </c>
      <c r="K495" s="259">
        <v>112500</v>
      </c>
      <c r="L495" s="259">
        <v>9000</v>
      </c>
      <c r="M495" s="259">
        <v>121500</v>
      </c>
      <c r="N495" s="118">
        <v>2.1899999999999999E-2</v>
      </c>
      <c r="O495" s="411" t="s">
        <v>1086</v>
      </c>
    </row>
    <row r="496" spans="1:15" ht="18" customHeight="1" x14ac:dyDescent="0.25">
      <c r="A496" s="115">
        <v>7</v>
      </c>
      <c r="B496" s="116" t="s">
        <v>98</v>
      </c>
      <c r="C496" s="115">
        <v>13</v>
      </c>
      <c r="D496" s="119" t="s">
        <v>87</v>
      </c>
      <c r="E496" s="119" t="s">
        <v>1094</v>
      </c>
      <c r="F496" s="116" t="s">
        <v>1085</v>
      </c>
      <c r="G496" s="280">
        <v>9</v>
      </c>
      <c r="H496" s="259">
        <v>18519</v>
      </c>
      <c r="I496" s="259">
        <v>166667</v>
      </c>
      <c r="J496" s="259">
        <v>0</v>
      </c>
      <c r="K496" s="259">
        <v>166667</v>
      </c>
      <c r="L496" s="259">
        <v>13333</v>
      </c>
      <c r="M496" s="259">
        <v>180000</v>
      </c>
      <c r="N496" s="118">
        <v>3.2400000000000012E-2</v>
      </c>
      <c r="O496" s="411" t="s">
        <v>1086</v>
      </c>
    </row>
    <row r="497" spans="1:15" ht="18" customHeight="1" x14ac:dyDescent="0.25">
      <c r="A497" s="115">
        <v>7</v>
      </c>
      <c r="B497" s="116" t="s">
        <v>98</v>
      </c>
      <c r="C497" s="115">
        <v>83</v>
      </c>
      <c r="D497" s="119" t="s">
        <v>87</v>
      </c>
      <c r="E497" s="119" t="s">
        <v>1098</v>
      </c>
      <c r="F497" s="116" t="s">
        <v>1085</v>
      </c>
      <c r="G497" s="280">
        <v>2</v>
      </c>
      <c r="H497" s="259">
        <v>20833</v>
      </c>
      <c r="I497" s="259">
        <v>41667</v>
      </c>
      <c r="J497" s="259">
        <v>0</v>
      </c>
      <c r="K497" s="259">
        <v>41667</v>
      </c>
      <c r="L497" s="259">
        <v>3333</v>
      </c>
      <c r="M497" s="259">
        <v>45000</v>
      </c>
      <c r="N497" s="118">
        <v>8.1000000000000013E-3</v>
      </c>
      <c r="O497" s="411" t="s">
        <v>1086</v>
      </c>
    </row>
    <row r="498" spans="1:15" ht="18" customHeight="1" x14ac:dyDescent="0.25">
      <c r="A498" s="115">
        <v>7</v>
      </c>
      <c r="B498" s="116" t="s">
        <v>98</v>
      </c>
      <c r="C498" s="115">
        <v>122</v>
      </c>
      <c r="D498" s="119" t="s">
        <v>91</v>
      </c>
      <c r="E498" s="119" t="s">
        <v>1100</v>
      </c>
      <c r="F498" s="116" t="s">
        <v>1085</v>
      </c>
      <c r="G498" s="280">
        <v>2</v>
      </c>
      <c r="H498" s="259">
        <v>2778</v>
      </c>
      <c r="I498" s="259">
        <v>5556</v>
      </c>
      <c r="J498" s="259">
        <v>0</v>
      </c>
      <c r="K498" s="259">
        <v>5556</v>
      </c>
      <c r="L498" s="259">
        <v>444</v>
      </c>
      <c r="M498" s="259">
        <v>6000</v>
      </c>
      <c r="N498" s="118">
        <v>1.1000000000000001E-3</v>
      </c>
      <c r="O498" s="411" t="s">
        <v>1086</v>
      </c>
    </row>
    <row r="499" spans="1:15" ht="18" customHeight="1" x14ac:dyDescent="0.25">
      <c r="A499" s="115">
        <v>7</v>
      </c>
      <c r="B499" s="116" t="s">
        <v>98</v>
      </c>
      <c r="C499" s="115">
        <v>42</v>
      </c>
      <c r="D499" s="119" t="s">
        <v>87</v>
      </c>
      <c r="E499" s="119" t="s">
        <v>359</v>
      </c>
      <c r="F499" s="116" t="s">
        <v>1085</v>
      </c>
      <c r="G499" s="280">
        <v>2</v>
      </c>
      <c r="H499" s="259">
        <v>32407</v>
      </c>
      <c r="I499" s="259">
        <v>64815</v>
      </c>
      <c r="J499" s="259">
        <v>0</v>
      </c>
      <c r="K499" s="259">
        <v>64815</v>
      </c>
      <c r="L499" s="259">
        <v>5185</v>
      </c>
      <c r="M499" s="259">
        <v>70000</v>
      </c>
      <c r="N499" s="118">
        <v>1.26E-2</v>
      </c>
      <c r="O499" s="411" t="s">
        <v>1086</v>
      </c>
    </row>
    <row r="500" spans="1:15" ht="18" customHeight="1" x14ac:dyDescent="0.25">
      <c r="A500" s="115">
        <v>7</v>
      </c>
      <c r="B500" s="116" t="s">
        <v>98</v>
      </c>
      <c r="C500" s="115">
        <v>44</v>
      </c>
      <c r="D500" s="119" t="s">
        <v>87</v>
      </c>
      <c r="E500" s="119" t="s">
        <v>138</v>
      </c>
      <c r="F500" s="116" t="s">
        <v>1085</v>
      </c>
      <c r="G500" s="280">
        <v>2</v>
      </c>
      <c r="H500" s="259">
        <v>28241</v>
      </c>
      <c r="I500" s="259">
        <v>56481</v>
      </c>
      <c r="J500" s="259">
        <v>0</v>
      </c>
      <c r="K500" s="259">
        <v>56481</v>
      </c>
      <c r="L500" s="259">
        <v>4519</v>
      </c>
      <c r="M500" s="259">
        <v>61000</v>
      </c>
      <c r="N500" s="118">
        <v>1.0999999999999999E-2</v>
      </c>
      <c r="O500" s="411" t="s">
        <v>1086</v>
      </c>
    </row>
    <row r="501" spans="1:15" ht="18" customHeight="1" x14ac:dyDescent="0.25">
      <c r="A501" s="115">
        <v>7</v>
      </c>
      <c r="B501" s="116" t="s">
        <v>98</v>
      </c>
      <c r="C501" s="115">
        <v>110</v>
      </c>
      <c r="D501" s="119" t="s">
        <v>99</v>
      </c>
      <c r="E501" s="119" t="s">
        <v>1101</v>
      </c>
      <c r="F501" s="116" t="s">
        <v>1085</v>
      </c>
      <c r="G501" s="280">
        <v>19</v>
      </c>
      <c r="H501" s="259">
        <v>926</v>
      </c>
      <c r="I501" s="259">
        <v>17593</v>
      </c>
      <c r="J501" s="259">
        <v>0</v>
      </c>
      <c r="K501" s="259">
        <v>17593</v>
      </c>
      <c r="L501" s="259">
        <v>1407</v>
      </c>
      <c r="M501" s="259">
        <v>19000</v>
      </c>
      <c r="N501" s="118">
        <v>3.3999999999999998E-3</v>
      </c>
      <c r="O501" s="411" t="s">
        <v>1086</v>
      </c>
    </row>
    <row r="502" spans="1:15" ht="18" customHeight="1" x14ac:dyDescent="0.25">
      <c r="A502" s="115">
        <v>7</v>
      </c>
      <c r="B502" s="116" t="s">
        <v>98</v>
      </c>
      <c r="C502" s="115">
        <v>4</v>
      </c>
      <c r="D502" s="119" t="s">
        <v>87</v>
      </c>
      <c r="E502" s="119" t="s">
        <v>1166</v>
      </c>
      <c r="F502" s="116" t="s">
        <v>1085</v>
      </c>
      <c r="G502" s="280">
        <v>8</v>
      </c>
      <c r="H502" s="259">
        <v>18750</v>
      </c>
      <c r="I502" s="259">
        <v>150000</v>
      </c>
      <c r="J502" s="259">
        <v>0</v>
      </c>
      <c r="K502" s="259">
        <v>150000</v>
      </c>
      <c r="L502" s="259">
        <v>12000</v>
      </c>
      <c r="M502" s="259">
        <v>162000</v>
      </c>
      <c r="N502" s="118">
        <v>2.92E-2</v>
      </c>
      <c r="O502" s="411" t="s">
        <v>1086</v>
      </c>
    </row>
    <row r="503" spans="1:15" ht="18" customHeight="1" x14ac:dyDescent="0.25">
      <c r="A503" s="115">
        <v>7</v>
      </c>
      <c r="B503" s="116" t="s">
        <v>98</v>
      </c>
      <c r="C503" s="115">
        <v>102</v>
      </c>
      <c r="D503" s="119" t="s">
        <v>87</v>
      </c>
      <c r="E503" s="119" t="s">
        <v>1151</v>
      </c>
      <c r="F503" s="116" t="s">
        <v>1085</v>
      </c>
      <c r="G503" s="280">
        <v>1</v>
      </c>
      <c r="H503" s="259">
        <v>6944</v>
      </c>
      <c r="I503" s="259">
        <v>6944</v>
      </c>
      <c r="J503" s="259">
        <v>0</v>
      </c>
      <c r="K503" s="259">
        <v>6944</v>
      </c>
      <c r="L503" s="259">
        <v>556</v>
      </c>
      <c r="M503" s="259">
        <v>7500</v>
      </c>
      <c r="N503" s="118">
        <v>1.2999999999999999E-3</v>
      </c>
      <c r="O503" s="411" t="s">
        <v>1086</v>
      </c>
    </row>
    <row r="504" spans="1:15" ht="18" customHeight="1" x14ac:dyDescent="0.25">
      <c r="A504" s="115">
        <v>7</v>
      </c>
      <c r="B504" s="116" t="s">
        <v>98</v>
      </c>
      <c r="C504" s="115">
        <v>30</v>
      </c>
      <c r="D504" s="119" t="s">
        <v>95</v>
      </c>
      <c r="E504" s="119" t="s">
        <v>1103</v>
      </c>
      <c r="F504" s="116" t="s">
        <v>1085</v>
      </c>
      <c r="G504" s="280">
        <v>2</v>
      </c>
      <c r="H504" s="259">
        <v>6481</v>
      </c>
      <c r="I504" s="259">
        <v>12963</v>
      </c>
      <c r="J504" s="259">
        <v>0</v>
      </c>
      <c r="K504" s="259">
        <v>12963</v>
      </c>
      <c r="L504" s="259">
        <v>1037</v>
      </c>
      <c r="M504" s="259">
        <v>14000</v>
      </c>
      <c r="N504" s="118">
        <v>2.5000000000000001E-3</v>
      </c>
      <c r="O504" s="411" t="s">
        <v>1086</v>
      </c>
    </row>
    <row r="505" spans="1:15" ht="18" customHeight="1" x14ac:dyDescent="0.25">
      <c r="A505" s="115">
        <v>7</v>
      </c>
      <c r="B505" s="116" t="s">
        <v>98</v>
      </c>
      <c r="C505" s="115">
        <v>305</v>
      </c>
      <c r="D505" s="119" t="s">
        <v>91</v>
      </c>
      <c r="E505" s="119" t="s">
        <v>1104</v>
      </c>
      <c r="F505" s="116" t="s">
        <v>1085</v>
      </c>
      <c r="G505" s="280">
        <v>2</v>
      </c>
      <c r="H505" s="259">
        <v>9259</v>
      </c>
      <c r="I505" s="259">
        <v>18519</v>
      </c>
      <c r="J505" s="259">
        <v>0</v>
      </c>
      <c r="K505" s="259">
        <v>18519</v>
      </c>
      <c r="L505" s="259">
        <v>1481</v>
      </c>
      <c r="M505" s="259">
        <v>20000</v>
      </c>
      <c r="N505" s="118">
        <v>3.5999999999999999E-3</v>
      </c>
      <c r="O505" s="411" t="s">
        <v>1086</v>
      </c>
    </row>
    <row r="506" spans="1:15" ht="18" customHeight="1" x14ac:dyDescent="0.25">
      <c r="A506" s="115">
        <v>7</v>
      </c>
      <c r="B506" s="116" t="s">
        <v>98</v>
      </c>
      <c r="C506" s="115">
        <v>94</v>
      </c>
      <c r="D506" s="119" t="s">
        <v>89</v>
      </c>
      <c r="E506" s="119" t="s">
        <v>153</v>
      </c>
      <c r="F506" s="116" t="s">
        <v>1085</v>
      </c>
      <c r="G506" s="280">
        <v>11</v>
      </c>
      <c r="H506" s="259">
        <v>18603</v>
      </c>
      <c r="I506" s="259">
        <v>204630</v>
      </c>
      <c r="J506" s="259">
        <v>0</v>
      </c>
      <c r="K506" s="259">
        <v>204630</v>
      </c>
      <c r="L506" s="259">
        <v>16370</v>
      </c>
      <c r="M506" s="259">
        <v>221000</v>
      </c>
      <c r="N506" s="118">
        <v>3.9800000000000002E-2</v>
      </c>
      <c r="O506" s="411" t="s">
        <v>1086</v>
      </c>
    </row>
    <row r="507" spans="1:15" ht="18" customHeight="1" x14ac:dyDescent="0.25">
      <c r="A507" s="115">
        <v>7</v>
      </c>
      <c r="B507" s="116" t="s">
        <v>98</v>
      </c>
      <c r="C507" s="115">
        <v>233</v>
      </c>
      <c r="D507" s="119" t="s">
        <v>89</v>
      </c>
      <c r="E507" s="119" t="s">
        <v>117</v>
      </c>
      <c r="F507" s="116" t="s">
        <v>1085</v>
      </c>
      <c r="G507" s="280">
        <v>38</v>
      </c>
      <c r="H507" s="259">
        <v>18543</v>
      </c>
      <c r="I507" s="259">
        <v>704630</v>
      </c>
      <c r="J507" s="259">
        <v>0</v>
      </c>
      <c r="K507" s="259">
        <v>704630</v>
      </c>
      <c r="L507" s="259">
        <v>56370</v>
      </c>
      <c r="M507" s="259">
        <v>761000</v>
      </c>
      <c r="N507" s="118">
        <v>0.13700000000000001</v>
      </c>
      <c r="O507" s="411" t="s">
        <v>1086</v>
      </c>
    </row>
    <row r="508" spans="1:15" ht="18" customHeight="1" x14ac:dyDescent="0.25">
      <c r="A508" s="115">
        <v>7</v>
      </c>
      <c r="B508" s="116" t="s">
        <v>98</v>
      </c>
      <c r="C508" s="115">
        <v>217</v>
      </c>
      <c r="D508" s="119" t="s">
        <v>89</v>
      </c>
      <c r="E508" s="119" t="s">
        <v>1105</v>
      </c>
      <c r="F508" s="116" t="s">
        <v>1085</v>
      </c>
      <c r="G508" s="280">
        <v>2</v>
      </c>
      <c r="H508" s="259">
        <v>27778</v>
      </c>
      <c r="I508" s="259">
        <v>55556</v>
      </c>
      <c r="J508" s="259">
        <v>0</v>
      </c>
      <c r="K508" s="259">
        <v>55556</v>
      </c>
      <c r="L508" s="259">
        <v>4444</v>
      </c>
      <c r="M508" s="259">
        <v>60000</v>
      </c>
      <c r="N508" s="118">
        <v>1.0800000000000001E-2</v>
      </c>
      <c r="O508" s="411" t="s">
        <v>1086</v>
      </c>
    </row>
    <row r="509" spans="1:15" ht="18" customHeight="1" x14ac:dyDescent="0.25">
      <c r="A509" s="115">
        <v>7</v>
      </c>
      <c r="B509" s="116" t="s">
        <v>98</v>
      </c>
      <c r="C509" s="115">
        <v>218</v>
      </c>
      <c r="D509" s="119" t="s">
        <v>89</v>
      </c>
      <c r="E509" s="119" t="s">
        <v>1106</v>
      </c>
      <c r="F509" s="116" t="s">
        <v>1085</v>
      </c>
      <c r="G509" s="280">
        <v>8</v>
      </c>
      <c r="H509" s="259">
        <v>18519</v>
      </c>
      <c r="I509" s="259">
        <v>148148</v>
      </c>
      <c r="J509" s="259">
        <v>0</v>
      </c>
      <c r="K509" s="259">
        <v>148148</v>
      </c>
      <c r="L509" s="259">
        <v>11852</v>
      </c>
      <c r="M509" s="259">
        <v>160000</v>
      </c>
      <c r="N509" s="118">
        <v>2.8799999999999999E-2</v>
      </c>
      <c r="O509" s="411" t="s">
        <v>1086</v>
      </c>
    </row>
    <row r="510" spans="1:15" ht="18" customHeight="1" x14ac:dyDescent="0.25">
      <c r="A510" s="115">
        <v>7</v>
      </c>
      <c r="B510" s="116" t="s">
        <v>98</v>
      </c>
      <c r="C510" s="115">
        <v>34</v>
      </c>
      <c r="D510" s="119" t="s">
        <v>91</v>
      </c>
      <c r="E510" s="119" t="s">
        <v>1107</v>
      </c>
      <c r="F510" s="116" t="s">
        <v>1085</v>
      </c>
      <c r="G510" s="280">
        <v>2</v>
      </c>
      <c r="H510" s="259">
        <v>6481</v>
      </c>
      <c r="I510" s="259">
        <v>12963</v>
      </c>
      <c r="J510" s="259">
        <v>0</v>
      </c>
      <c r="K510" s="259">
        <v>12963</v>
      </c>
      <c r="L510" s="259">
        <v>1037</v>
      </c>
      <c r="M510" s="259">
        <v>14000</v>
      </c>
      <c r="N510" s="118">
        <v>2.5000000000000001E-3</v>
      </c>
      <c r="O510" s="411" t="s">
        <v>1086</v>
      </c>
    </row>
    <row r="511" spans="1:15" ht="18" customHeight="1" x14ac:dyDescent="0.25">
      <c r="A511" s="115">
        <v>7</v>
      </c>
      <c r="B511" s="116" t="s">
        <v>98</v>
      </c>
      <c r="C511" s="115">
        <v>121</v>
      </c>
      <c r="D511" s="119" t="s">
        <v>91</v>
      </c>
      <c r="E511" s="119" t="s">
        <v>1108</v>
      </c>
      <c r="F511" s="116" t="s">
        <v>1085</v>
      </c>
      <c r="G511" s="280">
        <v>2</v>
      </c>
      <c r="H511" s="259">
        <v>2778</v>
      </c>
      <c r="I511" s="259">
        <v>5556</v>
      </c>
      <c r="J511" s="259">
        <v>0</v>
      </c>
      <c r="K511" s="259">
        <v>5556</v>
      </c>
      <c r="L511" s="259">
        <v>444</v>
      </c>
      <c r="M511" s="259">
        <v>6000</v>
      </c>
      <c r="N511" s="118">
        <v>1.1000000000000001E-3</v>
      </c>
      <c r="O511" s="411" t="s">
        <v>1086</v>
      </c>
    </row>
    <row r="512" spans="1:15" ht="18" customHeight="1" x14ac:dyDescent="0.25">
      <c r="A512" s="115">
        <v>7</v>
      </c>
      <c r="B512" s="116" t="s">
        <v>98</v>
      </c>
      <c r="C512" s="115">
        <v>208</v>
      </c>
      <c r="D512" s="119" t="s">
        <v>91</v>
      </c>
      <c r="E512" s="119" t="s">
        <v>1109</v>
      </c>
      <c r="F512" s="116" t="s">
        <v>1085</v>
      </c>
      <c r="G512" s="280">
        <v>15</v>
      </c>
      <c r="H512" s="259">
        <v>3704</v>
      </c>
      <c r="I512" s="259">
        <v>55556</v>
      </c>
      <c r="J512" s="259">
        <v>0</v>
      </c>
      <c r="K512" s="259">
        <v>55556</v>
      </c>
      <c r="L512" s="259">
        <v>4444</v>
      </c>
      <c r="M512" s="259">
        <v>60000</v>
      </c>
      <c r="N512" s="118">
        <v>1.0800000000000001E-2</v>
      </c>
      <c r="O512" s="411" t="s">
        <v>1086</v>
      </c>
    </row>
    <row r="513" spans="1:15" ht="18" customHeight="1" x14ac:dyDescent="0.25">
      <c r="A513" s="115">
        <v>7</v>
      </c>
      <c r="B513" s="116" t="s">
        <v>98</v>
      </c>
      <c r="C513" s="115">
        <v>90</v>
      </c>
      <c r="D513" s="119" t="s">
        <v>91</v>
      </c>
      <c r="E513" s="119" t="s">
        <v>572</v>
      </c>
      <c r="F513" s="116" t="s">
        <v>1085</v>
      </c>
      <c r="G513" s="280">
        <v>1</v>
      </c>
      <c r="H513" s="259">
        <v>4259</v>
      </c>
      <c r="I513" s="259">
        <v>4259</v>
      </c>
      <c r="J513" s="259">
        <v>0</v>
      </c>
      <c r="K513" s="259">
        <v>4259</v>
      </c>
      <c r="L513" s="259">
        <v>341</v>
      </c>
      <c r="M513" s="259">
        <v>4600</v>
      </c>
      <c r="N513" s="118">
        <v>8.0000000000000004E-4</v>
      </c>
      <c r="O513" s="411" t="s">
        <v>1086</v>
      </c>
    </row>
    <row r="514" spans="1:15" ht="18" customHeight="1" x14ac:dyDescent="0.25">
      <c r="A514" s="115">
        <v>7</v>
      </c>
      <c r="B514" s="116" t="s">
        <v>98</v>
      </c>
      <c r="C514" s="115">
        <v>31</v>
      </c>
      <c r="D514" s="119" t="s">
        <v>95</v>
      </c>
      <c r="E514" s="119" t="s">
        <v>1111</v>
      </c>
      <c r="F514" s="116" t="s">
        <v>1085</v>
      </c>
      <c r="G514" s="280">
        <v>3</v>
      </c>
      <c r="H514" s="259">
        <v>1204</v>
      </c>
      <c r="I514" s="259">
        <v>3611</v>
      </c>
      <c r="J514" s="259">
        <v>0</v>
      </c>
      <c r="K514" s="259">
        <v>3611</v>
      </c>
      <c r="L514" s="259">
        <v>289</v>
      </c>
      <c r="M514" s="259">
        <v>3900</v>
      </c>
      <c r="N514" s="118">
        <v>7.000000000000001E-4</v>
      </c>
      <c r="O514" s="411" t="s">
        <v>1086</v>
      </c>
    </row>
    <row r="515" spans="1:15" ht="18" customHeight="1" x14ac:dyDescent="0.25">
      <c r="A515" s="115">
        <v>7</v>
      </c>
      <c r="B515" s="116" t="s">
        <v>98</v>
      </c>
      <c r="C515" s="115">
        <v>212</v>
      </c>
      <c r="D515" s="119" t="s">
        <v>91</v>
      </c>
      <c r="E515" s="119" t="s">
        <v>162</v>
      </c>
      <c r="F515" s="116" t="s">
        <v>1085</v>
      </c>
      <c r="G515" s="280">
        <v>1</v>
      </c>
      <c r="H515" s="259">
        <v>22222</v>
      </c>
      <c r="I515" s="259">
        <v>22222</v>
      </c>
      <c r="J515" s="259">
        <v>0</v>
      </c>
      <c r="K515" s="259">
        <v>22222</v>
      </c>
      <c r="L515" s="259">
        <v>1778</v>
      </c>
      <c r="M515" s="259">
        <v>24000</v>
      </c>
      <c r="N515" s="118">
        <v>4.3E-3</v>
      </c>
      <c r="O515" s="411" t="s">
        <v>1086</v>
      </c>
    </row>
    <row r="516" spans="1:15" ht="18" customHeight="1" x14ac:dyDescent="0.25">
      <c r="A516" s="115">
        <v>7</v>
      </c>
      <c r="B516" s="116" t="s">
        <v>98</v>
      </c>
      <c r="C516" s="115">
        <v>74</v>
      </c>
      <c r="D516" s="119" t="s">
        <v>91</v>
      </c>
      <c r="E516" s="119" t="s">
        <v>1153</v>
      </c>
      <c r="F516" s="116" t="s">
        <v>1085</v>
      </c>
      <c r="G516" s="280">
        <v>5</v>
      </c>
      <c r="H516" s="259">
        <v>6481</v>
      </c>
      <c r="I516" s="259">
        <v>32407</v>
      </c>
      <c r="J516" s="259">
        <v>0</v>
      </c>
      <c r="K516" s="259">
        <v>32407</v>
      </c>
      <c r="L516" s="259">
        <v>2593</v>
      </c>
      <c r="M516" s="259">
        <v>35000</v>
      </c>
      <c r="N516" s="118">
        <v>6.3E-3</v>
      </c>
      <c r="O516" s="411" t="s">
        <v>1086</v>
      </c>
    </row>
    <row r="517" spans="1:15" ht="18" customHeight="1" x14ac:dyDescent="0.25">
      <c r="A517" s="115">
        <v>7</v>
      </c>
      <c r="B517" s="116" t="s">
        <v>98</v>
      </c>
      <c r="C517" s="115">
        <v>235</v>
      </c>
      <c r="D517" s="119" t="s">
        <v>91</v>
      </c>
      <c r="E517" s="119" t="s">
        <v>1154</v>
      </c>
      <c r="F517" s="116" t="s">
        <v>1085</v>
      </c>
      <c r="G517" s="280">
        <v>4</v>
      </c>
      <c r="H517" s="259">
        <v>3426</v>
      </c>
      <c r="I517" s="259">
        <v>13704</v>
      </c>
      <c r="J517" s="259">
        <v>0</v>
      </c>
      <c r="K517" s="259">
        <v>13704</v>
      </c>
      <c r="L517" s="259">
        <v>1096</v>
      </c>
      <c r="M517" s="259">
        <v>14800</v>
      </c>
      <c r="N517" s="118">
        <v>2.7000000000000001E-3</v>
      </c>
      <c r="O517" s="411" t="s">
        <v>1086</v>
      </c>
    </row>
    <row r="518" spans="1:15" ht="18" customHeight="1" x14ac:dyDescent="0.25">
      <c r="A518" s="115">
        <v>7</v>
      </c>
      <c r="B518" s="116" t="s">
        <v>98</v>
      </c>
      <c r="C518" s="115">
        <v>118</v>
      </c>
      <c r="D518" s="119" t="s">
        <v>87</v>
      </c>
      <c r="E518" s="119" t="s">
        <v>126</v>
      </c>
      <c r="F518" s="116" t="s">
        <v>1085</v>
      </c>
      <c r="G518" s="280">
        <v>2</v>
      </c>
      <c r="H518" s="259">
        <v>41667</v>
      </c>
      <c r="I518" s="259">
        <v>83333</v>
      </c>
      <c r="J518" s="259">
        <v>0</v>
      </c>
      <c r="K518" s="259">
        <v>83333</v>
      </c>
      <c r="L518" s="259">
        <v>6667</v>
      </c>
      <c r="M518" s="259">
        <v>90000</v>
      </c>
      <c r="N518" s="118">
        <v>1.6199999999999999E-2</v>
      </c>
      <c r="O518" s="411" t="s">
        <v>1086</v>
      </c>
    </row>
    <row r="519" spans="1:15" ht="18" customHeight="1" x14ac:dyDescent="0.25">
      <c r="A519" s="115">
        <v>7</v>
      </c>
      <c r="B519" s="116" t="s">
        <v>98</v>
      </c>
      <c r="C519" s="115">
        <v>204</v>
      </c>
      <c r="D519" s="119" t="s">
        <v>91</v>
      </c>
      <c r="E519" s="119" t="s">
        <v>1114</v>
      </c>
      <c r="F519" s="116" t="s">
        <v>1085</v>
      </c>
      <c r="G519" s="280">
        <v>5</v>
      </c>
      <c r="H519" s="259">
        <v>12037</v>
      </c>
      <c r="I519" s="259">
        <v>60185</v>
      </c>
      <c r="J519" s="259">
        <v>0</v>
      </c>
      <c r="K519" s="259">
        <v>60185</v>
      </c>
      <c r="L519" s="259">
        <v>4815</v>
      </c>
      <c r="M519" s="259">
        <v>65000</v>
      </c>
      <c r="N519" s="118">
        <v>1.17E-2</v>
      </c>
      <c r="O519" s="411" t="s">
        <v>1086</v>
      </c>
    </row>
    <row r="520" spans="1:15" ht="18" customHeight="1" x14ac:dyDescent="0.25">
      <c r="A520" s="115">
        <v>7</v>
      </c>
      <c r="B520" s="116" t="s">
        <v>98</v>
      </c>
      <c r="C520" s="115">
        <v>109</v>
      </c>
      <c r="D520" s="119" t="s">
        <v>91</v>
      </c>
      <c r="E520" s="119" t="s">
        <v>144</v>
      </c>
      <c r="F520" s="116" t="s">
        <v>1085</v>
      </c>
      <c r="G520" s="280">
        <v>3</v>
      </c>
      <c r="H520" s="259">
        <v>12963</v>
      </c>
      <c r="I520" s="259">
        <v>38889</v>
      </c>
      <c r="J520" s="259">
        <v>0</v>
      </c>
      <c r="K520" s="259">
        <v>38889</v>
      </c>
      <c r="L520" s="259">
        <v>3111</v>
      </c>
      <c r="M520" s="259">
        <v>42000</v>
      </c>
      <c r="N520" s="118">
        <v>7.6E-3</v>
      </c>
      <c r="O520" s="411" t="s">
        <v>1086</v>
      </c>
    </row>
    <row r="521" spans="1:15" ht="18" customHeight="1" x14ac:dyDescent="0.25">
      <c r="A521" s="115">
        <v>7</v>
      </c>
      <c r="B521" s="116" t="s">
        <v>98</v>
      </c>
      <c r="C521" s="115">
        <v>147</v>
      </c>
      <c r="D521" s="119" t="s">
        <v>91</v>
      </c>
      <c r="E521" s="119" t="s">
        <v>1115</v>
      </c>
      <c r="F521" s="116" t="s">
        <v>1085</v>
      </c>
      <c r="G521" s="280">
        <v>3</v>
      </c>
      <c r="H521" s="259">
        <v>6481</v>
      </c>
      <c r="I521" s="259">
        <v>19444</v>
      </c>
      <c r="J521" s="259">
        <v>0</v>
      </c>
      <c r="K521" s="259">
        <v>19444</v>
      </c>
      <c r="L521" s="259">
        <v>1556</v>
      </c>
      <c r="M521" s="259">
        <v>21000</v>
      </c>
      <c r="N521" s="118">
        <v>3.8E-3</v>
      </c>
      <c r="O521" s="411" t="s">
        <v>1086</v>
      </c>
    </row>
    <row r="522" spans="1:15" ht="18" customHeight="1" x14ac:dyDescent="0.25">
      <c r="A522" s="115">
        <v>7</v>
      </c>
      <c r="B522" s="116" t="s">
        <v>98</v>
      </c>
      <c r="C522" s="115">
        <v>72</v>
      </c>
      <c r="D522" s="119" t="s">
        <v>97</v>
      </c>
      <c r="E522" s="119" t="s">
        <v>1117</v>
      </c>
      <c r="F522" s="116" t="s">
        <v>1085</v>
      </c>
      <c r="G522" s="280">
        <v>1</v>
      </c>
      <c r="H522" s="259">
        <v>3704</v>
      </c>
      <c r="I522" s="259">
        <v>3704</v>
      </c>
      <c r="J522" s="259">
        <v>0</v>
      </c>
      <c r="K522" s="259">
        <v>3704</v>
      </c>
      <c r="L522" s="259">
        <v>296</v>
      </c>
      <c r="M522" s="259">
        <v>4000</v>
      </c>
      <c r="N522" s="118">
        <v>7.000000000000001E-4</v>
      </c>
      <c r="O522" s="411" t="s">
        <v>1086</v>
      </c>
    </row>
    <row r="523" spans="1:15" ht="18" customHeight="1" x14ac:dyDescent="0.25">
      <c r="A523" s="115">
        <v>7</v>
      </c>
      <c r="B523" s="116" t="s">
        <v>98</v>
      </c>
      <c r="C523" s="115">
        <v>112</v>
      </c>
      <c r="D523" s="119" t="s">
        <v>87</v>
      </c>
      <c r="E523" s="119" t="s">
        <v>1118</v>
      </c>
      <c r="F523" s="116" t="s">
        <v>1085</v>
      </c>
      <c r="G523" s="280">
        <v>1</v>
      </c>
      <c r="H523" s="259">
        <v>41667</v>
      </c>
      <c r="I523" s="259">
        <v>41667</v>
      </c>
      <c r="J523" s="259">
        <v>0</v>
      </c>
      <c r="K523" s="259">
        <v>41667</v>
      </c>
      <c r="L523" s="259">
        <v>3333</v>
      </c>
      <c r="M523" s="259">
        <v>45000</v>
      </c>
      <c r="N523" s="118">
        <v>8.1000000000000013E-3</v>
      </c>
      <c r="O523" s="411" t="s">
        <v>1086</v>
      </c>
    </row>
    <row r="524" spans="1:15" ht="18" customHeight="1" x14ac:dyDescent="0.25">
      <c r="A524" s="115">
        <v>7</v>
      </c>
      <c r="B524" s="116" t="s">
        <v>98</v>
      </c>
      <c r="C524" s="115">
        <v>119</v>
      </c>
      <c r="D524" s="119" t="s">
        <v>89</v>
      </c>
      <c r="E524" s="119" t="s">
        <v>114</v>
      </c>
      <c r="F524" s="116" t="s">
        <v>1085</v>
      </c>
      <c r="G524" s="280">
        <v>6</v>
      </c>
      <c r="H524" s="259">
        <v>44444</v>
      </c>
      <c r="I524" s="259">
        <v>266667</v>
      </c>
      <c r="J524" s="259">
        <v>0</v>
      </c>
      <c r="K524" s="259">
        <v>266667</v>
      </c>
      <c r="L524" s="259">
        <v>21333</v>
      </c>
      <c r="M524" s="259">
        <v>288000</v>
      </c>
      <c r="N524" s="118">
        <v>5.1799999999999999E-2</v>
      </c>
      <c r="O524" s="411" t="s">
        <v>1086</v>
      </c>
    </row>
    <row r="525" spans="1:15" ht="18" customHeight="1" x14ac:dyDescent="0.25">
      <c r="A525" s="115">
        <v>7</v>
      </c>
      <c r="B525" s="116" t="s">
        <v>98</v>
      </c>
      <c r="C525" s="115">
        <v>111</v>
      </c>
      <c r="D525" s="119" t="s">
        <v>87</v>
      </c>
      <c r="E525" s="119" t="s">
        <v>1192</v>
      </c>
      <c r="F525" s="116" t="s">
        <v>1085</v>
      </c>
      <c r="G525" s="280">
        <v>0</v>
      </c>
      <c r="H525" s="259">
        <v>0</v>
      </c>
      <c r="I525" s="259">
        <v>0</v>
      </c>
      <c r="J525" s="259">
        <v>0</v>
      </c>
      <c r="K525" s="259">
        <v>0</v>
      </c>
      <c r="L525" s="259">
        <v>0</v>
      </c>
      <c r="M525" s="259">
        <v>0</v>
      </c>
      <c r="N525" s="118">
        <v>0</v>
      </c>
      <c r="O525" s="411" t="s">
        <v>1086</v>
      </c>
    </row>
    <row r="526" spans="1:15" ht="18" customHeight="1" x14ac:dyDescent="0.25">
      <c r="A526" s="115">
        <v>7</v>
      </c>
      <c r="B526" s="116" t="s">
        <v>98</v>
      </c>
      <c r="C526" s="115">
        <v>86</v>
      </c>
      <c r="D526" s="119" t="s">
        <v>95</v>
      </c>
      <c r="E526" s="119" t="s">
        <v>1124</v>
      </c>
      <c r="F526" s="116" t="s">
        <v>1085</v>
      </c>
      <c r="G526" s="280">
        <v>10</v>
      </c>
      <c r="H526" s="259">
        <v>3241</v>
      </c>
      <c r="I526" s="259">
        <v>32407</v>
      </c>
      <c r="J526" s="259">
        <v>0</v>
      </c>
      <c r="K526" s="259">
        <v>32407</v>
      </c>
      <c r="L526" s="259">
        <v>2593</v>
      </c>
      <c r="M526" s="259">
        <v>35000</v>
      </c>
      <c r="N526" s="118">
        <v>6.3E-3</v>
      </c>
      <c r="O526" s="411" t="s">
        <v>1086</v>
      </c>
    </row>
    <row r="527" spans="1:15" ht="18" customHeight="1" x14ac:dyDescent="0.25">
      <c r="A527" s="115">
        <v>7</v>
      </c>
      <c r="B527" s="116" t="s">
        <v>98</v>
      </c>
      <c r="C527" s="115">
        <v>80</v>
      </c>
      <c r="D527" s="119" t="s">
        <v>95</v>
      </c>
      <c r="E527" s="119" t="s">
        <v>1125</v>
      </c>
      <c r="F527" s="116" t="s">
        <v>1085</v>
      </c>
      <c r="G527" s="280">
        <v>0</v>
      </c>
      <c r="H527" s="259">
        <v>0</v>
      </c>
      <c r="I527" s="259">
        <v>0</v>
      </c>
      <c r="J527" s="259">
        <v>0</v>
      </c>
      <c r="K527" s="259">
        <v>0</v>
      </c>
      <c r="L527" s="259">
        <v>0</v>
      </c>
      <c r="M527" s="259">
        <v>0</v>
      </c>
      <c r="N527" s="118">
        <v>0</v>
      </c>
      <c r="O527" s="411" t="s">
        <v>1086</v>
      </c>
    </row>
    <row r="528" spans="1:15" ht="18" customHeight="1" x14ac:dyDescent="0.25">
      <c r="A528" s="115">
        <v>7</v>
      </c>
      <c r="B528" s="116" t="s">
        <v>98</v>
      </c>
      <c r="C528" s="115">
        <v>114</v>
      </c>
      <c r="D528" s="119" t="s">
        <v>95</v>
      </c>
      <c r="E528" s="119" t="s">
        <v>1205</v>
      </c>
      <c r="F528" s="116" t="s">
        <v>1085</v>
      </c>
      <c r="G528" s="280">
        <v>12</v>
      </c>
      <c r="H528" s="259">
        <v>6481</v>
      </c>
      <c r="I528" s="259">
        <v>77778</v>
      </c>
      <c r="J528" s="259">
        <v>0</v>
      </c>
      <c r="K528" s="259">
        <v>77778</v>
      </c>
      <c r="L528" s="259">
        <v>6222</v>
      </c>
      <c r="M528" s="259">
        <v>84000</v>
      </c>
      <c r="N528" s="118">
        <v>1.5100000000000001E-2</v>
      </c>
      <c r="O528" s="411" t="s">
        <v>1086</v>
      </c>
    </row>
    <row r="529" spans="1:15" ht="18" customHeight="1" x14ac:dyDescent="0.25">
      <c r="A529" s="115">
        <v>7</v>
      </c>
      <c r="B529" s="116" t="s">
        <v>98</v>
      </c>
      <c r="C529" s="115">
        <v>63</v>
      </c>
      <c r="D529" s="119" t="s">
        <v>95</v>
      </c>
      <c r="E529" s="119" t="s">
        <v>1182</v>
      </c>
      <c r="F529" s="116" t="s">
        <v>1085</v>
      </c>
      <c r="G529" s="280">
        <v>1</v>
      </c>
      <c r="H529" s="259">
        <v>3704</v>
      </c>
      <c r="I529" s="259">
        <v>3704</v>
      </c>
      <c r="J529" s="259">
        <v>0</v>
      </c>
      <c r="K529" s="259">
        <v>3704</v>
      </c>
      <c r="L529" s="259">
        <v>296</v>
      </c>
      <c r="M529" s="259">
        <v>4000</v>
      </c>
      <c r="N529" s="118">
        <v>7.000000000000001E-4</v>
      </c>
      <c r="O529" s="411" t="s">
        <v>1086</v>
      </c>
    </row>
    <row r="530" spans="1:15" ht="18" customHeight="1" x14ac:dyDescent="0.25">
      <c r="A530" s="115">
        <v>7</v>
      </c>
      <c r="B530" s="116" t="s">
        <v>98</v>
      </c>
      <c r="C530" s="115">
        <v>79</v>
      </c>
      <c r="D530" s="119" t="s">
        <v>95</v>
      </c>
      <c r="E530" s="119" t="s">
        <v>1127</v>
      </c>
      <c r="F530" s="116" t="s">
        <v>1085</v>
      </c>
      <c r="G530" s="280">
        <v>7</v>
      </c>
      <c r="H530" s="259">
        <v>6481</v>
      </c>
      <c r="I530" s="259">
        <v>45370</v>
      </c>
      <c r="J530" s="259">
        <v>0</v>
      </c>
      <c r="K530" s="259">
        <v>45370</v>
      </c>
      <c r="L530" s="259">
        <v>3630</v>
      </c>
      <c r="M530" s="259">
        <v>49000</v>
      </c>
      <c r="N530" s="118">
        <v>8.8000000000000005E-3</v>
      </c>
      <c r="O530" s="411" t="s">
        <v>1086</v>
      </c>
    </row>
    <row r="531" spans="1:15" ht="18" customHeight="1" x14ac:dyDescent="0.25">
      <c r="A531" s="115">
        <v>7</v>
      </c>
      <c r="B531" s="116" t="s">
        <v>98</v>
      </c>
      <c r="C531" s="115">
        <v>62</v>
      </c>
      <c r="D531" s="119" t="s">
        <v>95</v>
      </c>
      <c r="E531" s="119" t="s">
        <v>1128</v>
      </c>
      <c r="F531" s="116" t="s">
        <v>1085</v>
      </c>
      <c r="G531" s="280">
        <v>5</v>
      </c>
      <c r="H531" s="259">
        <v>6944</v>
      </c>
      <c r="I531" s="259">
        <v>34722</v>
      </c>
      <c r="J531" s="259">
        <v>0</v>
      </c>
      <c r="K531" s="259">
        <v>34722</v>
      </c>
      <c r="L531" s="259">
        <v>2778</v>
      </c>
      <c r="M531" s="259">
        <v>37500</v>
      </c>
      <c r="N531" s="118">
        <v>6.7000000000000002E-3</v>
      </c>
      <c r="O531" s="411" t="s">
        <v>1086</v>
      </c>
    </row>
    <row r="532" spans="1:15" ht="18" customHeight="1" x14ac:dyDescent="0.25">
      <c r="A532" s="115">
        <v>7</v>
      </c>
      <c r="B532" s="116" t="s">
        <v>98</v>
      </c>
      <c r="C532" s="115">
        <v>78</v>
      </c>
      <c r="D532" s="119" t="s">
        <v>95</v>
      </c>
      <c r="E532" s="119" t="s">
        <v>1129</v>
      </c>
      <c r="F532" s="116" t="s">
        <v>1085</v>
      </c>
      <c r="G532" s="280">
        <v>8</v>
      </c>
      <c r="H532" s="259">
        <v>6481</v>
      </c>
      <c r="I532" s="259">
        <v>51852</v>
      </c>
      <c r="J532" s="259">
        <v>0</v>
      </c>
      <c r="K532" s="259">
        <v>51852</v>
      </c>
      <c r="L532" s="259">
        <v>4148</v>
      </c>
      <c r="M532" s="259">
        <v>56000</v>
      </c>
      <c r="N532" s="118">
        <v>1.01E-2</v>
      </c>
      <c r="O532" s="411" t="s">
        <v>1086</v>
      </c>
    </row>
    <row r="533" spans="1:15" ht="18" customHeight="1" x14ac:dyDescent="0.25">
      <c r="A533" s="115">
        <v>7</v>
      </c>
      <c r="B533" s="116" t="s">
        <v>98</v>
      </c>
      <c r="C533" s="115">
        <v>137</v>
      </c>
      <c r="D533" s="119" t="s">
        <v>95</v>
      </c>
      <c r="E533" s="119" t="s">
        <v>1159</v>
      </c>
      <c r="F533" s="116" t="s">
        <v>1085</v>
      </c>
      <c r="G533" s="280">
        <v>2</v>
      </c>
      <c r="H533" s="259">
        <v>6481</v>
      </c>
      <c r="I533" s="259">
        <v>12963</v>
      </c>
      <c r="J533" s="259">
        <v>0</v>
      </c>
      <c r="K533" s="259">
        <v>12963</v>
      </c>
      <c r="L533" s="259">
        <v>1037</v>
      </c>
      <c r="M533" s="259">
        <v>14000</v>
      </c>
      <c r="N533" s="118">
        <v>2.5000000000000001E-3</v>
      </c>
      <c r="O533" s="411" t="s">
        <v>1086</v>
      </c>
    </row>
    <row r="534" spans="1:15" ht="18" customHeight="1" x14ac:dyDescent="0.25">
      <c r="A534" s="115">
        <v>7</v>
      </c>
      <c r="B534" s="116" t="s">
        <v>98</v>
      </c>
      <c r="C534" s="115">
        <v>219</v>
      </c>
      <c r="D534" s="119" t="s">
        <v>87</v>
      </c>
      <c r="E534" s="119" t="s">
        <v>150</v>
      </c>
      <c r="F534" s="116" t="s">
        <v>1085</v>
      </c>
      <c r="G534" s="280">
        <v>1</v>
      </c>
      <c r="H534" s="259">
        <v>69444</v>
      </c>
      <c r="I534" s="259">
        <v>69444</v>
      </c>
      <c r="J534" s="259">
        <v>0</v>
      </c>
      <c r="K534" s="259">
        <v>69444</v>
      </c>
      <c r="L534" s="259">
        <v>5556</v>
      </c>
      <c r="M534" s="259">
        <v>75000</v>
      </c>
      <c r="N534" s="118">
        <v>1.35E-2</v>
      </c>
      <c r="O534" s="411" t="s">
        <v>1086</v>
      </c>
    </row>
    <row r="535" spans="1:15" ht="18" customHeight="1" x14ac:dyDescent="0.25">
      <c r="A535" s="115">
        <v>7</v>
      </c>
      <c r="B535" s="116" t="s">
        <v>98</v>
      </c>
      <c r="C535" s="115">
        <v>224</v>
      </c>
      <c r="D535" s="119" t="s">
        <v>87</v>
      </c>
      <c r="E535" s="119" t="s">
        <v>1172</v>
      </c>
      <c r="F535" s="116" t="s">
        <v>1085</v>
      </c>
      <c r="G535" s="280">
        <v>2</v>
      </c>
      <c r="H535" s="259">
        <v>62500</v>
      </c>
      <c r="I535" s="259">
        <v>125000</v>
      </c>
      <c r="J535" s="259">
        <v>0</v>
      </c>
      <c r="K535" s="259">
        <v>125000</v>
      </c>
      <c r="L535" s="259">
        <v>10000</v>
      </c>
      <c r="M535" s="259">
        <v>135000</v>
      </c>
      <c r="N535" s="118">
        <v>2.4299999999999999E-2</v>
      </c>
      <c r="O535" s="411" t="s">
        <v>1086</v>
      </c>
    </row>
    <row r="536" spans="1:15" ht="18" customHeight="1" x14ac:dyDescent="0.25">
      <c r="A536" s="115">
        <v>7</v>
      </c>
      <c r="B536" s="116" t="s">
        <v>98</v>
      </c>
      <c r="C536" s="115">
        <v>226</v>
      </c>
      <c r="D536" s="119" t="s">
        <v>87</v>
      </c>
      <c r="E536" s="119" t="s">
        <v>1183</v>
      </c>
      <c r="F536" s="116" t="s">
        <v>1085</v>
      </c>
      <c r="G536" s="280">
        <v>2</v>
      </c>
      <c r="H536" s="259">
        <v>90741</v>
      </c>
      <c r="I536" s="259">
        <v>181481</v>
      </c>
      <c r="J536" s="259">
        <v>0</v>
      </c>
      <c r="K536" s="259">
        <v>181481</v>
      </c>
      <c r="L536" s="259">
        <v>14519</v>
      </c>
      <c r="M536" s="259">
        <v>196000</v>
      </c>
      <c r="N536" s="118">
        <v>3.5299999999999998E-2</v>
      </c>
      <c r="O536" s="411" t="s">
        <v>1086</v>
      </c>
    </row>
    <row r="537" spans="1:15" ht="18" customHeight="1" x14ac:dyDescent="0.25">
      <c r="A537" s="115">
        <v>7</v>
      </c>
      <c r="B537" s="116" t="s">
        <v>98</v>
      </c>
      <c r="C537" s="115">
        <v>50</v>
      </c>
      <c r="D537" s="119" t="s">
        <v>87</v>
      </c>
      <c r="E537" s="119" t="s">
        <v>159</v>
      </c>
      <c r="F537" s="116" t="s">
        <v>1085</v>
      </c>
      <c r="G537" s="280">
        <v>1</v>
      </c>
      <c r="H537" s="259">
        <v>49074</v>
      </c>
      <c r="I537" s="259">
        <v>49074</v>
      </c>
      <c r="J537" s="259">
        <v>0</v>
      </c>
      <c r="K537" s="259">
        <v>49074</v>
      </c>
      <c r="L537" s="259">
        <v>3926</v>
      </c>
      <c r="M537" s="259">
        <v>53000</v>
      </c>
      <c r="N537" s="118">
        <v>9.4999999999999998E-3</v>
      </c>
      <c r="O537" s="411" t="s">
        <v>1086</v>
      </c>
    </row>
    <row r="538" spans="1:15" ht="18" customHeight="1" x14ac:dyDescent="0.25">
      <c r="A538" s="115">
        <v>7</v>
      </c>
      <c r="B538" s="116" t="s">
        <v>98</v>
      </c>
      <c r="C538" s="115">
        <v>117</v>
      </c>
      <c r="D538" s="119" t="s">
        <v>87</v>
      </c>
      <c r="E538" s="119" t="s">
        <v>120</v>
      </c>
      <c r="F538" s="116" t="s">
        <v>1085</v>
      </c>
      <c r="G538" s="280">
        <v>5</v>
      </c>
      <c r="H538" s="259">
        <v>41667</v>
      </c>
      <c r="I538" s="259">
        <v>208333</v>
      </c>
      <c r="J538" s="259">
        <v>0</v>
      </c>
      <c r="K538" s="259">
        <v>208333</v>
      </c>
      <c r="L538" s="259">
        <v>16667</v>
      </c>
      <c r="M538" s="259">
        <v>225000</v>
      </c>
      <c r="N538" s="118">
        <v>4.0500000000000001E-2</v>
      </c>
      <c r="O538" s="411" t="s">
        <v>1086</v>
      </c>
    </row>
    <row r="539" spans="1:15" ht="18" customHeight="1" x14ac:dyDescent="0.25">
      <c r="A539" s="115">
        <v>7</v>
      </c>
      <c r="B539" s="116" t="s">
        <v>98</v>
      </c>
      <c r="C539" s="115">
        <v>61</v>
      </c>
      <c r="D539" s="119" t="s">
        <v>97</v>
      </c>
      <c r="E539" s="119" t="s">
        <v>1137</v>
      </c>
      <c r="F539" s="116" t="s">
        <v>1085</v>
      </c>
      <c r="G539" s="280">
        <v>24</v>
      </c>
      <c r="H539" s="259">
        <v>4630</v>
      </c>
      <c r="I539" s="259">
        <v>111111</v>
      </c>
      <c r="J539" s="259">
        <v>0</v>
      </c>
      <c r="K539" s="259">
        <v>111111</v>
      </c>
      <c r="L539" s="259">
        <v>8889</v>
      </c>
      <c r="M539" s="259">
        <v>120000</v>
      </c>
      <c r="N539" s="118">
        <v>2.1600000000000001E-2</v>
      </c>
      <c r="O539" s="411" t="s">
        <v>1086</v>
      </c>
    </row>
    <row r="540" spans="1:15" ht="18" customHeight="1" x14ac:dyDescent="0.25">
      <c r="A540" s="115">
        <v>7</v>
      </c>
      <c r="B540" s="116" t="s">
        <v>98</v>
      </c>
      <c r="C540" s="115">
        <v>215</v>
      </c>
      <c r="D540" s="119" t="s">
        <v>87</v>
      </c>
      <c r="E540" s="119" t="s">
        <v>135</v>
      </c>
      <c r="F540" s="116" t="s">
        <v>1085</v>
      </c>
      <c r="G540" s="280">
        <v>3</v>
      </c>
      <c r="H540" s="259">
        <v>37500</v>
      </c>
      <c r="I540" s="259">
        <v>112500</v>
      </c>
      <c r="J540" s="259">
        <v>0</v>
      </c>
      <c r="K540" s="259">
        <v>112500</v>
      </c>
      <c r="L540" s="259">
        <v>9000</v>
      </c>
      <c r="M540" s="259">
        <v>121500</v>
      </c>
      <c r="N540" s="118">
        <v>2.1899999999999999E-2</v>
      </c>
      <c r="O540" s="411" t="s">
        <v>1086</v>
      </c>
    </row>
    <row r="541" spans="1:15" ht="18" customHeight="1" x14ac:dyDescent="0.25">
      <c r="A541" s="115">
        <v>7</v>
      </c>
      <c r="B541" s="116" t="s">
        <v>98</v>
      </c>
      <c r="C541" s="115">
        <v>315</v>
      </c>
      <c r="D541" s="119" t="s">
        <v>87</v>
      </c>
      <c r="E541" s="119" t="s">
        <v>1160</v>
      </c>
      <c r="F541" s="116" t="s">
        <v>1085</v>
      </c>
      <c r="G541" s="280">
        <v>1</v>
      </c>
      <c r="H541" s="259">
        <v>1852</v>
      </c>
      <c r="I541" s="259">
        <v>1852</v>
      </c>
      <c r="J541" s="259">
        <v>0</v>
      </c>
      <c r="K541" s="259">
        <v>1852</v>
      </c>
      <c r="L541" s="259">
        <v>148</v>
      </c>
      <c r="M541" s="259">
        <v>2000</v>
      </c>
      <c r="N541" s="118">
        <v>4.0000000000000002E-4</v>
      </c>
      <c r="O541" s="411" t="s">
        <v>1086</v>
      </c>
    </row>
    <row r="542" spans="1:15" ht="18" customHeight="1" x14ac:dyDescent="0.25">
      <c r="A542" s="115">
        <v>7</v>
      </c>
      <c r="B542" s="116" t="s">
        <v>98</v>
      </c>
      <c r="C542" s="115">
        <v>96</v>
      </c>
      <c r="D542" s="119" t="s">
        <v>93</v>
      </c>
      <c r="E542" s="119" t="s">
        <v>1161</v>
      </c>
      <c r="F542" s="116" t="s">
        <v>1085</v>
      </c>
      <c r="G542" s="280">
        <v>1</v>
      </c>
      <c r="H542" s="259">
        <v>35648</v>
      </c>
      <c r="I542" s="259">
        <v>35648</v>
      </c>
      <c r="J542" s="259">
        <v>0</v>
      </c>
      <c r="K542" s="259">
        <v>35648</v>
      </c>
      <c r="L542" s="259">
        <v>2852</v>
      </c>
      <c r="M542" s="259">
        <v>38500</v>
      </c>
      <c r="N542" s="118">
        <v>6.8999999999999999E-3</v>
      </c>
      <c r="O542" s="411" t="s">
        <v>1086</v>
      </c>
    </row>
    <row r="543" spans="1:15" ht="18" customHeight="1" x14ac:dyDescent="0.25">
      <c r="A543" s="115">
        <v>7</v>
      </c>
      <c r="B543" s="116" t="s">
        <v>98</v>
      </c>
      <c r="C543" s="115">
        <v>68</v>
      </c>
      <c r="D543" s="119" t="s">
        <v>93</v>
      </c>
      <c r="E543" s="119" t="s">
        <v>1138</v>
      </c>
      <c r="F543" s="116" t="s">
        <v>1085</v>
      </c>
      <c r="G543" s="280">
        <v>1</v>
      </c>
      <c r="H543" s="259">
        <v>41667</v>
      </c>
      <c r="I543" s="259">
        <v>41667</v>
      </c>
      <c r="J543" s="259">
        <v>0</v>
      </c>
      <c r="K543" s="259">
        <v>41667</v>
      </c>
      <c r="L543" s="259">
        <v>3333</v>
      </c>
      <c r="M543" s="259">
        <v>45000</v>
      </c>
      <c r="N543" s="118">
        <v>8.1000000000000013E-3</v>
      </c>
      <c r="O543" s="411" t="s">
        <v>1086</v>
      </c>
    </row>
    <row r="544" spans="1:15" ht="18" customHeight="1" x14ac:dyDescent="0.25">
      <c r="A544" s="115">
        <v>7</v>
      </c>
      <c r="B544" s="116" t="s">
        <v>98</v>
      </c>
      <c r="C544" s="115">
        <v>33</v>
      </c>
      <c r="D544" s="119" t="s">
        <v>91</v>
      </c>
      <c r="E544" s="119" t="s">
        <v>1139</v>
      </c>
      <c r="F544" s="116" t="s">
        <v>1085</v>
      </c>
      <c r="G544" s="280">
        <v>1</v>
      </c>
      <c r="H544" s="259">
        <v>1852</v>
      </c>
      <c r="I544" s="259">
        <v>1852</v>
      </c>
      <c r="J544" s="259">
        <v>0</v>
      </c>
      <c r="K544" s="259">
        <v>1852</v>
      </c>
      <c r="L544" s="259">
        <v>148</v>
      </c>
      <c r="M544" s="259">
        <v>2000</v>
      </c>
      <c r="N544" s="118">
        <v>4.0000000000000002E-4</v>
      </c>
      <c r="O544" s="411" t="s">
        <v>1086</v>
      </c>
    </row>
    <row r="545" spans="1:15" ht="18" customHeight="1" x14ac:dyDescent="0.25">
      <c r="A545" s="115">
        <v>8</v>
      </c>
      <c r="B545" s="116" t="s">
        <v>100</v>
      </c>
      <c r="C545" s="115">
        <v>73</v>
      </c>
      <c r="D545" s="119" t="s">
        <v>91</v>
      </c>
      <c r="E545" s="119" t="s">
        <v>1084</v>
      </c>
      <c r="F545" s="116" t="s">
        <v>1085</v>
      </c>
      <c r="G545" s="280">
        <v>23</v>
      </c>
      <c r="H545" s="259">
        <v>2593</v>
      </c>
      <c r="I545" s="259">
        <v>59630</v>
      </c>
      <c r="J545" s="259">
        <v>0</v>
      </c>
      <c r="K545" s="259">
        <v>59630</v>
      </c>
      <c r="L545" s="259">
        <v>4770</v>
      </c>
      <c r="M545" s="259">
        <v>64400</v>
      </c>
      <c r="N545" s="118">
        <v>1.01E-2</v>
      </c>
      <c r="O545" s="411" t="s">
        <v>1086</v>
      </c>
    </row>
    <row r="546" spans="1:15" ht="18" customHeight="1" x14ac:dyDescent="0.25">
      <c r="A546" s="115">
        <v>8</v>
      </c>
      <c r="B546" s="116" t="s">
        <v>100</v>
      </c>
      <c r="C546" s="115">
        <v>65</v>
      </c>
      <c r="D546" s="119" t="s">
        <v>91</v>
      </c>
      <c r="E546" s="119" t="s">
        <v>1087</v>
      </c>
      <c r="F546" s="116" t="s">
        <v>1085</v>
      </c>
      <c r="G546" s="280">
        <v>4</v>
      </c>
      <c r="H546" s="259">
        <v>2778</v>
      </c>
      <c r="I546" s="259">
        <v>11111</v>
      </c>
      <c r="J546" s="259">
        <v>0</v>
      </c>
      <c r="K546" s="259">
        <v>11111</v>
      </c>
      <c r="L546" s="259">
        <v>889</v>
      </c>
      <c r="M546" s="259">
        <v>12000</v>
      </c>
      <c r="N546" s="118">
        <v>1.9E-3</v>
      </c>
      <c r="O546" s="411" t="s">
        <v>1086</v>
      </c>
    </row>
    <row r="547" spans="1:15" ht="18" customHeight="1" x14ac:dyDescent="0.25">
      <c r="A547" s="115">
        <v>8</v>
      </c>
      <c r="B547" s="116" t="s">
        <v>100</v>
      </c>
      <c r="C547" s="115">
        <v>12</v>
      </c>
      <c r="D547" s="119" t="s">
        <v>93</v>
      </c>
      <c r="E547" s="119" t="s">
        <v>1089</v>
      </c>
      <c r="F547" s="116" t="s">
        <v>1085</v>
      </c>
      <c r="G547" s="280">
        <v>5</v>
      </c>
      <c r="H547" s="259">
        <v>41667</v>
      </c>
      <c r="I547" s="259">
        <v>208333</v>
      </c>
      <c r="J547" s="259">
        <v>0</v>
      </c>
      <c r="K547" s="259">
        <v>208333</v>
      </c>
      <c r="L547" s="259">
        <v>16667</v>
      </c>
      <c r="M547" s="259">
        <v>225000</v>
      </c>
      <c r="N547" s="118">
        <v>3.5099999999999999E-2</v>
      </c>
      <c r="O547" s="411" t="s">
        <v>1086</v>
      </c>
    </row>
    <row r="548" spans="1:15" ht="18" customHeight="1" x14ac:dyDescent="0.25">
      <c r="A548" s="115">
        <v>8</v>
      </c>
      <c r="B548" s="116" t="s">
        <v>100</v>
      </c>
      <c r="C548" s="115">
        <v>40</v>
      </c>
      <c r="D548" s="119" t="s">
        <v>87</v>
      </c>
      <c r="E548" s="119" t="s">
        <v>1143</v>
      </c>
      <c r="F548" s="116" t="s">
        <v>1085</v>
      </c>
      <c r="G548" s="280">
        <v>3</v>
      </c>
      <c r="H548" s="259">
        <v>55093</v>
      </c>
      <c r="I548" s="259">
        <v>165278</v>
      </c>
      <c r="J548" s="259">
        <v>0</v>
      </c>
      <c r="K548" s="259">
        <v>165278</v>
      </c>
      <c r="L548" s="259">
        <v>13222</v>
      </c>
      <c r="M548" s="259">
        <v>178500</v>
      </c>
      <c r="N548" s="118">
        <v>2.7900000000000001E-2</v>
      </c>
      <c r="O548" s="411" t="s">
        <v>1086</v>
      </c>
    </row>
    <row r="549" spans="1:15" ht="18" customHeight="1" x14ac:dyDescent="0.25">
      <c r="A549" s="115">
        <v>8</v>
      </c>
      <c r="B549" s="116" t="s">
        <v>100</v>
      </c>
      <c r="C549" s="115">
        <v>131</v>
      </c>
      <c r="D549" s="119" t="s">
        <v>87</v>
      </c>
      <c r="E549" s="119" t="s">
        <v>1144</v>
      </c>
      <c r="F549" s="116" t="s">
        <v>1085</v>
      </c>
      <c r="G549" s="280">
        <v>2</v>
      </c>
      <c r="H549" s="259">
        <v>278</v>
      </c>
      <c r="I549" s="259">
        <v>556</v>
      </c>
      <c r="J549" s="259">
        <v>0</v>
      </c>
      <c r="K549" s="259">
        <v>556</v>
      </c>
      <c r="L549" s="259">
        <v>44</v>
      </c>
      <c r="M549" s="259">
        <v>600</v>
      </c>
      <c r="N549" s="118">
        <v>1E-4</v>
      </c>
      <c r="O549" s="411" t="s">
        <v>1086</v>
      </c>
    </row>
    <row r="550" spans="1:15" ht="18" customHeight="1" x14ac:dyDescent="0.25">
      <c r="A550" s="115">
        <v>8</v>
      </c>
      <c r="B550" s="116" t="s">
        <v>100</v>
      </c>
      <c r="C550" s="115">
        <v>104</v>
      </c>
      <c r="D550" s="119" t="s">
        <v>89</v>
      </c>
      <c r="E550" s="119" t="s">
        <v>165</v>
      </c>
      <c r="F550" s="116" t="s">
        <v>1085</v>
      </c>
      <c r="G550" s="280">
        <v>12</v>
      </c>
      <c r="H550" s="259">
        <v>16204</v>
      </c>
      <c r="I550" s="259">
        <v>194444</v>
      </c>
      <c r="J550" s="259">
        <v>0</v>
      </c>
      <c r="K550" s="259">
        <v>194444</v>
      </c>
      <c r="L550" s="259">
        <v>15556</v>
      </c>
      <c r="M550" s="259">
        <v>210000</v>
      </c>
      <c r="N550" s="118">
        <v>3.2800000000000003E-2</v>
      </c>
      <c r="O550" s="411" t="s">
        <v>1086</v>
      </c>
    </row>
    <row r="551" spans="1:15" ht="18" customHeight="1" x14ac:dyDescent="0.25">
      <c r="A551" s="115">
        <v>8</v>
      </c>
      <c r="B551" s="116" t="s">
        <v>100</v>
      </c>
      <c r="C551" s="115">
        <v>54</v>
      </c>
      <c r="D551" s="119" t="s">
        <v>91</v>
      </c>
      <c r="E551" s="119" t="s">
        <v>1145</v>
      </c>
      <c r="F551" s="116" t="s">
        <v>1085</v>
      </c>
      <c r="G551" s="280">
        <v>3</v>
      </c>
      <c r="H551" s="259">
        <v>2315</v>
      </c>
      <c r="I551" s="259">
        <v>6944</v>
      </c>
      <c r="J551" s="259">
        <v>0</v>
      </c>
      <c r="K551" s="259">
        <v>6944</v>
      </c>
      <c r="L551" s="259">
        <v>556</v>
      </c>
      <c r="M551" s="259">
        <v>7500</v>
      </c>
      <c r="N551" s="118">
        <v>1.1999999999999999E-3</v>
      </c>
      <c r="O551" s="411" t="s">
        <v>1086</v>
      </c>
    </row>
    <row r="552" spans="1:15" ht="18" customHeight="1" x14ac:dyDescent="0.25">
      <c r="A552" s="115">
        <v>8</v>
      </c>
      <c r="B552" s="116" t="s">
        <v>100</v>
      </c>
      <c r="C552" s="115">
        <v>5</v>
      </c>
      <c r="D552" s="119" t="s">
        <v>89</v>
      </c>
      <c r="E552" s="119" t="s">
        <v>1146</v>
      </c>
      <c r="F552" s="116" t="s">
        <v>1085</v>
      </c>
      <c r="G552" s="280">
        <v>1</v>
      </c>
      <c r="H552" s="259">
        <v>11111</v>
      </c>
      <c r="I552" s="259">
        <v>11111</v>
      </c>
      <c r="J552" s="259">
        <v>0</v>
      </c>
      <c r="K552" s="259">
        <v>11111</v>
      </c>
      <c r="L552" s="259">
        <v>889</v>
      </c>
      <c r="M552" s="259">
        <v>12000</v>
      </c>
      <c r="N552" s="118">
        <v>1.9E-3</v>
      </c>
      <c r="O552" s="411" t="s">
        <v>1086</v>
      </c>
    </row>
    <row r="553" spans="1:15" ht="18" customHeight="1" x14ac:dyDescent="0.25">
      <c r="A553" s="115">
        <v>8</v>
      </c>
      <c r="B553" s="116" t="s">
        <v>100</v>
      </c>
      <c r="C553" s="115">
        <v>136</v>
      </c>
      <c r="D553" s="119" t="s">
        <v>89</v>
      </c>
      <c r="E553" s="119" t="s">
        <v>1091</v>
      </c>
      <c r="F553" s="116" t="s">
        <v>1085</v>
      </c>
      <c r="G553" s="280">
        <v>4</v>
      </c>
      <c r="H553" s="259">
        <v>24074</v>
      </c>
      <c r="I553" s="259">
        <v>96296</v>
      </c>
      <c r="J553" s="259">
        <v>0</v>
      </c>
      <c r="K553" s="259">
        <v>96296</v>
      </c>
      <c r="L553" s="259">
        <v>7704</v>
      </c>
      <c r="M553" s="259">
        <v>104000</v>
      </c>
      <c r="N553" s="118">
        <v>1.6199999999999999E-2</v>
      </c>
      <c r="O553" s="411" t="s">
        <v>1086</v>
      </c>
    </row>
    <row r="554" spans="1:15" ht="18" customHeight="1" x14ac:dyDescent="0.25">
      <c r="A554" s="115">
        <v>8</v>
      </c>
      <c r="B554" s="116" t="s">
        <v>100</v>
      </c>
      <c r="C554" s="115">
        <v>135</v>
      </c>
      <c r="D554" s="119" t="s">
        <v>89</v>
      </c>
      <c r="E554" s="119" t="s">
        <v>1175</v>
      </c>
      <c r="F554" s="116" t="s">
        <v>1085</v>
      </c>
      <c r="G554" s="280">
        <v>1</v>
      </c>
      <c r="H554" s="259">
        <v>13889</v>
      </c>
      <c r="I554" s="259">
        <v>13889</v>
      </c>
      <c r="J554" s="259">
        <v>0</v>
      </c>
      <c r="K554" s="259">
        <v>13889</v>
      </c>
      <c r="L554" s="259">
        <v>1111</v>
      </c>
      <c r="M554" s="259">
        <v>15000</v>
      </c>
      <c r="N554" s="118">
        <v>2.3E-3</v>
      </c>
      <c r="O554" s="411" t="s">
        <v>1086</v>
      </c>
    </row>
    <row r="555" spans="1:15" ht="18" customHeight="1" x14ac:dyDescent="0.25">
      <c r="A555" s="115">
        <v>8</v>
      </c>
      <c r="B555" s="116" t="s">
        <v>100</v>
      </c>
      <c r="C555" s="115">
        <v>6</v>
      </c>
      <c r="D555" s="119" t="s">
        <v>89</v>
      </c>
      <c r="E555" s="119" t="s">
        <v>1147</v>
      </c>
      <c r="F555" s="116" t="s">
        <v>1085</v>
      </c>
      <c r="G555" s="280">
        <v>1</v>
      </c>
      <c r="H555" s="259">
        <v>14815</v>
      </c>
      <c r="I555" s="259">
        <v>14815</v>
      </c>
      <c r="J555" s="259">
        <v>0</v>
      </c>
      <c r="K555" s="259">
        <v>14815</v>
      </c>
      <c r="L555" s="259">
        <v>1185</v>
      </c>
      <c r="M555" s="259">
        <v>16000</v>
      </c>
      <c r="N555" s="118">
        <v>2.5000000000000001E-3</v>
      </c>
      <c r="O555" s="411" t="s">
        <v>1086</v>
      </c>
    </row>
    <row r="556" spans="1:15" ht="18" customHeight="1" x14ac:dyDescent="0.25">
      <c r="A556" s="115">
        <v>8</v>
      </c>
      <c r="B556" s="116" t="s">
        <v>100</v>
      </c>
      <c r="C556" s="115">
        <v>8</v>
      </c>
      <c r="D556" s="119" t="s">
        <v>87</v>
      </c>
      <c r="E556" s="119" t="s">
        <v>156</v>
      </c>
      <c r="F556" s="116" t="s">
        <v>1085</v>
      </c>
      <c r="G556" s="280">
        <v>5</v>
      </c>
      <c r="H556" s="259">
        <v>18704</v>
      </c>
      <c r="I556" s="259">
        <v>93519</v>
      </c>
      <c r="J556" s="259">
        <v>0</v>
      </c>
      <c r="K556" s="259">
        <v>93519</v>
      </c>
      <c r="L556" s="259">
        <v>7481</v>
      </c>
      <c r="M556" s="259">
        <v>101000</v>
      </c>
      <c r="N556" s="118">
        <v>1.5800000000000002E-2</v>
      </c>
      <c r="O556" s="411" t="s">
        <v>1086</v>
      </c>
    </row>
    <row r="557" spans="1:15" ht="18" customHeight="1" x14ac:dyDescent="0.25">
      <c r="A557" s="115">
        <v>8</v>
      </c>
      <c r="B557" s="116" t="s">
        <v>100</v>
      </c>
      <c r="C557" s="115">
        <v>311</v>
      </c>
      <c r="D557" s="119" t="s">
        <v>93</v>
      </c>
      <c r="E557" s="119" t="s">
        <v>1092</v>
      </c>
      <c r="F557" s="116" t="s">
        <v>1085</v>
      </c>
      <c r="G557" s="280">
        <v>1</v>
      </c>
      <c r="H557" s="259">
        <v>44907</v>
      </c>
      <c r="I557" s="259">
        <v>44907</v>
      </c>
      <c r="J557" s="259">
        <v>0</v>
      </c>
      <c r="K557" s="259">
        <v>44907</v>
      </c>
      <c r="L557" s="259">
        <v>3593</v>
      </c>
      <c r="M557" s="259">
        <v>48500</v>
      </c>
      <c r="N557" s="118">
        <v>7.6E-3</v>
      </c>
      <c r="O557" s="411" t="s">
        <v>1086</v>
      </c>
    </row>
    <row r="558" spans="1:15" ht="18" customHeight="1" x14ac:dyDescent="0.25">
      <c r="A558" s="115">
        <v>8</v>
      </c>
      <c r="B558" s="116" t="s">
        <v>100</v>
      </c>
      <c r="C558" s="115">
        <v>87</v>
      </c>
      <c r="D558" s="119" t="s">
        <v>89</v>
      </c>
      <c r="E558" s="119" t="s">
        <v>147</v>
      </c>
      <c r="F558" s="116" t="s">
        <v>1085</v>
      </c>
      <c r="G558" s="280">
        <v>3</v>
      </c>
      <c r="H558" s="259">
        <v>37500</v>
      </c>
      <c r="I558" s="259">
        <v>112500</v>
      </c>
      <c r="J558" s="259">
        <v>0</v>
      </c>
      <c r="K558" s="259">
        <v>112500</v>
      </c>
      <c r="L558" s="259">
        <v>9000</v>
      </c>
      <c r="M558" s="259">
        <v>121500</v>
      </c>
      <c r="N558" s="118">
        <v>1.9E-2</v>
      </c>
      <c r="O558" s="411" t="s">
        <v>1086</v>
      </c>
    </row>
    <row r="559" spans="1:15" ht="18" customHeight="1" x14ac:dyDescent="0.25">
      <c r="A559" s="115">
        <v>8</v>
      </c>
      <c r="B559" s="116" t="s">
        <v>100</v>
      </c>
      <c r="C559" s="115">
        <v>206</v>
      </c>
      <c r="D559" s="119" t="s">
        <v>93</v>
      </c>
      <c r="E559" s="119" t="s">
        <v>1093</v>
      </c>
      <c r="F559" s="116" t="s">
        <v>1085</v>
      </c>
      <c r="G559" s="280">
        <v>1</v>
      </c>
      <c r="H559" s="259">
        <v>44907</v>
      </c>
      <c r="I559" s="259">
        <v>44907</v>
      </c>
      <c r="J559" s="259">
        <v>0</v>
      </c>
      <c r="K559" s="259">
        <v>44907</v>
      </c>
      <c r="L559" s="259">
        <v>3593</v>
      </c>
      <c r="M559" s="259">
        <v>48500</v>
      </c>
      <c r="N559" s="118">
        <v>7.6E-3</v>
      </c>
      <c r="O559" s="411" t="s">
        <v>1086</v>
      </c>
    </row>
    <row r="560" spans="1:15" ht="18" customHeight="1" x14ac:dyDescent="0.25">
      <c r="A560" s="115">
        <v>8</v>
      </c>
      <c r="B560" s="116" t="s">
        <v>100</v>
      </c>
      <c r="C560" s="115">
        <v>13</v>
      </c>
      <c r="D560" s="119" t="s">
        <v>87</v>
      </c>
      <c r="E560" s="119" t="s">
        <v>1094</v>
      </c>
      <c r="F560" s="116" t="s">
        <v>1085</v>
      </c>
      <c r="G560" s="280">
        <v>1</v>
      </c>
      <c r="H560" s="259">
        <v>19444</v>
      </c>
      <c r="I560" s="259">
        <v>19444</v>
      </c>
      <c r="J560" s="259">
        <v>0</v>
      </c>
      <c r="K560" s="259">
        <v>19444</v>
      </c>
      <c r="L560" s="259">
        <v>1556</v>
      </c>
      <c r="M560" s="259">
        <v>21000</v>
      </c>
      <c r="N560" s="118">
        <v>3.3E-3</v>
      </c>
      <c r="O560" s="411" t="s">
        <v>1086</v>
      </c>
    </row>
    <row r="561" spans="1:15" ht="18" customHeight="1" x14ac:dyDescent="0.25">
      <c r="A561" s="115">
        <v>8</v>
      </c>
      <c r="B561" s="116" t="s">
        <v>100</v>
      </c>
      <c r="C561" s="115">
        <v>246</v>
      </c>
      <c r="D561" s="119" t="s">
        <v>91</v>
      </c>
      <c r="E561" s="119" t="s">
        <v>1095</v>
      </c>
      <c r="F561" s="116" t="s">
        <v>1085</v>
      </c>
      <c r="G561" s="280">
        <v>1</v>
      </c>
      <c r="H561" s="259">
        <v>6481</v>
      </c>
      <c r="I561" s="259">
        <v>6481</v>
      </c>
      <c r="J561" s="259">
        <v>0</v>
      </c>
      <c r="K561" s="259">
        <v>6481</v>
      </c>
      <c r="L561" s="259">
        <v>519</v>
      </c>
      <c r="M561" s="259">
        <v>7000</v>
      </c>
      <c r="N561" s="118">
        <v>1.1000000000000001E-3</v>
      </c>
      <c r="O561" s="411" t="s">
        <v>1086</v>
      </c>
    </row>
    <row r="562" spans="1:15" ht="18" customHeight="1" x14ac:dyDescent="0.25">
      <c r="A562" s="115">
        <v>8</v>
      </c>
      <c r="B562" s="116" t="s">
        <v>100</v>
      </c>
      <c r="C562" s="115">
        <v>70</v>
      </c>
      <c r="D562" s="119" t="s">
        <v>91</v>
      </c>
      <c r="E562" s="119" t="s">
        <v>1096</v>
      </c>
      <c r="F562" s="116" t="s">
        <v>1085</v>
      </c>
      <c r="G562" s="280">
        <v>1</v>
      </c>
      <c r="H562" s="259">
        <v>4630</v>
      </c>
      <c r="I562" s="259">
        <v>4630</v>
      </c>
      <c r="J562" s="259">
        <v>0</v>
      </c>
      <c r="K562" s="259">
        <v>4630</v>
      </c>
      <c r="L562" s="259">
        <v>370</v>
      </c>
      <c r="M562" s="259">
        <v>5000</v>
      </c>
      <c r="N562" s="118">
        <v>8.0000000000000004E-4</v>
      </c>
      <c r="O562" s="411" t="s">
        <v>1086</v>
      </c>
    </row>
    <row r="563" spans="1:15" ht="18" customHeight="1" x14ac:dyDescent="0.25">
      <c r="A563" s="115">
        <v>8</v>
      </c>
      <c r="B563" s="116" t="s">
        <v>100</v>
      </c>
      <c r="C563" s="115">
        <v>83</v>
      </c>
      <c r="D563" s="119" t="s">
        <v>87</v>
      </c>
      <c r="E563" s="119" t="s">
        <v>1098</v>
      </c>
      <c r="F563" s="116" t="s">
        <v>1085</v>
      </c>
      <c r="G563" s="280">
        <v>5</v>
      </c>
      <c r="H563" s="259">
        <v>20833</v>
      </c>
      <c r="I563" s="259">
        <v>104167</v>
      </c>
      <c r="J563" s="259">
        <v>0</v>
      </c>
      <c r="K563" s="259">
        <v>104167</v>
      </c>
      <c r="L563" s="259">
        <v>8333</v>
      </c>
      <c r="M563" s="259">
        <v>112500</v>
      </c>
      <c r="N563" s="118">
        <v>1.7600000000000001E-2</v>
      </c>
      <c r="O563" s="411" t="s">
        <v>1086</v>
      </c>
    </row>
    <row r="564" spans="1:15" ht="18" customHeight="1" x14ac:dyDescent="0.25">
      <c r="A564" s="115">
        <v>8</v>
      </c>
      <c r="B564" s="116" t="s">
        <v>100</v>
      </c>
      <c r="C564" s="115">
        <v>43</v>
      </c>
      <c r="D564" s="119" t="s">
        <v>87</v>
      </c>
      <c r="E564" s="119" t="s">
        <v>1099</v>
      </c>
      <c r="F564" s="116" t="s">
        <v>1085</v>
      </c>
      <c r="G564" s="280">
        <v>1</v>
      </c>
      <c r="H564" s="259">
        <v>8333</v>
      </c>
      <c r="I564" s="259">
        <v>8333</v>
      </c>
      <c r="J564" s="259">
        <v>0</v>
      </c>
      <c r="K564" s="259">
        <v>8333</v>
      </c>
      <c r="L564" s="259">
        <v>667</v>
      </c>
      <c r="M564" s="259">
        <v>9000</v>
      </c>
      <c r="N564" s="118">
        <v>1.4E-3</v>
      </c>
      <c r="O564" s="411" t="s">
        <v>1086</v>
      </c>
    </row>
    <row r="565" spans="1:15" ht="18" customHeight="1" x14ac:dyDescent="0.25">
      <c r="A565" s="115">
        <v>8</v>
      </c>
      <c r="B565" s="116" t="s">
        <v>100</v>
      </c>
      <c r="C565" s="115">
        <v>167</v>
      </c>
      <c r="D565" s="119" t="s">
        <v>89</v>
      </c>
      <c r="E565" s="119" t="s">
        <v>1206</v>
      </c>
      <c r="F565" s="116" t="s">
        <v>1085</v>
      </c>
      <c r="G565" s="280">
        <v>0</v>
      </c>
      <c r="H565" s="259">
        <v>0</v>
      </c>
      <c r="I565" s="259">
        <v>0</v>
      </c>
      <c r="J565" s="259">
        <v>0</v>
      </c>
      <c r="K565" s="259">
        <v>0</v>
      </c>
      <c r="L565" s="259">
        <v>0</v>
      </c>
      <c r="M565" s="259">
        <v>0</v>
      </c>
      <c r="N565" s="118">
        <v>0</v>
      </c>
      <c r="O565" s="411" t="s">
        <v>1086</v>
      </c>
    </row>
    <row r="566" spans="1:15" ht="18" customHeight="1" x14ac:dyDescent="0.25">
      <c r="A566" s="115">
        <v>8</v>
      </c>
      <c r="B566" s="116" t="s">
        <v>100</v>
      </c>
      <c r="C566" s="115">
        <v>41</v>
      </c>
      <c r="D566" s="119" t="s">
        <v>87</v>
      </c>
      <c r="E566" s="119" t="s">
        <v>168</v>
      </c>
      <c r="F566" s="116" t="s">
        <v>1085</v>
      </c>
      <c r="G566" s="280">
        <v>1</v>
      </c>
      <c r="H566" s="259">
        <v>49074</v>
      </c>
      <c r="I566" s="259">
        <v>49074</v>
      </c>
      <c r="J566" s="259">
        <v>0</v>
      </c>
      <c r="K566" s="259">
        <v>49074</v>
      </c>
      <c r="L566" s="259">
        <v>3926</v>
      </c>
      <c r="M566" s="259">
        <v>53000</v>
      </c>
      <c r="N566" s="118">
        <v>8.3000000000000001E-3</v>
      </c>
      <c r="O566" s="411" t="s">
        <v>1086</v>
      </c>
    </row>
    <row r="567" spans="1:15" ht="18" customHeight="1" x14ac:dyDescent="0.25">
      <c r="A567" s="115">
        <v>8</v>
      </c>
      <c r="B567" s="116" t="s">
        <v>100</v>
      </c>
      <c r="C567" s="115">
        <v>122</v>
      </c>
      <c r="D567" s="119" t="s">
        <v>91</v>
      </c>
      <c r="E567" s="119" t="s">
        <v>1100</v>
      </c>
      <c r="F567" s="116" t="s">
        <v>1085</v>
      </c>
      <c r="G567" s="280">
        <v>5</v>
      </c>
      <c r="H567" s="259">
        <v>2778</v>
      </c>
      <c r="I567" s="259">
        <v>13889</v>
      </c>
      <c r="J567" s="259">
        <v>0</v>
      </c>
      <c r="K567" s="259">
        <v>13889</v>
      </c>
      <c r="L567" s="259">
        <v>1111</v>
      </c>
      <c r="M567" s="259">
        <v>15000</v>
      </c>
      <c r="N567" s="118">
        <v>2.3E-3</v>
      </c>
      <c r="O567" s="411" t="s">
        <v>1086</v>
      </c>
    </row>
    <row r="568" spans="1:15" ht="18" customHeight="1" x14ac:dyDescent="0.25">
      <c r="A568" s="115">
        <v>8</v>
      </c>
      <c r="B568" s="116" t="s">
        <v>100</v>
      </c>
      <c r="C568" s="115">
        <v>247</v>
      </c>
      <c r="D568" s="119" t="s">
        <v>87</v>
      </c>
      <c r="E568" s="119" t="s">
        <v>1165</v>
      </c>
      <c r="F568" s="116" t="s">
        <v>1085</v>
      </c>
      <c r="G568" s="280">
        <v>4</v>
      </c>
      <c r="H568" s="259">
        <v>3056</v>
      </c>
      <c r="I568" s="259">
        <v>12222</v>
      </c>
      <c r="J568" s="259">
        <v>0</v>
      </c>
      <c r="K568" s="259">
        <v>12222</v>
      </c>
      <c r="L568" s="259">
        <v>978</v>
      </c>
      <c r="M568" s="259">
        <v>13200</v>
      </c>
      <c r="N568" s="118">
        <v>2.0999999999999999E-3</v>
      </c>
      <c r="O568" s="411" t="s">
        <v>1086</v>
      </c>
    </row>
    <row r="569" spans="1:15" ht="18" customHeight="1" x14ac:dyDescent="0.25">
      <c r="A569" s="115">
        <v>8</v>
      </c>
      <c r="B569" s="116" t="s">
        <v>100</v>
      </c>
      <c r="C569" s="115">
        <v>42</v>
      </c>
      <c r="D569" s="119" t="s">
        <v>87</v>
      </c>
      <c r="E569" s="119" t="s">
        <v>359</v>
      </c>
      <c r="F569" s="116" t="s">
        <v>1085</v>
      </c>
      <c r="G569" s="280">
        <v>7</v>
      </c>
      <c r="H569" s="259">
        <v>32407</v>
      </c>
      <c r="I569" s="259">
        <v>226852</v>
      </c>
      <c r="J569" s="259">
        <v>0</v>
      </c>
      <c r="K569" s="259">
        <v>226852</v>
      </c>
      <c r="L569" s="259">
        <v>18148</v>
      </c>
      <c r="M569" s="259">
        <v>245000</v>
      </c>
      <c r="N569" s="118">
        <v>3.8300000000000001E-2</v>
      </c>
      <c r="O569" s="411" t="s">
        <v>1086</v>
      </c>
    </row>
    <row r="570" spans="1:15" ht="18" customHeight="1" x14ac:dyDescent="0.25">
      <c r="A570" s="115">
        <v>8</v>
      </c>
      <c r="B570" s="116" t="s">
        <v>100</v>
      </c>
      <c r="C570" s="115">
        <v>44</v>
      </c>
      <c r="D570" s="119" t="s">
        <v>87</v>
      </c>
      <c r="E570" s="119" t="s">
        <v>138</v>
      </c>
      <c r="F570" s="116" t="s">
        <v>1085</v>
      </c>
      <c r="G570" s="280">
        <v>1</v>
      </c>
      <c r="H570" s="259">
        <v>28241</v>
      </c>
      <c r="I570" s="259">
        <v>28241</v>
      </c>
      <c r="J570" s="259">
        <v>0</v>
      </c>
      <c r="K570" s="259">
        <v>28241</v>
      </c>
      <c r="L570" s="259">
        <v>2259</v>
      </c>
      <c r="M570" s="259">
        <v>30500</v>
      </c>
      <c r="N570" s="118">
        <v>4.7999999999999996E-3</v>
      </c>
      <c r="O570" s="411" t="s">
        <v>1086</v>
      </c>
    </row>
    <row r="571" spans="1:15" ht="18" customHeight="1" x14ac:dyDescent="0.25">
      <c r="A571" s="115">
        <v>8</v>
      </c>
      <c r="B571" s="116" t="s">
        <v>100</v>
      </c>
      <c r="C571" s="115">
        <v>15</v>
      </c>
      <c r="D571" s="119" t="s">
        <v>87</v>
      </c>
      <c r="E571" s="119" t="s">
        <v>277</v>
      </c>
      <c r="F571" s="116" t="s">
        <v>1085</v>
      </c>
      <c r="G571" s="280">
        <v>43</v>
      </c>
      <c r="H571" s="259">
        <v>18610</v>
      </c>
      <c r="I571" s="259">
        <v>801852</v>
      </c>
      <c r="J571" s="259">
        <v>1616</v>
      </c>
      <c r="K571" s="259">
        <v>800236</v>
      </c>
      <c r="L571" s="259">
        <v>64019</v>
      </c>
      <c r="M571" s="259">
        <v>864255</v>
      </c>
      <c r="N571" s="118">
        <v>0.13500000000000001</v>
      </c>
      <c r="O571" s="411" t="s">
        <v>1086</v>
      </c>
    </row>
    <row r="572" spans="1:15" ht="18" customHeight="1" x14ac:dyDescent="0.25">
      <c r="A572" s="115">
        <v>8</v>
      </c>
      <c r="B572" s="116" t="s">
        <v>100</v>
      </c>
      <c r="C572" s="115">
        <v>110</v>
      </c>
      <c r="D572" s="119" t="s">
        <v>99</v>
      </c>
      <c r="E572" s="119" t="s">
        <v>1101</v>
      </c>
      <c r="F572" s="116" t="s">
        <v>1085</v>
      </c>
      <c r="G572" s="280">
        <v>7</v>
      </c>
      <c r="H572" s="259">
        <v>926</v>
      </c>
      <c r="I572" s="259">
        <v>6482</v>
      </c>
      <c r="J572" s="259">
        <v>0</v>
      </c>
      <c r="K572" s="259">
        <v>6482</v>
      </c>
      <c r="L572" s="259">
        <v>519</v>
      </c>
      <c r="M572" s="259">
        <v>7001</v>
      </c>
      <c r="N572" s="118">
        <v>1.1000000000000001E-3</v>
      </c>
      <c r="O572" s="411" t="s">
        <v>1086</v>
      </c>
    </row>
    <row r="573" spans="1:15" ht="18" customHeight="1" x14ac:dyDescent="0.25">
      <c r="A573" s="115">
        <v>8</v>
      </c>
      <c r="B573" s="116" t="s">
        <v>100</v>
      </c>
      <c r="C573" s="115">
        <v>102</v>
      </c>
      <c r="D573" s="119" t="s">
        <v>87</v>
      </c>
      <c r="E573" s="119" t="s">
        <v>1151</v>
      </c>
      <c r="F573" s="116" t="s">
        <v>1085</v>
      </c>
      <c r="G573" s="280">
        <v>5</v>
      </c>
      <c r="H573" s="259">
        <v>6944</v>
      </c>
      <c r="I573" s="259">
        <v>34722</v>
      </c>
      <c r="J573" s="259">
        <v>0</v>
      </c>
      <c r="K573" s="259">
        <v>34722</v>
      </c>
      <c r="L573" s="259">
        <v>2778</v>
      </c>
      <c r="M573" s="259">
        <v>37500</v>
      </c>
      <c r="N573" s="118">
        <v>5.8999999999999999E-3</v>
      </c>
      <c r="O573" s="411" t="s">
        <v>1086</v>
      </c>
    </row>
    <row r="574" spans="1:15" ht="18" customHeight="1" x14ac:dyDescent="0.25">
      <c r="A574" s="115">
        <v>8</v>
      </c>
      <c r="B574" s="116" t="s">
        <v>100</v>
      </c>
      <c r="C574" s="115">
        <v>26</v>
      </c>
      <c r="D574" s="119" t="s">
        <v>87</v>
      </c>
      <c r="E574" s="119" t="s">
        <v>1167</v>
      </c>
      <c r="F574" s="116" t="s">
        <v>1085</v>
      </c>
      <c r="G574" s="280">
        <v>12</v>
      </c>
      <c r="H574" s="259">
        <v>18596</v>
      </c>
      <c r="I574" s="259">
        <v>223148</v>
      </c>
      <c r="J574" s="259">
        <v>0</v>
      </c>
      <c r="K574" s="259">
        <v>223148</v>
      </c>
      <c r="L574" s="259">
        <v>17852</v>
      </c>
      <c r="M574" s="259">
        <v>241000</v>
      </c>
      <c r="N574" s="118">
        <v>3.7599999999999988E-2</v>
      </c>
      <c r="O574" s="411" t="s">
        <v>1086</v>
      </c>
    </row>
    <row r="575" spans="1:15" ht="18" customHeight="1" x14ac:dyDescent="0.25">
      <c r="A575" s="115">
        <v>8</v>
      </c>
      <c r="B575" s="116" t="s">
        <v>100</v>
      </c>
      <c r="C575" s="115">
        <v>45</v>
      </c>
      <c r="D575" s="119" t="s">
        <v>87</v>
      </c>
      <c r="E575" s="119" t="s">
        <v>1102</v>
      </c>
      <c r="F575" s="116" t="s">
        <v>1085</v>
      </c>
      <c r="G575" s="280">
        <v>1</v>
      </c>
      <c r="H575" s="259">
        <v>35648</v>
      </c>
      <c r="I575" s="259">
        <v>35648</v>
      </c>
      <c r="J575" s="259">
        <v>0</v>
      </c>
      <c r="K575" s="259">
        <v>35648</v>
      </c>
      <c r="L575" s="259">
        <v>2852</v>
      </c>
      <c r="M575" s="259">
        <v>38500</v>
      </c>
      <c r="N575" s="118">
        <v>6.0000000000000001E-3</v>
      </c>
      <c r="O575" s="411" t="s">
        <v>1086</v>
      </c>
    </row>
    <row r="576" spans="1:15" ht="18" customHeight="1" x14ac:dyDescent="0.25">
      <c r="A576" s="115">
        <v>8</v>
      </c>
      <c r="B576" s="116" t="s">
        <v>100</v>
      </c>
      <c r="C576" s="115">
        <v>30</v>
      </c>
      <c r="D576" s="119" t="s">
        <v>95</v>
      </c>
      <c r="E576" s="119" t="s">
        <v>1103</v>
      </c>
      <c r="F576" s="116" t="s">
        <v>1085</v>
      </c>
      <c r="G576" s="280">
        <v>2</v>
      </c>
      <c r="H576" s="259">
        <v>6481</v>
      </c>
      <c r="I576" s="259">
        <v>12963</v>
      </c>
      <c r="J576" s="259">
        <v>0</v>
      </c>
      <c r="K576" s="259">
        <v>12963</v>
      </c>
      <c r="L576" s="259">
        <v>1037</v>
      </c>
      <c r="M576" s="259">
        <v>14000</v>
      </c>
      <c r="N576" s="118">
        <v>2.2000000000000001E-3</v>
      </c>
      <c r="O576" s="411" t="s">
        <v>1086</v>
      </c>
    </row>
    <row r="577" spans="1:15" ht="18" customHeight="1" x14ac:dyDescent="0.25">
      <c r="A577" s="115">
        <v>8</v>
      </c>
      <c r="B577" s="116" t="s">
        <v>100</v>
      </c>
      <c r="C577" s="115">
        <v>94</v>
      </c>
      <c r="D577" s="119" t="s">
        <v>89</v>
      </c>
      <c r="E577" s="119" t="s">
        <v>153</v>
      </c>
      <c r="F577" s="116" t="s">
        <v>1085</v>
      </c>
      <c r="G577" s="280">
        <v>21</v>
      </c>
      <c r="H577" s="259">
        <v>18621</v>
      </c>
      <c r="I577" s="259">
        <v>391667</v>
      </c>
      <c r="J577" s="259">
        <v>617</v>
      </c>
      <c r="K577" s="259">
        <v>391050</v>
      </c>
      <c r="L577" s="259">
        <v>31284</v>
      </c>
      <c r="M577" s="259">
        <v>422334</v>
      </c>
      <c r="N577" s="118">
        <v>6.6000000000000003E-2</v>
      </c>
      <c r="O577" s="411" t="s">
        <v>1086</v>
      </c>
    </row>
    <row r="578" spans="1:15" ht="18" customHeight="1" x14ac:dyDescent="0.25">
      <c r="A578" s="115">
        <v>8</v>
      </c>
      <c r="B578" s="116" t="s">
        <v>100</v>
      </c>
      <c r="C578" s="115">
        <v>233</v>
      </c>
      <c r="D578" s="119" t="s">
        <v>89</v>
      </c>
      <c r="E578" s="119" t="s">
        <v>117</v>
      </c>
      <c r="F578" s="116" t="s">
        <v>1085</v>
      </c>
      <c r="G578" s="280">
        <v>32</v>
      </c>
      <c r="H578" s="259">
        <v>18451</v>
      </c>
      <c r="I578" s="259">
        <v>596296</v>
      </c>
      <c r="J578" s="259">
        <v>5864</v>
      </c>
      <c r="K578" s="259">
        <v>590432</v>
      </c>
      <c r="L578" s="259">
        <v>47235</v>
      </c>
      <c r="M578" s="259">
        <v>637667</v>
      </c>
      <c r="N578" s="118">
        <v>9.9600000000000008E-2</v>
      </c>
      <c r="O578" s="411" t="s">
        <v>1086</v>
      </c>
    </row>
    <row r="579" spans="1:15" ht="18" customHeight="1" x14ac:dyDescent="0.25">
      <c r="A579" s="115">
        <v>8</v>
      </c>
      <c r="B579" s="116" t="s">
        <v>100</v>
      </c>
      <c r="C579" s="115">
        <v>217</v>
      </c>
      <c r="D579" s="119" t="s">
        <v>89</v>
      </c>
      <c r="E579" s="119" t="s">
        <v>1105</v>
      </c>
      <c r="F579" s="116" t="s">
        <v>1085</v>
      </c>
      <c r="G579" s="280">
        <v>3</v>
      </c>
      <c r="H579" s="259">
        <v>27778</v>
      </c>
      <c r="I579" s="259">
        <v>83333</v>
      </c>
      <c r="J579" s="259">
        <v>0</v>
      </c>
      <c r="K579" s="259">
        <v>83333</v>
      </c>
      <c r="L579" s="259">
        <v>6667</v>
      </c>
      <c r="M579" s="259">
        <v>90000</v>
      </c>
      <c r="N579" s="118">
        <v>1.41E-2</v>
      </c>
      <c r="O579" s="411" t="s">
        <v>1086</v>
      </c>
    </row>
    <row r="580" spans="1:15" ht="18" customHeight="1" x14ac:dyDescent="0.25">
      <c r="A580" s="115">
        <v>8</v>
      </c>
      <c r="B580" s="116" t="s">
        <v>100</v>
      </c>
      <c r="C580" s="115">
        <v>218</v>
      </c>
      <c r="D580" s="119" t="s">
        <v>89</v>
      </c>
      <c r="E580" s="119" t="s">
        <v>1106</v>
      </c>
      <c r="F580" s="116" t="s">
        <v>1085</v>
      </c>
      <c r="G580" s="280">
        <v>2</v>
      </c>
      <c r="H580" s="259">
        <v>17130</v>
      </c>
      <c r="I580" s="259">
        <v>37963</v>
      </c>
      <c r="J580" s="259">
        <v>3704</v>
      </c>
      <c r="K580" s="259">
        <v>34259</v>
      </c>
      <c r="L580" s="259">
        <v>2741</v>
      </c>
      <c r="M580" s="259">
        <v>37000</v>
      </c>
      <c r="N580" s="118">
        <v>5.7999999999999996E-3</v>
      </c>
      <c r="O580" s="411" t="s">
        <v>1086</v>
      </c>
    </row>
    <row r="581" spans="1:15" ht="18" customHeight="1" x14ac:dyDescent="0.25">
      <c r="A581" s="115">
        <v>8</v>
      </c>
      <c r="B581" s="116" t="s">
        <v>100</v>
      </c>
      <c r="C581" s="115">
        <v>34</v>
      </c>
      <c r="D581" s="119" t="s">
        <v>91</v>
      </c>
      <c r="E581" s="119" t="s">
        <v>1107</v>
      </c>
      <c r="F581" s="116" t="s">
        <v>1085</v>
      </c>
      <c r="G581" s="280">
        <v>1</v>
      </c>
      <c r="H581" s="259">
        <v>6481</v>
      </c>
      <c r="I581" s="259">
        <v>6481</v>
      </c>
      <c r="J581" s="259">
        <v>0</v>
      </c>
      <c r="K581" s="259">
        <v>6481</v>
      </c>
      <c r="L581" s="259">
        <v>519</v>
      </c>
      <c r="M581" s="259">
        <v>7000</v>
      </c>
      <c r="N581" s="118">
        <v>1.1000000000000001E-3</v>
      </c>
      <c r="O581" s="411" t="s">
        <v>1086</v>
      </c>
    </row>
    <row r="582" spans="1:15" ht="18" customHeight="1" x14ac:dyDescent="0.25">
      <c r="A582" s="115">
        <v>8</v>
      </c>
      <c r="B582" s="116" t="s">
        <v>100</v>
      </c>
      <c r="C582" s="115">
        <v>121</v>
      </c>
      <c r="D582" s="119" t="s">
        <v>91</v>
      </c>
      <c r="E582" s="119" t="s">
        <v>1108</v>
      </c>
      <c r="F582" s="116" t="s">
        <v>1085</v>
      </c>
      <c r="G582" s="280">
        <v>2</v>
      </c>
      <c r="H582" s="259">
        <v>2778</v>
      </c>
      <c r="I582" s="259">
        <v>5556</v>
      </c>
      <c r="J582" s="259">
        <v>0</v>
      </c>
      <c r="K582" s="259">
        <v>5556</v>
      </c>
      <c r="L582" s="259">
        <v>444</v>
      </c>
      <c r="M582" s="259">
        <v>6000</v>
      </c>
      <c r="N582" s="118">
        <v>8.9999999999999998E-4</v>
      </c>
      <c r="O582" s="411" t="s">
        <v>1086</v>
      </c>
    </row>
    <row r="583" spans="1:15" ht="18" customHeight="1" x14ac:dyDescent="0.25">
      <c r="A583" s="115">
        <v>8</v>
      </c>
      <c r="B583" s="116" t="s">
        <v>100</v>
      </c>
      <c r="C583" s="115">
        <v>208</v>
      </c>
      <c r="D583" s="119" t="s">
        <v>91</v>
      </c>
      <c r="E583" s="119" t="s">
        <v>1109</v>
      </c>
      <c r="F583" s="116" t="s">
        <v>1085</v>
      </c>
      <c r="G583" s="280">
        <v>7</v>
      </c>
      <c r="H583" s="259">
        <v>3704</v>
      </c>
      <c r="I583" s="259">
        <v>25926</v>
      </c>
      <c r="J583" s="259">
        <v>0</v>
      </c>
      <c r="K583" s="259">
        <v>25926</v>
      </c>
      <c r="L583" s="259">
        <v>2074</v>
      </c>
      <c r="M583" s="259">
        <v>28000</v>
      </c>
      <c r="N583" s="118">
        <v>4.4000000000000003E-3</v>
      </c>
      <c r="O583" s="411" t="s">
        <v>1086</v>
      </c>
    </row>
    <row r="584" spans="1:15" ht="18" customHeight="1" x14ac:dyDescent="0.25">
      <c r="A584" s="115">
        <v>8</v>
      </c>
      <c r="B584" s="116" t="s">
        <v>100</v>
      </c>
      <c r="C584" s="115">
        <v>90</v>
      </c>
      <c r="D584" s="119" t="s">
        <v>91</v>
      </c>
      <c r="E584" s="119" t="s">
        <v>572</v>
      </c>
      <c r="F584" s="116" t="s">
        <v>1085</v>
      </c>
      <c r="G584" s="280">
        <v>0</v>
      </c>
      <c r="H584" s="259">
        <v>0</v>
      </c>
      <c r="I584" s="259">
        <v>0</v>
      </c>
      <c r="J584" s="259">
        <v>0</v>
      </c>
      <c r="K584" s="259">
        <v>0</v>
      </c>
      <c r="L584" s="259">
        <v>0</v>
      </c>
      <c r="M584" s="259">
        <v>0</v>
      </c>
      <c r="N584" s="118">
        <v>0</v>
      </c>
      <c r="O584" s="411" t="s">
        <v>1086</v>
      </c>
    </row>
    <row r="585" spans="1:15" ht="18" customHeight="1" x14ac:dyDescent="0.25">
      <c r="A585" s="115">
        <v>8</v>
      </c>
      <c r="B585" s="116" t="s">
        <v>100</v>
      </c>
      <c r="C585" s="115">
        <v>31</v>
      </c>
      <c r="D585" s="119" t="s">
        <v>95</v>
      </c>
      <c r="E585" s="119" t="s">
        <v>1111</v>
      </c>
      <c r="F585" s="116" t="s">
        <v>1085</v>
      </c>
      <c r="G585" s="280">
        <v>11</v>
      </c>
      <c r="H585" s="259">
        <v>1192</v>
      </c>
      <c r="I585" s="259">
        <v>13241</v>
      </c>
      <c r="J585" s="259">
        <v>130</v>
      </c>
      <c r="K585" s="259">
        <v>13111</v>
      </c>
      <c r="L585" s="259">
        <v>1049</v>
      </c>
      <c r="M585" s="259">
        <v>14160</v>
      </c>
      <c r="N585" s="118">
        <v>2.2000000000000001E-3</v>
      </c>
      <c r="O585" s="411" t="s">
        <v>1086</v>
      </c>
    </row>
    <row r="586" spans="1:15" ht="18" customHeight="1" x14ac:dyDescent="0.25">
      <c r="A586" s="115">
        <v>8</v>
      </c>
      <c r="B586" s="116" t="s">
        <v>100</v>
      </c>
      <c r="C586" s="115">
        <v>212</v>
      </c>
      <c r="D586" s="119" t="s">
        <v>91</v>
      </c>
      <c r="E586" s="119" t="s">
        <v>162</v>
      </c>
      <c r="F586" s="116" t="s">
        <v>1085</v>
      </c>
      <c r="G586" s="280">
        <v>4</v>
      </c>
      <c r="H586" s="259">
        <v>22222</v>
      </c>
      <c r="I586" s="259">
        <v>88889</v>
      </c>
      <c r="J586" s="259">
        <v>0</v>
      </c>
      <c r="K586" s="259">
        <v>88889</v>
      </c>
      <c r="L586" s="259">
        <v>7111</v>
      </c>
      <c r="M586" s="259">
        <v>96000</v>
      </c>
      <c r="N586" s="118">
        <v>1.4999999999999999E-2</v>
      </c>
      <c r="O586" s="411" t="s">
        <v>1086</v>
      </c>
    </row>
    <row r="587" spans="1:15" ht="18" customHeight="1" x14ac:dyDescent="0.25">
      <c r="A587" s="115">
        <v>8</v>
      </c>
      <c r="B587" s="116" t="s">
        <v>100</v>
      </c>
      <c r="C587" s="115">
        <v>74</v>
      </c>
      <c r="D587" s="119" t="s">
        <v>91</v>
      </c>
      <c r="E587" s="119" t="s">
        <v>1153</v>
      </c>
      <c r="F587" s="116" t="s">
        <v>1085</v>
      </c>
      <c r="G587" s="280">
        <v>2</v>
      </c>
      <c r="H587" s="259">
        <v>6481</v>
      </c>
      <c r="I587" s="259">
        <v>12963</v>
      </c>
      <c r="J587" s="259">
        <v>0</v>
      </c>
      <c r="K587" s="259">
        <v>12963</v>
      </c>
      <c r="L587" s="259">
        <v>1037</v>
      </c>
      <c r="M587" s="259">
        <v>14000</v>
      </c>
      <c r="N587" s="118">
        <v>2.2000000000000001E-3</v>
      </c>
      <c r="O587" s="411" t="s">
        <v>1086</v>
      </c>
    </row>
    <row r="588" spans="1:15" ht="18" customHeight="1" x14ac:dyDescent="0.25">
      <c r="A588" s="115">
        <v>8</v>
      </c>
      <c r="B588" s="116" t="s">
        <v>100</v>
      </c>
      <c r="C588" s="115">
        <v>235</v>
      </c>
      <c r="D588" s="119" t="s">
        <v>91</v>
      </c>
      <c r="E588" s="119" t="s">
        <v>1154</v>
      </c>
      <c r="F588" s="116" t="s">
        <v>1085</v>
      </c>
      <c r="G588" s="280">
        <v>2</v>
      </c>
      <c r="H588" s="259">
        <v>3426</v>
      </c>
      <c r="I588" s="259">
        <v>6852</v>
      </c>
      <c r="J588" s="259">
        <v>0</v>
      </c>
      <c r="K588" s="259">
        <v>6852</v>
      </c>
      <c r="L588" s="259">
        <v>548</v>
      </c>
      <c r="M588" s="259">
        <v>7400</v>
      </c>
      <c r="N588" s="118">
        <v>1.1999999999999999E-3</v>
      </c>
      <c r="O588" s="411" t="s">
        <v>1086</v>
      </c>
    </row>
    <row r="589" spans="1:15" ht="18" customHeight="1" x14ac:dyDescent="0.25">
      <c r="A589" s="115">
        <v>8</v>
      </c>
      <c r="B589" s="116" t="s">
        <v>100</v>
      </c>
      <c r="C589" s="115">
        <v>134</v>
      </c>
      <c r="D589" s="119" t="s">
        <v>91</v>
      </c>
      <c r="E589" s="119" t="s">
        <v>1168</v>
      </c>
      <c r="F589" s="116" t="s">
        <v>1085</v>
      </c>
      <c r="G589" s="280">
        <v>1</v>
      </c>
      <c r="H589" s="259">
        <v>12963</v>
      </c>
      <c r="I589" s="259">
        <v>12963</v>
      </c>
      <c r="J589" s="259">
        <v>0</v>
      </c>
      <c r="K589" s="259">
        <v>12963</v>
      </c>
      <c r="L589" s="259">
        <v>1037</v>
      </c>
      <c r="M589" s="259">
        <v>14000</v>
      </c>
      <c r="N589" s="118">
        <v>2.2000000000000001E-3</v>
      </c>
      <c r="O589" s="411" t="s">
        <v>1086</v>
      </c>
    </row>
    <row r="590" spans="1:15" ht="18" customHeight="1" x14ac:dyDescent="0.25">
      <c r="A590" s="115">
        <v>8</v>
      </c>
      <c r="B590" s="116" t="s">
        <v>100</v>
      </c>
      <c r="C590" s="115">
        <v>75</v>
      </c>
      <c r="D590" s="119" t="s">
        <v>91</v>
      </c>
      <c r="E590" s="119" t="s">
        <v>1113</v>
      </c>
      <c r="F590" s="116" t="s">
        <v>1085</v>
      </c>
      <c r="G590" s="280">
        <v>0</v>
      </c>
      <c r="H590" s="259">
        <v>0</v>
      </c>
      <c r="I590" s="259">
        <v>0</v>
      </c>
      <c r="J590" s="259">
        <v>0</v>
      </c>
      <c r="K590" s="259">
        <v>0</v>
      </c>
      <c r="L590" s="259">
        <v>0</v>
      </c>
      <c r="M590" s="259">
        <v>0</v>
      </c>
      <c r="N590" s="118">
        <v>0</v>
      </c>
      <c r="O590" s="411" t="s">
        <v>1086</v>
      </c>
    </row>
    <row r="591" spans="1:15" ht="18" customHeight="1" x14ac:dyDescent="0.25">
      <c r="A591" s="115">
        <v>8</v>
      </c>
      <c r="B591" s="116" t="s">
        <v>100</v>
      </c>
      <c r="C591" s="115">
        <v>118</v>
      </c>
      <c r="D591" s="119" t="s">
        <v>87</v>
      </c>
      <c r="E591" s="119" t="s">
        <v>126</v>
      </c>
      <c r="F591" s="116" t="s">
        <v>1085</v>
      </c>
      <c r="G591" s="280">
        <v>5</v>
      </c>
      <c r="H591" s="259">
        <v>41667</v>
      </c>
      <c r="I591" s="259">
        <v>208333</v>
      </c>
      <c r="J591" s="259">
        <v>0</v>
      </c>
      <c r="K591" s="259">
        <v>208333</v>
      </c>
      <c r="L591" s="259">
        <v>16667</v>
      </c>
      <c r="M591" s="259">
        <v>225000</v>
      </c>
      <c r="N591" s="118">
        <v>3.5099999999999999E-2</v>
      </c>
      <c r="O591" s="411" t="s">
        <v>1086</v>
      </c>
    </row>
    <row r="592" spans="1:15" ht="18" customHeight="1" x14ac:dyDescent="0.25">
      <c r="A592" s="115">
        <v>8</v>
      </c>
      <c r="B592" s="116" t="s">
        <v>100</v>
      </c>
      <c r="C592" s="115">
        <v>109</v>
      </c>
      <c r="D592" s="119" t="s">
        <v>91</v>
      </c>
      <c r="E592" s="119" t="s">
        <v>144</v>
      </c>
      <c r="F592" s="116" t="s">
        <v>1085</v>
      </c>
      <c r="G592" s="280">
        <v>13</v>
      </c>
      <c r="H592" s="259">
        <v>12963</v>
      </c>
      <c r="I592" s="259">
        <v>168519</v>
      </c>
      <c r="J592" s="259">
        <v>0</v>
      </c>
      <c r="K592" s="259">
        <v>168519</v>
      </c>
      <c r="L592" s="259">
        <v>13482</v>
      </c>
      <c r="M592" s="259">
        <v>182001</v>
      </c>
      <c r="N592" s="118">
        <v>2.8400000000000002E-2</v>
      </c>
      <c r="O592" s="411" t="s">
        <v>1086</v>
      </c>
    </row>
    <row r="593" spans="1:15" ht="18" customHeight="1" x14ac:dyDescent="0.25">
      <c r="A593" s="115">
        <v>8</v>
      </c>
      <c r="B593" s="116" t="s">
        <v>100</v>
      </c>
      <c r="C593" s="115">
        <v>147</v>
      </c>
      <c r="D593" s="119" t="s">
        <v>91</v>
      </c>
      <c r="E593" s="119" t="s">
        <v>1115</v>
      </c>
      <c r="F593" s="116" t="s">
        <v>1085</v>
      </c>
      <c r="G593" s="280">
        <v>1</v>
      </c>
      <c r="H593" s="259">
        <v>6481</v>
      </c>
      <c r="I593" s="259">
        <v>6481</v>
      </c>
      <c r="J593" s="259">
        <v>0</v>
      </c>
      <c r="K593" s="259">
        <v>6481</v>
      </c>
      <c r="L593" s="259">
        <v>519</v>
      </c>
      <c r="M593" s="259">
        <v>7000</v>
      </c>
      <c r="N593" s="118">
        <v>1.1000000000000001E-3</v>
      </c>
      <c r="O593" s="411" t="s">
        <v>1086</v>
      </c>
    </row>
    <row r="594" spans="1:15" ht="18" customHeight="1" x14ac:dyDescent="0.25">
      <c r="A594" s="115">
        <v>8</v>
      </c>
      <c r="B594" s="116" t="s">
        <v>100</v>
      </c>
      <c r="C594" s="115">
        <v>46</v>
      </c>
      <c r="D594" s="119" t="s">
        <v>87</v>
      </c>
      <c r="E594" s="119" t="s">
        <v>1116</v>
      </c>
      <c r="F594" s="116" t="s">
        <v>1085</v>
      </c>
      <c r="G594" s="280">
        <v>2</v>
      </c>
      <c r="H594" s="259">
        <v>35648</v>
      </c>
      <c r="I594" s="259">
        <v>71296</v>
      </c>
      <c r="J594" s="259">
        <v>0</v>
      </c>
      <c r="K594" s="259">
        <v>71296</v>
      </c>
      <c r="L594" s="259">
        <v>5704</v>
      </c>
      <c r="M594" s="259">
        <v>77000</v>
      </c>
      <c r="N594" s="118">
        <v>1.2E-2</v>
      </c>
      <c r="O594" s="411" t="s">
        <v>1086</v>
      </c>
    </row>
    <row r="595" spans="1:15" ht="18" customHeight="1" x14ac:dyDescent="0.25">
      <c r="A595" s="115">
        <v>8</v>
      </c>
      <c r="B595" s="116" t="s">
        <v>100</v>
      </c>
      <c r="C595" s="115">
        <v>35</v>
      </c>
      <c r="D595" s="119" t="s">
        <v>87</v>
      </c>
      <c r="E595" s="119" t="s">
        <v>1156</v>
      </c>
      <c r="F595" s="116" t="s">
        <v>1085</v>
      </c>
      <c r="G595" s="280">
        <v>1</v>
      </c>
      <c r="H595" s="259">
        <v>7407</v>
      </c>
      <c r="I595" s="259">
        <v>7407</v>
      </c>
      <c r="J595" s="259">
        <v>0</v>
      </c>
      <c r="K595" s="259">
        <v>7407</v>
      </c>
      <c r="L595" s="259">
        <v>593</v>
      </c>
      <c r="M595" s="259">
        <v>8000</v>
      </c>
      <c r="N595" s="118">
        <v>1.1999999999999999E-3</v>
      </c>
      <c r="O595" s="411" t="s">
        <v>1086</v>
      </c>
    </row>
    <row r="596" spans="1:15" ht="18" customHeight="1" x14ac:dyDescent="0.25">
      <c r="A596" s="115">
        <v>8</v>
      </c>
      <c r="B596" s="116" t="s">
        <v>100</v>
      </c>
      <c r="C596" s="115">
        <v>18</v>
      </c>
      <c r="D596" s="119" t="s">
        <v>87</v>
      </c>
      <c r="E596" s="119" t="s">
        <v>301</v>
      </c>
      <c r="F596" s="116" t="s">
        <v>1085</v>
      </c>
      <c r="G596" s="280">
        <v>31</v>
      </c>
      <c r="H596" s="259">
        <v>18598</v>
      </c>
      <c r="I596" s="259">
        <v>576852</v>
      </c>
      <c r="J596" s="259">
        <v>309</v>
      </c>
      <c r="K596" s="259">
        <v>576543</v>
      </c>
      <c r="L596" s="259">
        <v>46123</v>
      </c>
      <c r="M596" s="259">
        <v>622666</v>
      </c>
      <c r="N596" s="118">
        <v>9.7299999999999998E-2</v>
      </c>
      <c r="O596" s="411" t="s">
        <v>1086</v>
      </c>
    </row>
    <row r="597" spans="1:15" ht="18" customHeight="1" x14ac:dyDescent="0.25">
      <c r="A597" s="115">
        <v>8</v>
      </c>
      <c r="B597" s="116" t="s">
        <v>100</v>
      </c>
      <c r="C597" s="115">
        <v>101</v>
      </c>
      <c r="D597" s="119" t="s">
        <v>87</v>
      </c>
      <c r="E597" s="119" t="s">
        <v>1119</v>
      </c>
      <c r="F597" s="116" t="s">
        <v>1085</v>
      </c>
      <c r="G597" s="280">
        <v>1</v>
      </c>
      <c r="H597" s="259">
        <v>2315</v>
      </c>
      <c r="I597" s="259">
        <v>2315</v>
      </c>
      <c r="J597" s="259">
        <v>0</v>
      </c>
      <c r="K597" s="259">
        <v>2315</v>
      </c>
      <c r="L597" s="259">
        <v>185</v>
      </c>
      <c r="M597" s="259">
        <v>2500</v>
      </c>
      <c r="N597" s="118">
        <v>4.0000000000000002E-4</v>
      </c>
      <c r="O597" s="411" t="s">
        <v>1086</v>
      </c>
    </row>
    <row r="598" spans="1:15" ht="18" customHeight="1" x14ac:dyDescent="0.25">
      <c r="A598" s="115">
        <v>8</v>
      </c>
      <c r="B598" s="116" t="s">
        <v>100</v>
      </c>
      <c r="C598" s="115">
        <v>93</v>
      </c>
      <c r="D598" s="119" t="s">
        <v>89</v>
      </c>
      <c r="E598" s="119" t="s">
        <v>123</v>
      </c>
      <c r="F598" s="116" t="s">
        <v>1085</v>
      </c>
      <c r="G598" s="280">
        <v>2</v>
      </c>
      <c r="H598" s="259">
        <v>20370</v>
      </c>
      <c r="I598" s="259">
        <v>40741</v>
      </c>
      <c r="J598" s="259">
        <v>0</v>
      </c>
      <c r="K598" s="259">
        <v>40741</v>
      </c>
      <c r="L598" s="259">
        <v>3259</v>
      </c>
      <c r="M598" s="259">
        <v>44000</v>
      </c>
      <c r="N598" s="118">
        <v>6.8999999999999999E-3</v>
      </c>
      <c r="O598" s="411" t="s">
        <v>1086</v>
      </c>
    </row>
    <row r="599" spans="1:15" ht="18" customHeight="1" x14ac:dyDescent="0.25">
      <c r="A599" s="115">
        <v>8</v>
      </c>
      <c r="B599" s="116" t="s">
        <v>100</v>
      </c>
      <c r="C599" s="115">
        <v>119</v>
      </c>
      <c r="D599" s="119" t="s">
        <v>89</v>
      </c>
      <c r="E599" s="119" t="s">
        <v>114</v>
      </c>
      <c r="F599" s="116" t="s">
        <v>1085</v>
      </c>
      <c r="G599" s="280">
        <v>2</v>
      </c>
      <c r="H599" s="259">
        <v>44444</v>
      </c>
      <c r="I599" s="259">
        <v>88889</v>
      </c>
      <c r="J599" s="259">
        <v>0</v>
      </c>
      <c r="K599" s="259">
        <v>88889</v>
      </c>
      <c r="L599" s="259">
        <v>7111</v>
      </c>
      <c r="M599" s="259">
        <v>96000</v>
      </c>
      <c r="N599" s="118">
        <v>1.4999999999999999E-2</v>
      </c>
      <c r="O599" s="411" t="s">
        <v>1086</v>
      </c>
    </row>
    <row r="600" spans="1:15" ht="18" customHeight="1" x14ac:dyDescent="0.25">
      <c r="A600" s="115">
        <v>8</v>
      </c>
      <c r="B600" s="116" t="s">
        <v>100</v>
      </c>
      <c r="C600" s="115">
        <v>47</v>
      </c>
      <c r="D600" s="119" t="s">
        <v>87</v>
      </c>
      <c r="E600" s="119" t="s">
        <v>1191</v>
      </c>
      <c r="F600" s="116" t="s">
        <v>1085</v>
      </c>
      <c r="G600" s="280">
        <v>1</v>
      </c>
      <c r="H600" s="259">
        <v>64815</v>
      </c>
      <c r="I600" s="259">
        <v>64815</v>
      </c>
      <c r="J600" s="259">
        <v>0</v>
      </c>
      <c r="K600" s="259">
        <v>64815</v>
      </c>
      <c r="L600" s="259">
        <v>5185</v>
      </c>
      <c r="M600" s="259">
        <v>70000</v>
      </c>
      <c r="N600" s="118">
        <v>1.09E-2</v>
      </c>
      <c r="O600" s="411" t="s">
        <v>1086</v>
      </c>
    </row>
    <row r="601" spans="1:15" ht="18" customHeight="1" x14ac:dyDescent="0.25">
      <c r="A601" s="115">
        <v>8</v>
      </c>
      <c r="B601" s="116" t="s">
        <v>100</v>
      </c>
      <c r="C601" s="115">
        <v>77</v>
      </c>
      <c r="D601" s="119" t="s">
        <v>87</v>
      </c>
      <c r="E601" s="119" t="s">
        <v>1121</v>
      </c>
      <c r="F601" s="116" t="s">
        <v>1085</v>
      </c>
      <c r="G601" s="280">
        <v>2</v>
      </c>
      <c r="H601" s="259">
        <v>2778</v>
      </c>
      <c r="I601" s="259">
        <v>5556</v>
      </c>
      <c r="J601" s="259">
        <v>0</v>
      </c>
      <c r="K601" s="259">
        <v>5556</v>
      </c>
      <c r="L601" s="259">
        <v>444</v>
      </c>
      <c r="M601" s="259">
        <v>6000</v>
      </c>
      <c r="N601" s="118">
        <v>8.9999999999999998E-4</v>
      </c>
      <c r="O601" s="411" t="s">
        <v>1086</v>
      </c>
    </row>
    <row r="602" spans="1:15" ht="18" customHeight="1" x14ac:dyDescent="0.25">
      <c r="A602" s="115">
        <v>8</v>
      </c>
      <c r="B602" s="116" t="s">
        <v>100</v>
      </c>
      <c r="C602" s="115">
        <v>86</v>
      </c>
      <c r="D602" s="119" t="s">
        <v>95</v>
      </c>
      <c r="E602" s="119" t="s">
        <v>1124</v>
      </c>
      <c r="F602" s="116" t="s">
        <v>1085</v>
      </c>
      <c r="G602" s="280">
        <v>18</v>
      </c>
      <c r="H602" s="259">
        <v>3189</v>
      </c>
      <c r="I602" s="259">
        <v>58333</v>
      </c>
      <c r="J602" s="259">
        <v>926</v>
      </c>
      <c r="K602" s="259">
        <v>57407</v>
      </c>
      <c r="L602" s="259">
        <v>4593</v>
      </c>
      <c r="M602" s="259">
        <v>62000</v>
      </c>
      <c r="N602" s="118">
        <v>9.7000000000000003E-3</v>
      </c>
      <c r="O602" s="411" t="s">
        <v>1086</v>
      </c>
    </row>
    <row r="603" spans="1:15" ht="18" customHeight="1" x14ac:dyDescent="0.25">
      <c r="A603" s="115">
        <v>8</v>
      </c>
      <c r="B603" s="116" t="s">
        <v>100</v>
      </c>
      <c r="C603" s="115">
        <v>80</v>
      </c>
      <c r="D603" s="119" t="s">
        <v>95</v>
      </c>
      <c r="E603" s="119" t="s">
        <v>1125</v>
      </c>
      <c r="F603" s="116" t="s">
        <v>1085</v>
      </c>
      <c r="G603" s="280">
        <v>1</v>
      </c>
      <c r="H603" s="259">
        <v>6481</v>
      </c>
      <c r="I603" s="259">
        <v>6481</v>
      </c>
      <c r="J603" s="259">
        <v>0</v>
      </c>
      <c r="K603" s="259">
        <v>6481</v>
      </c>
      <c r="L603" s="259">
        <v>519</v>
      </c>
      <c r="M603" s="259">
        <v>7000</v>
      </c>
      <c r="N603" s="118">
        <v>1.1000000000000001E-3</v>
      </c>
      <c r="O603" s="411" t="s">
        <v>1086</v>
      </c>
    </row>
    <row r="604" spans="1:15" ht="18" customHeight="1" x14ac:dyDescent="0.25">
      <c r="A604" s="115">
        <v>8</v>
      </c>
      <c r="B604" s="116" t="s">
        <v>100</v>
      </c>
      <c r="C604" s="115">
        <v>169</v>
      </c>
      <c r="D604" s="119" t="s">
        <v>95</v>
      </c>
      <c r="E604" s="119" t="s">
        <v>1126</v>
      </c>
      <c r="F604" s="116" t="s">
        <v>1085</v>
      </c>
      <c r="G604" s="280">
        <v>10</v>
      </c>
      <c r="H604" s="259">
        <v>6481</v>
      </c>
      <c r="I604" s="259">
        <v>64815</v>
      </c>
      <c r="J604" s="259">
        <v>0</v>
      </c>
      <c r="K604" s="259">
        <v>64815</v>
      </c>
      <c r="L604" s="259">
        <v>5185</v>
      </c>
      <c r="M604" s="259">
        <v>70000</v>
      </c>
      <c r="N604" s="118">
        <v>1.09E-2</v>
      </c>
      <c r="O604" s="411" t="s">
        <v>1086</v>
      </c>
    </row>
    <row r="605" spans="1:15" ht="18" customHeight="1" x14ac:dyDescent="0.25">
      <c r="A605" s="115">
        <v>8</v>
      </c>
      <c r="B605" s="116" t="s">
        <v>100</v>
      </c>
      <c r="C605" s="115">
        <v>79</v>
      </c>
      <c r="D605" s="119" t="s">
        <v>95</v>
      </c>
      <c r="E605" s="119" t="s">
        <v>1127</v>
      </c>
      <c r="F605" s="116" t="s">
        <v>1085</v>
      </c>
      <c r="G605" s="280">
        <v>5</v>
      </c>
      <c r="H605" s="259">
        <v>6412</v>
      </c>
      <c r="I605" s="259">
        <v>32407</v>
      </c>
      <c r="J605" s="259">
        <v>349</v>
      </c>
      <c r="K605" s="259">
        <v>32058</v>
      </c>
      <c r="L605" s="259">
        <v>2565</v>
      </c>
      <c r="M605" s="259">
        <v>34623</v>
      </c>
      <c r="N605" s="118">
        <v>5.4000000000000003E-3</v>
      </c>
      <c r="O605" s="411" t="s">
        <v>1086</v>
      </c>
    </row>
    <row r="606" spans="1:15" ht="18" customHeight="1" x14ac:dyDescent="0.25">
      <c r="A606" s="115">
        <v>8</v>
      </c>
      <c r="B606" s="116" t="s">
        <v>100</v>
      </c>
      <c r="C606" s="115">
        <v>82</v>
      </c>
      <c r="D606" s="119" t="s">
        <v>95</v>
      </c>
      <c r="E606" s="119" t="s">
        <v>1158</v>
      </c>
      <c r="F606" s="116" t="s">
        <v>1085</v>
      </c>
      <c r="G606" s="280">
        <v>7</v>
      </c>
      <c r="H606" s="259">
        <v>6481</v>
      </c>
      <c r="I606" s="259">
        <v>45370</v>
      </c>
      <c r="J606" s="259">
        <v>0</v>
      </c>
      <c r="K606" s="259">
        <v>45370</v>
      </c>
      <c r="L606" s="259">
        <v>3630</v>
      </c>
      <c r="M606" s="259">
        <v>49000</v>
      </c>
      <c r="N606" s="118">
        <v>7.7000000000000002E-3</v>
      </c>
      <c r="O606" s="411" t="s">
        <v>1086</v>
      </c>
    </row>
    <row r="607" spans="1:15" ht="18" customHeight="1" x14ac:dyDescent="0.25">
      <c r="A607" s="115">
        <v>8</v>
      </c>
      <c r="B607" s="116" t="s">
        <v>100</v>
      </c>
      <c r="C607" s="115">
        <v>62</v>
      </c>
      <c r="D607" s="119" t="s">
        <v>95</v>
      </c>
      <c r="E607" s="119" t="s">
        <v>1128</v>
      </c>
      <c r="F607" s="116" t="s">
        <v>1085</v>
      </c>
      <c r="G607" s="280">
        <v>8</v>
      </c>
      <c r="H607" s="259">
        <v>6898</v>
      </c>
      <c r="I607" s="259">
        <v>55556</v>
      </c>
      <c r="J607" s="259">
        <v>374</v>
      </c>
      <c r="K607" s="259">
        <v>55182</v>
      </c>
      <c r="L607" s="259">
        <v>4415</v>
      </c>
      <c r="M607" s="259">
        <v>59597</v>
      </c>
      <c r="N607" s="118">
        <v>9.300000000000001E-3</v>
      </c>
      <c r="O607" s="411" t="s">
        <v>1086</v>
      </c>
    </row>
    <row r="608" spans="1:15" ht="18" customHeight="1" x14ac:dyDescent="0.25">
      <c r="A608" s="115">
        <v>8</v>
      </c>
      <c r="B608" s="116" t="s">
        <v>100</v>
      </c>
      <c r="C608" s="115">
        <v>137</v>
      </c>
      <c r="D608" s="119" t="s">
        <v>95</v>
      </c>
      <c r="E608" s="119" t="s">
        <v>1159</v>
      </c>
      <c r="F608" s="116" t="s">
        <v>1085</v>
      </c>
      <c r="G608" s="280">
        <v>13</v>
      </c>
      <c r="H608" s="259">
        <v>6481</v>
      </c>
      <c r="I608" s="259">
        <v>84259</v>
      </c>
      <c r="J608" s="259">
        <v>0</v>
      </c>
      <c r="K608" s="259">
        <v>84259</v>
      </c>
      <c r="L608" s="259">
        <v>6741</v>
      </c>
      <c r="M608" s="259">
        <v>91000</v>
      </c>
      <c r="N608" s="118">
        <v>1.4200000000000001E-2</v>
      </c>
      <c r="O608" s="411" t="s">
        <v>1086</v>
      </c>
    </row>
    <row r="609" spans="1:15" ht="18" customHeight="1" x14ac:dyDescent="0.25">
      <c r="A609" s="115">
        <v>8</v>
      </c>
      <c r="B609" s="116" t="s">
        <v>100</v>
      </c>
      <c r="C609" s="115">
        <v>219</v>
      </c>
      <c r="D609" s="119" t="s">
        <v>87</v>
      </c>
      <c r="E609" s="119" t="s">
        <v>150</v>
      </c>
      <c r="F609" s="116" t="s">
        <v>1085</v>
      </c>
      <c r="G609" s="280">
        <v>1</v>
      </c>
      <c r="H609" s="259">
        <v>69444</v>
      </c>
      <c r="I609" s="259">
        <v>69444</v>
      </c>
      <c r="J609" s="259">
        <v>0</v>
      </c>
      <c r="K609" s="259">
        <v>69444</v>
      </c>
      <c r="L609" s="259">
        <v>5556</v>
      </c>
      <c r="M609" s="259">
        <v>75000</v>
      </c>
      <c r="N609" s="118">
        <v>1.17E-2</v>
      </c>
      <c r="O609" s="411" t="s">
        <v>1086</v>
      </c>
    </row>
    <row r="610" spans="1:15" ht="18" customHeight="1" x14ac:dyDescent="0.25">
      <c r="A610" s="115">
        <v>8</v>
      </c>
      <c r="B610" s="116" t="s">
        <v>100</v>
      </c>
      <c r="C610" s="115">
        <v>222</v>
      </c>
      <c r="D610" s="119" t="s">
        <v>93</v>
      </c>
      <c r="E610" s="119" t="s">
        <v>1133</v>
      </c>
      <c r="F610" s="116" t="s">
        <v>1085</v>
      </c>
      <c r="G610" s="280">
        <v>1</v>
      </c>
      <c r="H610" s="259">
        <v>63426</v>
      </c>
      <c r="I610" s="259">
        <v>63426</v>
      </c>
      <c r="J610" s="259">
        <v>0</v>
      </c>
      <c r="K610" s="259">
        <v>63426</v>
      </c>
      <c r="L610" s="259">
        <v>5074</v>
      </c>
      <c r="M610" s="259">
        <v>68500</v>
      </c>
      <c r="N610" s="118">
        <v>1.0699999999999999E-2</v>
      </c>
      <c r="O610" s="411" t="s">
        <v>1086</v>
      </c>
    </row>
    <row r="611" spans="1:15" ht="18" customHeight="1" x14ac:dyDescent="0.25">
      <c r="A611" s="115">
        <v>8</v>
      </c>
      <c r="B611" s="116" t="s">
        <v>100</v>
      </c>
      <c r="C611" s="115">
        <v>129</v>
      </c>
      <c r="D611" s="119" t="s">
        <v>93</v>
      </c>
      <c r="E611" s="119" t="s">
        <v>1135</v>
      </c>
      <c r="F611" s="116" t="s">
        <v>1085</v>
      </c>
      <c r="G611" s="280">
        <v>1</v>
      </c>
      <c r="H611" s="259">
        <v>44444</v>
      </c>
      <c r="I611" s="259">
        <v>44444</v>
      </c>
      <c r="J611" s="259">
        <v>0</v>
      </c>
      <c r="K611" s="259">
        <v>44444</v>
      </c>
      <c r="L611" s="259">
        <v>3556</v>
      </c>
      <c r="M611" s="259">
        <v>48000</v>
      </c>
      <c r="N611" s="118">
        <v>7.4999999999999997E-3</v>
      </c>
      <c r="O611" s="411" t="s">
        <v>1086</v>
      </c>
    </row>
    <row r="612" spans="1:15" ht="18" customHeight="1" x14ac:dyDescent="0.25">
      <c r="A612" s="115">
        <v>8</v>
      </c>
      <c r="B612" s="116" t="s">
        <v>100</v>
      </c>
      <c r="C612" s="115">
        <v>117</v>
      </c>
      <c r="D612" s="119" t="s">
        <v>87</v>
      </c>
      <c r="E612" s="119" t="s">
        <v>120</v>
      </c>
      <c r="F612" s="116" t="s">
        <v>1085</v>
      </c>
      <c r="G612" s="280">
        <v>2</v>
      </c>
      <c r="H612" s="259">
        <v>41667</v>
      </c>
      <c r="I612" s="259">
        <v>83333</v>
      </c>
      <c r="J612" s="259">
        <v>0</v>
      </c>
      <c r="K612" s="259">
        <v>83333</v>
      </c>
      <c r="L612" s="259">
        <v>6667</v>
      </c>
      <c r="M612" s="259">
        <v>90000</v>
      </c>
      <c r="N612" s="118">
        <v>1.41E-2</v>
      </c>
      <c r="O612" s="411" t="s">
        <v>1086</v>
      </c>
    </row>
    <row r="613" spans="1:15" ht="18" customHeight="1" x14ac:dyDescent="0.25">
      <c r="A613" s="115">
        <v>8</v>
      </c>
      <c r="B613" s="116" t="s">
        <v>100</v>
      </c>
      <c r="C613" s="115">
        <v>36</v>
      </c>
      <c r="D613" s="119" t="s">
        <v>91</v>
      </c>
      <c r="E613" s="119" t="s">
        <v>1136</v>
      </c>
      <c r="F613" s="116" t="s">
        <v>1085</v>
      </c>
      <c r="G613" s="280">
        <v>1</v>
      </c>
      <c r="H613" s="259">
        <v>3704</v>
      </c>
      <c r="I613" s="259">
        <v>3704</v>
      </c>
      <c r="J613" s="259">
        <v>0</v>
      </c>
      <c r="K613" s="259">
        <v>3704</v>
      </c>
      <c r="L613" s="259">
        <v>296</v>
      </c>
      <c r="M613" s="259">
        <v>4000</v>
      </c>
      <c r="N613" s="118">
        <v>5.9999999999999995E-4</v>
      </c>
      <c r="O613" s="411" t="s">
        <v>1086</v>
      </c>
    </row>
    <row r="614" spans="1:15" ht="18" customHeight="1" x14ac:dyDescent="0.25">
      <c r="A614" s="115">
        <v>8</v>
      </c>
      <c r="B614" s="116" t="s">
        <v>100</v>
      </c>
      <c r="C614" s="115">
        <v>61</v>
      </c>
      <c r="D614" s="119" t="s">
        <v>97</v>
      </c>
      <c r="E614" s="119" t="s">
        <v>1137</v>
      </c>
      <c r="F614" s="116" t="s">
        <v>1085</v>
      </c>
      <c r="G614" s="280">
        <v>11</v>
      </c>
      <c r="H614" s="259">
        <v>4630</v>
      </c>
      <c r="I614" s="259">
        <v>50926</v>
      </c>
      <c r="J614" s="259">
        <v>0</v>
      </c>
      <c r="K614" s="259">
        <v>50926</v>
      </c>
      <c r="L614" s="259">
        <v>4074</v>
      </c>
      <c r="M614" s="259">
        <v>55000</v>
      </c>
      <c r="N614" s="118">
        <v>8.6E-3</v>
      </c>
      <c r="O614" s="411" t="s">
        <v>1086</v>
      </c>
    </row>
    <row r="615" spans="1:15" ht="18" customHeight="1" x14ac:dyDescent="0.25">
      <c r="A615" s="115">
        <v>8</v>
      </c>
      <c r="B615" s="116" t="s">
        <v>100</v>
      </c>
      <c r="C615" s="115">
        <v>215</v>
      </c>
      <c r="D615" s="119" t="s">
        <v>87</v>
      </c>
      <c r="E615" s="119" t="s">
        <v>135</v>
      </c>
      <c r="F615" s="116" t="s">
        <v>1085</v>
      </c>
      <c r="G615" s="280">
        <v>2</v>
      </c>
      <c r="H615" s="259">
        <v>37500</v>
      </c>
      <c r="I615" s="259">
        <v>75000</v>
      </c>
      <c r="J615" s="259">
        <v>0</v>
      </c>
      <c r="K615" s="259">
        <v>75000</v>
      </c>
      <c r="L615" s="259">
        <v>6000</v>
      </c>
      <c r="M615" s="259">
        <v>81000</v>
      </c>
      <c r="N615" s="118">
        <v>1.2699999999999999E-2</v>
      </c>
      <c r="O615" s="411" t="s">
        <v>1086</v>
      </c>
    </row>
    <row r="616" spans="1:15" ht="18" customHeight="1" x14ac:dyDescent="0.25">
      <c r="A616" s="115">
        <v>8</v>
      </c>
      <c r="B616" s="116" t="s">
        <v>100</v>
      </c>
      <c r="C616" s="115">
        <v>315</v>
      </c>
      <c r="D616" s="119" t="s">
        <v>87</v>
      </c>
      <c r="E616" s="119" t="s">
        <v>1160</v>
      </c>
      <c r="F616" s="116" t="s">
        <v>1085</v>
      </c>
      <c r="G616" s="280">
        <v>1</v>
      </c>
      <c r="H616" s="259">
        <v>1852</v>
      </c>
      <c r="I616" s="259">
        <v>1852</v>
      </c>
      <c r="J616" s="259">
        <v>0</v>
      </c>
      <c r="K616" s="259">
        <v>1852</v>
      </c>
      <c r="L616" s="259">
        <v>148</v>
      </c>
      <c r="M616" s="259">
        <v>2000</v>
      </c>
      <c r="N616" s="118">
        <v>2.9999999999999997E-4</v>
      </c>
      <c r="O616" s="411" t="s">
        <v>1086</v>
      </c>
    </row>
    <row r="617" spans="1:15" ht="18" customHeight="1" x14ac:dyDescent="0.25">
      <c r="A617" s="115">
        <v>8</v>
      </c>
      <c r="B617" s="116" t="s">
        <v>100</v>
      </c>
      <c r="C617" s="115">
        <v>33</v>
      </c>
      <c r="D617" s="119" t="s">
        <v>91</v>
      </c>
      <c r="E617" s="119" t="s">
        <v>1139</v>
      </c>
      <c r="F617" s="116" t="s">
        <v>1085</v>
      </c>
      <c r="G617" s="280">
        <v>3</v>
      </c>
      <c r="H617" s="259">
        <v>1852</v>
      </c>
      <c r="I617" s="259">
        <v>5556</v>
      </c>
      <c r="J617" s="259">
        <v>0</v>
      </c>
      <c r="K617" s="259">
        <v>5556</v>
      </c>
      <c r="L617" s="259">
        <v>444</v>
      </c>
      <c r="M617" s="259">
        <v>6000</v>
      </c>
      <c r="N617" s="118">
        <v>8.9999999999999998E-4</v>
      </c>
      <c r="O617" s="411" t="s">
        <v>1086</v>
      </c>
    </row>
    <row r="618" spans="1:15" ht="18" customHeight="1" x14ac:dyDescent="0.25">
      <c r="A618" s="115">
        <v>8</v>
      </c>
      <c r="B618" s="116" t="s">
        <v>100</v>
      </c>
      <c r="C618" s="115">
        <v>39</v>
      </c>
      <c r="D618" s="119" t="s">
        <v>91</v>
      </c>
      <c r="E618" s="119" t="s">
        <v>1162</v>
      </c>
      <c r="F618" s="116" t="s">
        <v>1085</v>
      </c>
      <c r="G618" s="280">
        <v>1</v>
      </c>
      <c r="H618" s="259">
        <v>3333</v>
      </c>
      <c r="I618" s="259">
        <v>3333</v>
      </c>
      <c r="J618" s="259">
        <v>0</v>
      </c>
      <c r="K618" s="259">
        <v>3333</v>
      </c>
      <c r="L618" s="259">
        <v>267</v>
      </c>
      <c r="M618" s="259">
        <v>3600</v>
      </c>
      <c r="N618" s="118">
        <v>5.9999999999999995E-4</v>
      </c>
      <c r="O618" s="411" t="s">
        <v>1086</v>
      </c>
    </row>
    <row r="619" spans="1:15" ht="18" customHeight="1" x14ac:dyDescent="0.25">
      <c r="A619" s="115">
        <v>8</v>
      </c>
      <c r="B619" s="116" t="s">
        <v>100</v>
      </c>
      <c r="C619" s="115">
        <v>1050</v>
      </c>
      <c r="D619" s="119" t="s">
        <v>91</v>
      </c>
      <c r="E619" s="119" t="s">
        <v>1173</v>
      </c>
      <c r="F619" s="116" t="s">
        <v>1085</v>
      </c>
      <c r="G619" s="280">
        <v>1</v>
      </c>
      <c r="H619" s="259">
        <v>3333</v>
      </c>
      <c r="I619" s="259">
        <v>3333</v>
      </c>
      <c r="J619" s="259">
        <v>0</v>
      </c>
      <c r="K619" s="259">
        <v>3333</v>
      </c>
      <c r="L619" s="259">
        <v>267</v>
      </c>
      <c r="M619" s="259">
        <v>3600</v>
      </c>
      <c r="N619" s="118">
        <v>5.9999999999999995E-4</v>
      </c>
      <c r="O619" s="411" t="s">
        <v>1086</v>
      </c>
    </row>
    <row r="620" spans="1:15" ht="18" customHeight="1" x14ac:dyDescent="0.25">
      <c r="A620" s="115">
        <v>9</v>
      </c>
      <c r="B620" s="116" t="s">
        <v>102</v>
      </c>
      <c r="C620" s="115">
        <v>73</v>
      </c>
      <c r="D620" s="119" t="s">
        <v>91</v>
      </c>
      <c r="E620" s="119" t="s">
        <v>1084</v>
      </c>
      <c r="F620" s="116" t="s">
        <v>1085</v>
      </c>
      <c r="G620" s="280">
        <v>17</v>
      </c>
      <c r="H620" s="259">
        <v>2593</v>
      </c>
      <c r="I620" s="259">
        <v>44074</v>
      </c>
      <c r="J620" s="259">
        <v>0</v>
      </c>
      <c r="K620" s="259">
        <v>44074</v>
      </c>
      <c r="L620" s="259">
        <v>3526</v>
      </c>
      <c r="M620" s="259">
        <v>47600</v>
      </c>
      <c r="N620" s="118">
        <v>7.1999999999999998E-3</v>
      </c>
      <c r="O620" s="411" t="s">
        <v>1086</v>
      </c>
    </row>
    <row r="621" spans="1:15" ht="18" customHeight="1" x14ac:dyDescent="0.25">
      <c r="A621" s="115">
        <v>9</v>
      </c>
      <c r="B621" s="116" t="s">
        <v>102</v>
      </c>
      <c r="C621" s="115">
        <v>12</v>
      </c>
      <c r="D621" s="119" t="s">
        <v>93</v>
      </c>
      <c r="E621" s="119" t="s">
        <v>1089</v>
      </c>
      <c r="F621" s="116" t="s">
        <v>1085</v>
      </c>
      <c r="G621" s="280">
        <v>1</v>
      </c>
      <c r="H621" s="259">
        <v>41667</v>
      </c>
      <c r="I621" s="259">
        <v>41667</v>
      </c>
      <c r="J621" s="259">
        <v>0</v>
      </c>
      <c r="K621" s="259">
        <v>41667</v>
      </c>
      <c r="L621" s="259">
        <v>3333</v>
      </c>
      <c r="M621" s="259">
        <v>45000</v>
      </c>
      <c r="N621" s="118">
        <v>6.7999999999999996E-3</v>
      </c>
      <c r="O621" s="411" t="s">
        <v>1086</v>
      </c>
    </row>
    <row r="622" spans="1:15" ht="18" customHeight="1" x14ac:dyDescent="0.25">
      <c r="A622" s="115">
        <v>9</v>
      </c>
      <c r="B622" s="116" t="s">
        <v>102</v>
      </c>
      <c r="C622" s="115">
        <v>40</v>
      </c>
      <c r="D622" s="119" t="s">
        <v>87</v>
      </c>
      <c r="E622" s="119" t="s">
        <v>1143</v>
      </c>
      <c r="F622" s="116" t="s">
        <v>1085</v>
      </c>
      <c r="G622" s="280">
        <v>1</v>
      </c>
      <c r="H622" s="259">
        <v>55093</v>
      </c>
      <c r="I622" s="259">
        <v>55093</v>
      </c>
      <c r="J622" s="259">
        <v>0</v>
      </c>
      <c r="K622" s="259">
        <v>55093</v>
      </c>
      <c r="L622" s="259">
        <v>4407</v>
      </c>
      <c r="M622" s="259">
        <v>59500</v>
      </c>
      <c r="N622" s="118">
        <v>9.0000000000000011E-3</v>
      </c>
      <c r="O622" s="411" t="s">
        <v>1086</v>
      </c>
    </row>
    <row r="623" spans="1:15" ht="18" customHeight="1" x14ac:dyDescent="0.25">
      <c r="A623" s="115">
        <v>9</v>
      </c>
      <c r="B623" s="116" t="s">
        <v>102</v>
      </c>
      <c r="C623" s="115">
        <v>104</v>
      </c>
      <c r="D623" s="119" t="s">
        <v>89</v>
      </c>
      <c r="E623" s="119" t="s">
        <v>165</v>
      </c>
      <c r="F623" s="116" t="s">
        <v>1085</v>
      </c>
      <c r="G623" s="280">
        <v>8</v>
      </c>
      <c r="H623" s="259">
        <v>15741</v>
      </c>
      <c r="I623" s="259">
        <v>125926</v>
      </c>
      <c r="J623" s="259">
        <v>0</v>
      </c>
      <c r="K623" s="259">
        <v>125926</v>
      </c>
      <c r="L623" s="259">
        <v>10074</v>
      </c>
      <c r="M623" s="259">
        <v>136000</v>
      </c>
      <c r="N623" s="118">
        <v>2.0500000000000001E-2</v>
      </c>
      <c r="O623" s="411" t="s">
        <v>1086</v>
      </c>
    </row>
    <row r="624" spans="1:15" ht="18" customHeight="1" x14ac:dyDescent="0.25">
      <c r="A624" s="115">
        <v>9</v>
      </c>
      <c r="B624" s="116" t="s">
        <v>102</v>
      </c>
      <c r="C624" s="115">
        <v>95</v>
      </c>
      <c r="D624" s="119" t="s">
        <v>87</v>
      </c>
      <c r="E624" s="119" t="s">
        <v>1090</v>
      </c>
      <c r="F624" s="116" t="s">
        <v>1085</v>
      </c>
      <c r="G624" s="280">
        <v>2</v>
      </c>
      <c r="H624" s="259">
        <v>926</v>
      </c>
      <c r="I624" s="259">
        <v>1852</v>
      </c>
      <c r="J624" s="259">
        <v>0</v>
      </c>
      <c r="K624" s="259">
        <v>1852</v>
      </c>
      <c r="L624" s="259">
        <v>148</v>
      </c>
      <c r="M624" s="259">
        <v>2000</v>
      </c>
      <c r="N624" s="118">
        <v>2.9999999999999997E-4</v>
      </c>
      <c r="O624" s="411" t="s">
        <v>1086</v>
      </c>
    </row>
    <row r="625" spans="1:15" ht="18" customHeight="1" x14ac:dyDescent="0.25">
      <c r="A625" s="115">
        <v>9</v>
      </c>
      <c r="B625" s="116" t="s">
        <v>102</v>
      </c>
      <c r="C625" s="115">
        <v>54</v>
      </c>
      <c r="D625" s="119" t="s">
        <v>91</v>
      </c>
      <c r="E625" s="119" t="s">
        <v>1145</v>
      </c>
      <c r="F625" s="116" t="s">
        <v>1085</v>
      </c>
      <c r="G625" s="280">
        <v>2</v>
      </c>
      <c r="H625" s="259">
        <v>2315</v>
      </c>
      <c r="I625" s="259">
        <v>4630</v>
      </c>
      <c r="J625" s="259">
        <v>0</v>
      </c>
      <c r="K625" s="259">
        <v>4630</v>
      </c>
      <c r="L625" s="259">
        <v>370</v>
      </c>
      <c r="M625" s="259">
        <v>5000</v>
      </c>
      <c r="N625" s="118">
        <v>8.0000000000000004E-4</v>
      </c>
      <c r="O625" s="411" t="s">
        <v>1086</v>
      </c>
    </row>
    <row r="626" spans="1:15" ht="18" customHeight="1" x14ac:dyDescent="0.25">
      <c r="A626" s="115">
        <v>9</v>
      </c>
      <c r="B626" s="116" t="s">
        <v>102</v>
      </c>
      <c r="C626" s="115">
        <v>5</v>
      </c>
      <c r="D626" s="119" t="s">
        <v>89</v>
      </c>
      <c r="E626" s="119" t="s">
        <v>1146</v>
      </c>
      <c r="F626" s="116" t="s">
        <v>1085</v>
      </c>
      <c r="G626" s="280">
        <v>2</v>
      </c>
      <c r="H626" s="259">
        <v>11111</v>
      </c>
      <c r="I626" s="259">
        <v>22222</v>
      </c>
      <c r="J626" s="259">
        <v>0</v>
      </c>
      <c r="K626" s="259">
        <v>22222</v>
      </c>
      <c r="L626" s="259">
        <v>1778</v>
      </c>
      <c r="M626" s="259">
        <v>24000</v>
      </c>
      <c r="N626" s="118">
        <v>3.5999999999999999E-3</v>
      </c>
      <c r="O626" s="411" t="s">
        <v>1086</v>
      </c>
    </row>
    <row r="627" spans="1:15" ht="18" customHeight="1" x14ac:dyDescent="0.25">
      <c r="A627" s="115">
        <v>9</v>
      </c>
      <c r="B627" s="116" t="s">
        <v>102</v>
      </c>
      <c r="C627" s="115">
        <v>136</v>
      </c>
      <c r="D627" s="119" t="s">
        <v>89</v>
      </c>
      <c r="E627" s="119" t="s">
        <v>1091</v>
      </c>
      <c r="F627" s="116" t="s">
        <v>1085</v>
      </c>
      <c r="G627" s="280">
        <v>9</v>
      </c>
      <c r="H627" s="259">
        <v>24074</v>
      </c>
      <c r="I627" s="259">
        <v>216667</v>
      </c>
      <c r="J627" s="259">
        <v>0</v>
      </c>
      <c r="K627" s="259">
        <v>216667</v>
      </c>
      <c r="L627" s="259">
        <v>17333</v>
      </c>
      <c r="M627" s="259">
        <v>234000</v>
      </c>
      <c r="N627" s="118">
        <v>3.5299999999999998E-2</v>
      </c>
      <c r="O627" s="411" t="s">
        <v>1086</v>
      </c>
    </row>
    <row r="628" spans="1:15" ht="18" customHeight="1" x14ac:dyDescent="0.25">
      <c r="A628" s="115">
        <v>9</v>
      </c>
      <c r="B628" s="116" t="s">
        <v>102</v>
      </c>
      <c r="C628" s="115">
        <v>6</v>
      </c>
      <c r="D628" s="119" t="s">
        <v>89</v>
      </c>
      <c r="E628" s="119" t="s">
        <v>1147</v>
      </c>
      <c r="F628" s="116" t="s">
        <v>1085</v>
      </c>
      <c r="G628" s="280">
        <v>4</v>
      </c>
      <c r="H628" s="259">
        <v>14815</v>
      </c>
      <c r="I628" s="259">
        <v>59259</v>
      </c>
      <c r="J628" s="259">
        <v>0</v>
      </c>
      <c r="K628" s="259">
        <v>59259</v>
      </c>
      <c r="L628" s="259">
        <v>4741</v>
      </c>
      <c r="M628" s="259">
        <v>64000</v>
      </c>
      <c r="N628" s="118">
        <v>9.7000000000000003E-3</v>
      </c>
      <c r="O628" s="411" t="s">
        <v>1086</v>
      </c>
    </row>
    <row r="629" spans="1:15" ht="18" customHeight="1" x14ac:dyDescent="0.25">
      <c r="A629" s="115">
        <v>9</v>
      </c>
      <c r="B629" s="116" t="s">
        <v>102</v>
      </c>
      <c r="C629" s="115">
        <v>8</v>
      </c>
      <c r="D629" s="119" t="s">
        <v>87</v>
      </c>
      <c r="E629" s="119" t="s">
        <v>156</v>
      </c>
      <c r="F629" s="116" t="s">
        <v>1085</v>
      </c>
      <c r="G629" s="280">
        <v>13</v>
      </c>
      <c r="H629" s="259">
        <v>18697</v>
      </c>
      <c r="I629" s="259">
        <v>244444</v>
      </c>
      <c r="J629" s="259">
        <v>1389</v>
      </c>
      <c r="K629" s="259">
        <v>243055</v>
      </c>
      <c r="L629" s="259">
        <v>19444</v>
      </c>
      <c r="M629" s="259">
        <v>262499</v>
      </c>
      <c r="N629" s="118">
        <v>3.9600000000000003E-2</v>
      </c>
      <c r="O629" s="411" t="s">
        <v>1086</v>
      </c>
    </row>
    <row r="630" spans="1:15" ht="18" customHeight="1" x14ac:dyDescent="0.25">
      <c r="A630" s="115">
        <v>9</v>
      </c>
      <c r="B630" s="116" t="s">
        <v>102</v>
      </c>
      <c r="C630" s="115">
        <v>311</v>
      </c>
      <c r="D630" s="119" t="s">
        <v>93</v>
      </c>
      <c r="E630" s="119" t="s">
        <v>1092</v>
      </c>
      <c r="F630" s="116" t="s">
        <v>1085</v>
      </c>
      <c r="G630" s="280">
        <v>1</v>
      </c>
      <c r="H630" s="259">
        <v>44907</v>
      </c>
      <c r="I630" s="259">
        <v>44907</v>
      </c>
      <c r="J630" s="259">
        <v>0</v>
      </c>
      <c r="K630" s="259">
        <v>44907</v>
      </c>
      <c r="L630" s="259">
        <v>3593</v>
      </c>
      <c r="M630" s="259">
        <v>48500</v>
      </c>
      <c r="N630" s="118">
        <v>7.3000000000000001E-3</v>
      </c>
      <c r="O630" s="411" t="s">
        <v>1086</v>
      </c>
    </row>
    <row r="631" spans="1:15" ht="18" customHeight="1" x14ac:dyDescent="0.25">
      <c r="A631" s="115">
        <v>9</v>
      </c>
      <c r="B631" s="116" t="s">
        <v>102</v>
      </c>
      <c r="C631" s="115">
        <v>87</v>
      </c>
      <c r="D631" s="119" t="s">
        <v>89</v>
      </c>
      <c r="E631" s="119" t="s">
        <v>147</v>
      </c>
      <c r="F631" s="116" t="s">
        <v>1085</v>
      </c>
      <c r="G631" s="280">
        <v>5</v>
      </c>
      <c r="H631" s="259">
        <v>37500</v>
      </c>
      <c r="I631" s="259">
        <v>187500</v>
      </c>
      <c r="J631" s="259">
        <v>0</v>
      </c>
      <c r="K631" s="259">
        <v>187500</v>
      </c>
      <c r="L631" s="259">
        <v>15000</v>
      </c>
      <c r="M631" s="259">
        <v>202500</v>
      </c>
      <c r="N631" s="118">
        <v>3.0499999999999999E-2</v>
      </c>
      <c r="O631" s="411" t="s">
        <v>1086</v>
      </c>
    </row>
    <row r="632" spans="1:15" ht="18" customHeight="1" x14ac:dyDescent="0.25">
      <c r="A632" s="115">
        <v>9</v>
      </c>
      <c r="B632" s="116" t="s">
        <v>102</v>
      </c>
      <c r="C632" s="115">
        <v>206</v>
      </c>
      <c r="D632" s="119" t="s">
        <v>93</v>
      </c>
      <c r="E632" s="119" t="s">
        <v>1093</v>
      </c>
      <c r="F632" s="116" t="s">
        <v>1085</v>
      </c>
      <c r="G632" s="280">
        <v>2</v>
      </c>
      <c r="H632" s="259">
        <v>44907</v>
      </c>
      <c r="I632" s="259">
        <v>89815</v>
      </c>
      <c r="J632" s="259">
        <v>0</v>
      </c>
      <c r="K632" s="259">
        <v>89815</v>
      </c>
      <c r="L632" s="259">
        <v>7185</v>
      </c>
      <c r="M632" s="259">
        <v>97000</v>
      </c>
      <c r="N632" s="118">
        <v>1.46E-2</v>
      </c>
      <c r="O632" s="411" t="s">
        <v>1086</v>
      </c>
    </row>
    <row r="633" spans="1:15" ht="18" customHeight="1" x14ac:dyDescent="0.25">
      <c r="A633" s="115">
        <v>9</v>
      </c>
      <c r="B633" s="116" t="s">
        <v>102</v>
      </c>
      <c r="C633" s="115">
        <v>246</v>
      </c>
      <c r="D633" s="119" t="s">
        <v>91</v>
      </c>
      <c r="E633" s="119" t="s">
        <v>1095</v>
      </c>
      <c r="F633" s="116" t="s">
        <v>1085</v>
      </c>
      <c r="G633" s="280">
        <v>2</v>
      </c>
      <c r="H633" s="259">
        <v>6481</v>
      </c>
      <c r="I633" s="259">
        <v>12963</v>
      </c>
      <c r="J633" s="259">
        <v>0</v>
      </c>
      <c r="K633" s="259">
        <v>12963</v>
      </c>
      <c r="L633" s="259">
        <v>1037</v>
      </c>
      <c r="M633" s="259">
        <v>14000</v>
      </c>
      <c r="N633" s="118">
        <v>2.0999999999999999E-3</v>
      </c>
      <c r="O633" s="411" t="s">
        <v>1086</v>
      </c>
    </row>
    <row r="634" spans="1:15" ht="18" customHeight="1" x14ac:dyDescent="0.25">
      <c r="A634" s="115">
        <v>9</v>
      </c>
      <c r="B634" s="116" t="s">
        <v>102</v>
      </c>
      <c r="C634" s="115">
        <v>70</v>
      </c>
      <c r="D634" s="119" t="s">
        <v>91</v>
      </c>
      <c r="E634" s="119" t="s">
        <v>1096</v>
      </c>
      <c r="F634" s="116" t="s">
        <v>1085</v>
      </c>
      <c r="G634" s="280">
        <v>4</v>
      </c>
      <c r="H634" s="259">
        <v>4630</v>
      </c>
      <c r="I634" s="259">
        <v>18519</v>
      </c>
      <c r="J634" s="259">
        <v>0</v>
      </c>
      <c r="K634" s="259">
        <v>18519</v>
      </c>
      <c r="L634" s="259">
        <v>1481</v>
      </c>
      <c r="M634" s="259">
        <v>20000</v>
      </c>
      <c r="N634" s="118">
        <v>3.0000000000000001E-3</v>
      </c>
      <c r="O634" s="411" t="s">
        <v>1086</v>
      </c>
    </row>
    <row r="635" spans="1:15" ht="18" customHeight="1" x14ac:dyDescent="0.25">
      <c r="A635" s="115">
        <v>9</v>
      </c>
      <c r="B635" s="116" t="s">
        <v>102</v>
      </c>
      <c r="C635" s="115">
        <v>71</v>
      </c>
      <c r="D635" s="119" t="s">
        <v>91</v>
      </c>
      <c r="E635" s="119" t="s">
        <v>1097</v>
      </c>
      <c r="F635" s="116" t="s">
        <v>1085</v>
      </c>
      <c r="G635" s="280">
        <v>1</v>
      </c>
      <c r="H635" s="259">
        <v>5556</v>
      </c>
      <c r="I635" s="259">
        <v>5556</v>
      </c>
      <c r="J635" s="259">
        <v>0</v>
      </c>
      <c r="K635" s="259">
        <v>5556</v>
      </c>
      <c r="L635" s="259">
        <v>444</v>
      </c>
      <c r="M635" s="259">
        <v>6000</v>
      </c>
      <c r="N635" s="118">
        <v>8.9999999999999998E-4</v>
      </c>
      <c r="O635" s="411" t="s">
        <v>1086</v>
      </c>
    </row>
    <row r="636" spans="1:15" ht="18" customHeight="1" x14ac:dyDescent="0.25">
      <c r="A636" s="115">
        <v>9</v>
      </c>
      <c r="B636" s="116" t="s">
        <v>102</v>
      </c>
      <c r="C636" s="115">
        <v>83</v>
      </c>
      <c r="D636" s="119" t="s">
        <v>87</v>
      </c>
      <c r="E636" s="119" t="s">
        <v>1098</v>
      </c>
      <c r="F636" s="116" t="s">
        <v>1085</v>
      </c>
      <c r="G636" s="280">
        <v>6</v>
      </c>
      <c r="H636" s="259">
        <v>20833</v>
      </c>
      <c r="I636" s="259">
        <v>125000</v>
      </c>
      <c r="J636" s="259">
        <v>0</v>
      </c>
      <c r="K636" s="259">
        <v>125000</v>
      </c>
      <c r="L636" s="259">
        <v>10000</v>
      </c>
      <c r="M636" s="259">
        <v>135000</v>
      </c>
      <c r="N636" s="118">
        <v>2.0400000000000001E-2</v>
      </c>
      <c r="O636" s="411" t="s">
        <v>1086</v>
      </c>
    </row>
    <row r="637" spans="1:15" ht="18" customHeight="1" x14ac:dyDescent="0.25">
      <c r="A637" s="115">
        <v>9</v>
      </c>
      <c r="B637" s="116" t="s">
        <v>102</v>
      </c>
      <c r="C637" s="115">
        <v>43</v>
      </c>
      <c r="D637" s="119" t="s">
        <v>87</v>
      </c>
      <c r="E637" s="119" t="s">
        <v>1099</v>
      </c>
      <c r="F637" s="116" t="s">
        <v>1085</v>
      </c>
      <c r="G637" s="280">
        <v>1</v>
      </c>
      <c r="H637" s="259">
        <v>8333</v>
      </c>
      <c r="I637" s="259">
        <v>8333</v>
      </c>
      <c r="J637" s="259">
        <v>0</v>
      </c>
      <c r="K637" s="259">
        <v>8333</v>
      </c>
      <c r="L637" s="259">
        <v>667</v>
      </c>
      <c r="M637" s="259">
        <v>9000</v>
      </c>
      <c r="N637" s="118">
        <v>1.4E-3</v>
      </c>
      <c r="O637" s="411" t="s">
        <v>1086</v>
      </c>
    </row>
    <row r="638" spans="1:15" ht="18" customHeight="1" x14ac:dyDescent="0.25">
      <c r="A638" s="115">
        <v>9</v>
      </c>
      <c r="B638" s="116" t="s">
        <v>102</v>
      </c>
      <c r="C638" s="115">
        <v>41</v>
      </c>
      <c r="D638" s="119" t="s">
        <v>87</v>
      </c>
      <c r="E638" s="119" t="s">
        <v>168</v>
      </c>
      <c r="F638" s="116" t="s">
        <v>1085</v>
      </c>
      <c r="G638" s="280">
        <v>3</v>
      </c>
      <c r="H638" s="259">
        <v>49074</v>
      </c>
      <c r="I638" s="259">
        <v>147222</v>
      </c>
      <c r="J638" s="259">
        <v>0</v>
      </c>
      <c r="K638" s="259">
        <v>147222</v>
      </c>
      <c r="L638" s="259">
        <v>11778</v>
      </c>
      <c r="M638" s="259">
        <v>159000</v>
      </c>
      <c r="N638" s="118">
        <v>2.4E-2</v>
      </c>
      <c r="O638" s="411" t="s">
        <v>1086</v>
      </c>
    </row>
    <row r="639" spans="1:15" ht="18" customHeight="1" x14ac:dyDescent="0.25">
      <c r="A639" s="115">
        <v>9</v>
      </c>
      <c r="B639" s="116" t="s">
        <v>102</v>
      </c>
      <c r="C639" s="115">
        <v>122</v>
      </c>
      <c r="D639" s="119" t="s">
        <v>91</v>
      </c>
      <c r="E639" s="119" t="s">
        <v>1100</v>
      </c>
      <c r="F639" s="116" t="s">
        <v>1085</v>
      </c>
      <c r="G639" s="280">
        <v>2</v>
      </c>
      <c r="H639" s="259">
        <v>2698</v>
      </c>
      <c r="I639" s="259">
        <v>5556</v>
      </c>
      <c r="J639" s="259">
        <v>159</v>
      </c>
      <c r="K639" s="259">
        <v>5397</v>
      </c>
      <c r="L639" s="259">
        <v>432</v>
      </c>
      <c r="M639" s="259">
        <v>5829</v>
      </c>
      <c r="N639" s="118">
        <v>8.9999999999999998E-4</v>
      </c>
      <c r="O639" s="411" t="s">
        <v>1086</v>
      </c>
    </row>
    <row r="640" spans="1:15" ht="18" customHeight="1" x14ac:dyDescent="0.25">
      <c r="A640" s="115">
        <v>9</v>
      </c>
      <c r="B640" s="116" t="s">
        <v>102</v>
      </c>
      <c r="C640" s="115">
        <v>247</v>
      </c>
      <c r="D640" s="119" t="s">
        <v>87</v>
      </c>
      <c r="E640" s="119" t="s">
        <v>1165</v>
      </c>
      <c r="F640" s="116" t="s">
        <v>1085</v>
      </c>
      <c r="G640" s="280">
        <v>2</v>
      </c>
      <c r="H640" s="259">
        <v>3056</v>
      </c>
      <c r="I640" s="259">
        <v>6111</v>
      </c>
      <c r="J640" s="259">
        <v>0</v>
      </c>
      <c r="K640" s="259">
        <v>6111</v>
      </c>
      <c r="L640" s="259">
        <v>489</v>
      </c>
      <c r="M640" s="259">
        <v>6600</v>
      </c>
      <c r="N640" s="118">
        <v>1E-3</v>
      </c>
      <c r="O640" s="411" t="s">
        <v>1086</v>
      </c>
    </row>
    <row r="641" spans="1:15" ht="18" customHeight="1" x14ac:dyDescent="0.25">
      <c r="A641" s="115">
        <v>9</v>
      </c>
      <c r="B641" s="116" t="s">
        <v>102</v>
      </c>
      <c r="C641" s="115">
        <v>42</v>
      </c>
      <c r="D641" s="119" t="s">
        <v>87</v>
      </c>
      <c r="E641" s="119" t="s">
        <v>359</v>
      </c>
      <c r="F641" s="116" t="s">
        <v>1085</v>
      </c>
      <c r="G641" s="280">
        <v>1</v>
      </c>
      <c r="H641" s="259">
        <v>32407</v>
      </c>
      <c r="I641" s="259">
        <v>32407</v>
      </c>
      <c r="J641" s="259">
        <v>0</v>
      </c>
      <c r="K641" s="259">
        <v>32407</v>
      </c>
      <c r="L641" s="259">
        <v>2593</v>
      </c>
      <c r="M641" s="259">
        <v>35000</v>
      </c>
      <c r="N641" s="118">
        <v>5.3E-3</v>
      </c>
      <c r="O641" s="411" t="s">
        <v>1086</v>
      </c>
    </row>
    <row r="642" spans="1:15" ht="18" customHeight="1" x14ac:dyDescent="0.25">
      <c r="A642" s="115">
        <v>9</v>
      </c>
      <c r="B642" s="116" t="s">
        <v>102</v>
      </c>
      <c r="C642" s="115">
        <v>44</v>
      </c>
      <c r="D642" s="119" t="s">
        <v>87</v>
      </c>
      <c r="E642" s="119" t="s">
        <v>138</v>
      </c>
      <c r="F642" s="116" t="s">
        <v>1085</v>
      </c>
      <c r="G642" s="280">
        <v>3</v>
      </c>
      <c r="H642" s="259">
        <v>28241</v>
      </c>
      <c r="I642" s="259">
        <v>84722</v>
      </c>
      <c r="J642" s="259">
        <v>0</v>
      </c>
      <c r="K642" s="259">
        <v>84722</v>
      </c>
      <c r="L642" s="259">
        <v>6778</v>
      </c>
      <c r="M642" s="259">
        <v>91500</v>
      </c>
      <c r="N642" s="118">
        <v>1.38E-2</v>
      </c>
      <c r="O642" s="411" t="s">
        <v>1086</v>
      </c>
    </row>
    <row r="643" spans="1:15" ht="18" customHeight="1" x14ac:dyDescent="0.25">
      <c r="A643" s="115">
        <v>9</v>
      </c>
      <c r="B643" s="116" t="s">
        <v>102</v>
      </c>
      <c r="C643" s="115">
        <v>110</v>
      </c>
      <c r="D643" s="119" t="s">
        <v>99</v>
      </c>
      <c r="E643" s="119" t="s">
        <v>1101</v>
      </c>
      <c r="F643" s="116" t="s">
        <v>1085</v>
      </c>
      <c r="G643" s="280">
        <v>24</v>
      </c>
      <c r="H643" s="259">
        <v>922</v>
      </c>
      <c r="I643" s="259">
        <v>22222</v>
      </c>
      <c r="J643" s="259">
        <v>106</v>
      </c>
      <c r="K643" s="259">
        <v>22116</v>
      </c>
      <c r="L643" s="259">
        <v>1769</v>
      </c>
      <c r="M643" s="259">
        <v>23885</v>
      </c>
      <c r="N643" s="118">
        <v>3.5999999999999999E-3</v>
      </c>
      <c r="O643" s="411" t="s">
        <v>1086</v>
      </c>
    </row>
    <row r="644" spans="1:15" ht="18" customHeight="1" x14ac:dyDescent="0.25">
      <c r="A644" s="115">
        <v>9</v>
      </c>
      <c r="B644" s="116" t="s">
        <v>102</v>
      </c>
      <c r="C644" s="115">
        <v>102</v>
      </c>
      <c r="D644" s="119" t="s">
        <v>87</v>
      </c>
      <c r="E644" s="119" t="s">
        <v>1151</v>
      </c>
      <c r="F644" s="116" t="s">
        <v>1085</v>
      </c>
      <c r="G644" s="280">
        <v>2</v>
      </c>
      <c r="H644" s="259">
        <v>6944</v>
      </c>
      <c r="I644" s="259">
        <v>13889</v>
      </c>
      <c r="J644" s="259">
        <v>0</v>
      </c>
      <c r="K644" s="259">
        <v>13889</v>
      </c>
      <c r="L644" s="259">
        <v>1111</v>
      </c>
      <c r="M644" s="259">
        <v>15000</v>
      </c>
      <c r="N644" s="118">
        <v>2.3E-3</v>
      </c>
      <c r="O644" s="411" t="s">
        <v>1086</v>
      </c>
    </row>
    <row r="645" spans="1:15" ht="18" customHeight="1" x14ac:dyDescent="0.25">
      <c r="A645" s="115">
        <v>9</v>
      </c>
      <c r="B645" s="116" t="s">
        <v>102</v>
      </c>
      <c r="C645" s="115">
        <v>26</v>
      </c>
      <c r="D645" s="119" t="s">
        <v>87</v>
      </c>
      <c r="E645" s="119" t="s">
        <v>1167</v>
      </c>
      <c r="F645" s="116" t="s">
        <v>1085</v>
      </c>
      <c r="G645" s="280">
        <v>2</v>
      </c>
      <c r="H645" s="259">
        <v>18519</v>
      </c>
      <c r="I645" s="259">
        <v>37037</v>
      </c>
      <c r="J645" s="259">
        <v>0</v>
      </c>
      <c r="K645" s="259">
        <v>37037</v>
      </c>
      <c r="L645" s="259">
        <v>2963</v>
      </c>
      <c r="M645" s="259">
        <v>40000</v>
      </c>
      <c r="N645" s="118">
        <v>6.0000000000000001E-3</v>
      </c>
      <c r="O645" s="411" t="s">
        <v>1086</v>
      </c>
    </row>
    <row r="646" spans="1:15" ht="18" customHeight="1" x14ac:dyDescent="0.25">
      <c r="A646" s="115">
        <v>9</v>
      </c>
      <c r="B646" s="116" t="s">
        <v>102</v>
      </c>
      <c r="C646" s="115">
        <v>45</v>
      </c>
      <c r="D646" s="119" t="s">
        <v>87</v>
      </c>
      <c r="E646" s="119" t="s">
        <v>1102</v>
      </c>
      <c r="F646" s="116" t="s">
        <v>1085</v>
      </c>
      <c r="G646" s="280">
        <v>7</v>
      </c>
      <c r="H646" s="259">
        <v>35648</v>
      </c>
      <c r="I646" s="259">
        <v>249537</v>
      </c>
      <c r="J646" s="259">
        <v>0</v>
      </c>
      <c r="K646" s="259">
        <v>249537</v>
      </c>
      <c r="L646" s="259">
        <v>19963</v>
      </c>
      <c r="M646" s="259">
        <v>269500</v>
      </c>
      <c r="N646" s="118">
        <v>4.0599999999999997E-2</v>
      </c>
      <c r="O646" s="411" t="s">
        <v>1086</v>
      </c>
    </row>
    <row r="647" spans="1:15" ht="18" customHeight="1" x14ac:dyDescent="0.25">
      <c r="A647" s="115">
        <v>9</v>
      </c>
      <c r="B647" s="116" t="s">
        <v>102</v>
      </c>
      <c r="C647" s="115">
        <v>30</v>
      </c>
      <c r="D647" s="119" t="s">
        <v>95</v>
      </c>
      <c r="E647" s="119" t="s">
        <v>1103</v>
      </c>
      <c r="F647" s="116" t="s">
        <v>1085</v>
      </c>
      <c r="G647" s="280">
        <v>1</v>
      </c>
      <c r="H647" s="259">
        <v>6481</v>
      </c>
      <c r="I647" s="259">
        <v>6481</v>
      </c>
      <c r="J647" s="259">
        <v>0</v>
      </c>
      <c r="K647" s="259">
        <v>6481</v>
      </c>
      <c r="L647" s="259">
        <v>519</v>
      </c>
      <c r="M647" s="259">
        <v>7000</v>
      </c>
      <c r="N647" s="118">
        <v>1.1000000000000001E-3</v>
      </c>
      <c r="O647" s="411" t="s">
        <v>1086</v>
      </c>
    </row>
    <row r="648" spans="1:15" ht="18" customHeight="1" x14ac:dyDescent="0.25">
      <c r="A648" s="115">
        <v>9</v>
      </c>
      <c r="B648" s="116" t="s">
        <v>102</v>
      </c>
      <c r="C648" s="115">
        <v>94</v>
      </c>
      <c r="D648" s="119" t="s">
        <v>89</v>
      </c>
      <c r="E648" s="119" t="s">
        <v>153</v>
      </c>
      <c r="F648" s="116" t="s">
        <v>1085</v>
      </c>
      <c r="G648" s="280">
        <v>10</v>
      </c>
      <c r="H648" s="259">
        <v>18611</v>
      </c>
      <c r="I648" s="259">
        <v>186111</v>
      </c>
      <c r="J648" s="259">
        <v>0</v>
      </c>
      <c r="K648" s="259">
        <v>186111</v>
      </c>
      <c r="L648" s="259">
        <v>14889</v>
      </c>
      <c r="M648" s="259">
        <v>201000</v>
      </c>
      <c r="N648" s="118">
        <v>3.0300000000000001E-2</v>
      </c>
      <c r="O648" s="411" t="s">
        <v>1086</v>
      </c>
    </row>
    <row r="649" spans="1:15" ht="18" customHeight="1" x14ac:dyDescent="0.25">
      <c r="A649" s="115">
        <v>9</v>
      </c>
      <c r="B649" s="116" t="s">
        <v>102</v>
      </c>
      <c r="C649" s="115">
        <v>233</v>
      </c>
      <c r="D649" s="119" t="s">
        <v>89</v>
      </c>
      <c r="E649" s="119" t="s">
        <v>117</v>
      </c>
      <c r="F649" s="116" t="s">
        <v>1085</v>
      </c>
      <c r="G649" s="280">
        <v>48</v>
      </c>
      <c r="H649" s="259">
        <v>18455</v>
      </c>
      <c r="I649" s="259">
        <v>891667</v>
      </c>
      <c r="J649" s="259">
        <v>5820</v>
      </c>
      <c r="K649" s="259">
        <v>885847</v>
      </c>
      <c r="L649" s="259">
        <v>70868</v>
      </c>
      <c r="M649" s="259">
        <v>956715</v>
      </c>
      <c r="N649" s="118">
        <v>0.14430000000000001</v>
      </c>
      <c r="O649" s="411" t="s">
        <v>1086</v>
      </c>
    </row>
    <row r="650" spans="1:15" ht="18" customHeight="1" x14ac:dyDescent="0.25">
      <c r="A650" s="115">
        <v>9</v>
      </c>
      <c r="B650" s="116" t="s">
        <v>102</v>
      </c>
      <c r="C650" s="115">
        <v>217</v>
      </c>
      <c r="D650" s="119" t="s">
        <v>89</v>
      </c>
      <c r="E650" s="119" t="s">
        <v>1105</v>
      </c>
      <c r="F650" s="116" t="s">
        <v>1085</v>
      </c>
      <c r="G650" s="280">
        <v>1</v>
      </c>
      <c r="H650" s="259">
        <v>27778</v>
      </c>
      <c r="I650" s="259">
        <v>27778</v>
      </c>
      <c r="J650" s="259">
        <v>0</v>
      </c>
      <c r="K650" s="259">
        <v>27778</v>
      </c>
      <c r="L650" s="259">
        <v>2222</v>
      </c>
      <c r="M650" s="259">
        <v>30000</v>
      </c>
      <c r="N650" s="118">
        <v>4.5000000000000014E-3</v>
      </c>
      <c r="O650" s="411" t="s">
        <v>1086</v>
      </c>
    </row>
    <row r="651" spans="1:15" ht="18" customHeight="1" x14ac:dyDescent="0.25">
      <c r="A651" s="115">
        <v>9</v>
      </c>
      <c r="B651" s="116" t="s">
        <v>102</v>
      </c>
      <c r="C651" s="115">
        <v>218</v>
      </c>
      <c r="D651" s="119" t="s">
        <v>89</v>
      </c>
      <c r="E651" s="119" t="s">
        <v>1106</v>
      </c>
      <c r="F651" s="116" t="s">
        <v>1085</v>
      </c>
      <c r="G651" s="280">
        <v>9</v>
      </c>
      <c r="H651" s="259">
        <v>18401</v>
      </c>
      <c r="I651" s="259">
        <v>166667</v>
      </c>
      <c r="J651" s="259">
        <v>1058</v>
      </c>
      <c r="K651" s="259">
        <v>165609</v>
      </c>
      <c r="L651" s="259">
        <v>13249</v>
      </c>
      <c r="M651" s="259">
        <v>178858</v>
      </c>
      <c r="N651" s="118">
        <v>2.7E-2</v>
      </c>
      <c r="O651" s="411" t="s">
        <v>1086</v>
      </c>
    </row>
    <row r="652" spans="1:15" ht="18" customHeight="1" x14ac:dyDescent="0.25">
      <c r="A652" s="115">
        <v>9</v>
      </c>
      <c r="B652" s="116" t="s">
        <v>102</v>
      </c>
      <c r="C652" s="115">
        <v>34</v>
      </c>
      <c r="D652" s="119" t="s">
        <v>91</v>
      </c>
      <c r="E652" s="119" t="s">
        <v>1107</v>
      </c>
      <c r="F652" s="116" t="s">
        <v>1085</v>
      </c>
      <c r="G652" s="280">
        <v>2</v>
      </c>
      <c r="H652" s="259">
        <v>6481</v>
      </c>
      <c r="I652" s="259">
        <v>12963</v>
      </c>
      <c r="J652" s="259">
        <v>0</v>
      </c>
      <c r="K652" s="259">
        <v>12963</v>
      </c>
      <c r="L652" s="259">
        <v>1037</v>
      </c>
      <c r="M652" s="259">
        <v>14000</v>
      </c>
      <c r="N652" s="118">
        <v>2.0999999999999999E-3</v>
      </c>
      <c r="O652" s="411" t="s">
        <v>1086</v>
      </c>
    </row>
    <row r="653" spans="1:15" ht="18" customHeight="1" x14ac:dyDescent="0.25">
      <c r="A653" s="115">
        <v>9</v>
      </c>
      <c r="B653" s="116" t="s">
        <v>102</v>
      </c>
      <c r="C653" s="115">
        <v>121</v>
      </c>
      <c r="D653" s="119" t="s">
        <v>91</v>
      </c>
      <c r="E653" s="119" t="s">
        <v>1108</v>
      </c>
      <c r="F653" s="116" t="s">
        <v>1085</v>
      </c>
      <c r="G653" s="280">
        <v>3</v>
      </c>
      <c r="H653" s="259">
        <v>2778</v>
      </c>
      <c r="I653" s="259">
        <v>8333</v>
      </c>
      <c r="J653" s="259">
        <v>0</v>
      </c>
      <c r="K653" s="259">
        <v>8333</v>
      </c>
      <c r="L653" s="259">
        <v>667</v>
      </c>
      <c r="M653" s="259">
        <v>9000</v>
      </c>
      <c r="N653" s="118">
        <v>1.4E-3</v>
      </c>
      <c r="O653" s="411" t="s">
        <v>1086</v>
      </c>
    </row>
    <row r="654" spans="1:15" ht="18" customHeight="1" x14ac:dyDescent="0.25">
      <c r="A654" s="115">
        <v>9</v>
      </c>
      <c r="B654" s="116" t="s">
        <v>102</v>
      </c>
      <c r="C654" s="115">
        <v>208</v>
      </c>
      <c r="D654" s="119" t="s">
        <v>91</v>
      </c>
      <c r="E654" s="119" t="s">
        <v>1109</v>
      </c>
      <c r="F654" s="116" t="s">
        <v>1085</v>
      </c>
      <c r="G654" s="280">
        <v>15</v>
      </c>
      <c r="H654" s="259">
        <v>3704</v>
      </c>
      <c r="I654" s="259">
        <v>55556</v>
      </c>
      <c r="J654" s="259">
        <v>0</v>
      </c>
      <c r="K654" s="259">
        <v>55556</v>
      </c>
      <c r="L654" s="259">
        <v>4444</v>
      </c>
      <c r="M654" s="259">
        <v>60000</v>
      </c>
      <c r="N654" s="118">
        <v>9.0000000000000011E-3</v>
      </c>
      <c r="O654" s="411" t="s">
        <v>1086</v>
      </c>
    </row>
    <row r="655" spans="1:15" ht="18" customHeight="1" x14ac:dyDescent="0.25">
      <c r="A655" s="115">
        <v>9</v>
      </c>
      <c r="B655" s="116" t="s">
        <v>102</v>
      </c>
      <c r="C655" s="115">
        <v>90</v>
      </c>
      <c r="D655" s="119" t="s">
        <v>91</v>
      </c>
      <c r="E655" s="119" t="s">
        <v>572</v>
      </c>
      <c r="F655" s="116" t="s">
        <v>1085</v>
      </c>
      <c r="G655" s="280">
        <v>2</v>
      </c>
      <c r="H655" s="259">
        <v>4259</v>
      </c>
      <c r="I655" s="259">
        <v>8519</v>
      </c>
      <c r="J655" s="259">
        <v>0</v>
      </c>
      <c r="K655" s="259">
        <v>8519</v>
      </c>
      <c r="L655" s="259">
        <v>681</v>
      </c>
      <c r="M655" s="259">
        <v>9200</v>
      </c>
      <c r="N655" s="118">
        <v>1.4E-3</v>
      </c>
      <c r="O655" s="411" t="s">
        <v>1086</v>
      </c>
    </row>
    <row r="656" spans="1:15" ht="18" customHeight="1" x14ac:dyDescent="0.25">
      <c r="A656" s="115">
        <v>9</v>
      </c>
      <c r="B656" s="116" t="s">
        <v>102</v>
      </c>
      <c r="C656" s="115">
        <v>209</v>
      </c>
      <c r="D656" s="119" t="s">
        <v>87</v>
      </c>
      <c r="E656" s="119" t="s">
        <v>1207</v>
      </c>
      <c r="F656" s="116" t="s">
        <v>1085</v>
      </c>
      <c r="G656" s="280">
        <v>33</v>
      </c>
      <c r="H656" s="259">
        <v>18687</v>
      </c>
      <c r="I656" s="259">
        <v>619444</v>
      </c>
      <c r="J656" s="259">
        <v>2778</v>
      </c>
      <c r="K656" s="259">
        <v>616666</v>
      </c>
      <c r="L656" s="259">
        <v>49333</v>
      </c>
      <c r="M656" s="259">
        <v>665999</v>
      </c>
      <c r="N656" s="118">
        <v>0.10050000000000001</v>
      </c>
      <c r="O656" s="411" t="s">
        <v>1086</v>
      </c>
    </row>
    <row r="657" spans="1:15" ht="18" customHeight="1" x14ac:dyDescent="0.25">
      <c r="A657" s="115">
        <v>9</v>
      </c>
      <c r="B657" s="116" t="s">
        <v>102</v>
      </c>
      <c r="C657" s="115">
        <v>314</v>
      </c>
      <c r="D657" s="119" t="s">
        <v>87</v>
      </c>
      <c r="E657" s="119" t="s">
        <v>1152</v>
      </c>
      <c r="F657" s="116" t="s">
        <v>1085</v>
      </c>
      <c r="G657" s="280">
        <v>2</v>
      </c>
      <c r="H657" s="259">
        <v>4167</v>
      </c>
      <c r="I657" s="259">
        <v>8333</v>
      </c>
      <c r="J657" s="259">
        <v>0</v>
      </c>
      <c r="K657" s="259">
        <v>8333</v>
      </c>
      <c r="L657" s="259">
        <v>667</v>
      </c>
      <c r="M657" s="259">
        <v>9000</v>
      </c>
      <c r="N657" s="118">
        <v>1.4E-3</v>
      </c>
      <c r="O657" s="411" t="s">
        <v>1086</v>
      </c>
    </row>
    <row r="658" spans="1:15" ht="18" customHeight="1" x14ac:dyDescent="0.25">
      <c r="A658" s="115">
        <v>9</v>
      </c>
      <c r="B658" s="116" t="s">
        <v>102</v>
      </c>
      <c r="C658" s="115">
        <v>31</v>
      </c>
      <c r="D658" s="119" t="s">
        <v>95</v>
      </c>
      <c r="E658" s="119" t="s">
        <v>1111</v>
      </c>
      <c r="F658" s="116" t="s">
        <v>1085</v>
      </c>
      <c r="G658" s="280">
        <v>11</v>
      </c>
      <c r="H658" s="259">
        <v>1204</v>
      </c>
      <c r="I658" s="259">
        <v>13241</v>
      </c>
      <c r="J658" s="259">
        <v>0</v>
      </c>
      <c r="K658" s="259">
        <v>13241</v>
      </c>
      <c r="L658" s="259">
        <v>1059</v>
      </c>
      <c r="M658" s="259">
        <v>14300</v>
      </c>
      <c r="N658" s="118">
        <v>2.2000000000000001E-3</v>
      </c>
      <c r="O658" s="411" t="s">
        <v>1086</v>
      </c>
    </row>
    <row r="659" spans="1:15" ht="18" customHeight="1" x14ac:dyDescent="0.25">
      <c r="A659" s="115">
        <v>9</v>
      </c>
      <c r="B659" s="116" t="s">
        <v>102</v>
      </c>
      <c r="C659" s="115">
        <v>212</v>
      </c>
      <c r="D659" s="119" t="s">
        <v>91</v>
      </c>
      <c r="E659" s="119" t="s">
        <v>162</v>
      </c>
      <c r="F659" s="116" t="s">
        <v>1085</v>
      </c>
      <c r="G659" s="280">
        <v>2</v>
      </c>
      <c r="H659" s="259">
        <v>22222</v>
      </c>
      <c r="I659" s="259">
        <v>44444</v>
      </c>
      <c r="J659" s="259">
        <v>0</v>
      </c>
      <c r="K659" s="259">
        <v>44444</v>
      </c>
      <c r="L659" s="259">
        <v>3556</v>
      </c>
      <c r="M659" s="259">
        <v>48000</v>
      </c>
      <c r="N659" s="118">
        <v>7.1999999999999998E-3</v>
      </c>
      <c r="O659" s="411" t="s">
        <v>1086</v>
      </c>
    </row>
    <row r="660" spans="1:15" ht="18" customHeight="1" x14ac:dyDescent="0.25">
      <c r="A660" s="115">
        <v>9</v>
      </c>
      <c r="B660" s="116" t="s">
        <v>102</v>
      </c>
      <c r="C660" s="115">
        <v>74</v>
      </c>
      <c r="D660" s="119" t="s">
        <v>91</v>
      </c>
      <c r="E660" s="119" t="s">
        <v>1153</v>
      </c>
      <c r="F660" s="116" t="s">
        <v>1085</v>
      </c>
      <c r="G660" s="280">
        <v>3</v>
      </c>
      <c r="H660" s="259">
        <v>6481</v>
      </c>
      <c r="I660" s="259">
        <v>19444</v>
      </c>
      <c r="J660" s="259">
        <v>0</v>
      </c>
      <c r="K660" s="259">
        <v>19444</v>
      </c>
      <c r="L660" s="259">
        <v>1556</v>
      </c>
      <c r="M660" s="259">
        <v>21000</v>
      </c>
      <c r="N660" s="118">
        <v>3.2000000000000002E-3</v>
      </c>
      <c r="O660" s="411" t="s">
        <v>1086</v>
      </c>
    </row>
    <row r="661" spans="1:15" ht="18" customHeight="1" x14ac:dyDescent="0.25">
      <c r="A661" s="115">
        <v>9</v>
      </c>
      <c r="B661" s="116" t="s">
        <v>102</v>
      </c>
      <c r="C661" s="115">
        <v>235</v>
      </c>
      <c r="D661" s="119" t="s">
        <v>91</v>
      </c>
      <c r="E661" s="119" t="s">
        <v>1154</v>
      </c>
      <c r="F661" s="116" t="s">
        <v>1085</v>
      </c>
      <c r="G661" s="280">
        <v>3</v>
      </c>
      <c r="H661" s="259">
        <v>3426</v>
      </c>
      <c r="I661" s="259">
        <v>10278</v>
      </c>
      <c r="J661" s="259">
        <v>0</v>
      </c>
      <c r="K661" s="259">
        <v>10278</v>
      </c>
      <c r="L661" s="259">
        <v>822</v>
      </c>
      <c r="M661" s="259">
        <v>11100</v>
      </c>
      <c r="N661" s="118">
        <v>1.6999999999999999E-3</v>
      </c>
      <c r="O661" s="411" t="s">
        <v>1086</v>
      </c>
    </row>
    <row r="662" spans="1:15" ht="18" customHeight="1" x14ac:dyDescent="0.25">
      <c r="A662" s="115">
        <v>9</v>
      </c>
      <c r="B662" s="116" t="s">
        <v>102</v>
      </c>
      <c r="C662" s="115">
        <v>75</v>
      </c>
      <c r="D662" s="119" t="s">
        <v>91</v>
      </c>
      <c r="E662" s="119" t="s">
        <v>1113</v>
      </c>
      <c r="F662" s="116" t="s">
        <v>1085</v>
      </c>
      <c r="G662" s="280">
        <v>5</v>
      </c>
      <c r="H662" s="259">
        <v>9259</v>
      </c>
      <c r="I662" s="259">
        <v>46296</v>
      </c>
      <c r="J662" s="259">
        <v>0</v>
      </c>
      <c r="K662" s="259">
        <v>46296</v>
      </c>
      <c r="L662" s="259">
        <v>3704</v>
      </c>
      <c r="M662" s="259">
        <v>50000</v>
      </c>
      <c r="N662" s="118">
        <v>7.4999999999999997E-3</v>
      </c>
      <c r="O662" s="411" t="s">
        <v>1086</v>
      </c>
    </row>
    <row r="663" spans="1:15" ht="18" customHeight="1" x14ac:dyDescent="0.25">
      <c r="A663" s="115">
        <v>9</v>
      </c>
      <c r="B663" s="116" t="s">
        <v>102</v>
      </c>
      <c r="C663" s="115">
        <v>118</v>
      </c>
      <c r="D663" s="119" t="s">
        <v>87</v>
      </c>
      <c r="E663" s="119" t="s">
        <v>126</v>
      </c>
      <c r="F663" s="116" t="s">
        <v>1085</v>
      </c>
      <c r="G663" s="280">
        <v>3</v>
      </c>
      <c r="H663" s="259">
        <v>41667</v>
      </c>
      <c r="I663" s="259">
        <v>125000</v>
      </c>
      <c r="J663" s="259">
        <v>0</v>
      </c>
      <c r="K663" s="259">
        <v>125000</v>
      </c>
      <c r="L663" s="259">
        <v>10000</v>
      </c>
      <c r="M663" s="259">
        <v>135000</v>
      </c>
      <c r="N663" s="118">
        <v>2.0400000000000001E-2</v>
      </c>
      <c r="O663" s="411" t="s">
        <v>1086</v>
      </c>
    </row>
    <row r="664" spans="1:15" ht="18" customHeight="1" x14ac:dyDescent="0.25">
      <c r="A664" s="115">
        <v>9</v>
      </c>
      <c r="B664" s="116" t="s">
        <v>102</v>
      </c>
      <c r="C664" s="115">
        <v>205</v>
      </c>
      <c r="D664" s="119" t="s">
        <v>91</v>
      </c>
      <c r="E664" s="119" t="s">
        <v>1155</v>
      </c>
      <c r="F664" s="116" t="s">
        <v>1085</v>
      </c>
      <c r="G664" s="280">
        <v>1</v>
      </c>
      <c r="H664" s="259">
        <v>12037</v>
      </c>
      <c r="I664" s="259">
        <v>12037</v>
      </c>
      <c r="J664" s="259">
        <v>0</v>
      </c>
      <c r="K664" s="259">
        <v>12037</v>
      </c>
      <c r="L664" s="259">
        <v>963</v>
      </c>
      <c r="M664" s="259">
        <v>13000</v>
      </c>
      <c r="N664" s="118">
        <v>2E-3</v>
      </c>
      <c r="O664" s="411" t="s">
        <v>1086</v>
      </c>
    </row>
    <row r="665" spans="1:15" ht="18" customHeight="1" x14ac:dyDescent="0.25">
      <c r="A665" s="115">
        <v>9</v>
      </c>
      <c r="B665" s="116" t="s">
        <v>102</v>
      </c>
      <c r="C665" s="115">
        <v>109</v>
      </c>
      <c r="D665" s="119" t="s">
        <v>91</v>
      </c>
      <c r="E665" s="119" t="s">
        <v>144</v>
      </c>
      <c r="F665" s="116" t="s">
        <v>1085</v>
      </c>
      <c r="G665" s="280">
        <v>5</v>
      </c>
      <c r="H665" s="259">
        <v>12963</v>
      </c>
      <c r="I665" s="259">
        <v>64815</v>
      </c>
      <c r="J665" s="259">
        <v>0</v>
      </c>
      <c r="K665" s="259">
        <v>64815</v>
      </c>
      <c r="L665" s="259">
        <v>5185</v>
      </c>
      <c r="M665" s="259">
        <v>70000</v>
      </c>
      <c r="N665" s="118">
        <v>1.06E-2</v>
      </c>
      <c r="O665" s="411" t="s">
        <v>1086</v>
      </c>
    </row>
    <row r="666" spans="1:15" ht="18" customHeight="1" x14ac:dyDescent="0.25">
      <c r="A666" s="115">
        <v>9</v>
      </c>
      <c r="B666" s="116" t="s">
        <v>102</v>
      </c>
      <c r="C666" s="115">
        <v>147</v>
      </c>
      <c r="D666" s="119" t="s">
        <v>91</v>
      </c>
      <c r="E666" s="119" t="s">
        <v>1115</v>
      </c>
      <c r="F666" s="116" t="s">
        <v>1085</v>
      </c>
      <c r="G666" s="280">
        <v>2</v>
      </c>
      <c r="H666" s="259">
        <v>6481</v>
      </c>
      <c r="I666" s="259">
        <v>12963</v>
      </c>
      <c r="J666" s="259">
        <v>0</v>
      </c>
      <c r="K666" s="259">
        <v>12963</v>
      </c>
      <c r="L666" s="259">
        <v>1037</v>
      </c>
      <c r="M666" s="259">
        <v>14000</v>
      </c>
      <c r="N666" s="118">
        <v>2.0999999999999999E-3</v>
      </c>
      <c r="O666" s="411" t="s">
        <v>1086</v>
      </c>
    </row>
    <row r="667" spans="1:15" ht="18" customHeight="1" x14ac:dyDescent="0.25">
      <c r="A667" s="115">
        <v>9</v>
      </c>
      <c r="B667" s="116" t="s">
        <v>102</v>
      </c>
      <c r="C667" s="115">
        <v>46</v>
      </c>
      <c r="D667" s="119" t="s">
        <v>87</v>
      </c>
      <c r="E667" s="119" t="s">
        <v>1116</v>
      </c>
      <c r="F667" s="116" t="s">
        <v>1085</v>
      </c>
      <c r="G667" s="280">
        <v>1</v>
      </c>
      <c r="H667" s="259">
        <v>35648</v>
      </c>
      <c r="I667" s="259">
        <v>35648</v>
      </c>
      <c r="J667" s="259">
        <v>0</v>
      </c>
      <c r="K667" s="259">
        <v>35648</v>
      </c>
      <c r="L667" s="259">
        <v>2852</v>
      </c>
      <c r="M667" s="259">
        <v>38500</v>
      </c>
      <c r="N667" s="118">
        <v>5.7999999999999996E-3</v>
      </c>
      <c r="O667" s="411" t="s">
        <v>1086</v>
      </c>
    </row>
    <row r="668" spans="1:15" ht="18" customHeight="1" x14ac:dyDescent="0.25">
      <c r="A668" s="115">
        <v>9</v>
      </c>
      <c r="B668" s="116" t="s">
        <v>102</v>
      </c>
      <c r="C668" s="115">
        <v>72</v>
      </c>
      <c r="D668" s="119" t="s">
        <v>97</v>
      </c>
      <c r="E668" s="119" t="s">
        <v>1117</v>
      </c>
      <c r="F668" s="116" t="s">
        <v>1085</v>
      </c>
      <c r="G668" s="280">
        <v>9</v>
      </c>
      <c r="H668" s="259">
        <v>3704</v>
      </c>
      <c r="I668" s="259">
        <v>33333</v>
      </c>
      <c r="J668" s="259">
        <v>0</v>
      </c>
      <c r="K668" s="259">
        <v>33333</v>
      </c>
      <c r="L668" s="259">
        <v>2667</v>
      </c>
      <c r="M668" s="259">
        <v>36000</v>
      </c>
      <c r="N668" s="118">
        <v>5.4000000000000003E-3</v>
      </c>
      <c r="O668" s="411" t="s">
        <v>1086</v>
      </c>
    </row>
    <row r="669" spans="1:15" ht="18" customHeight="1" x14ac:dyDescent="0.25">
      <c r="A669" s="115">
        <v>9</v>
      </c>
      <c r="B669" s="116" t="s">
        <v>102</v>
      </c>
      <c r="C669" s="115">
        <v>112</v>
      </c>
      <c r="D669" s="119" t="s">
        <v>87</v>
      </c>
      <c r="E669" s="119" t="s">
        <v>1118</v>
      </c>
      <c r="F669" s="116" t="s">
        <v>1085</v>
      </c>
      <c r="G669" s="280">
        <v>2</v>
      </c>
      <c r="H669" s="259">
        <v>41667</v>
      </c>
      <c r="I669" s="259">
        <v>83333</v>
      </c>
      <c r="J669" s="259">
        <v>0</v>
      </c>
      <c r="K669" s="259">
        <v>83333</v>
      </c>
      <c r="L669" s="259">
        <v>6667</v>
      </c>
      <c r="M669" s="259">
        <v>90000</v>
      </c>
      <c r="N669" s="118">
        <v>1.3599999999999999E-2</v>
      </c>
      <c r="O669" s="411" t="s">
        <v>1086</v>
      </c>
    </row>
    <row r="670" spans="1:15" ht="18" customHeight="1" x14ac:dyDescent="0.25">
      <c r="A670" s="115">
        <v>9</v>
      </c>
      <c r="B670" s="116" t="s">
        <v>102</v>
      </c>
      <c r="C670" s="115">
        <v>227</v>
      </c>
      <c r="D670" s="119" t="s">
        <v>87</v>
      </c>
      <c r="E670" s="119" t="s">
        <v>1169</v>
      </c>
      <c r="F670" s="116" t="s">
        <v>1085</v>
      </c>
      <c r="G670" s="280">
        <v>2</v>
      </c>
      <c r="H670" s="259">
        <v>1389</v>
      </c>
      <c r="I670" s="259">
        <v>2778</v>
      </c>
      <c r="J670" s="259">
        <v>0</v>
      </c>
      <c r="K670" s="259">
        <v>2778</v>
      </c>
      <c r="L670" s="259">
        <v>222</v>
      </c>
      <c r="M670" s="259">
        <v>3000</v>
      </c>
      <c r="N670" s="118">
        <v>5.0000000000000001E-4</v>
      </c>
      <c r="O670" s="411" t="s">
        <v>1086</v>
      </c>
    </row>
    <row r="671" spans="1:15" ht="18" customHeight="1" x14ac:dyDescent="0.25">
      <c r="A671" s="115">
        <v>9</v>
      </c>
      <c r="B671" s="116" t="s">
        <v>102</v>
      </c>
      <c r="C671" s="115">
        <v>119</v>
      </c>
      <c r="D671" s="119" t="s">
        <v>89</v>
      </c>
      <c r="E671" s="119" t="s">
        <v>114</v>
      </c>
      <c r="F671" s="116" t="s">
        <v>1085</v>
      </c>
      <c r="G671" s="280">
        <v>9</v>
      </c>
      <c r="H671" s="259">
        <v>44444</v>
      </c>
      <c r="I671" s="259">
        <v>400000</v>
      </c>
      <c r="J671" s="259">
        <v>0</v>
      </c>
      <c r="K671" s="259">
        <v>400000</v>
      </c>
      <c r="L671" s="259">
        <v>32000</v>
      </c>
      <c r="M671" s="259">
        <v>432000</v>
      </c>
      <c r="N671" s="118">
        <v>6.5199999999999994E-2</v>
      </c>
      <c r="O671" s="411" t="s">
        <v>1086</v>
      </c>
    </row>
    <row r="672" spans="1:15" ht="18" customHeight="1" x14ac:dyDescent="0.25">
      <c r="A672" s="115">
        <v>9</v>
      </c>
      <c r="B672" s="116" t="s">
        <v>102</v>
      </c>
      <c r="C672" s="115">
        <v>19</v>
      </c>
      <c r="D672" s="119" t="s">
        <v>87</v>
      </c>
      <c r="E672" s="119" t="s">
        <v>1120</v>
      </c>
      <c r="F672" s="116" t="s">
        <v>1085</v>
      </c>
      <c r="G672" s="280">
        <v>1</v>
      </c>
      <c r="H672" s="259">
        <v>9259</v>
      </c>
      <c r="I672" s="259">
        <v>9259</v>
      </c>
      <c r="J672" s="259">
        <v>0</v>
      </c>
      <c r="K672" s="259">
        <v>9259</v>
      </c>
      <c r="L672" s="259">
        <v>741</v>
      </c>
      <c r="M672" s="259">
        <v>10000</v>
      </c>
      <c r="N672" s="118">
        <v>1.5E-3</v>
      </c>
      <c r="O672" s="411" t="s">
        <v>1086</v>
      </c>
    </row>
    <row r="673" spans="1:15" ht="18" customHeight="1" x14ac:dyDescent="0.25">
      <c r="A673" s="115">
        <v>9</v>
      </c>
      <c r="B673" s="116" t="s">
        <v>102</v>
      </c>
      <c r="C673" s="115">
        <v>145</v>
      </c>
      <c r="D673" s="119" t="s">
        <v>87</v>
      </c>
      <c r="E673" s="119" t="s">
        <v>1179</v>
      </c>
      <c r="F673" s="116" t="s">
        <v>1085</v>
      </c>
      <c r="G673" s="280">
        <v>11</v>
      </c>
      <c r="H673" s="259">
        <v>18645</v>
      </c>
      <c r="I673" s="259">
        <v>206481</v>
      </c>
      <c r="J673" s="259">
        <v>1389</v>
      </c>
      <c r="K673" s="259">
        <v>205092</v>
      </c>
      <c r="L673" s="259">
        <v>16407</v>
      </c>
      <c r="M673" s="259">
        <v>221499</v>
      </c>
      <c r="N673" s="118">
        <v>3.3399999999999999E-2</v>
      </c>
      <c r="O673" s="411" t="s">
        <v>1086</v>
      </c>
    </row>
    <row r="674" spans="1:15" ht="18" customHeight="1" x14ac:dyDescent="0.25">
      <c r="A674" s="115">
        <v>9</v>
      </c>
      <c r="B674" s="116" t="s">
        <v>102</v>
      </c>
      <c r="C674" s="115">
        <v>77</v>
      </c>
      <c r="D674" s="119" t="s">
        <v>87</v>
      </c>
      <c r="E674" s="119" t="s">
        <v>1121</v>
      </c>
      <c r="F674" s="116" t="s">
        <v>1085</v>
      </c>
      <c r="G674" s="280">
        <v>1</v>
      </c>
      <c r="H674" s="259">
        <v>2778</v>
      </c>
      <c r="I674" s="259">
        <v>2778</v>
      </c>
      <c r="J674" s="259">
        <v>0</v>
      </c>
      <c r="K674" s="259">
        <v>2778</v>
      </c>
      <c r="L674" s="259">
        <v>222</v>
      </c>
      <c r="M674" s="259">
        <v>3000</v>
      </c>
      <c r="N674" s="118">
        <v>5.0000000000000001E-4</v>
      </c>
      <c r="O674" s="411" t="s">
        <v>1086</v>
      </c>
    </row>
    <row r="675" spans="1:15" ht="18" customHeight="1" x14ac:dyDescent="0.25">
      <c r="A675" s="115">
        <v>9</v>
      </c>
      <c r="B675" s="116" t="s">
        <v>102</v>
      </c>
      <c r="C675" s="115">
        <v>168</v>
      </c>
      <c r="D675" s="119" t="s">
        <v>87</v>
      </c>
      <c r="E675" s="119" t="s">
        <v>1208</v>
      </c>
      <c r="F675" s="116" t="s">
        <v>1085</v>
      </c>
      <c r="G675" s="280">
        <v>1</v>
      </c>
      <c r="H675" s="259">
        <v>6481</v>
      </c>
      <c r="I675" s="259">
        <v>6481</v>
      </c>
      <c r="J675" s="259">
        <v>0</v>
      </c>
      <c r="K675" s="259">
        <v>6481</v>
      </c>
      <c r="L675" s="259">
        <v>519</v>
      </c>
      <c r="M675" s="259">
        <v>7000</v>
      </c>
      <c r="N675" s="118">
        <v>1.1000000000000001E-3</v>
      </c>
      <c r="O675" s="411" t="s">
        <v>1086</v>
      </c>
    </row>
    <row r="676" spans="1:15" ht="18" customHeight="1" x14ac:dyDescent="0.25">
      <c r="A676" s="115">
        <v>9</v>
      </c>
      <c r="B676" s="116" t="s">
        <v>102</v>
      </c>
      <c r="C676" s="115">
        <v>99</v>
      </c>
      <c r="D676" s="119" t="s">
        <v>87</v>
      </c>
      <c r="E676" s="119" t="s">
        <v>1209</v>
      </c>
      <c r="F676" s="116" t="s">
        <v>1210</v>
      </c>
      <c r="G676" s="280">
        <v>2</v>
      </c>
      <c r="H676" s="259">
        <v>3241</v>
      </c>
      <c r="I676" s="259">
        <v>6481</v>
      </c>
      <c r="J676" s="259">
        <v>0</v>
      </c>
      <c r="K676" s="259">
        <v>6481</v>
      </c>
      <c r="L676" s="259">
        <v>519</v>
      </c>
      <c r="M676" s="259">
        <v>7000</v>
      </c>
      <c r="N676" s="118">
        <v>1.1000000000000001E-3</v>
      </c>
      <c r="O676" s="411" t="s">
        <v>1086</v>
      </c>
    </row>
    <row r="677" spans="1:15" ht="18" customHeight="1" x14ac:dyDescent="0.25">
      <c r="A677" s="115">
        <v>9</v>
      </c>
      <c r="B677" s="116" t="s">
        <v>102</v>
      </c>
      <c r="C677" s="115">
        <v>81</v>
      </c>
      <c r="D677" s="119" t="s">
        <v>95</v>
      </c>
      <c r="E677" s="119" t="s">
        <v>1123</v>
      </c>
      <c r="F677" s="116" t="s">
        <v>1085</v>
      </c>
      <c r="G677" s="280">
        <v>2</v>
      </c>
      <c r="H677" s="259">
        <v>1389</v>
      </c>
      <c r="I677" s="259">
        <v>2778</v>
      </c>
      <c r="J677" s="259">
        <v>0</v>
      </c>
      <c r="K677" s="259">
        <v>2778</v>
      </c>
      <c r="L677" s="259">
        <v>222</v>
      </c>
      <c r="M677" s="259">
        <v>3000</v>
      </c>
      <c r="N677" s="118">
        <v>5.0000000000000001E-4</v>
      </c>
      <c r="O677" s="411" t="s">
        <v>1086</v>
      </c>
    </row>
    <row r="678" spans="1:15" ht="18" customHeight="1" x14ac:dyDescent="0.25">
      <c r="A678" s="115">
        <v>9</v>
      </c>
      <c r="B678" s="116" t="s">
        <v>102</v>
      </c>
      <c r="C678" s="115">
        <v>86</v>
      </c>
      <c r="D678" s="119" t="s">
        <v>95</v>
      </c>
      <c r="E678" s="119" t="s">
        <v>1124</v>
      </c>
      <c r="F678" s="116" t="s">
        <v>1085</v>
      </c>
      <c r="G678" s="280">
        <v>14</v>
      </c>
      <c r="H678" s="259">
        <v>3241</v>
      </c>
      <c r="I678" s="259">
        <v>45370</v>
      </c>
      <c r="J678" s="259">
        <v>0</v>
      </c>
      <c r="K678" s="259">
        <v>45370</v>
      </c>
      <c r="L678" s="259">
        <v>3630</v>
      </c>
      <c r="M678" s="259">
        <v>49000</v>
      </c>
      <c r="N678" s="118">
        <v>7.4000000000000003E-3</v>
      </c>
      <c r="O678" s="411" t="s">
        <v>1086</v>
      </c>
    </row>
    <row r="679" spans="1:15" ht="18" customHeight="1" x14ac:dyDescent="0.25">
      <c r="A679" s="115">
        <v>9</v>
      </c>
      <c r="B679" s="116" t="s">
        <v>102</v>
      </c>
      <c r="C679" s="115">
        <v>211</v>
      </c>
      <c r="D679" s="119" t="s">
        <v>95</v>
      </c>
      <c r="E679" s="119" t="s">
        <v>1211</v>
      </c>
      <c r="F679" s="116" t="s">
        <v>1085</v>
      </c>
      <c r="G679" s="280">
        <v>6</v>
      </c>
      <c r="H679" s="259">
        <v>6481</v>
      </c>
      <c r="I679" s="259">
        <v>38889</v>
      </c>
      <c r="J679" s="259">
        <v>0</v>
      </c>
      <c r="K679" s="259">
        <v>38889</v>
      </c>
      <c r="L679" s="259">
        <v>3111</v>
      </c>
      <c r="M679" s="259">
        <v>42000</v>
      </c>
      <c r="N679" s="118">
        <v>6.3E-3</v>
      </c>
      <c r="O679" s="411" t="s">
        <v>1086</v>
      </c>
    </row>
    <row r="680" spans="1:15" ht="18" customHeight="1" x14ac:dyDescent="0.25">
      <c r="A680" s="115">
        <v>9</v>
      </c>
      <c r="B680" s="116" t="s">
        <v>102</v>
      </c>
      <c r="C680" s="115">
        <v>63</v>
      </c>
      <c r="D680" s="119" t="s">
        <v>95</v>
      </c>
      <c r="E680" s="119" t="s">
        <v>1182</v>
      </c>
      <c r="F680" s="116" t="s">
        <v>1085</v>
      </c>
      <c r="G680" s="280">
        <v>2</v>
      </c>
      <c r="H680" s="259">
        <v>3704</v>
      </c>
      <c r="I680" s="259">
        <v>7407</v>
      </c>
      <c r="J680" s="259">
        <v>0</v>
      </c>
      <c r="K680" s="259">
        <v>7407</v>
      </c>
      <c r="L680" s="259">
        <v>593</v>
      </c>
      <c r="M680" s="259">
        <v>8000</v>
      </c>
      <c r="N680" s="118">
        <v>1.1999999999999999E-3</v>
      </c>
      <c r="O680" s="411" t="s">
        <v>1086</v>
      </c>
    </row>
    <row r="681" spans="1:15" ht="18" customHeight="1" x14ac:dyDescent="0.25">
      <c r="A681" s="115">
        <v>9</v>
      </c>
      <c r="B681" s="116" t="s">
        <v>102</v>
      </c>
      <c r="C681" s="115">
        <v>79</v>
      </c>
      <c r="D681" s="119" t="s">
        <v>95</v>
      </c>
      <c r="E681" s="119" t="s">
        <v>1127</v>
      </c>
      <c r="F681" s="116" t="s">
        <v>1085</v>
      </c>
      <c r="G681" s="280">
        <v>5</v>
      </c>
      <c r="H681" s="259">
        <v>6481</v>
      </c>
      <c r="I681" s="259">
        <v>32407</v>
      </c>
      <c r="J681" s="259">
        <v>0</v>
      </c>
      <c r="K681" s="259">
        <v>32407</v>
      </c>
      <c r="L681" s="259">
        <v>2593</v>
      </c>
      <c r="M681" s="259">
        <v>35000</v>
      </c>
      <c r="N681" s="118">
        <v>5.3E-3</v>
      </c>
      <c r="O681" s="411" t="s">
        <v>1086</v>
      </c>
    </row>
    <row r="682" spans="1:15" ht="18" customHeight="1" x14ac:dyDescent="0.25">
      <c r="A682" s="115">
        <v>9</v>
      </c>
      <c r="B682" s="116" t="s">
        <v>102</v>
      </c>
      <c r="C682" s="115">
        <v>62</v>
      </c>
      <c r="D682" s="119" t="s">
        <v>95</v>
      </c>
      <c r="E682" s="119" t="s">
        <v>1128</v>
      </c>
      <c r="F682" s="116" t="s">
        <v>1085</v>
      </c>
      <c r="G682" s="280">
        <v>7</v>
      </c>
      <c r="H682" s="259">
        <v>6944</v>
      </c>
      <c r="I682" s="259">
        <v>48611</v>
      </c>
      <c r="J682" s="259">
        <v>0</v>
      </c>
      <c r="K682" s="259">
        <v>48611</v>
      </c>
      <c r="L682" s="259">
        <v>3889</v>
      </c>
      <c r="M682" s="259">
        <v>52500</v>
      </c>
      <c r="N682" s="118">
        <v>7.9000000000000008E-3</v>
      </c>
      <c r="O682" s="411" t="s">
        <v>1086</v>
      </c>
    </row>
    <row r="683" spans="1:15" ht="18" customHeight="1" x14ac:dyDescent="0.25">
      <c r="A683" s="115">
        <v>9</v>
      </c>
      <c r="B683" s="116" t="s">
        <v>102</v>
      </c>
      <c r="C683" s="115">
        <v>78</v>
      </c>
      <c r="D683" s="119" t="s">
        <v>95</v>
      </c>
      <c r="E683" s="119" t="s">
        <v>1129</v>
      </c>
      <c r="F683" s="116" t="s">
        <v>1085</v>
      </c>
      <c r="G683" s="280">
        <v>1</v>
      </c>
      <c r="H683" s="259">
        <v>6481</v>
      </c>
      <c r="I683" s="259">
        <v>6481</v>
      </c>
      <c r="J683" s="259">
        <v>0</v>
      </c>
      <c r="K683" s="259">
        <v>6481</v>
      </c>
      <c r="L683" s="259">
        <v>519</v>
      </c>
      <c r="M683" s="259">
        <v>7000</v>
      </c>
      <c r="N683" s="118">
        <v>1.1000000000000001E-3</v>
      </c>
      <c r="O683" s="411" t="s">
        <v>1086</v>
      </c>
    </row>
    <row r="684" spans="1:15" ht="18" customHeight="1" x14ac:dyDescent="0.25">
      <c r="A684" s="115">
        <v>9</v>
      </c>
      <c r="B684" s="116" t="s">
        <v>102</v>
      </c>
      <c r="C684" s="115">
        <v>137</v>
      </c>
      <c r="D684" s="119" t="s">
        <v>95</v>
      </c>
      <c r="E684" s="119" t="s">
        <v>1159</v>
      </c>
      <c r="F684" s="116" t="s">
        <v>1085</v>
      </c>
      <c r="G684" s="280">
        <v>4</v>
      </c>
      <c r="H684" s="259">
        <v>6481</v>
      </c>
      <c r="I684" s="259">
        <v>25926</v>
      </c>
      <c r="J684" s="259">
        <v>0</v>
      </c>
      <c r="K684" s="259">
        <v>25926</v>
      </c>
      <c r="L684" s="259">
        <v>2074</v>
      </c>
      <c r="M684" s="259">
        <v>28000</v>
      </c>
      <c r="N684" s="118">
        <v>4.1999999999999997E-3</v>
      </c>
      <c r="O684" s="411" t="s">
        <v>1086</v>
      </c>
    </row>
    <row r="685" spans="1:15" ht="18" customHeight="1" x14ac:dyDescent="0.25">
      <c r="A685" s="115">
        <v>9</v>
      </c>
      <c r="B685" s="116" t="s">
        <v>102</v>
      </c>
      <c r="C685" s="115">
        <v>219</v>
      </c>
      <c r="D685" s="119" t="s">
        <v>87</v>
      </c>
      <c r="E685" s="119" t="s">
        <v>150</v>
      </c>
      <c r="F685" s="116" t="s">
        <v>1085</v>
      </c>
      <c r="G685" s="280">
        <v>2</v>
      </c>
      <c r="H685" s="259">
        <v>69444</v>
      </c>
      <c r="I685" s="259">
        <v>138889</v>
      </c>
      <c r="J685" s="259">
        <v>0</v>
      </c>
      <c r="K685" s="259">
        <v>138889</v>
      </c>
      <c r="L685" s="259">
        <v>11111</v>
      </c>
      <c r="M685" s="259">
        <v>150000</v>
      </c>
      <c r="N685" s="118">
        <v>2.2599999999999999E-2</v>
      </c>
      <c r="O685" s="411" t="s">
        <v>1086</v>
      </c>
    </row>
    <row r="686" spans="1:15" ht="18" customHeight="1" x14ac:dyDescent="0.25">
      <c r="A686" s="115">
        <v>9</v>
      </c>
      <c r="B686" s="116" t="s">
        <v>102</v>
      </c>
      <c r="C686" s="115">
        <v>220</v>
      </c>
      <c r="D686" s="119" t="s">
        <v>87</v>
      </c>
      <c r="E686" s="119" t="s">
        <v>1195</v>
      </c>
      <c r="F686" s="116" t="s">
        <v>1085</v>
      </c>
      <c r="G686" s="280">
        <v>1</v>
      </c>
      <c r="H686" s="259">
        <v>69444</v>
      </c>
      <c r="I686" s="259">
        <v>69444</v>
      </c>
      <c r="J686" s="259">
        <v>0</v>
      </c>
      <c r="K686" s="259">
        <v>69444</v>
      </c>
      <c r="L686" s="259">
        <v>5556</v>
      </c>
      <c r="M686" s="259">
        <v>75000</v>
      </c>
      <c r="N686" s="118">
        <v>1.1299999999999999E-2</v>
      </c>
      <c r="O686" s="411" t="s">
        <v>1086</v>
      </c>
    </row>
    <row r="687" spans="1:15" ht="18" customHeight="1" x14ac:dyDescent="0.25">
      <c r="A687" s="115">
        <v>9</v>
      </c>
      <c r="B687" s="116" t="s">
        <v>102</v>
      </c>
      <c r="C687" s="115">
        <v>223</v>
      </c>
      <c r="D687" s="119" t="s">
        <v>87</v>
      </c>
      <c r="E687" s="119" t="s">
        <v>141</v>
      </c>
      <c r="F687" s="116" t="s">
        <v>1085</v>
      </c>
      <c r="G687" s="280">
        <v>1</v>
      </c>
      <c r="H687" s="259">
        <v>69444</v>
      </c>
      <c r="I687" s="259">
        <v>69444</v>
      </c>
      <c r="J687" s="259">
        <v>0</v>
      </c>
      <c r="K687" s="259">
        <v>69444</v>
      </c>
      <c r="L687" s="259">
        <v>5556</v>
      </c>
      <c r="M687" s="259">
        <v>75000</v>
      </c>
      <c r="N687" s="118">
        <v>1.1299999999999999E-2</v>
      </c>
      <c r="O687" s="411" t="s">
        <v>1086</v>
      </c>
    </row>
    <row r="688" spans="1:15" ht="18" customHeight="1" x14ac:dyDescent="0.25">
      <c r="A688" s="115">
        <v>9</v>
      </c>
      <c r="B688" s="116" t="s">
        <v>102</v>
      </c>
      <c r="C688" s="115">
        <v>50</v>
      </c>
      <c r="D688" s="119" t="s">
        <v>87</v>
      </c>
      <c r="E688" s="119" t="s">
        <v>159</v>
      </c>
      <c r="F688" s="116" t="s">
        <v>1085</v>
      </c>
      <c r="G688" s="280">
        <v>3</v>
      </c>
      <c r="H688" s="259">
        <v>49074</v>
      </c>
      <c r="I688" s="259">
        <v>147222</v>
      </c>
      <c r="J688" s="259">
        <v>0</v>
      </c>
      <c r="K688" s="259">
        <v>147222</v>
      </c>
      <c r="L688" s="259">
        <v>11778</v>
      </c>
      <c r="M688" s="259">
        <v>159000</v>
      </c>
      <c r="N688" s="118">
        <v>2.4E-2</v>
      </c>
      <c r="O688" s="411" t="s">
        <v>1086</v>
      </c>
    </row>
    <row r="689" spans="1:15" ht="18" customHeight="1" x14ac:dyDescent="0.25">
      <c r="A689" s="115">
        <v>9</v>
      </c>
      <c r="B689" s="116" t="s">
        <v>102</v>
      </c>
      <c r="C689" s="115">
        <v>10</v>
      </c>
      <c r="D689" s="119" t="s">
        <v>87</v>
      </c>
      <c r="E689" s="119" t="s">
        <v>1184</v>
      </c>
      <c r="F689" s="116" t="s">
        <v>1085</v>
      </c>
      <c r="G689" s="280">
        <v>1</v>
      </c>
      <c r="H689" s="259">
        <v>13889</v>
      </c>
      <c r="I689" s="259">
        <v>13889</v>
      </c>
      <c r="J689" s="259">
        <v>0</v>
      </c>
      <c r="K689" s="259">
        <v>13889</v>
      </c>
      <c r="L689" s="259">
        <v>1111</v>
      </c>
      <c r="M689" s="259">
        <v>15000</v>
      </c>
      <c r="N689" s="118">
        <v>2.3E-3</v>
      </c>
      <c r="O689" s="411" t="s">
        <v>1086</v>
      </c>
    </row>
    <row r="690" spans="1:15" ht="18" customHeight="1" x14ac:dyDescent="0.25">
      <c r="A690" s="115">
        <v>9</v>
      </c>
      <c r="B690" s="116" t="s">
        <v>102</v>
      </c>
      <c r="C690" s="115">
        <v>129</v>
      </c>
      <c r="D690" s="119" t="s">
        <v>93</v>
      </c>
      <c r="E690" s="119" t="s">
        <v>1135</v>
      </c>
      <c r="F690" s="116" t="s">
        <v>1085</v>
      </c>
      <c r="G690" s="280">
        <v>2</v>
      </c>
      <c r="H690" s="259">
        <v>44444</v>
      </c>
      <c r="I690" s="259">
        <v>88889</v>
      </c>
      <c r="J690" s="259">
        <v>0</v>
      </c>
      <c r="K690" s="259">
        <v>88889</v>
      </c>
      <c r="L690" s="259">
        <v>7111</v>
      </c>
      <c r="M690" s="259">
        <v>96000</v>
      </c>
      <c r="N690" s="118">
        <v>1.4500000000000001E-2</v>
      </c>
      <c r="O690" s="411" t="s">
        <v>1086</v>
      </c>
    </row>
    <row r="691" spans="1:15" ht="18" customHeight="1" x14ac:dyDescent="0.25">
      <c r="A691" s="115">
        <v>9</v>
      </c>
      <c r="B691" s="116" t="s">
        <v>102</v>
      </c>
      <c r="C691" s="115">
        <v>117</v>
      </c>
      <c r="D691" s="119" t="s">
        <v>87</v>
      </c>
      <c r="E691" s="119" t="s">
        <v>120</v>
      </c>
      <c r="F691" s="116" t="s">
        <v>1085</v>
      </c>
      <c r="G691" s="280">
        <v>6</v>
      </c>
      <c r="H691" s="259">
        <v>41667</v>
      </c>
      <c r="I691" s="259">
        <v>250000</v>
      </c>
      <c r="J691" s="259">
        <v>0</v>
      </c>
      <c r="K691" s="259">
        <v>250000</v>
      </c>
      <c r="L691" s="259">
        <v>20000</v>
      </c>
      <c r="M691" s="259">
        <v>270000</v>
      </c>
      <c r="N691" s="118">
        <v>4.07E-2</v>
      </c>
      <c r="O691" s="411" t="s">
        <v>1086</v>
      </c>
    </row>
    <row r="692" spans="1:15" ht="18" customHeight="1" x14ac:dyDescent="0.25">
      <c r="A692" s="115">
        <v>9</v>
      </c>
      <c r="B692" s="116" t="s">
        <v>102</v>
      </c>
      <c r="C692" s="115">
        <v>61</v>
      </c>
      <c r="D692" s="119" t="s">
        <v>97</v>
      </c>
      <c r="E692" s="119" t="s">
        <v>1137</v>
      </c>
      <c r="F692" s="116" t="s">
        <v>1085</v>
      </c>
      <c r="G692" s="280">
        <v>10</v>
      </c>
      <c r="H692" s="259">
        <v>4603</v>
      </c>
      <c r="I692" s="259">
        <v>46296</v>
      </c>
      <c r="J692" s="259">
        <v>265</v>
      </c>
      <c r="K692" s="259">
        <v>46031</v>
      </c>
      <c r="L692" s="259">
        <v>3683</v>
      </c>
      <c r="M692" s="259">
        <v>49714</v>
      </c>
      <c r="N692" s="118">
        <v>7.4999999999999997E-3</v>
      </c>
      <c r="O692" s="411" t="s">
        <v>1086</v>
      </c>
    </row>
    <row r="693" spans="1:15" ht="18" customHeight="1" x14ac:dyDescent="0.25">
      <c r="A693" s="115">
        <v>9</v>
      </c>
      <c r="B693" s="116" t="s">
        <v>102</v>
      </c>
      <c r="C693" s="115">
        <v>215</v>
      </c>
      <c r="D693" s="119" t="s">
        <v>87</v>
      </c>
      <c r="E693" s="119" t="s">
        <v>135</v>
      </c>
      <c r="F693" s="116" t="s">
        <v>1085</v>
      </c>
      <c r="G693" s="280">
        <v>1</v>
      </c>
      <c r="H693" s="259">
        <v>37500</v>
      </c>
      <c r="I693" s="259">
        <v>37500</v>
      </c>
      <c r="J693" s="259">
        <v>0</v>
      </c>
      <c r="K693" s="259">
        <v>37500</v>
      </c>
      <c r="L693" s="259">
        <v>3000</v>
      </c>
      <c r="M693" s="259">
        <v>40500</v>
      </c>
      <c r="N693" s="118">
        <v>6.1000000000000004E-3</v>
      </c>
      <c r="O693" s="411" t="s">
        <v>1086</v>
      </c>
    </row>
    <row r="694" spans="1:15" ht="18" customHeight="1" x14ac:dyDescent="0.25">
      <c r="A694" s="115">
        <v>9</v>
      </c>
      <c r="B694" s="116" t="s">
        <v>102</v>
      </c>
      <c r="C694" s="115">
        <v>214</v>
      </c>
      <c r="D694" s="119" t="s">
        <v>87</v>
      </c>
      <c r="E694" s="119" t="s">
        <v>170</v>
      </c>
      <c r="F694" s="116" t="s">
        <v>1085</v>
      </c>
      <c r="G694" s="280">
        <v>1</v>
      </c>
      <c r="H694" s="259">
        <v>37500</v>
      </c>
      <c r="I694" s="259">
        <v>37500</v>
      </c>
      <c r="J694" s="259">
        <v>0</v>
      </c>
      <c r="K694" s="259">
        <v>37500</v>
      </c>
      <c r="L694" s="259">
        <v>3000</v>
      </c>
      <c r="M694" s="259">
        <v>40500</v>
      </c>
      <c r="N694" s="118">
        <v>6.1000000000000004E-3</v>
      </c>
      <c r="O694" s="411" t="s">
        <v>1086</v>
      </c>
    </row>
    <row r="695" spans="1:15" ht="18" customHeight="1" x14ac:dyDescent="0.25">
      <c r="A695" s="115">
        <v>9</v>
      </c>
      <c r="B695" s="116" t="s">
        <v>102</v>
      </c>
      <c r="C695" s="115">
        <v>33</v>
      </c>
      <c r="D695" s="119" t="s">
        <v>91</v>
      </c>
      <c r="E695" s="119" t="s">
        <v>1139</v>
      </c>
      <c r="F695" s="116" t="s">
        <v>1085</v>
      </c>
      <c r="G695" s="280">
        <v>4</v>
      </c>
      <c r="H695" s="259">
        <v>1852</v>
      </c>
      <c r="I695" s="259">
        <v>7407</v>
      </c>
      <c r="J695" s="259">
        <v>0</v>
      </c>
      <c r="K695" s="259">
        <v>7407</v>
      </c>
      <c r="L695" s="259">
        <v>593</v>
      </c>
      <c r="M695" s="259">
        <v>8000</v>
      </c>
      <c r="N695" s="118">
        <v>1.1999999999999999E-3</v>
      </c>
      <c r="O695" s="411" t="s">
        <v>1086</v>
      </c>
    </row>
    <row r="696" spans="1:15" ht="18" customHeight="1" x14ac:dyDescent="0.25">
      <c r="A696" s="115">
        <v>9</v>
      </c>
      <c r="B696" s="116" t="s">
        <v>102</v>
      </c>
      <c r="C696" s="115">
        <v>39</v>
      </c>
      <c r="D696" s="119" t="s">
        <v>91</v>
      </c>
      <c r="E696" s="119" t="s">
        <v>1162</v>
      </c>
      <c r="F696" s="116" t="s">
        <v>1085</v>
      </c>
      <c r="G696" s="280">
        <v>1</v>
      </c>
      <c r="H696" s="259">
        <v>3333</v>
      </c>
      <c r="I696" s="259">
        <v>3333</v>
      </c>
      <c r="J696" s="259">
        <v>0</v>
      </c>
      <c r="K696" s="259">
        <v>3333</v>
      </c>
      <c r="L696" s="259">
        <v>267</v>
      </c>
      <c r="M696" s="259">
        <v>3600</v>
      </c>
      <c r="N696" s="118">
        <v>5.0000000000000001E-4</v>
      </c>
      <c r="O696" s="411" t="s">
        <v>1086</v>
      </c>
    </row>
    <row r="697" spans="1:15" ht="18" customHeight="1" x14ac:dyDescent="0.25">
      <c r="A697" s="115">
        <v>10</v>
      </c>
      <c r="B697" s="116" t="s">
        <v>103</v>
      </c>
      <c r="C697" s="115">
        <v>73</v>
      </c>
      <c r="D697" s="119" t="s">
        <v>91</v>
      </c>
      <c r="E697" s="119" t="s">
        <v>1084</v>
      </c>
      <c r="F697" s="116" t="s">
        <v>1085</v>
      </c>
      <c r="G697" s="280">
        <v>19</v>
      </c>
      <c r="H697" s="259">
        <v>2593</v>
      </c>
      <c r="I697" s="259">
        <v>49259</v>
      </c>
      <c r="J697" s="259">
        <v>0</v>
      </c>
      <c r="K697" s="259">
        <v>49259</v>
      </c>
      <c r="L697" s="259">
        <v>3941</v>
      </c>
      <c r="M697" s="259">
        <v>53200</v>
      </c>
      <c r="N697" s="118">
        <v>8.1000000000000013E-3</v>
      </c>
      <c r="O697" s="411" t="s">
        <v>1086</v>
      </c>
    </row>
    <row r="698" spans="1:15" ht="18" customHeight="1" x14ac:dyDescent="0.25">
      <c r="A698" s="115">
        <v>10</v>
      </c>
      <c r="B698" s="116" t="s">
        <v>103</v>
      </c>
      <c r="C698" s="115">
        <v>131</v>
      </c>
      <c r="D698" s="119" t="s">
        <v>87</v>
      </c>
      <c r="E698" s="119" t="s">
        <v>1144</v>
      </c>
      <c r="F698" s="116" t="s">
        <v>1085</v>
      </c>
      <c r="G698" s="280">
        <v>1</v>
      </c>
      <c r="H698" s="259">
        <v>278</v>
      </c>
      <c r="I698" s="259">
        <v>278</v>
      </c>
      <c r="J698" s="259">
        <v>0</v>
      </c>
      <c r="K698" s="259">
        <v>278</v>
      </c>
      <c r="L698" s="259">
        <v>22</v>
      </c>
      <c r="M698" s="259">
        <v>300</v>
      </c>
      <c r="N698" s="118">
        <v>0</v>
      </c>
      <c r="O698" s="411" t="s">
        <v>1086</v>
      </c>
    </row>
    <row r="699" spans="1:15" ht="18" customHeight="1" x14ac:dyDescent="0.25">
      <c r="A699" s="115">
        <v>10</v>
      </c>
      <c r="B699" s="116" t="s">
        <v>103</v>
      </c>
      <c r="C699" s="115">
        <v>104</v>
      </c>
      <c r="D699" s="119" t="s">
        <v>89</v>
      </c>
      <c r="E699" s="119" t="s">
        <v>165</v>
      </c>
      <c r="F699" s="116" t="s">
        <v>1085</v>
      </c>
      <c r="G699" s="280">
        <v>16</v>
      </c>
      <c r="H699" s="259">
        <v>16175</v>
      </c>
      <c r="I699" s="259">
        <v>258796</v>
      </c>
      <c r="J699" s="259">
        <v>0</v>
      </c>
      <c r="K699" s="259">
        <v>258796</v>
      </c>
      <c r="L699" s="259">
        <v>20704</v>
      </c>
      <c r="M699" s="259">
        <v>279500</v>
      </c>
      <c r="N699" s="118">
        <v>4.2299999999999997E-2</v>
      </c>
      <c r="O699" s="411" t="s">
        <v>1086</v>
      </c>
    </row>
    <row r="700" spans="1:15" ht="18" customHeight="1" x14ac:dyDescent="0.25">
      <c r="A700" s="115">
        <v>10</v>
      </c>
      <c r="B700" s="116" t="s">
        <v>103</v>
      </c>
      <c r="C700" s="115">
        <v>95</v>
      </c>
      <c r="D700" s="119" t="s">
        <v>87</v>
      </c>
      <c r="E700" s="119" t="s">
        <v>1090</v>
      </c>
      <c r="F700" s="116" t="s">
        <v>1085</v>
      </c>
      <c r="G700" s="280">
        <v>4</v>
      </c>
      <c r="H700" s="259">
        <v>926</v>
      </c>
      <c r="I700" s="259">
        <v>3704</v>
      </c>
      <c r="J700" s="259">
        <v>0</v>
      </c>
      <c r="K700" s="259">
        <v>3704</v>
      </c>
      <c r="L700" s="259">
        <v>296</v>
      </c>
      <c r="M700" s="259">
        <v>4000</v>
      </c>
      <c r="N700" s="118">
        <v>5.9999999999999995E-4</v>
      </c>
      <c r="O700" s="411" t="s">
        <v>1086</v>
      </c>
    </row>
    <row r="701" spans="1:15" ht="18" customHeight="1" x14ac:dyDescent="0.25">
      <c r="A701" s="115">
        <v>10</v>
      </c>
      <c r="B701" s="116" t="s">
        <v>103</v>
      </c>
      <c r="C701" s="115">
        <v>54</v>
      </c>
      <c r="D701" s="119" t="s">
        <v>91</v>
      </c>
      <c r="E701" s="119" t="s">
        <v>1145</v>
      </c>
      <c r="F701" s="116" t="s">
        <v>1085</v>
      </c>
      <c r="G701" s="280">
        <v>2</v>
      </c>
      <c r="H701" s="259">
        <v>2315</v>
      </c>
      <c r="I701" s="259">
        <v>4630</v>
      </c>
      <c r="J701" s="259">
        <v>0</v>
      </c>
      <c r="K701" s="259">
        <v>4630</v>
      </c>
      <c r="L701" s="259">
        <v>370</v>
      </c>
      <c r="M701" s="259">
        <v>5000</v>
      </c>
      <c r="N701" s="118">
        <v>8.0000000000000004E-4</v>
      </c>
      <c r="O701" s="411" t="s">
        <v>1086</v>
      </c>
    </row>
    <row r="702" spans="1:15" ht="18" customHeight="1" x14ac:dyDescent="0.25">
      <c r="A702" s="115">
        <v>10</v>
      </c>
      <c r="B702" s="116" t="s">
        <v>103</v>
      </c>
      <c r="C702" s="115">
        <v>5</v>
      </c>
      <c r="D702" s="119" t="s">
        <v>89</v>
      </c>
      <c r="E702" s="119" t="s">
        <v>1146</v>
      </c>
      <c r="F702" s="116" t="s">
        <v>1085</v>
      </c>
      <c r="G702" s="280">
        <v>1</v>
      </c>
      <c r="H702" s="259">
        <v>11111</v>
      </c>
      <c r="I702" s="259">
        <v>11111</v>
      </c>
      <c r="J702" s="259">
        <v>0</v>
      </c>
      <c r="K702" s="259">
        <v>11111</v>
      </c>
      <c r="L702" s="259">
        <v>889</v>
      </c>
      <c r="M702" s="259">
        <v>12000</v>
      </c>
      <c r="N702" s="118">
        <v>1.8E-3</v>
      </c>
      <c r="O702" s="411" t="s">
        <v>1086</v>
      </c>
    </row>
    <row r="703" spans="1:15" ht="18" customHeight="1" x14ac:dyDescent="0.25">
      <c r="A703" s="115">
        <v>10</v>
      </c>
      <c r="B703" s="116" t="s">
        <v>103</v>
      </c>
      <c r="C703" s="115">
        <v>136</v>
      </c>
      <c r="D703" s="119" t="s">
        <v>89</v>
      </c>
      <c r="E703" s="119" t="s">
        <v>1091</v>
      </c>
      <c r="F703" s="116" t="s">
        <v>1085</v>
      </c>
      <c r="G703" s="280">
        <v>7</v>
      </c>
      <c r="H703" s="259">
        <v>24074</v>
      </c>
      <c r="I703" s="259">
        <v>168519</v>
      </c>
      <c r="J703" s="259">
        <v>0</v>
      </c>
      <c r="K703" s="259">
        <v>168519</v>
      </c>
      <c r="L703" s="259">
        <v>13481</v>
      </c>
      <c r="M703" s="259">
        <v>182000</v>
      </c>
      <c r="N703" s="118">
        <v>2.75E-2</v>
      </c>
      <c r="O703" s="411" t="s">
        <v>1086</v>
      </c>
    </row>
    <row r="704" spans="1:15" ht="18" customHeight="1" x14ac:dyDescent="0.25">
      <c r="A704" s="115">
        <v>10</v>
      </c>
      <c r="B704" s="116" t="s">
        <v>103</v>
      </c>
      <c r="C704" s="115">
        <v>6</v>
      </c>
      <c r="D704" s="119" t="s">
        <v>89</v>
      </c>
      <c r="E704" s="119" t="s">
        <v>1147</v>
      </c>
      <c r="F704" s="116" t="s">
        <v>1085</v>
      </c>
      <c r="G704" s="280">
        <v>3</v>
      </c>
      <c r="H704" s="259">
        <v>14815</v>
      </c>
      <c r="I704" s="259">
        <v>44444</v>
      </c>
      <c r="J704" s="259">
        <v>0</v>
      </c>
      <c r="K704" s="259">
        <v>44444</v>
      </c>
      <c r="L704" s="259">
        <v>3556</v>
      </c>
      <c r="M704" s="259">
        <v>48000</v>
      </c>
      <c r="N704" s="118">
        <v>7.3000000000000001E-3</v>
      </c>
      <c r="O704" s="411" t="s">
        <v>1086</v>
      </c>
    </row>
    <row r="705" spans="1:15" ht="18" customHeight="1" x14ac:dyDescent="0.25">
      <c r="A705" s="115">
        <v>10</v>
      </c>
      <c r="B705" s="116" t="s">
        <v>103</v>
      </c>
      <c r="C705" s="115">
        <v>8</v>
      </c>
      <c r="D705" s="119" t="s">
        <v>87</v>
      </c>
      <c r="E705" s="119" t="s">
        <v>156</v>
      </c>
      <c r="F705" s="116" t="s">
        <v>1085</v>
      </c>
      <c r="G705" s="280">
        <v>5</v>
      </c>
      <c r="H705" s="259">
        <v>18704</v>
      </c>
      <c r="I705" s="259">
        <v>93519</v>
      </c>
      <c r="J705" s="259">
        <v>0</v>
      </c>
      <c r="K705" s="259">
        <v>93519</v>
      </c>
      <c r="L705" s="259">
        <v>7481</v>
      </c>
      <c r="M705" s="259">
        <v>101000</v>
      </c>
      <c r="N705" s="118">
        <v>1.5299999999999999E-2</v>
      </c>
      <c r="O705" s="411" t="s">
        <v>1086</v>
      </c>
    </row>
    <row r="706" spans="1:15" ht="18" customHeight="1" x14ac:dyDescent="0.25">
      <c r="A706" s="115">
        <v>10</v>
      </c>
      <c r="B706" s="116" t="s">
        <v>103</v>
      </c>
      <c r="C706" s="115">
        <v>87</v>
      </c>
      <c r="D706" s="119" t="s">
        <v>89</v>
      </c>
      <c r="E706" s="119" t="s">
        <v>147</v>
      </c>
      <c r="F706" s="116" t="s">
        <v>1085</v>
      </c>
      <c r="G706" s="280">
        <v>1</v>
      </c>
      <c r="H706" s="259">
        <v>37500</v>
      </c>
      <c r="I706" s="259">
        <v>37500</v>
      </c>
      <c r="J706" s="259">
        <v>0</v>
      </c>
      <c r="K706" s="259">
        <v>37500</v>
      </c>
      <c r="L706" s="259">
        <v>3000</v>
      </c>
      <c r="M706" s="259">
        <v>40500</v>
      </c>
      <c r="N706" s="118">
        <v>6.1000000000000004E-3</v>
      </c>
      <c r="O706" s="411" t="s">
        <v>1086</v>
      </c>
    </row>
    <row r="707" spans="1:15" ht="18" customHeight="1" x14ac:dyDescent="0.25">
      <c r="A707" s="115">
        <v>10</v>
      </c>
      <c r="B707" s="116" t="s">
        <v>103</v>
      </c>
      <c r="C707" s="115">
        <v>206</v>
      </c>
      <c r="D707" s="119" t="s">
        <v>93</v>
      </c>
      <c r="E707" s="119" t="s">
        <v>1093</v>
      </c>
      <c r="F707" s="116" t="s">
        <v>1085</v>
      </c>
      <c r="G707" s="280">
        <v>1</v>
      </c>
      <c r="H707" s="259">
        <v>44907</v>
      </c>
      <c r="I707" s="259">
        <v>44907</v>
      </c>
      <c r="J707" s="259">
        <v>0</v>
      </c>
      <c r="K707" s="259">
        <v>44907</v>
      </c>
      <c r="L707" s="259">
        <v>3593</v>
      </c>
      <c r="M707" s="259">
        <v>48500</v>
      </c>
      <c r="N707" s="118">
        <v>7.3000000000000001E-3</v>
      </c>
      <c r="O707" s="411" t="s">
        <v>1086</v>
      </c>
    </row>
    <row r="708" spans="1:15" ht="18" customHeight="1" x14ac:dyDescent="0.25">
      <c r="A708" s="115">
        <v>10</v>
      </c>
      <c r="B708" s="116" t="s">
        <v>103</v>
      </c>
      <c r="C708" s="115">
        <v>13</v>
      </c>
      <c r="D708" s="119" t="s">
        <v>87</v>
      </c>
      <c r="E708" s="119" t="s">
        <v>1094</v>
      </c>
      <c r="F708" s="116" t="s">
        <v>1085</v>
      </c>
      <c r="G708" s="280">
        <v>16</v>
      </c>
      <c r="H708" s="259">
        <v>18808</v>
      </c>
      <c r="I708" s="259">
        <v>300926</v>
      </c>
      <c r="J708" s="259">
        <v>0</v>
      </c>
      <c r="K708" s="259">
        <v>300926</v>
      </c>
      <c r="L708" s="259">
        <v>24074</v>
      </c>
      <c r="M708" s="259">
        <v>325000</v>
      </c>
      <c r="N708" s="118">
        <v>4.9200000000000001E-2</v>
      </c>
      <c r="O708" s="411" t="s">
        <v>1086</v>
      </c>
    </row>
    <row r="709" spans="1:15" ht="18" customHeight="1" x14ac:dyDescent="0.25">
      <c r="A709" s="115">
        <v>10</v>
      </c>
      <c r="B709" s="116" t="s">
        <v>103</v>
      </c>
      <c r="C709" s="115">
        <v>70</v>
      </c>
      <c r="D709" s="119" t="s">
        <v>91</v>
      </c>
      <c r="E709" s="119" t="s">
        <v>1096</v>
      </c>
      <c r="F709" s="116" t="s">
        <v>1085</v>
      </c>
      <c r="G709" s="280">
        <v>4</v>
      </c>
      <c r="H709" s="259">
        <v>4630</v>
      </c>
      <c r="I709" s="259">
        <v>18519</v>
      </c>
      <c r="J709" s="259">
        <v>0</v>
      </c>
      <c r="K709" s="259">
        <v>18519</v>
      </c>
      <c r="L709" s="259">
        <v>1481</v>
      </c>
      <c r="M709" s="259">
        <v>20000</v>
      </c>
      <c r="N709" s="118">
        <v>3.0000000000000001E-3</v>
      </c>
      <c r="O709" s="411" t="s">
        <v>1086</v>
      </c>
    </row>
    <row r="710" spans="1:15" ht="18" customHeight="1" x14ac:dyDescent="0.25">
      <c r="A710" s="115">
        <v>10</v>
      </c>
      <c r="B710" s="116" t="s">
        <v>103</v>
      </c>
      <c r="C710" s="115">
        <v>71</v>
      </c>
      <c r="D710" s="119" t="s">
        <v>91</v>
      </c>
      <c r="E710" s="119" t="s">
        <v>1097</v>
      </c>
      <c r="F710" s="116" t="s">
        <v>1085</v>
      </c>
      <c r="G710" s="280">
        <v>2</v>
      </c>
      <c r="H710" s="259">
        <v>5556</v>
      </c>
      <c r="I710" s="259">
        <v>11111</v>
      </c>
      <c r="J710" s="259">
        <v>0</v>
      </c>
      <c r="K710" s="259">
        <v>11111</v>
      </c>
      <c r="L710" s="259">
        <v>889</v>
      </c>
      <c r="M710" s="259">
        <v>12000</v>
      </c>
      <c r="N710" s="118">
        <v>1.8E-3</v>
      </c>
      <c r="O710" s="411" t="s">
        <v>1086</v>
      </c>
    </row>
    <row r="711" spans="1:15" ht="18" customHeight="1" x14ac:dyDescent="0.25">
      <c r="A711" s="115">
        <v>10</v>
      </c>
      <c r="B711" s="116" t="s">
        <v>103</v>
      </c>
      <c r="C711" s="115">
        <v>83</v>
      </c>
      <c r="D711" s="119" t="s">
        <v>87</v>
      </c>
      <c r="E711" s="119" t="s">
        <v>1098</v>
      </c>
      <c r="F711" s="116" t="s">
        <v>1085</v>
      </c>
      <c r="G711" s="280">
        <v>6</v>
      </c>
      <c r="H711" s="259">
        <v>20833</v>
      </c>
      <c r="I711" s="259">
        <v>125000</v>
      </c>
      <c r="J711" s="259">
        <v>0</v>
      </c>
      <c r="K711" s="259">
        <v>125000</v>
      </c>
      <c r="L711" s="259">
        <v>10000</v>
      </c>
      <c r="M711" s="259">
        <v>135000</v>
      </c>
      <c r="N711" s="118">
        <v>2.0400000000000001E-2</v>
      </c>
      <c r="O711" s="411" t="s">
        <v>1086</v>
      </c>
    </row>
    <row r="712" spans="1:15" ht="18" customHeight="1" x14ac:dyDescent="0.25">
      <c r="A712" s="115">
        <v>10</v>
      </c>
      <c r="B712" s="116" t="s">
        <v>103</v>
      </c>
      <c r="C712" s="115">
        <v>37</v>
      </c>
      <c r="D712" s="119" t="s">
        <v>87</v>
      </c>
      <c r="E712" s="119" t="s">
        <v>1185</v>
      </c>
      <c r="F712" s="116" t="s">
        <v>1085</v>
      </c>
      <c r="G712" s="280">
        <v>1</v>
      </c>
      <c r="H712" s="259">
        <v>8333</v>
      </c>
      <c r="I712" s="259">
        <v>8333</v>
      </c>
      <c r="J712" s="259">
        <v>0</v>
      </c>
      <c r="K712" s="259">
        <v>8333</v>
      </c>
      <c r="L712" s="259">
        <v>667</v>
      </c>
      <c r="M712" s="259">
        <v>9000</v>
      </c>
      <c r="N712" s="118">
        <v>1.4E-3</v>
      </c>
      <c r="O712" s="411" t="s">
        <v>1086</v>
      </c>
    </row>
    <row r="713" spans="1:15" ht="18" customHeight="1" x14ac:dyDescent="0.25">
      <c r="A713" s="115">
        <v>10</v>
      </c>
      <c r="B713" s="116" t="s">
        <v>103</v>
      </c>
      <c r="C713" s="115">
        <v>41</v>
      </c>
      <c r="D713" s="119" t="s">
        <v>87</v>
      </c>
      <c r="E713" s="119" t="s">
        <v>168</v>
      </c>
      <c r="F713" s="116" t="s">
        <v>1085</v>
      </c>
      <c r="G713" s="280">
        <v>3</v>
      </c>
      <c r="H713" s="259">
        <v>49074</v>
      </c>
      <c r="I713" s="259">
        <v>147222</v>
      </c>
      <c r="J713" s="259">
        <v>0</v>
      </c>
      <c r="K713" s="259">
        <v>147222</v>
      </c>
      <c r="L713" s="259">
        <v>11778</v>
      </c>
      <c r="M713" s="259">
        <v>159000</v>
      </c>
      <c r="N713" s="118">
        <v>2.41E-2</v>
      </c>
      <c r="O713" s="411" t="s">
        <v>1086</v>
      </c>
    </row>
    <row r="714" spans="1:15" ht="18" customHeight="1" x14ac:dyDescent="0.25">
      <c r="A714" s="115">
        <v>10</v>
      </c>
      <c r="B714" s="116" t="s">
        <v>103</v>
      </c>
      <c r="C714" s="115">
        <v>122</v>
      </c>
      <c r="D714" s="119" t="s">
        <v>91</v>
      </c>
      <c r="E714" s="119" t="s">
        <v>1100</v>
      </c>
      <c r="F714" s="116" t="s">
        <v>1085</v>
      </c>
      <c r="G714" s="280">
        <v>4</v>
      </c>
      <c r="H714" s="259">
        <v>2778</v>
      </c>
      <c r="I714" s="259">
        <v>11111</v>
      </c>
      <c r="J714" s="259">
        <v>0</v>
      </c>
      <c r="K714" s="259">
        <v>11111</v>
      </c>
      <c r="L714" s="259">
        <v>889</v>
      </c>
      <c r="M714" s="259">
        <v>12000</v>
      </c>
      <c r="N714" s="118">
        <v>1.8E-3</v>
      </c>
      <c r="O714" s="411" t="s">
        <v>1086</v>
      </c>
    </row>
    <row r="715" spans="1:15" ht="18" customHeight="1" x14ac:dyDescent="0.25">
      <c r="A715" s="115">
        <v>10</v>
      </c>
      <c r="B715" s="116" t="s">
        <v>103</v>
      </c>
      <c r="C715" s="115">
        <v>247</v>
      </c>
      <c r="D715" s="119" t="s">
        <v>87</v>
      </c>
      <c r="E715" s="119" t="s">
        <v>1165</v>
      </c>
      <c r="F715" s="116" t="s">
        <v>1085</v>
      </c>
      <c r="G715" s="280">
        <v>1</v>
      </c>
      <c r="H715" s="259">
        <v>3056</v>
      </c>
      <c r="I715" s="259">
        <v>3056</v>
      </c>
      <c r="J715" s="259">
        <v>0</v>
      </c>
      <c r="K715" s="259">
        <v>3056</v>
      </c>
      <c r="L715" s="259">
        <v>244</v>
      </c>
      <c r="M715" s="259">
        <v>3300</v>
      </c>
      <c r="N715" s="118">
        <v>5.0000000000000001E-4</v>
      </c>
      <c r="O715" s="411" t="s">
        <v>1086</v>
      </c>
    </row>
    <row r="716" spans="1:15" ht="18" customHeight="1" x14ac:dyDescent="0.25">
      <c r="A716" s="115">
        <v>10</v>
      </c>
      <c r="B716" s="116" t="s">
        <v>103</v>
      </c>
      <c r="C716" s="115">
        <v>110</v>
      </c>
      <c r="D716" s="119" t="s">
        <v>99</v>
      </c>
      <c r="E716" s="119" t="s">
        <v>1101</v>
      </c>
      <c r="F716" s="116" t="s">
        <v>1085</v>
      </c>
      <c r="G716" s="280">
        <v>13</v>
      </c>
      <c r="H716" s="259">
        <v>926</v>
      </c>
      <c r="I716" s="259">
        <v>12037</v>
      </c>
      <c r="J716" s="259">
        <v>0</v>
      </c>
      <c r="K716" s="259">
        <v>12037</v>
      </c>
      <c r="L716" s="259">
        <v>963</v>
      </c>
      <c r="M716" s="259">
        <v>13000</v>
      </c>
      <c r="N716" s="118">
        <v>2E-3</v>
      </c>
      <c r="O716" s="411" t="s">
        <v>1086</v>
      </c>
    </row>
    <row r="717" spans="1:15" ht="18" customHeight="1" x14ac:dyDescent="0.25">
      <c r="A717" s="115">
        <v>10</v>
      </c>
      <c r="B717" s="116" t="s">
        <v>103</v>
      </c>
      <c r="C717" s="115">
        <v>102</v>
      </c>
      <c r="D717" s="119" t="s">
        <v>87</v>
      </c>
      <c r="E717" s="119" t="s">
        <v>1151</v>
      </c>
      <c r="F717" s="116" t="s">
        <v>1085</v>
      </c>
      <c r="G717" s="280">
        <v>1</v>
      </c>
      <c r="H717" s="259">
        <v>6540</v>
      </c>
      <c r="I717" s="259">
        <v>6944</v>
      </c>
      <c r="J717" s="259">
        <v>405</v>
      </c>
      <c r="K717" s="259">
        <v>6539</v>
      </c>
      <c r="L717" s="259">
        <v>523</v>
      </c>
      <c r="M717" s="259">
        <v>7062</v>
      </c>
      <c r="N717" s="118">
        <v>1.1000000000000001E-3</v>
      </c>
      <c r="O717" s="411" t="s">
        <v>1086</v>
      </c>
    </row>
    <row r="718" spans="1:15" ht="18" customHeight="1" x14ac:dyDescent="0.25">
      <c r="A718" s="115">
        <v>10</v>
      </c>
      <c r="B718" s="116" t="s">
        <v>103</v>
      </c>
      <c r="C718" s="115">
        <v>26</v>
      </c>
      <c r="D718" s="119" t="s">
        <v>87</v>
      </c>
      <c r="E718" s="119" t="s">
        <v>1167</v>
      </c>
      <c r="F718" s="116" t="s">
        <v>1085</v>
      </c>
      <c r="G718" s="280">
        <v>4</v>
      </c>
      <c r="H718" s="259">
        <v>18519</v>
      </c>
      <c r="I718" s="259">
        <v>74074</v>
      </c>
      <c r="J718" s="259">
        <v>0</v>
      </c>
      <c r="K718" s="259">
        <v>74074</v>
      </c>
      <c r="L718" s="259">
        <v>5926</v>
      </c>
      <c r="M718" s="259">
        <v>80000</v>
      </c>
      <c r="N718" s="118">
        <v>1.21E-2</v>
      </c>
      <c r="O718" s="411" t="s">
        <v>1086</v>
      </c>
    </row>
    <row r="719" spans="1:15" ht="18" customHeight="1" x14ac:dyDescent="0.25">
      <c r="A719" s="115">
        <v>10</v>
      </c>
      <c r="B719" s="116" t="s">
        <v>103</v>
      </c>
      <c r="C719" s="115">
        <v>45</v>
      </c>
      <c r="D719" s="119" t="s">
        <v>87</v>
      </c>
      <c r="E719" s="119" t="s">
        <v>1102</v>
      </c>
      <c r="F719" s="116" t="s">
        <v>1085</v>
      </c>
      <c r="G719" s="280">
        <v>2</v>
      </c>
      <c r="H719" s="259">
        <v>35648</v>
      </c>
      <c r="I719" s="259">
        <v>71296</v>
      </c>
      <c r="J719" s="259">
        <v>0</v>
      </c>
      <c r="K719" s="259">
        <v>71296</v>
      </c>
      <c r="L719" s="259">
        <v>5704</v>
      </c>
      <c r="M719" s="259">
        <v>77000</v>
      </c>
      <c r="N719" s="118">
        <v>1.17E-2</v>
      </c>
      <c r="O719" s="411" t="s">
        <v>1086</v>
      </c>
    </row>
    <row r="720" spans="1:15" ht="18" customHeight="1" x14ac:dyDescent="0.25">
      <c r="A720" s="115">
        <v>10</v>
      </c>
      <c r="B720" s="116" t="s">
        <v>103</v>
      </c>
      <c r="C720" s="115">
        <v>30</v>
      </c>
      <c r="D720" s="119" t="s">
        <v>95</v>
      </c>
      <c r="E720" s="119" t="s">
        <v>1103</v>
      </c>
      <c r="F720" s="116" t="s">
        <v>1085</v>
      </c>
      <c r="G720" s="280">
        <v>6</v>
      </c>
      <c r="H720" s="259">
        <v>6481</v>
      </c>
      <c r="I720" s="259">
        <v>38889</v>
      </c>
      <c r="J720" s="259">
        <v>0</v>
      </c>
      <c r="K720" s="259">
        <v>38889</v>
      </c>
      <c r="L720" s="259">
        <v>3111</v>
      </c>
      <c r="M720" s="259">
        <v>42000</v>
      </c>
      <c r="N720" s="118">
        <v>6.4000000000000003E-3</v>
      </c>
      <c r="O720" s="411" t="s">
        <v>1086</v>
      </c>
    </row>
    <row r="721" spans="1:15" ht="18" customHeight="1" x14ac:dyDescent="0.25">
      <c r="A721" s="115">
        <v>10</v>
      </c>
      <c r="B721" s="116" t="s">
        <v>103</v>
      </c>
      <c r="C721" s="115">
        <v>94</v>
      </c>
      <c r="D721" s="119" t="s">
        <v>89</v>
      </c>
      <c r="E721" s="119" t="s">
        <v>153</v>
      </c>
      <c r="F721" s="116" t="s">
        <v>1085</v>
      </c>
      <c r="G721" s="280">
        <v>12</v>
      </c>
      <c r="H721" s="259">
        <v>18596</v>
      </c>
      <c r="I721" s="259">
        <v>223148</v>
      </c>
      <c r="J721" s="259">
        <v>0</v>
      </c>
      <c r="K721" s="259">
        <v>223148</v>
      </c>
      <c r="L721" s="259">
        <v>17852</v>
      </c>
      <c r="M721" s="259">
        <v>241000</v>
      </c>
      <c r="N721" s="118">
        <v>3.6499999999999998E-2</v>
      </c>
      <c r="O721" s="411" t="s">
        <v>1086</v>
      </c>
    </row>
    <row r="722" spans="1:15" ht="18" customHeight="1" x14ac:dyDescent="0.25">
      <c r="A722" s="115">
        <v>10</v>
      </c>
      <c r="B722" s="116" t="s">
        <v>103</v>
      </c>
      <c r="C722" s="115">
        <v>233</v>
      </c>
      <c r="D722" s="119" t="s">
        <v>89</v>
      </c>
      <c r="E722" s="119" t="s">
        <v>117</v>
      </c>
      <c r="F722" s="116" t="s">
        <v>1085</v>
      </c>
      <c r="G722" s="280">
        <v>13</v>
      </c>
      <c r="H722" s="259">
        <v>18661</v>
      </c>
      <c r="I722" s="259">
        <v>242593</v>
      </c>
      <c r="J722" s="259">
        <v>0</v>
      </c>
      <c r="K722" s="259">
        <v>242593</v>
      </c>
      <c r="L722" s="259">
        <v>19407</v>
      </c>
      <c r="M722" s="259">
        <v>262000</v>
      </c>
      <c r="N722" s="118">
        <v>3.9699999999999999E-2</v>
      </c>
      <c r="O722" s="411" t="s">
        <v>1086</v>
      </c>
    </row>
    <row r="723" spans="1:15" ht="18" customHeight="1" x14ac:dyDescent="0.25">
      <c r="A723" s="115">
        <v>10</v>
      </c>
      <c r="B723" s="116" t="s">
        <v>103</v>
      </c>
      <c r="C723" s="115">
        <v>217</v>
      </c>
      <c r="D723" s="119" t="s">
        <v>89</v>
      </c>
      <c r="E723" s="119" t="s">
        <v>1105</v>
      </c>
      <c r="F723" s="116" t="s">
        <v>1085</v>
      </c>
      <c r="G723" s="280">
        <v>2</v>
      </c>
      <c r="H723" s="259">
        <v>27778</v>
      </c>
      <c r="I723" s="259">
        <v>55556</v>
      </c>
      <c r="J723" s="259">
        <v>0</v>
      </c>
      <c r="K723" s="259">
        <v>55556</v>
      </c>
      <c r="L723" s="259">
        <v>4444</v>
      </c>
      <c r="M723" s="259">
        <v>60000</v>
      </c>
      <c r="N723" s="118">
        <v>9.1000000000000004E-3</v>
      </c>
      <c r="O723" s="411" t="s">
        <v>1086</v>
      </c>
    </row>
    <row r="724" spans="1:15" ht="18" customHeight="1" x14ac:dyDescent="0.25">
      <c r="A724" s="115">
        <v>10</v>
      </c>
      <c r="B724" s="116" t="s">
        <v>103</v>
      </c>
      <c r="C724" s="115">
        <v>218</v>
      </c>
      <c r="D724" s="119" t="s">
        <v>89</v>
      </c>
      <c r="E724" s="119" t="s">
        <v>1106</v>
      </c>
      <c r="F724" s="116" t="s">
        <v>1085</v>
      </c>
      <c r="G724" s="280">
        <v>6</v>
      </c>
      <c r="H724" s="259">
        <v>19444</v>
      </c>
      <c r="I724" s="259">
        <v>116667</v>
      </c>
      <c r="J724" s="259">
        <v>0</v>
      </c>
      <c r="K724" s="259">
        <v>116667</v>
      </c>
      <c r="L724" s="259">
        <v>9333</v>
      </c>
      <c r="M724" s="259">
        <v>126000</v>
      </c>
      <c r="N724" s="118">
        <v>1.9099999999999999E-2</v>
      </c>
      <c r="O724" s="411" t="s">
        <v>1086</v>
      </c>
    </row>
    <row r="725" spans="1:15" ht="18" customHeight="1" x14ac:dyDescent="0.25">
      <c r="A725" s="115">
        <v>10</v>
      </c>
      <c r="B725" s="116" t="s">
        <v>103</v>
      </c>
      <c r="C725" s="115">
        <v>34</v>
      </c>
      <c r="D725" s="119" t="s">
        <v>91</v>
      </c>
      <c r="E725" s="119" t="s">
        <v>1107</v>
      </c>
      <c r="F725" s="116" t="s">
        <v>1085</v>
      </c>
      <c r="G725" s="280">
        <v>2</v>
      </c>
      <c r="H725" s="259">
        <v>6481</v>
      </c>
      <c r="I725" s="259">
        <v>12963</v>
      </c>
      <c r="J725" s="259">
        <v>0</v>
      </c>
      <c r="K725" s="259">
        <v>12963</v>
      </c>
      <c r="L725" s="259">
        <v>1037</v>
      </c>
      <c r="M725" s="259">
        <v>14000</v>
      </c>
      <c r="N725" s="118">
        <v>2.0999999999999999E-3</v>
      </c>
      <c r="O725" s="411" t="s">
        <v>1086</v>
      </c>
    </row>
    <row r="726" spans="1:15" ht="18" customHeight="1" x14ac:dyDescent="0.25">
      <c r="A726" s="115">
        <v>10</v>
      </c>
      <c r="B726" s="116" t="s">
        <v>103</v>
      </c>
      <c r="C726" s="115">
        <v>121</v>
      </c>
      <c r="D726" s="119" t="s">
        <v>91</v>
      </c>
      <c r="E726" s="119" t="s">
        <v>1108</v>
      </c>
      <c r="F726" s="116" t="s">
        <v>1085</v>
      </c>
      <c r="G726" s="280">
        <v>3</v>
      </c>
      <c r="H726" s="259">
        <v>2778</v>
      </c>
      <c r="I726" s="259">
        <v>8333</v>
      </c>
      <c r="J726" s="259">
        <v>0</v>
      </c>
      <c r="K726" s="259">
        <v>8333</v>
      </c>
      <c r="L726" s="259">
        <v>667</v>
      </c>
      <c r="M726" s="259">
        <v>9000</v>
      </c>
      <c r="N726" s="118">
        <v>1.4E-3</v>
      </c>
      <c r="O726" s="411" t="s">
        <v>1086</v>
      </c>
    </row>
    <row r="727" spans="1:15" ht="18" customHeight="1" x14ac:dyDescent="0.25">
      <c r="A727" s="115">
        <v>10</v>
      </c>
      <c r="B727" s="116" t="s">
        <v>103</v>
      </c>
      <c r="C727" s="115">
        <v>208</v>
      </c>
      <c r="D727" s="119" t="s">
        <v>91</v>
      </c>
      <c r="E727" s="119" t="s">
        <v>1109</v>
      </c>
      <c r="F727" s="116" t="s">
        <v>1085</v>
      </c>
      <c r="G727" s="280">
        <v>11</v>
      </c>
      <c r="H727" s="259">
        <v>3704</v>
      </c>
      <c r="I727" s="259">
        <v>40741</v>
      </c>
      <c r="J727" s="259">
        <v>0</v>
      </c>
      <c r="K727" s="259">
        <v>40741</v>
      </c>
      <c r="L727" s="259">
        <v>3259</v>
      </c>
      <c r="M727" s="259">
        <v>44000</v>
      </c>
      <c r="N727" s="118">
        <v>6.7000000000000002E-3</v>
      </c>
      <c r="O727" s="411" t="s">
        <v>1086</v>
      </c>
    </row>
    <row r="728" spans="1:15" ht="18" customHeight="1" x14ac:dyDescent="0.25">
      <c r="A728" s="115">
        <v>10</v>
      </c>
      <c r="B728" s="116" t="s">
        <v>103</v>
      </c>
      <c r="C728" s="115">
        <v>90</v>
      </c>
      <c r="D728" s="119" t="s">
        <v>91</v>
      </c>
      <c r="E728" s="119" t="s">
        <v>572</v>
      </c>
      <c r="F728" s="116" t="s">
        <v>1085</v>
      </c>
      <c r="G728" s="280">
        <v>1</v>
      </c>
      <c r="H728" s="259">
        <v>4259</v>
      </c>
      <c r="I728" s="259">
        <v>4259</v>
      </c>
      <c r="J728" s="259">
        <v>0</v>
      </c>
      <c r="K728" s="259">
        <v>4259</v>
      </c>
      <c r="L728" s="259">
        <v>341</v>
      </c>
      <c r="M728" s="259">
        <v>4600</v>
      </c>
      <c r="N728" s="118">
        <v>7.000000000000001E-4</v>
      </c>
      <c r="O728" s="411" t="s">
        <v>1086</v>
      </c>
    </row>
    <row r="729" spans="1:15" ht="18" customHeight="1" x14ac:dyDescent="0.25">
      <c r="A729" s="115">
        <v>10</v>
      </c>
      <c r="B729" s="116" t="s">
        <v>103</v>
      </c>
      <c r="C729" s="115">
        <v>123</v>
      </c>
      <c r="D729" s="119" t="s">
        <v>91</v>
      </c>
      <c r="E729" s="119" t="s">
        <v>1110</v>
      </c>
      <c r="F729" s="116" t="s">
        <v>1085</v>
      </c>
      <c r="G729" s="280">
        <v>3</v>
      </c>
      <c r="H729" s="259">
        <v>2778</v>
      </c>
      <c r="I729" s="259">
        <v>8333</v>
      </c>
      <c r="J729" s="259">
        <v>0</v>
      </c>
      <c r="K729" s="259">
        <v>8333</v>
      </c>
      <c r="L729" s="259">
        <v>667</v>
      </c>
      <c r="M729" s="259">
        <v>9000</v>
      </c>
      <c r="N729" s="118">
        <v>1.4E-3</v>
      </c>
      <c r="O729" s="411" t="s">
        <v>1086</v>
      </c>
    </row>
    <row r="730" spans="1:15" ht="18" customHeight="1" x14ac:dyDescent="0.25">
      <c r="A730" s="115">
        <v>10</v>
      </c>
      <c r="B730" s="116" t="s">
        <v>103</v>
      </c>
      <c r="C730" s="115">
        <v>31</v>
      </c>
      <c r="D730" s="119" t="s">
        <v>95</v>
      </c>
      <c r="E730" s="119" t="s">
        <v>1111</v>
      </c>
      <c r="F730" s="116" t="s">
        <v>1085</v>
      </c>
      <c r="G730" s="280">
        <v>12</v>
      </c>
      <c r="H730" s="259">
        <v>1192</v>
      </c>
      <c r="I730" s="259">
        <v>14444</v>
      </c>
      <c r="J730" s="259">
        <v>140</v>
      </c>
      <c r="K730" s="259">
        <v>14304</v>
      </c>
      <c r="L730" s="259">
        <v>1144</v>
      </c>
      <c r="M730" s="259">
        <v>15448</v>
      </c>
      <c r="N730" s="118">
        <v>2.3E-3</v>
      </c>
      <c r="O730" s="411" t="s">
        <v>1086</v>
      </c>
    </row>
    <row r="731" spans="1:15" ht="18" customHeight="1" x14ac:dyDescent="0.25">
      <c r="A731" s="115">
        <v>10</v>
      </c>
      <c r="B731" s="116" t="s">
        <v>103</v>
      </c>
      <c r="C731" s="115">
        <v>202</v>
      </c>
      <c r="D731" s="119" t="s">
        <v>91</v>
      </c>
      <c r="E731" s="119" t="s">
        <v>1188</v>
      </c>
      <c r="F731" s="116" t="s">
        <v>1085</v>
      </c>
      <c r="G731" s="280">
        <v>1</v>
      </c>
      <c r="H731" s="259">
        <v>32407</v>
      </c>
      <c r="I731" s="259">
        <v>32407</v>
      </c>
      <c r="J731" s="259">
        <v>0</v>
      </c>
      <c r="K731" s="259">
        <v>32407</v>
      </c>
      <c r="L731" s="259">
        <v>2593</v>
      </c>
      <c r="M731" s="259">
        <v>35000</v>
      </c>
      <c r="N731" s="118">
        <v>5.3E-3</v>
      </c>
      <c r="O731" s="411" t="s">
        <v>1086</v>
      </c>
    </row>
    <row r="732" spans="1:15" ht="18" customHeight="1" x14ac:dyDescent="0.25">
      <c r="A732" s="115">
        <v>10</v>
      </c>
      <c r="B732" s="116" t="s">
        <v>103</v>
      </c>
      <c r="C732" s="115">
        <v>212</v>
      </c>
      <c r="D732" s="119" t="s">
        <v>91</v>
      </c>
      <c r="E732" s="119" t="s">
        <v>162</v>
      </c>
      <c r="F732" s="116" t="s">
        <v>1085</v>
      </c>
      <c r="G732" s="280">
        <v>1</v>
      </c>
      <c r="H732" s="259">
        <v>22222</v>
      </c>
      <c r="I732" s="259">
        <v>22222</v>
      </c>
      <c r="J732" s="259">
        <v>0</v>
      </c>
      <c r="K732" s="259">
        <v>22222</v>
      </c>
      <c r="L732" s="259">
        <v>1778</v>
      </c>
      <c r="M732" s="259">
        <v>24000</v>
      </c>
      <c r="N732" s="118">
        <v>3.5999999999999999E-3</v>
      </c>
      <c r="O732" s="411" t="s">
        <v>1086</v>
      </c>
    </row>
    <row r="733" spans="1:15" ht="18" customHeight="1" x14ac:dyDescent="0.25">
      <c r="A733" s="115">
        <v>10</v>
      </c>
      <c r="B733" s="116" t="s">
        <v>103</v>
      </c>
      <c r="C733" s="115">
        <v>74</v>
      </c>
      <c r="D733" s="119" t="s">
        <v>91</v>
      </c>
      <c r="E733" s="119" t="s">
        <v>1153</v>
      </c>
      <c r="F733" s="116" t="s">
        <v>1085</v>
      </c>
      <c r="G733" s="280">
        <v>2</v>
      </c>
      <c r="H733" s="259">
        <v>6481</v>
      </c>
      <c r="I733" s="259">
        <v>12963</v>
      </c>
      <c r="J733" s="259">
        <v>0</v>
      </c>
      <c r="K733" s="259">
        <v>12963</v>
      </c>
      <c r="L733" s="259">
        <v>1037</v>
      </c>
      <c r="M733" s="259">
        <v>14000</v>
      </c>
      <c r="N733" s="118">
        <v>2.0999999999999999E-3</v>
      </c>
      <c r="O733" s="411" t="s">
        <v>1086</v>
      </c>
    </row>
    <row r="734" spans="1:15" ht="18" customHeight="1" x14ac:dyDescent="0.25">
      <c r="A734" s="115">
        <v>10</v>
      </c>
      <c r="B734" s="116" t="s">
        <v>103</v>
      </c>
      <c r="C734" s="115">
        <v>235</v>
      </c>
      <c r="D734" s="119" t="s">
        <v>91</v>
      </c>
      <c r="E734" s="119" t="s">
        <v>1154</v>
      </c>
      <c r="F734" s="116" t="s">
        <v>1085</v>
      </c>
      <c r="G734" s="280">
        <v>8</v>
      </c>
      <c r="H734" s="259">
        <v>3426</v>
      </c>
      <c r="I734" s="259">
        <v>27407</v>
      </c>
      <c r="J734" s="259">
        <v>0</v>
      </c>
      <c r="K734" s="259">
        <v>27407</v>
      </c>
      <c r="L734" s="259">
        <v>2193</v>
      </c>
      <c r="M734" s="259">
        <v>29600</v>
      </c>
      <c r="N734" s="118">
        <v>4.5000000000000014E-3</v>
      </c>
      <c r="O734" s="411" t="s">
        <v>1086</v>
      </c>
    </row>
    <row r="735" spans="1:15" ht="18" customHeight="1" x14ac:dyDescent="0.25">
      <c r="A735" s="115">
        <v>10</v>
      </c>
      <c r="B735" s="116" t="s">
        <v>103</v>
      </c>
      <c r="C735" s="115">
        <v>501</v>
      </c>
      <c r="D735" s="119" t="s">
        <v>91</v>
      </c>
      <c r="E735" s="119" t="s">
        <v>1112</v>
      </c>
      <c r="F735" s="116" t="s">
        <v>1085</v>
      </c>
      <c r="G735" s="280">
        <v>2</v>
      </c>
      <c r="H735" s="259">
        <v>22222</v>
      </c>
      <c r="I735" s="259">
        <v>44444</v>
      </c>
      <c r="J735" s="259">
        <v>0</v>
      </c>
      <c r="K735" s="259">
        <v>44444</v>
      </c>
      <c r="L735" s="259">
        <v>3556</v>
      </c>
      <c r="M735" s="259">
        <v>48000</v>
      </c>
      <c r="N735" s="118">
        <v>7.3000000000000001E-3</v>
      </c>
      <c r="O735" s="411" t="s">
        <v>1086</v>
      </c>
    </row>
    <row r="736" spans="1:15" ht="18" customHeight="1" x14ac:dyDescent="0.25">
      <c r="A736" s="115">
        <v>10</v>
      </c>
      <c r="B736" s="116" t="s">
        <v>103</v>
      </c>
      <c r="C736" s="115">
        <v>16</v>
      </c>
      <c r="D736" s="119" t="s">
        <v>87</v>
      </c>
      <c r="E736" s="119" t="s">
        <v>1212</v>
      </c>
      <c r="F736" s="116" t="s">
        <v>1085</v>
      </c>
      <c r="G736" s="280">
        <v>15</v>
      </c>
      <c r="H736" s="259">
        <v>18765</v>
      </c>
      <c r="I736" s="259">
        <v>281481</v>
      </c>
      <c r="J736" s="259">
        <v>0</v>
      </c>
      <c r="K736" s="259">
        <v>281481</v>
      </c>
      <c r="L736" s="259">
        <v>22519</v>
      </c>
      <c r="M736" s="259">
        <v>304000</v>
      </c>
      <c r="N736" s="118">
        <v>4.5999999999999999E-2</v>
      </c>
      <c r="O736" s="411" t="s">
        <v>1086</v>
      </c>
    </row>
    <row r="737" spans="1:15" ht="18" customHeight="1" x14ac:dyDescent="0.25">
      <c r="A737" s="115">
        <v>10</v>
      </c>
      <c r="B737" s="116" t="s">
        <v>103</v>
      </c>
      <c r="C737" s="115">
        <v>118</v>
      </c>
      <c r="D737" s="119" t="s">
        <v>87</v>
      </c>
      <c r="E737" s="119" t="s">
        <v>126</v>
      </c>
      <c r="F737" s="116" t="s">
        <v>1085</v>
      </c>
      <c r="G737" s="280">
        <v>4</v>
      </c>
      <c r="H737" s="259">
        <v>41667</v>
      </c>
      <c r="I737" s="259">
        <v>166667</v>
      </c>
      <c r="J737" s="259">
        <v>0</v>
      </c>
      <c r="K737" s="259">
        <v>166667</v>
      </c>
      <c r="L737" s="259">
        <v>13333</v>
      </c>
      <c r="M737" s="259">
        <v>180000</v>
      </c>
      <c r="N737" s="118">
        <v>2.7199999999999998E-2</v>
      </c>
      <c r="O737" s="411" t="s">
        <v>1086</v>
      </c>
    </row>
    <row r="738" spans="1:15" ht="18" customHeight="1" x14ac:dyDescent="0.25">
      <c r="A738" s="115">
        <v>10</v>
      </c>
      <c r="B738" s="116" t="s">
        <v>103</v>
      </c>
      <c r="C738" s="115">
        <v>204</v>
      </c>
      <c r="D738" s="119" t="s">
        <v>91</v>
      </c>
      <c r="E738" s="119" t="s">
        <v>1114</v>
      </c>
      <c r="F738" s="116" t="s">
        <v>1085</v>
      </c>
      <c r="G738" s="280">
        <v>2</v>
      </c>
      <c r="H738" s="259">
        <v>12037</v>
      </c>
      <c r="I738" s="259">
        <v>24074</v>
      </c>
      <c r="J738" s="259">
        <v>0</v>
      </c>
      <c r="K738" s="259">
        <v>24074</v>
      </c>
      <c r="L738" s="259">
        <v>1926</v>
      </c>
      <c r="M738" s="259">
        <v>26000</v>
      </c>
      <c r="N738" s="118">
        <v>3.8999999999999998E-3</v>
      </c>
      <c r="O738" s="411" t="s">
        <v>1086</v>
      </c>
    </row>
    <row r="739" spans="1:15" ht="18" customHeight="1" x14ac:dyDescent="0.25">
      <c r="A739" s="115">
        <v>10</v>
      </c>
      <c r="B739" s="116" t="s">
        <v>103</v>
      </c>
      <c r="C739" s="115">
        <v>147</v>
      </c>
      <c r="D739" s="119" t="s">
        <v>91</v>
      </c>
      <c r="E739" s="119" t="s">
        <v>1115</v>
      </c>
      <c r="F739" s="116" t="s">
        <v>1085</v>
      </c>
      <c r="G739" s="280">
        <v>2</v>
      </c>
      <c r="H739" s="259">
        <v>6481</v>
      </c>
      <c r="I739" s="259">
        <v>12963</v>
      </c>
      <c r="J739" s="259">
        <v>0</v>
      </c>
      <c r="K739" s="259">
        <v>12963</v>
      </c>
      <c r="L739" s="259">
        <v>1037</v>
      </c>
      <c r="M739" s="259">
        <v>14000</v>
      </c>
      <c r="N739" s="118">
        <v>2.0999999999999999E-3</v>
      </c>
      <c r="O739" s="411" t="s">
        <v>1086</v>
      </c>
    </row>
    <row r="740" spans="1:15" ht="18" customHeight="1" x14ac:dyDescent="0.25">
      <c r="A740" s="115">
        <v>10</v>
      </c>
      <c r="B740" s="116" t="s">
        <v>103</v>
      </c>
      <c r="C740" s="115">
        <v>46</v>
      </c>
      <c r="D740" s="119" t="s">
        <v>87</v>
      </c>
      <c r="E740" s="119" t="s">
        <v>1116</v>
      </c>
      <c r="F740" s="116" t="s">
        <v>1085</v>
      </c>
      <c r="G740" s="280">
        <v>2</v>
      </c>
      <c r="H740" s="259">
        <v>35648</v>
      </c>
      <c r="I740" s="259">
        <v>71296</v>
      </c>
      <c r="J740" s="259">
        <v>0</v>
      </c>
      <c r="K740" s="259">
        <v>71296</v>
      </c>
      <c r="L740" s="259">
        <v>5704</v>
      </c>
      <c r="M740" s="259">
        <v>77000</v>
      </c>
      <c r="N740" s="118">
        <v>1.17E-2</v>
      </c>
      <c r="O740" s="411" t="s">
        <v>1086</v>
      </c>
    </row>
    <row r="741" spans="1:15" ht="18" customHeight="1" x14ac:dyDescent="0.25">
      <c r="A741" s="115">
        <v>10</v>
      </c>
      <c r="B741" s="116" t="s">
        <v>103</v>
      </c>
      <c r="C741" s="115">
        <v>72</v>
      </c>
      <c r="D741" s="119" t="s">
        <v>97</v>
      </c>
      <c r="E741" s="119" t="s">
        <v>1117</v>
      </c>
      <c r="F741" s="116" t="s">
        <v>1085</v>
      </c>
      <c r="G741" s="280">
        <v>6</v>
      </c>
      <c r="H741" s="259">
        <v>3704</v>
      </c>
      <c r="I741" s="259">
        <v>22222</v>
      </c>
      <c r="J741" s="259">
        <v>0</v>
      </c>
      <c r="K741" s="259">
        <v>22222</v>
      </c>
      <c r="L741" s="259">
        <v>1778</v>
      </c>
      <c r="M741" s="259">
        <v>24000</v>
      </c>
      <c r="N741" s="118">
        <v>3.5999999999999999E-3</v>
      </c>
      <c r="O741" s="411" t="s">
        <v>1086</v>
      </c>
    </row>
    <row r="742" spans="1:15" ht="18" customHeight="1" x14ac:dyDescent="0.25">
      <c r="A742" s="115">
        <v>10</v>
      </c>
      <c r="B742" s="116" t="s">
        <v>103</v>
      </c>
      <c r="C742" s="115">
        <v>227</v>
      </c>
      <c r="D742" s="119" t="s">
        <v>87</v>
      </c>
      <c r="E742" s="119" t="s">
        <v>1169</v>
      </c>
      <c r="F742" s="116" t="s">
        <v>1085</v>
      </c>
      <c r="G742" s="280">
        <v>2</v>
      </c>
      <c r="H742" s="259">
        <v>1389</v>
      </c>
      <c r="I742" s="259">
        <v>2778</v>
      </c>
      <c r="J742" s="259">
        <v>0</v>
      </c>
      <c r="K742" s="259">
        <v>2778</v>
      </c>
      <c r="L742" s="259">
        <v>222</v>
      </c>
      <c r="M742" s="259">
        <v>3000</v>
      </c>
      <c r="N742" s="118">
        <v>5.0000000000000001E-4</v>
      </c>
      <c r="O742" s="411" t="s">
        <v>1086</v>
      </c>
    </row>
    <row r="743" spans="1:15" ht="18" customHeight="1" x14ac:dyDescent="0.25">
      <c r="A743" s="115">
        <v>10</v>
      </c>
      <c r="B743" s="116" t="s">
        <v>103</v>
      </c>
      <c r="C743" s="115">
        <v>101</v>
      </c>
      <c r="D743" s="119" t="s">
        <v>87</v>
      </c>
      <c r="E743" s="119" t="s">
        <v>1119</v>
      </c>
      <c r="F743" s="116" t="s">
        <v>1085</v>
      </c>
      <c r="G743" s="280">
        <v>1</v>
      </c>
      <c r="H743" s="259">
        <v>2315</v>
      </c>
      <c r="I743" s="259">
        <v>2315</v>
      </c>
      <c r="J743" s="259">
        <v>0</v>
      </c>
      <c r="K743" s="259">
        <v>2315</v>
      </c>
      <c r="L743" s="259">
        <v>185</v>
      </c>
      <c r="M743" s="259">
        <v>2500</v>
      </c>
      <c r="N743" s="118">
        <v>4.0000000000000002E-4</v>
      </c>
      <c r="O743" s="411" t="s">
        <v>1086</v>
      </c>
    </row>
    <row r="744" spans="1:15" ht="18" customHeight="1" x14ac:dyDescent="0.25">
      <c r="A744" s="115">
        <v>10</v>
      </c>
      <c r="B744" s="116" t="s">
        <v>103</v>
      </c>
      <c r="C744" s="115">
        <v>93</v>
      </c>
      <c r="D744" s="119" t="s">
        <v>89</v>
      </c>
      <c r="E744" s="119" t="s">
        <v>123</v>
      </c>
      <c r="F744" s="116" t="s">
        <v>1085</v>
      </c>
      <c r="G744" s="280">
        <v>86</v>
      </c>
      <c r="H744" s="259">
        <v>20343</v>
      </c>
      <c r="I744" s="259">
        <v>1751852</v>
      </c>
      <c r="J744" s="259">
        <v>2376</v>
      </c>
      <c r="K744" s="259">
        <v>1749476</v>
      </c>
      <c r="L744" s="259">
        <v>139958</v>
      </c>
      <c r="M744" s="259">
        <v>1889434</v>
      </c>
      <c r="N744" s="118">
        <v>0.28599999999999998</v>
      </c>
      <c r="O744" s="411" t="s">
        <v>1086</v>
      </c>
    </row>
    <row r="745" spans="1:15" ht="18" customHeight="1" x14ac:dyDescent="0.25">
      <c r="A745" s="115">
        <v>10</v>
      </c>
      <c r="B745" s="116" t="s">
        <v>103</v>
      </c>
      <c r="C745" s="115">
        <v>119</v>
      </c>
      <c r="D745" s="119" t="s">
        <v>89</v>
      </c>
      <c r="E745" s="119" t="s">
        <v>114</v>
      </c>
      <c r="F745" s="116" t="s">
        <v>1085</v>
      </c>
      <c r="G745" s="280">
        <v>5</v>
      </c>
      <c r="H745" s="259">
        <v>44444</v>
      </c>
      <c r="I745" s="259">
        <v>222222</v>
      </c>
      <c r="J745" s="259">
        <v>0</v>
      </c>
      <c r="K745" s="259">
        <v>222222</v>
      </c>
      <c r="L745" s="259">
        <v>17778</v>
      </c>
      <c r="M745" s="259">
        <v>240000</v>
      </c>
      <c r="N745" s="118">
        <v>3.6299999999999999E-2</v>
      </c>
      <c r="O745" s="411" t="s">
        <v>1086</v>
      </c>
    </row>
    <row r="746" spans="1:15" ht="18" customHeight="1" x14ac:dyDescent="0.25">
      <c r="A746" s="115">
        <v>10</v>
      </c>
      <c r="B746" s="116" t="s">
        <v>103</v>
      </c>
      <c r="C746" s="115">
        <v>21</v>
      </c>
      <c r="D746" s="119" t="s">
        <v>95</v>
      </c>
      <c r="E746" s="119" t="s">
        <v>1202</v>
      </c>
      <c r="F746" s="116" t="s">
        <v>1085</v>
      </c>
      <c r="G746" s="280">
        <v>2</v>
      </c>
      <c r="H746" s="259">
        <v>7407</v>
      </c>
      <c r="I746" s="259">
        <v>14815</v>
      </c>
      <c r="J746" s="259">
        <v>0</v>
      </c>
      <c r="K746" s="259">
        <v>14815</v>
      </c>
      <c r="L746" s="259">
        <v>1185</v>
      </c>
      <c r="M746" s="259">
        <v>16000</v>
      </c>
      <c r="N746" s="118">
        <v>2.3999999999999998E-3</v>
      </c>
      <c r="O746" s="411" t="s">
        <v>1086</v>
      </c>
    </row>
    <row r="747" spans="1:15" ht="18" customHeight="1" x14ac:dyDescent="0.25">
      <c r="A747" s="115">
        <v>10</v>
      </c>
      <c r="B747" s="116" t="s">
        <v>103</v>
      </c>
      <c r="C747" s="115">
        <v>20</v>
      </c>
      <c r="D747" s="119" t="s">
        <v>87</v>
      </c>
      <c r="E747" s="119" t="s">
        <v>1170</v>
      </c>
      <c r="F747" s="116" t="s">
        <v>1085</v>
      </c>
      <c r="G747" s="280">
        <v>1</v>
      </c>
      <c r="H747" s="259">
        <v>6481</v>
      </c>
      <c r="I747" s="259">
        <v>6481</v>
      </c>
      <c r="J747" s="259">
        <v>0</v>
      </c>
      <c r="K747" s="259">
        <v>6481</v>
      </c>
      <c r="L747" s="259">
        <v>519</v>
      </c>
      <c r="M747" s="259">
        <v>7000</v>
      </c>
      <c r="N747" s="118">
        <v>1.1000000000000001E-3</v>
      </c>
      <c r="O747" s="411" t="s">
        <v>1086</v>
      </c>
    </row>
    <row r="748" spans="1:15" ht="18" customHeight="1" x14ac:dyDescent="0.25">
      <c r="A748" s="115">
        <v>10</v>
      </c>
      <c r="B748" s="116" t="s">
        <v>103</v>
      </c>
      <c r="C748" s="115">
        <v>77</v>
      </c>
      <c r="D748" s="119" t="s">
        <v>87</v>
      </c>
      <c r="E748" s="119" t="s">
        <v>1121</v>
      </c>
      <c r="F748" s="116" t="s">
        <v>1085</v>
      </c>
      <c r="G748" s="280">
        <v>1</v>
      </c>
      <c r="H748" s="259">
        <v>2778</v>
      </c>
      <c r="I748" s="259">
        <v>2778</v>
      </c>
      <c r="J748" s="259">
        <v>0</v>
      </c>
      <c r="K748" s="259">
        <v>2778</v>
      </c>
      <c r="L748" s="259">
        <v>222</v>
      </c>
      <c r="M748" s="259">
        <v>3000</v>
      </c>
      <c r="N748" s="118">
        <v>5.0000000000000001E-4</v>
      </c>
      <c r="O748" s="411" t="s">
        <v>1086</v>
      </c>
    </row>
    <row r="749" spans="1:15" ht="18" customHeight="1" x14ac:dyDescent="0.25">
      <c r="A749" s="115">
        <v>10</v>
      </c>
      <c r="B749" s="116" t="s">
        <v>103</v>
      </c>
      <c r="C749" s="115">
        <v>111</v>
      </c>
      <c r="D749" s="119" t="s">
        <v>87</v>
      </c>
      <c r="E749" s="119" t="s">
        <v>1192</v>
      </c>
      <c r="F749" s="116" t="s">
        <v>1085</v>
      </c>
      <c r="G749" s="280">
        <v>0</v>
      </c>
      <c r="H749" s="259">
        <v>0</v>
      </c>
      <c r="I749" s="259">
        <v>0</v>
      </c>
      <c r="J749" s="259">
        <v>0</v>
      </c>
      <c r="K749" s="259">
        <v>0</v>
      </c>
      <c r="L749" s="259">
        <v>0</v>
      </c>
      <c r="M749" s="259">
        <v>0</v>
      </c>
      <c r="N749" s="118">
        <v>0</v>
      </c>
      <c r="O749" s="411" t="s">
        <v>1086</v>
      </c>
    </row>
    <row r="750" spans="1:15" ht="18" customHeight="1" x14ac:dyDescent="0.25">
      <c r="A750" s="115">
        <v>10</v>
      </c>
      <c r="B750" s="116" t="s">
        <v>103</v>
      </c>
      <c r="C750" s="115">
        <v>162</v>
      </c>
      <c r="D750" s="119" t="s">
        <v>95</v>
      </c>
      <c r="E750" s="119" t="s">
        <v>1122</v>
      </c>
      <c r="F750" s="116" t="s">
        <v>1085</v>
      </c>
      <c r="G750" s="280">
        <v>3</v>
      </c>
      <c r="H750" s="259">
        <v>6481</v>
      </c>
      <c r="I750" s="259">
        <v>19444</v>
      </c>
      <c r="J750" s="259">
        <v>0</v>
      </c>
      <c r="K750" s="259">
        <v>19444</v>
      </c>
      <c r="L750" s="259">
        <v>1556</v>
      </c>
      <c r="M750" s="259">
        <v>21000</v>
      </c>
      <c r="N750" s="118">
        <v>3.2000000000000002E-3</v>
      </c>
      <c r="O750" s="411" t="s">
        <v>1086</v>
      </c>
    </row>
    <row r="751" spans="1:15" ht="18" customHeight="1" x14ac:dyDescent="0.25">
      <c r="A751" s="115">
        <v>10</v>
      </c>
      <c r="B751" s="116" t="s">
        <v>103</v>
      </c>
      <c r="C751" s="115">
        <v>86</v>
      </c>
      <c r="D751" s="119" t="s">
        <v>95</v>
      </c>
      <c r="E751" s="119" t="s">
        <v>1124</v>
      </c>
      <c r="F751" s="116" t="s">
        <v>1085</v>
      </c>
      <c r="G751" s="280">
        <v>14</v>
      </c>
      <c r="H751" s="259">
        <v>3241</v>
      </c>
      <c r="I751" s="259">
        <v>45370</v>
      </c>
      <c r="J751" s="259">
        <v>0</v>
      </c>
      <c r="K751" s="259">
        <v>45370</v>
      </c>
      <c r="L751" s="259">
        <v>3630</v>
      </c>
      <c r="M751" s="259">
        <v>49000</v>
      </c>
      <c r="N751" s="118">
        <v>7.4000000000000003E-3</v>
      </c>
      <c r="O751" s="411" t="s">
        <v>1086</v>
      </c>
    </row>
    <row r="752" spans="1:15" ht="18" customHeight="1" x14ac:dyDescent="0.25">
      <c r="A752" s="115">
        <v>10</v>
      </c>
      <c r="B752" s="116" t="s">
        <v>103</v>
      </c>
      <c r="C752" s="115">
        <v>80</v>
      </c>
      <c r="D752" s="119" t="s">
        <v>95</v>
      </c>
      <c r="E752" s="119" t="s">
        <v>1125</v>
      </c>
      <c r="F752" s="116" t="s">
        <v>1085</v>
      </c>
      <c r="G752" s="280">
        <v>14</v>
      </c>
      <c r="H752" s="259">
        <v>6481</v>
      </c>
      <c r="I752" s="259">
        <v>90741</v>
      </c>
      <c r="J752" s="259">
        <v>0</v>
      </c>
      <c r="K752" s="259">
        <v>90741</v>
      </c>
      <c r="L752" s="259">
        <v>7259</v>
      </c>
      <c r="M752" s="259">
        <v>98000</v>
      </c>
      <c r="N752" s="118">
        <v>1.4800000000000001E-2</v>
      </c>
      <c r="O752" s="411" t="s">
        <v>1086</v>
      </c>
    </row>
    <row r="753" spans="1:15" ht="18" customHeight="1" x14ac:dyDescent="0.25">
      <c r="A753" s="115">
        <v>10</v>
      </c>
      <c r="B753" s="116" t="s">
        <v>103</v>
      </c>
      <c r="C753" s="115">
        <v>157</v>
      </c>
      <c r="D753" s="119" t="s">
        <v>95</v>
      </c>
      <c r="E753" s="119" t="s">
        <v>1203</v>
      </c>
      <c r="F753" s="116" t="s">
        <v>1085</v>
      </c>
      <c r="G753" s="280">
        <v>6</v>
      </c>
      <c r="H753" s="259">
        <v>7407</v>
      </c>
      <c r="I753" s="259">
        <v>44444</v>
      </c>
      <c r="J753" s="259">
        <v>0</v>
      </c>
      <c r="K753" s="259">
        <v>44444</v>
      </c>
      <c r="L753" s="259">
        <v>3556</v>
      </c>
      <c r="M753" s="259">
        <v>48000</v>
      </c>
      <c r="N753" s="118">
        <v>7.3000000000000001E-3</v>
      </c>
      <c r="O753" s="411" t="s">
        <v>1086</v>
      </c>
    </row>
    <row r="754" spans="1:15" ht="18" customHeight="1" x14ac:dyDescent="0.25">
      <c r="A754" s="115">
        <v>10</v>
      </c>
      <c r="B754" s="116" t="s">
        <v>103</v>
      </c>
      <c r="C754" s="115">
        <v>63</v>
      </c>
      <c r="D754" s="119" t="s">
        <v>95</v>
      </c>
      <c r="E754" s="119" t="s">
        <v>1182</v>
      </c>
      <c r="F754" s="116" t="s">
        <v>1085</v>
      </c>
      <c r="G754" s="280">
        <v>1</v>
      </c>
      <c r="H754" s="259">
        <v>3704</v>
      </c>
      <c r="I754" s="259">
        <v>3704</v>
      </c>
      <c r="J754" s="259">
        <v>0</v>
      </c>
      <c r="K754" s="259">
        <v>3704</v>
      </c>
      <c r="L754" s="259">
        <v>296</v>
      </c>
      <c r="M754" s="259">
        <v>4000</v>
      </c>
      <c r="N754" s="118">
        <v>5.9999999999999995E-4</v>
      </c>
      <c r="O754" s="411" t="s">
        <v>1086</v>
      </c>
    </row>
    <row r="755" spans="1:15" ht="18" customHeight="1" x14ac:dyDescent="0.25">
      <c r="A755" s="115">
        <v>10</v>
      </c>
      <c r="B755" s="116" t="s">
        <v>103</v>
      </c>
      <c r="C755" s="115">
        <v>79</v>
      </c>
      <c r="D755" s="119" t="s">
        <v>95</v>
      </c>
      <c r="E755" s="119" t="s">
        <v>1127</v>
      </c>
      <c r="F755" s="116" t="s">
        <v>1085</v>
      </c>
      <c r="G755" s="280">
        <v>7</v>
      </c>
      <c r="H755" s="259">
        <v>6427</v>
      </c>
      <c r="I755" s="259">
        <v>45370</v>
      </c>
      <c r="J755" s="259">
        <v>378</v>
      </c>
      <c r="K755" s="259">
        <v>44992</v>
      </c>
      <c r="L755" s="259">
        <v>3599</v>
      </c>
      <c r="M755" s="259">
        <v>48591</v>
      </c>
      <c r="N755" s="118">
        <v>7.4000000000000003E-3</v>
      </c>
      <c r="O755" s="411" t="s">
        <v>1086</v>
      </c>
    </row>
    <row r="756" spans="1:15" ht="18" customHeight="1" x14ac:dyDescent="0.25">
      <c r="A756" s="115">
        <v>10</v>
      </c>
      <c r="B756" s="116" t="s">
        <v>103</v>
      </c>
      <c r="C756" s="115">
        <v>62</v>
      </c>
      <c r="D756" s="119" t="s">
        <v>95</v>
      </c>
      <c r="E756" s="119" t="s">
        <v>1128</v>
      </c>
      <c r="F756" s="116" t="s">
        <v>1085</v>
      </c>
      <c r="G756" s="280">
        <v>9</v>
      </c>
      <c r="H756" s="259">
        <v>6899</v>
      </c>
      <c r="I756" s="259">
        <v>62500</v>
      </c>
      <c r="J756" s="259">
        <v>405</v>
      </c>
      <c r="K756" s="259">
        <v>62095</v>
      </c>
      <c r="L756" s="259">
        <v>4968</v>
      </c>
      <c r="M756" s="259">
        <v>67063</v>
      </c>
      <c r="N756" s="118">
        <v>1.01E-2</v>
      </c>
      <c r="O756" s="411" t="s">
        <v>1086</v>
      </c>
    </row>
    <row r="757" spans="1:15" ht="18" customHeight="1" x14ac:dyDescent="0.25">
      <c r="A757" s="115">
        <v>10</v>
      </c>
      <c r="B757" s="116" t="s">
        <v>103</v>
      </c>
      <c r="C757" s="115">
        <v>137</v>
      </c>
      <c r="D757" s="119" t="s">
        <v>95</v>
      </c>
      <c r="E757" s="119" t="s">
        <v>1159</v>
      </c>
      <c r="F757" s="116" t="s">
        <v>1085</v>
      </c>
      <c r="G757" s="280">
        <v>0</v>
      </c>
      <c r="H757" s="259">
        <v>0</v>
      </c>
      <c r="I757" s="259">
        <v>0</v>
      </c>
      <c r="J757" s="259">
        <v>0</v>
      </c>
      <c r="K757" s="259">
        <v>0</v>
      </c>
      <c r="L757" s="259">
        <v>0</v>
      </c>
      <c r="M757" s="259">
        <v>0</v>
      </c>
      <c r="N757" s="118">
        <v>0</v>
      </c>
      <c r="O757" s="411" t="s">
        <v>1086</v>
      </c>
    </row>
    <row r="758" spans="1:15" ht="18" customHeight="1" x14ac:dyDescent="0.25">
      <c r="A758" s="115">
        <v>10</v>
      </c>
      <c r="B758" s="116" t="s">
        <v>103</v>
      </c>
      <c r="C758" s="115">
        <v>219</v>
      </c>
      <c r="D758" s="119" t="s">
        <v>87</v>
      </c>
      <c r="E758" s="119" t="s">
        <v>150</v>
      </c>
      <c r="F758" s="116" t="s">
        <v>1085</v>
      </c>
      <c r="G758" s="280">
        <v>3</v>
      </c>
      <c r="H758" s="259">
        <v>69444</v>
      </c>
      <c r="I758" s="259">
        <v>208333</v>
      </c>
      <c r="J758" s="259">
        <v>0</v>
      </c>
      <c r="K758" s="259">
        <v>208333</v>
      </c>
      <c r="L758" s="259">
        <v>16667</v>
      </c>
      <c r="M758" s="259">
        <v>225000</v>
      </c>
      <c r="N758" s="118">
        <v>3.4099999999999998E-2</v>
      </c>
      <c r="O758" s="411" t="s">
        <v>1086</v>
      </c>
    </row>
    <row r="759" spans="1:15" ht="18" customHeight="1" x14ac:dyDescent="0.25">
      <c r="A759" s="115">
        <v>10</v>
      </c>
      <c r="B759" s="116" t="s">
        <v>103</v>
      </c>
      <c r="C759" s="115">
        <v>221</v>
      </c>
      <c r="D759" s="119" t="s">
        <v>87</v>
      </c>
      <c r="E759" s="119" t="s">
        <v>1132</v>
      </c>
      <c r="F759" s="116" t="s">
        <v>1085</v>
      </c>
      <c r="G759" s="280">
        <v>1</v>
      </c>
      <c r="H759" s="259">
        <v>54167</v>
      </c>
      <c r="I759" s="259">
        <v>54167</v>
      </c>
      <c r="J759" s="259">
        <v>0</v>
      </c>
      <c r="K759" s="259">
        <v>54167</v>
      </c>
      <c r="L759" s="259">
        <v>4333</v>
      </c>
      <c r="M759" s="259">
        <v>58500</v>
      </c>
      <c r="N759" s="118">
        <v>8.8999999999999999E-3</v>
      </c>
      <c r="O759" s="411" t="s">
        <v>1086</v>
      </c>
    </row>
    <row r="760" spans="1:15" ht="18" customHeight="1" x14ac:dyDescent="0.25">
      <c r="A760" s="115">
        <v>10</v>
      </c>
      <c r="B760" s="116" t="s">
        <v>103</v>
      </c>
      <c r="C760" s="115">
        <v>222</v>
      </c>
      <c r="D760" s="119" t="s">
        <v>93</v>
      </c>
      <c r="E760" s="119" t="s">
        <v>1133</v>
      </c>
      <c r="F760" s="116" t="s">
        <v>1085</v>
      </c>
      <c r="G760" s="280">
        <v>1</v>
      </c>
      <c r="H760" s="259">
        <v>63426</v>
      </c>
      <c r="I760" s="259">
        <v>63426</v>
      </c>
      <c r="J760" s="259">
        <v>0</v>
      </c>
      <c r="K760" s="259">
        <v>63426</v>
      </c>
      <c r="L760" s="259">
        <v>5074</v>
      </c>
      <c r="M760" s="259">
        <v>68500</v>
      </c>
      <c r="N760" s="118">
        <v>1.04E-2</v>
      </c>
      <c r="O760" s="411" t="s">
        <v>1086</v>
      </c>
    </row>
    <row r="761" spans="1:15" ht="18" customHeight="1" x14ac:dyDescent="0.25">
      <c r="A761" s="115">
        <v>10</v>
      </c>
      <c r="B761" s="116" t="s">
        <v>103</v>
      </c>
      <c r="C761" s="115">
        <v>223</v>
      </c>
      <c r="D761" s="119" t="s">
        <v>87</v>
      </c>
      <c r="E761" s="119" t="s">
        <v>141</v>
      </c>
      <c r="F761" s="116" t="s">
        <v>1085</v>
      </c>
      <c r="G761" s="280">
        <v>1</v>
      </c>
      <c r="H761" s="259">
        <v>69444</v>
      </c>
      <c r="I761" s="259">
        <v>69444</v>
      </c>
      <c r="J761" s="259">
        <v>0</v>
      </c>
      <c r="K761" s="259">
        <v>69444</v>
      </c>
      <c r="L761" s="259">
        <v>5556</v>
      </c>
      <c r="M761" s="259">
        <v>75000</v>
      </c>
      <c r="N761" s="118">
        <v>1.14E-2</v>
      </c>
      <c r="O761" s="411" t="s">
        <v>1086</v>
      </c>
    </row>
    <row r="762" spans="1:15" ht="18" customHeight="1" x14ac:dyDescent="0.25">
      <c r="A762" s="115">
        <v>10</v>
      </c>
      <c r="B762" s="116" t="s">
        <v>103</v>
      </c>
      <c r="C762" s="115">
        <v>50</v>
      </c>
      <c r="D762" s="119" t="s">
        <v>87</v>
      </c>
      <c r="E762" s="119" t="s">
        <v>159</v>
      </c>
      <c r="F762" s="116" t="s">
        <v>1085</v>
      </c>
      <c r="G762" s="280">
        <v>1</v>
      </c>
      <c r="H762" s="259">
        <v>49074</v>
      </c>
      <c r="I762" s="259">
        <v>49074</v>
      </c>
      <c r="J762" s="259">
        <v>0</v>
      </c>
      <c r="K762" s="259">
        <v>49074</v>
      </c>
      <c r="L762" s="259">
        <v>3926</v>
      </c>
      <c r="M762" s="259">
        <v>53000</v>
      </c>
      <c r="N762" s="118">
        <v>8.0000000000000002E-3</v>
      </c>
      <c r="O762" s="411" t="s">
        <v>1086</v>
      </c>
    </row>
    <row r="763" spans="1:15" ht="18" customHeight="1" x14ac:dyDescent="0.25">
      <c r="A763" s="115">
        <v>10</v>
      </c>
      <c r="B763" s="116" t="s">
        <v>103</v>
      </c>
      <c r="C763" s="115">
        <v>117</v>
      </c>
      <c r="D763" s="119" t="s">
        <v>87</v>
      </c>
      <c r="E763" s="119" t="s">
        <v>120</v>
      </c>
      <c r="F763" s="116" t="s">
        <v>1085</v>
      </c>
      <c r="G763" s="280">
        <v>4</v>
      </c>
      <c r="H763" s="259">
        <v>41667</v>
      </c>
      <c r="I763" s="259">
        <v>166667</v>
      </c>
      <c r="J763" s="259">
        <v>0</v>
      </c>
      <c r="K763" s="259">
        <v>166667</v>
      </c>
      <c r="L763" s="259">
        <v>13333</v>
      </c>
      <c r="M763" s="259">
        <v>180000</v>
      </c>
      <c r="N763" s="118">
        <v>2.7199999999999998E-2</v>
      </c>
      <c r="O763" s="411" t="s">
        <v>1086</v>
      </c>
    </row>
    <row r="764" spans="1:15" ht="18" customHeight="1" x14ac:dyDescent="0.25">
      <c r="A764" s="115">
        <v>10</v>
      </c>
      <c r="B764" s="116" t="s">
        <v>103</v>
      </c>
      <c r="C764" s="115">
        <v>36</v>
      </c>
      <c r="D764" s="119" t="s">
        <v>91</v>
      </c>
      <c r="E764" s="119" t="s">
        <v>1136</v>
      </c>
      <c r="F764" s="116" t="s">
        <v>1085</v>
      </c>
      <c r="G764" s="280">
        <v>3</v>
      </c>
      <c r="H764" s="259">
        <v>3704</v>
      </c>
      <c r="I764" s="259">
        <v>11111</v>
      </c>
      <c r="J764" s="259">
        <v>0</v>
      </c>
      <c r="K764" s="259">
        <v>11111</v>
      </c>
      <c r="L764" s="259">
        <v>889</v>
      </c>
      <c r="M764" s="259">
        <v>12000</v>
      </c>
      <c r="N764" s="118">
        <v>1.8E-3</v>
      </c>
      <c r="O764" s="411" t="s">
        <v>1086</v>
      </c>
    </row>
    <row r="765" spans="1:15" ht="18" customHeight="1" x14ac:dyDescent="0.25">
      <c r="A765" s="115">
        <v>10</v>
      </c>
      <c r="B765" s="116" t="s">
        <v>103</v>
      </c>
      <c r="C765" s="115">
        <v>61</v>
      </c>
      <c r="D765" s="119" t="s">
        <v>97</v>
      </c>
      <c r="E765" s="119" t="s">
        <v>1137</v>
      </c>
      <c r="F765" s="116" t="s">
        <v>1085</v>
      </c>
      <c r="G765" s="280">
        <v>8</v>
      </c>
      <c r="H765" s="259">
        <v>4630</v>
      </c>
      <c r="I765" s="259">
        <v>37037</v>
      </c>
      <c r="J765" s="259">
        <v>0</v>
      </c>
      <c r="K765" s="259">
        <v>37037</v>
      </c>
      <c r="L765" s="259">
        <v>2963</v>
      </c>
      <c r="M765" s="259">
        <v>40000</v>
      </c>
      <c r="N765" s="118">
        <v>6.1000000000000004E-3</v>
      </c>
      <c r="O765" s="411" t="s">
        <v>1086</v>
      </c>
    </row>
    <row r="766" spans="1:15" ht="18" customHeight="1" x14ac:dyDescent="0.25">
      <c r="A766" s="115">
        <v>10</v>
      </c>
      <c r="B766" s="116" t="s">
        <v>103</v>
      </c>
      <c r="C766" s="115">
        <v>315</v>
      </c>
      <c r="D766" s="119" t="s">
        <v>87</v>
      </c>
      <c r="E766" s="119" t="s">
        <v>1160</v>
      </c>
      <c r="F766" s="116" t="s">
        <v>1085</v>
      </c>
      <c r="G766" s="280">
        <v>1</v>
      </c>
      <c r="H766" s="259">
        <v>1852</v>
      </c>
      <c r="I766" s="259">
        <v>1852</v>
      </c>
      <c r="J766" s="259">
        <v>0</v>
      </c>
      <c r="K766" s="259">
        <v>1852</v>
      </c>
      <c r="L766" s="259">
        <v>148</v>
      </c>
      <c r="M766" s="259">
        <v>2000</v>
      </c>
      <c r="N766" s="118">
        <v>2.9999999999999997E-4</v>
      </c>
      <c r="O766" s="411" t="s">
        <v>1086</v>
      </c>
    </row>
    <row r="767" spans="1:15" ht="18" customHeight="1" x14ac:dyDescent="0.25">
      <c r="A767" s="115">
        <v>10</v>
      </c>
      <c r="B767" s="116" t="s">
        <v>103</v>
      </c>
      <c r="C767" s="115">
        <v>96</v>
      </c>
      <c r="D767" s="119" t="s">
        <v>93</v>
      </c>
      <c r="E767" s="119" t="s">
        <v>1161</v>
      </c>
      <c r="F767" s="116" t="s">
        <v>1085</v>
      </c>
      <c r="G767" s="280">
        <v>3</v>
      </c>
      <c r="H767" s="259">
        <v>35648</v>
      </c>
      <c r="I767" s="259">
        <v>106944</v>
      </c>
      <c r="J767" s="259">
        <v>0</v>
      </c>
      <c r="K767" s="259">
        <v>106944</v>
      </c>
      <c r="L767" s="259">
        <v>8556</v>
      </c>
      <c r="M767" s="259">
        <v>115500</v>
      </c>
      <c r="N767" s="118">
        <v>1.7500000000000002E-2</v>
      </c>
      <c r="O767" s="411" t="s">
        <v>1086</v>
      </c>
    </row>
    <row r="768" spans="1:15" ht="18" customHeight="1" x14ac:dyDescent="0.25">
      <c r="A768" s="115">
        <v>10</v>
      </c>
      <c r="B768" s="116" t="s">
        <v>103</v>
      </c>
      <c r="C768" s="115">
        <v>33</v>
      </c>
      <c r="D768" s="119" t="s">
        <v>91</v>
      </c>
      <c r="E768" s="119" t="s">
        <v>1139</v>
      </c>
      <c r="F768" s="116" t="s">
        <v>1085</v>
      </c>
      <c r="G768" s="280">
        <v>5</v>
      </c>
      <c r="H768" s="259">
        <v>1852</v>
      </c>
      <c r="I768" s="259">
        <v>9259</v>
      </c>
      <c r="J768" s="259">
        <v>0</v>
      </c>
      <c r="K768" s="259">
        <v>9259</v>
      </c>
      <c r="L768" s="259">
        <v>741</v>
      </c>
      <c r="M768" s="259">
        <v>10000</v>
      </c>
      <c r="N768" s="118">
        <v>1.5E-3</v>
      </c>
      <c r="O768" s="411" t="s">
        <v>1086</v>
      </c>
    </row>
    <row r="769" spans="1:15" ht="18" customHeight="1" x14ac:dyDescent="0.25">
      <c r="A769" s="115">
        <v>10</v>
      </c>
      <c r="B769" s="116" t="s">
        <v>103</v>
      </c>
      <c r="C769" s="115">
        <v>255</v>
      </c>
      <c r="D769" s="119" t="s">
        <v>93</v>
      </c>
      <c r="E769" s="119" t="s">
        <v>482</v>
      </c>
      <c r="F769" s="116" t="s">
        <v>1085</v>
      </c>
      <c r="G769" s="280">
        <v>1</v>
      </c>
      <c r="H769" s="259">
        <v>35648</v>
      </c>
      <c r="I769" s="259">
        <v>35648</v>
      </c>
      <c r="J769" s="259">
        <v>0</v>
      </c>
      <c r="K769" s="259">
        <v>35648</v>
      </c>
      <c r="L769" s="259">
        <v>2852</v>
      </c>
      <c r="M769" s="259">
        <v>38500</v>
      </c>
      <c r="N769" s="118">
        <v>5.7999999999999996E-3</v>
      </c>
      <c r="O769" s="411" t="s">
        <v>1086</v>
      </c>
    </row>
    <row r="770" spans="1:15" ht="18" customHeight="1" x14ac:dyDescent="0.25">
      <c r="A770" s="115">
        <v>10</v>
      </c>
      <c r="B770" s="116" t="s">
        <v>103</v>
      </c>
      <c r="C770" s="115">
        <v>39</v>
      </c>
      <c r="D770" s="119" t="s">
        <v>91</v>
      </c>
      <c r="E770" s="119" t="s">
        <v>1162</v>
      </c>
      <c r="F770" s="116" t="s">
        <v>1085</v>
      </c>
      <c r="G770" s="280">
        <v>1</v>
      </c>
      <c r="H770" s="259">
        <v>3333</v>
      </c>
      <c r="I770" s="259">
        <v>3333</v>
      </c>
      <c r="J770" s="259">
        <v>0</v>
      </c>
      <c r="K770" s="259">
        <v>3333</v>
      </c>
      <c r="L770" s="259">
        <v>267</v>
      </c>
      <c r="M770" s="259">
        <v>3600</v>
      </c>
      <c r="N770" s="118">
        <v>5.0000000000000001E-4</v>
      </c>
      <c r="O770" s="411" t="s">
        <v>1086</v>
      </c>
    </row>
    <row r="771" spans="1:15" ht="18" customHeight="1" x14ac:dyDescent="0.25">
      <c r="A771" s="115">
        <v>11</v>
      </c>
      <c r="B771" s="116" t="s">
        <v>104</v>
      </c>
      <c r="C771" s="115">
        <v>73</v>
      </c>
      <c r="D771" s="119" t="s">
        <v>91</v>
      </c>
      <c r="E771" s="119" t="s">
        <v>1084</v>
      </c>
      <c r="F771" s="116" t="s">
        <v>1085</v>
      </c>
      <c r="G771" s="280">
        <v>10</v>
      </c>
      <c r="H771" s="259">
        <v>2593</v>
      </c>
      <c r="I771" s="259">
        <v>25926</v>
      </c>
      <c r="J771" s="259">
        <v>0</v>
      </c>
      <c r="K771" s="259">
        <v>25926</v>
      </c>
      <c r="L771" s="259">
        <v>2074</v>
      </c>
      <c r="M771" s="259">
        <v>28000</v>
      </c>
      <c r="N771" s="118">
        <v>4.6999999999999993E-3</v>
      </c>
      <c r="O771" s="411" t="s">
        <v>1086</v>
      </c>
    </row>
    <row r="772" spans="1:15" ht="18" customHeight="1" x14ac:dyDescent="0.25">
      <c r="A772" s="115">
        <v>11</v>
      </c>
      <c r="B772" s="116" t="s">
        <v>104</v>
      </c>
      <c r="C772" s="115">
        <v>132</v>
      </c>
      <c r="D772" s="119" t="s">
        <v>91</v>
      </c>
      <c r="E772" s="119" t="s">
        <v>1141</v>
      </c>
      <c r="F772" s="116" t="s">
        <v>1142</v>
      </c>
      <c r="G772" s="280">
        <v>1</v>
      </c>
      <c r="H772" s="259">
        <v>7870</v>
      </c>
      <c r="I772" s="259">
        <v>7870</v>
      </c>
      <c r="J772" s="259">
        <v>0</v>
      </c>
      <c r="K772" s="259">
        <v>7870</v>
      </c>
      <c r="L772" s="259">
        <v>630</v>
      </c>
      <c r="M772" s="259">
        <v>8500</v>
      </c>
      <c r="N772" s="118">
        <v>1.4E-3</v>
      </c>
      <c r="O772" s="411" t="s">
        <v>1086</v>
      </c>
    </row>
    <row r="773" spans="1:15" ht="18" customHeight="1" x14ac:dyDescent="0.25">
      <c r="A773" s="115">
        <v>11</v>
      </c>
      <c r="B773" s="116" t="s">
        <v>104</v>
      </c>
      <c r="C773" s="115">
        <v>65</v>
      </c>
      <c r="D773" s="119" t="s">
        <v>91</v>
      </c>
      <c r="E773" s="119" t="s">
        <v>1087</v>
      </c>
      <c r="F773" s="116" t="s">
        <v>1085</v>
      </c>
      <c r="G773" s="280">
        <v>5</v>
      </c>
      <c r="H773" s="259">
        <v>2778</v>
      </c>
      <c r="I773" s="259">
        <v>13889</v>
      </c>
      <c r="J773" s="259">
        <v>0</v>
      </c>
      <c r="K773" s="259">
        <v>13889</v>
      </c>
      <c r="L773" s="259">
        <v>1111</v>
      </c>
      <c r="M773" s="259">
        <v>15000</v>
      </c>
      <c r="N773" s="118">
        <v>2.5000000000000001E-3</v>
      </c>
      <c r="O773" s="411" t="s">
        <v>1086</v>
      </c>
    </row>
    <row r="774" spans="1:15" ht="18" customHeight="1" x14ac:dyDescent="0.25">
      <c r="A774" s="115">
        <v>11</v>
      </c>
      <c r="B774" s="116" t="s">
        <v>104</v>
      </c>
      <c r="C774" s="115">
        <v>131</v>
      </c>
      <c r="D774" s="119" t="s">
        <v>87</v>
      </c>
      <c r="E774" s="119" t="s">
        <v>1144</v>
      </c>
      <c r="F774" s="116" t="s">
        <v>1085</v>
      </c>
      <c r="G774" s="280">
        <v>1</v>
      </c>
      <c r="H774" s="259">
        <v>278</v>
      </c>
      <c r="I774" s="259">
        <v>278</v>
      </c>
      <c r="J774" s="259">
        <v>0</v>
      </c>
      <c r="K774" s="259">
        <v>278</v>
      </c>
      <c r="L774" s="259">
        <v>22</v>
      </c>
      <c r="M774" s="259">
        <v>300</v>
      </c>
      <c r="N774" s="118">
        <v>1E-4</v>
      </c>
      <c r="O774" s="411" t="s">
        <v>1086</v>
      </c>
    </row>
    <row r="775" spans="1:15" ht="18" customHeight="1" x14ac:dyDescent="0.25">
      <c r="A775" s="115">
        <v>11</v>
      </c>
      <c r="B775" s="116" t="s">
        <v>104</v>
      </c>
      <c r="C775" s="115">
        <v>104</v>
      </c>
      <c r="D775" s="119" t="s">
        <v>89</v>
      </c>
      <c r="E775" s="119" t="s">
        <v>165</v>
      </c>
      <c r="F775" s="116" t="s">
        <v>1085</v>
      </c>
      <c r="G775" s="280">
        <v>7</v>
      </c>
      <c r="H775" s="259">
        <v>15939</v>
      </c>
      <c r="I775" s="259">
        <v>111574</v>
      </c>
      <c r="J775" s="259">
        <v>0</v>
      </c>
      <c r="K775" s="259">
        <v>111574</v>
      </c>
      <c r="L775" s="259">
        <v>8926</v>
      </c>
      <c r="M775" s="259">
        <v>120500</v>
      </c>
      <c r="N775" s="118">
        <v>2.0400000000000001E-2</v>
      </c>
      <c r="O775" s="411" t="s">
        <v>1086</v>
      </c>
    </row>
    <row r="776" spans="1:15" ht="18" customHeight="1" x14ac:dyDescent="0.25">
      <c r="A776" s="115">
        <v>11</v>
      </c>
      <c r="B776" s="116" t="s">
        <v>104</v>
      </c>
      <c r="C776" s="115">
        <v>54</v>
      </c>
      <c r="D776" s="119" t="s">
        <v>91</v>
      </c>
      <c r="E776" s="119" t="s">
        <v>1145</v>
      </c>
      <c r="F776" s="116" t="s">
        <v>1085</v>
      </c>
      <c r="G776" s="280">
        <v>1</v>
      </c>
      <c r="H776" s="259">
        <v>2315</v>
      </c>
      <c r="I776" s="259">
        <v>2315</v>
      </c>
      <c r="J776" s="259">
        <v>0</v>
      </c>
      <c r="K776" s="259">
        <v>2315</v>
      </c>
      <c r="L776" s="259">
        <v>185</v>
      </c>
      <c r="M776" s="259">
        <v>2500</v>
      </c>
      <c r="N776" s="118">
        <v>4.0000000000000002E-4</v>
      </c>
      <c r="O776" s="411" t="s">
        <v>1086</v>
      </c>
    </row>
    <row r="777" spans="1:15" ht="18" customHeight="1" x14ac:dyDescent="0.25">
      <c r="A777" s="115">
        <v>11</v>
      </c>
      <c r="B777" s="116" t="s">
        <v>104</v>
      </c>
      <c r="C777" s="115">
        <v>5</v>
      </c>
      <c r="D777" s="119" t="s">
        <v>89</v>
      </c>
      <c r="E777" s="119" t="s">
        <v>1146</v>
      </c>
      <c r="F777" s="116" t="s">
        <v>1085</v>
      </c>
      <c r="G777" s="280">
        <v>1</v>
      </c>
      <c r="H777" s="259">
        <v>11111</v>
      </c>
      <c r="I777" s="259">
        <v>11111</v>
      </c>
      <c r="J777" s="259">
        <v>0</v>
      </c>
      <c r="K777" s="259">
        <v>11111</v>
      </c>
      <c r="L777" s="259">
        <v>889</v>
      </c>
      <c r="M777" s="259">
        <v>12000</v>
      </c>
      <c r="N777" s="118">
        <v>2E-3</v>
      </c>
      <c r="O777" s="411" t="s">
        <v>1086</v>
      </c>
    </row>
    <row r="778" spans="1:15" ht="18" customHeight="1" x14ac:dyDescent="0.25">
      <c r="A778" s="115">
        <v>11</v>
      </c>
      <c r="B778" s="116" t="s">
        <v>104</v>
      </c>
      <c r="C778" s="115">
        <v>136</v>
      </c>
      <c r="D778" s="119" t="s">
        <v>89</v>
      </c>
      <c r="E778" s="119" t="s">
        <v>1091</v>
      </c>
      <c r="F778" s="116" t="s">
        <v>1085</v>
      </c>
      <c r="G778" s="280">
        <v>1</v>
      </c>
      <c r="H778" s="259">
        <v>24074</v>
      </c>
      <c r="I778" s="259">
        <v>24074</v>
      </c>
      <c r="J778" s="259">
        <v>0</v>
      </c>
      <c r="K778" s="259">
        <v>24074</v>
      </c>
      <c r="L778" s="259">
        <v>1926</v>
      </c>
      <c r="M778" s="259">
        <v>26000</v>
      </c>
      <c r="N778" s="118">
        <v>4.4000000000000003E-3</v>
      </c>
      <c r="O778" s="411" t="s">
        <v>1086</v>
      </c>
    </row>
    <row r="779" spans="1:15" ht="18" customHeight="1" x14ac:dyDescent="0.25">
      <c r="A779" s="115">
        <v>11</v>
      </c>
      <c r="B779" s="116" t="s">
        <v>104</v>
      </c>
      <c r="C779" s="115">
        <v>6</v>
      </c>
      <c r="D779" s="119" t="s">
        <v>89</v>
      </c>
      <c r="E779" s="119" t="s">
        <v>1147</v>
      </c>
      <c r="F779" s="116" t="s">
        <v>1085</v>
      </c>
      <c r="G779" s="280">
        <v>8</v>
      </c>
      <c r="H779" s="259">
        <v>14815</v>
      </c>
      <c r="I779" s="259">
        <v>118519</v>
      </c>
      <c r="J779" s="259">
        <v>0</v>
      </c>
      <c r="K779" s="259">
        <v>118519</v>
      </c>
      <c r="L779" s="259">
        <v>9481</v>
      </c>
      <c r="M779" s="259">
        <v>128000</v>
      </c>
      <c r="N779" s="118">
        <v>2.1700000000000001E-2</v>
      </c>
      <c r="O779" s="411" t="s">
        <v>1086</v>
      </c>
    </row>
    <row r="780" spans="1:15" ht="18" customHeight="1" x14ac:dyDescent="0.25">
      <c r="A780" s="115">
        <v>11</v>
      </c>
      <c r="B780" s="116" t="s">
        <v>104</v>
      </c>
      <c r="C780" s="115">
        <v>8</v>
      </c>
      <c r="D780" s="119" t="s">
        <v>87</v>
      </c>
      <c r="E780" s="119" t="s">
        <v>156</v>
      </c>
      <c r="F780" s="116" t="s">
        <v>1085</v>
      </c>
      <c r="G780" s="280">
        <v>12</v>
      </c>
      <c r="H780" s="259">
        <v>18596</v>
      </c>
      <c r="I780" s="259">
        <v>223148</v>
      </c>
      <c r="J780" s="259">
        <v>0</v>
      </c>
      <c r="K780" s="259">
        <v>223148</v>
      </c>
      <c r="L780" s="259">
        <v>17852</v>
      </c>
      <c r="M780" s="259">
        <v>241000</v>
      </c>
      <c r="N780" s="118">
        <v>4.0800000000000003E-2</v>
      </c>
      <c r="O780" s="411" t="s">
        <v>1086</v>
      </c>
    </row>
    <row r="781" spans="1:15" ht="18" customHeight="1" x14ac:dyDescent="0.25">
      <c r="A781" s="115">
        <v>11</v>
      </c>
      <c r="B781" s="116" t="s">
        <v>104</v>
      </c>
      <c r="C781" s="115">
        <v>311</v>
      </c>
      <c r="D781" s="119" t="s">
        <v>93</v>
      </c>
      <c r="E781" s="119" t="s">
        <v>1092</v>
      </c>
      <c r="F781" s="116" t="s">
        <v>1085</v>
      </c>
      <c r="G781" s="280">
        <v>1</v>
      </c>
      <c r="H781" s="259">
        <v>44907</v>
      </c>
      <c r="I781" s="259">
        <v>44907</v>
      </c>
      <c r="J781" s="259">
        <v>0</v>
      </c>
      <c r="K781" s="259">
        <v>44907</v>
      </c>
      <c r="L781" s="259">
        <v>3593</v>
      </c>
      <c r="M781" s="259">
        <v>48500</v>
      </c>
      <c r="N781" s="118">
        <v>8.199999999999999E-3</v>
      </c>
      <c r="O781" s="411" t="s">
        <v>1086</v>
      </c>
    </row>
    <row r="782" spans="1:15" ht="18" customHeight="1" x14ac:dyDescent="0.25">
      <c r="A782" s="115">
        <v>11</v>
      </c>
      <c r="B782" s="116" t="s">
        <v>104</v>
      </c>
      <c r="C782" s="115">
        <v>87</v>
      </c>
      <c r="D782" s="119" t="s">
        <v>89</v>
      </c>
      <c r="E782" s="119" t="s">
        <v>147</v>
      </c>
      <c r="F782" s="116" t="s">
        <v>1085</v>
      </c>
      <c r="G782" s="280">
        <v>3</v>
      </c>
      <c r="H782" s="259">
        <v>37500</v>
      </c>
      <c r="I782" s="259">
        <v>112500</v>
      </c>
      <c r="J782" s="259">
        <v>0</v>
      </c>
      <c r="K782" s="259">
        <v>112500</v>
      </c>
      <c r="L782" s="259">
        <v>9000</v>
      </c>
      <c r="M782" s="259">
        <v>121500</v>
      </c>
      <c r="N782" s="118">
        <v>2.06E-2</v>
      </c>
      <c r="O782" s="411" t="s">
        <v>1086</v>
      </c>
    </row>
    <row r="783" spans="1:15" ht="18" customHeight="1" x14ac:dyDescent="0.25">
      <c r="A783" s="115">
        <v>11</v>
      </c>
      <c r="B783" s="116" t="s">
        <v>104</v>
      </c>
      <c r="C783" s="115">
        <v>206</v>
      </c>
      <c r="D783" s="119" t="s">
        <v>93</v>
      </c>
      <c r="E783" s="119" t="s">
        <v>1093</v>
      </c>
      <c r="F783" s="116" t="s">
        <v>1085</v>
      </c>
      <c r="G783" s="280">
        <v>1</v>
      </c>
      <c r="H783" s="259">
        <v>44907</v>
      </c>
      <c r="I783" s="259">
        <v>44907</v>
      </c>
      <c r="J783" s="259">
        <v>0</v>
      </c>
      <c r="K783" s="259">
        <v>44907</v>
      </c>
      <c r="L783" s="259">
        <v>3593</v>
      </c>
      <c r="M783" s="259">
        <v>48500</v>
      </c>
      <c r="N783" s="118">
        <v>8.199999999999999E-3</v>
      </c>
      <c r="O783" s="411" t="s">
        <v>1086</v>
      </c>
    </row>
    <row r="784" spans="1:15" ht="18" customHeight="1" x14ac:dyDescent="0.25">
      <c r="A784" s="115">
        <v>11</v>
      </c>
      <c r="B784" s="116" t="s">
        <v>104</v>
      </c>
      <c r="C784" s="115">
        <v>246</v>
      </c>
      <c r="D784" s="119" t="s">
        <v>91</v>
      </c>
      <c r="E784" s="119" t="s">
        <v>1095</v>
      </c>
      <c r="F784" s="116" t="s">
        <v>1085</v>
      </c>
      <c r="G784" s="280">
        <v>7</v>
      </c>
      <c r="H784" s="259">
        <v>6481</v>
      </c>
      <c r="I784" s="259">
        <v>45370</v>
      </c>
      <c r="J784" s="259">
        <v>0</v>
      </c>
      <c r="K784" s="259">
        <v>45370</v>
      </c>
      <c r="L784" s="259">
        <v>3630</v>
      </c>
      <c r="M784" s="259">
        <v>49000</v>
      </c>
      <c r="N784" s="118">
        <v>8.3000000000000001E-3</v>
      </c>
      <c r="O784" s="411" t="s">
        <v>1086</v>
      </c>
    </row>
    <row r="785" spans="1:15" ht="18" customHeight="1" x14ac:dyDescent="0.25">
      <c r="A785" s="115">
        <v>11</v>
      </c>
      <c r="B785" s="116" t="s">
        <v>104</v>
      </c>
      <c r="C785" s="115">
        <v>83</v>
      </c>
      <c r="D785" s="119" t="s">
        <v>87</v>
      </c>
      <c r="E785" s="119" t="s">
        <v>1098</v>
      </c>
      <c r="F785" s="116" t="s">
        <v>1085</v>
      </c>
      <c r="G785" s="280">
        <v>3</v>
      </c>
      <c r="H785" s="259">
        <v>20833</v>
      </c>
      <c r="I785" s="259">
        <v>62500</v>
      </c>
      <c r="J785" s="259">
        <v>0</v>
      </c>
      <c r="K785" s="259">
        <v>62500</v>
      </c>
      <c r="L785" s="259">
        <v>5000</v>
      </c>
      <c r="M785" s="259">
        <v>67500</v>
      </c>
      <c r="N785" s="118">
        <v>1.14E-2</v>
      </c>
      <c r="O785" s="411" t="s">
        <v>1086</v>
      </c>
    </row>
    <row r="786" spans="1:15" ht="18" customHeight="1" x14ac:dyDescent="0.25">
      <c r="A786" s="115">
        <v>11</v>
      </c>
      <c r="B786" s="116" t="s">
        <v>104</v>
      </c>
      <c r="C786" s="115">
        <v>52</v>
      </c>
      <c r="D786" s="119" t="s">
        <v>87</v>
      </c>
      <c r="E786" s="119" t="s">
        <v>1149</v>
      </c>
      <c r="F786" s="116" t="s">
        <v>1085</v>
      </c>
      <c r="G786" s="280">
        <v>2</v>
      </c>
      <c r="H786" s="259">
        <v>5556</v>
      </c>
      <c r="I786" s="259">
        <v>11111</v>
      </c>
      <c r="J786" s="259">
        <v>0</v>
      </c>
      <c r="K786" s="259">
        <v>11111</v>
      </c>
      <c r="L786" s="259">
        <v>889</v>
      </c>
      <c r="M786" s="259">
        <v>12000</v>
      </c>
      <c r="N786" s="118">
        <v>2E-3</v>
      </c>
      <c r="O786" s="411" t="s">
        <v>1086</v>
      </c>
    </row>
    <row r="787" spans="1:15" ht="18" customHeight="1" x14ac:dyDescent="0.25">
      <c r="A787" s="115">
        <v>11</v>
      </c>
      <c r="B787" s="116" t="s">
        <v>104</v>
      </c>
      <c r="C787" s="115">
        <v>41</v>
      </c>
      <c r="D787" s="119" t="s">
        <v>87</v>
      </c>
      <c r="E787" s="119" t="s">
        <v>168</v>
      </c>
      <c r="F787" s="116" t="s">
        <v>1085</v>
      </c>
      <c r="G787" s="280">
        <v>4</v>
      </c>
      <c r="H787" s="259">
        <v>49074</v>
      </c>
      <c r="I787" s="259">
        <v>196296</v>
      </c>
      <c r="J787" s="259">
        <v>0</v>
      </c>
      <c r="K787" s="259">
        <v>196296</v>
      </c>
      <c r="L787" s="259">
        <v>15704</v>
      </c>
      <c r="M787" s="259">
        <v>212000</v>
      </c>
      <c r="N787" s="118">
        <v>3.5900000000000001E-2</v>
      </c>
      <c r="O787" s="411" t="s">
        <v>1086</v>
      </c>
    </row>
    <row r="788" spans="1:15" ht="18" customHeight="1" x14ac:dyDescent="0.25">
      <c r="A788" s="115">
        <v>11</v>
      </c>
      <c r="B788" s="116" t="s">
        <v>104</v>
      </c>
      <c r="C788" s="115">
        <v>122</v>
      </c>
      <c r="D788" s="119" t="s">
        <v>91</v>
      </c>
      <c r="E788" s="119" t="s">
        <v>1100</v>
      </c>
      <c r="F788" s="116" t="s">
        <v>1085</v>
      </c>
      <c r="G788" s="280">
        <v>0</v>
      </c>
      <c r="H788" s="259">
        <v>0</v>
      </c>
      <c r="I788" s="259">
        <v>0</v>
      </c>
      <c r="J788" s="259">
        <v>0</v>
      </c>
      <c r="K788" s="259">
        <v>0</v>
      </c>
      <c r="L788" s="259">
        <v>0</v>
      </c>
      <c r="M788" s="259">
        <v>0</v>
      </c>
      <c r="N788" s="118">
        <v>0</v>
      </c>
      <c r="O788" s="411" t="s">
        <v>1086</v>
      </c>
    </row>
    <row r="789" spans="1:15" ht="18" customHeight="1" x14ac:dyDescent="0.25">
      <c r="A789" s="115">
        <v>11</v>
      </c>
      <c r="B789" s="116" t="s">
        <v>104</v>
      </c>
      <c r="C789" s="115">
        <v>247</v>
      </c>
      <c r="D789" s="119" t="s">
        <v>87</v>
      </c>
      <c r="E789" s="119" t="s">
        <v>1165</v>
      </c>
      <c r="F789" s="116" t="s">
        <v>1085</v>
      </c>
      <c r="G789" s="280">
        <v>2</v>
      </c>
      <c r="H789" s="259">
        <v>3056</v>
      </c>
      <c r="I789" s="259">
        <v>6111</v>
      </c>
      <c r="J789" s="259">
        <v>0</v>
      </c>
      <c r="K789" s="259">
        <v>6111</v>
      </c>
      <c r="L789" s="259">
        <v>489</v>
      </c>
      <c r="M789" s="259">
        <v>6600</v>
      </c>
      <c r="N789" s="118">
        <v>1.1000000000000001E-3</v>
      </c>
      <c r="O789" s="411" t="s">
        <v>1086</v>
      </c>
    </row>
    <row r="790" spans="1:15" ht="18" customHeight="1" x14ac:dyDescent="0.25">
      <c r="A790" s="115">
        <v>11</v>
      </c>
      <c r="B790" s="116" t="s">
        <v>104</v>
      </c>
      <c r="C790" s="115">
        <v>11</v>
      </c>
      <c r="D790" s="119" t="s">
        <v>87</v>
      </c>
      <c r="E790" s="119" t="s">
        <v>1213</v>
      </c>
      <c r="F790" s="116" t="s">
        <v>1085</v>
      </c>
      <c r="G790" s="280">
        <v>9</v>
      </c>
      <c r="H790" s="259">
        <v>18724</v>
      </c>
      <c r="I790" s="259">
        <v>168519</v>
      </c>
      <c r="J790" s="259">
        <v>0</v>
      </c>
      <c r="K790" s="259">
        <v>168519</v>
      </c>
      <c r="L790" s="259">
        <v>13481</v>
      </c>
      <c r="M790" s="259">
        <v>182000</v>
      </c>
      <c r="N790" s="118">
        <v>3.0800000000000001E-2</v>
      </c>
      <c r="O790" s="411" t="s">
        <v>1086</v>
      </c>
    </row>
    <row r="791" spans="1:15" ht="18" customHeight="1" x14ac:dyDescent="0.25">
      <c r="A791" s="115">
        <v>11</v>
      </c>
      <c r="B791" s="116" t="s">
        <v>104</v>
      </c>
      <c r="C791" s="115">
        <v>110</v>
      </c>
      <c r="D791" s="119" t="s">
        <v>99</v>
      </c>
      <c r="E791" s="119" t="s">
        <v>1101</v>
      </c>
      <c r="F791" s="116" t="s">
        <v>1085</v>
      </c>
      <c r="G791" s="280">
        <v>22</v>
      </c>
      <c r="H791" s="259">
        <v>926</v>
      </c>
      <c r="I791" s="259">
        <v>20370</v>
      </c>
      <c r="J791" s="259">
        <v>0</v>
      </c>
      <c r="K791" s="259">
        <v>20370</v>
      </c>
      <c r="L791" s="259">
        <v>1630</v>
      </c>
      <c r="M791" s="259">
        <v>22000</v>
      </c>
      <c r="N791" s="118">
        <v>3.7000000000000002E-3</v>
      </c>
      <c r="O791" s="411" t="s">
        <v>1086</v>
      </c>
    </row>
    <row r="792" spans="1:15" ht="18" customHeight="1" x14ac:dyDescent="0.25">
      <c r="A792" s="115">
        <v>11</v>
      </c>
      <c r="B792" s="116" t="s">
        <v>104</v>
      </c>
      <c r="C792" s="115">
        <v>102</v>
      </c>
      <c r="D792" s="119" t="s">
        <v>87</v>
      </c>
      <c r="E792" s="119" t="s">
        <v>1151</v>
      </c>
      <c r="F792" s="116" t="s">
        <v>1085</v>
      </c>
      <c r="G792" s="280">
        <v>1</v>
      </c>
      <c r="H792" s="259">
        <v>6944</v>
      </c>
      <c r="I792" s="259">
        <v>6944</v>
      </c>
      <c r="J792" s="259">
        <v>0</v>
      </c>
      <c r="K792" s="259">
        <v>6944</v>
      </c>
      <c r="L792" s="259">
        <v>556</v>
      </c>
      <c r="M792" s="259">
        <v>7500</v>
      </c>
      <c r="N792" s="118">
        <v>1.2999999999999999E-3</v>
      </c>
      <c r="O792" s="411" t="s">
        <v>1086</v>
      </c>
    </row>
    <row r="793" spans="1:15" ht="18" customHeight="1" x14ac:dyDescent="0.25">
      <c r="A793" s="115">
        <v>11</v>
      </c>
      <c r="B793" s="116" t="s">
        <v>104</v>
      </c>
      <c r="C793" s="115">
        <v>30</v>
      </c>
      <c r="D793" s="119" t="s">
        <v>95</v>
      </c>
      <c r="E793" s="119" t="s">
        <v>1103</v>
      </c>
      <c r="F793" s="116" t="s">
        <v>1085</v>
      </c>
      <c r="G793" s="280">
        <v>2</v>
      </c>
      <c r="H793" s="259">
        <v>6481</v>
      </c>
      <c r="I793" s="259">
        <v>12963</v>
      </c>
      <c r="J793" s="259">
        <v>0</v>
      </c>
      <c r="K793" s="259">
        <v>12963</v>
      </c>
      <c r="L793" s="259">
        <v>1037</v>
      </c>
      <c r="M793" s="259">
        <v>14000</v>
      </c>
      <c r="N793" s="118">
        <v>2.3999999999999998E-3</v>
      </c>
      <c r="O793" s="411" t="s">
        <v>1086</v>
      </c>
    </row>
    <row r="794" spans="1:15" ht="18" customHeight="1" x14ac:dyDescent="0.25">
      <c r="A794" s="115">
        <v>11</v>
      </c>
      <c r="B794" s="116" t="s">
        <v>104</v>
      </c>
      <c r="C794" s="115">
        <v>94</v>
      </c>
      <c r="D794" s="119" t="s">
        <v>89</v>
      </c>
      <c r="E794" s="119" t="s">
        <v>153</v>
      </c>
      <c r="F794" s="116" t="s">
        <v>1085</v>
      </c>
      <c r="G794" s="280">
        <v>17</v>
      </c>
      <c r="H794" s="259">
        <v>18736</v>
      </c>
      <c r="I794" s="259">
        <v>318519</v>
      </c>
      <c r="J794" s="259">
        <v>0</v>
      </c>
      <c r="K794" s="259">
        <v>318519</v>
      </c>
      <c r="L794" s="259">
        <v>25481</v>
      </c>
      <c r="M794" s="259">
        <v>344000</v>
      </c>
      <c r="N794" s="118">
        <v>5.8200000000000002E-2</v>
      </c>
      <c r="O794" s="411" t="s">
        <v>1086</v>
      </c>
    </row>
    <row r="795" spans="1:15" ht="18" customHeight="1" x14ac:dyDescent="0.25">
      <c r="A795" s="115">
        <v>11</v>
      </c>
      <c r="B795" s="116" t="s">
        <v>104</v>
      </c>
      <c r="C795" s="115">
        <v>233</v>
      </c>
      <c r="D795" s="119" t="s">
        <v>89</v>
      </c>
      <c r="E795" s="119" t="s">
        <v>117</v>
      </c>
      <c r="F795" s="116" t="s">
        <v>1085</v>
      </c>
      <c r="G795" s="280">
        <v>36</v>
      </c>
      <c r="H795" s="259">
        <v>18544</v>
      </c>
      <c r="I795" s="259">
        <v>670370</v>
      </c>
      <c r="J795" s="259">
        <v>2778</v>
      </c>
      <c r="K795" s="259">
        <v>667592</v>
      </c>
      <c r="L795" s="259">
        <v>53407</v>
      </c>
      <c r="M795" s="259">
        <v>720999</v>
      </c>
      <c r="N795" s="118">
        <v>0.122</v>
      </c>
      <c r="O795" s="411" t="s">
        <v>1086</v>
      </c>
    </row>
    <row r="796" spans="1:15" ht="18" customHeight="1" x14ac:dyDescent="0.25">
      <c r="A796" s="115">
        <v>11</v>
      </c>
      <c r="B796" s="116" t="s">
        <v>104</v>
      </c>
      <c r="C796" s="115">
        <v>217</v>
      </c>
      <c r="D796" s="119" t="s">
        <v>89</v>
      </c>
      <c r="E796" s="119" t="s">
        <v>1105</v>
      </c>
      <c r="F796" s="116" t="s">
        <v>1085</v>
      </c>
      <c r="G796" s="280">
        <v>3</v>
      </c>
      <c r="H796" s="259">
        <v>27778</v>
      </c>
      <c r="I796" s="259">
        <v>83333</v>
      </c>
      <c r="J796" s="259">
        <v>0</v>
      </c>
      <c r="K796" s="259">
        <v>83333</v>
      </c>
      <c r="L796" s="259">
        <v>6667</v>
      </c>
      <c r="M796" s="259">
        <v>90000</v>
      </c>
      <c r="N796" s="118">
        <v>1.52E-2</v>
      </c>
      <c r="O796" s="411" t="s">
        <v>1086</v>
      </c>
    </row>
    <row r="797" spans="1:15" ht="18" customHeight="1" x14ac:dyDescent="0.25">
      <c r="A797" s="115">
        <v>11</v>
      </c>
      <c r="B797" s="116" t="s">
        <v>104</v>
      </c>
      <c r="C797" s="115">
        <v>218</v>
      </c>
      <c r="D797" s="119" t="s">
        <v>89</v>
      </c>
      <c r="E797" s="119" t="s">
        <v>1106</v>
      </c>
      <c r="F797" s="116" t="s">
        <v>1085</v>
      </c>
      <c r="G797" s="280">
        <v>17</v>
      </c>
      <c r="H797" s="259">
        <v>18791</v>
      </c>
      <c r="I797" s="259">
        <v>319444</v>
      </c>
      <c r="J797" s="259">
        <v>0</v>
      </c>
      <c r="K797" s="259">
        <v>319444</v>
      </c>
      <c r="L797" s="259">
        <v>25556</v>
      </c>
      <c r="M797" s="259">
        <v>345000</v>
      </c>
      <c r="N797" s="118">
        <v>5.8400000000000001E-2</v>
      </c>
      <c r="O797" s="411" t="s">
        <v>1086</v>
      </c>
    </row>
    <row r="798" spans="1:15" ht="18" customHeight="1" x14ac:dyDescent="0.25">
      <c r="A798" s="115">
        <v>11</v>
      </c>
      <c r="B798" s="116" t="s">
        <v>104</v>
      </c>
      <c r="C798" s="115">
        <v>34</v>
      </c>
      <c r="D798" s="119" t="s">
        <v>91</v>
      </c>
      <c r="E798" s="119" t="s">
        <v>1107</v>
      </c>
      <c r="F798" s="116" t="s">
        <v>1085</v>
      </c>
      <c r="G798" s="280">
        <v>2</v>
      </c>
      <c r="H798" s="259">
        <v>6481</v>
      </c>
      <c r="I798" s="259">
        <v>12963</v>
      </c>
      <c r="J798" s="259">
        <v>0</v>
      </c>
      <c r="K798" s="259">
        <v>12963</v>
      </c>
      <c r="L798" s="259">
        <v>1037</v>
      </c>
      <c r="M798" s="259">
        <v>14000</v>
      </c>
      <c r="N798" s="118">
        <v>2.3999999999999998E-3</v>
      </c>
      <c r="O798" s="411" t="s">
        <v>1086</v>
      </c>
    </row>
    <row r="799" spans="1:15" ht="18" customHeight="1" x14ac:dyDescent="0.25">
      <c r="A799" s="115">
        <v>11</v>
      </c>
      <c r="B799" s="116" t="s">
        <v>104</v>
      </c>
      <c r="C799" s="115">
        <v>121</v>
      </c>
      <c r="D799" s="119" t="s">
        <v>91</v>
      </c>
      <c r="E799" s="119" t="s">
        <v>1108</v>
      </c>
      <c r="F799" s="116" t="s">
        <v>1085</v>
      </c>
      <c r="G799" s="280">
        <v>1</v>
      </c>
      <c r="H799" s="259">
        <v>2778</v>
      </c>
      <c r="I799" s="259">
        <v>2778</v>
      </c>
      <c r="J799" s="259">
        <v>0</v>
      </c>
      <c r="K799" s="259">
        <v>2778</v>
      </c>
      <c r="L799" s="259">
        <v>222</v>
      </c>
      <c r="M799" s="259">
        <v>3000</v>
      </c>
      <c r="N799" s="118">
        <v>5.0000000000000001E-4</v>
      </c>
      <c r="O799" s="411" t="s">
        <v>1086</v>
      </c>
    </row>
    <row r="800" spans="1:15" ht="18" customHeight="1" x14ac:dyDescent="0.25">
      <c r="A800" s="115">
        <v>11</v>
      </c>
      <c r="B800" s="116" t="s">
        <v>104</v>
      </c>
      <c r="C800" s="115">
        <v>208</v>
      </c>
      <c r="D800" s="119" t="s">
        <v>91</v>
      </c>
      <c r="E800" s="119" t="s">
        <v>1109</v>
      </c>
      <c r="F800" s="116" t="s">
        <v>1085</v>
      </c>
      <c r="G800" s="280">
        <v>9</v>
      </c>
      <c r="H800" s="259">
        <v>3704</v>
      </c>
      <c r="I800" s="259">
        <v>33333</v>
      </c>
      <c r="J800" s="259">
        <v>0</v>
      </c>
      <c r="K800" s="259">
        <v>33333</v>
      </c>
      <c r="L800" s="259">
        <v>2667</v>
      </c>
      <c r="M800" s="259">
        <v>36000</v>
      </c>
      <c r="N800" s="118">
        <v>6.1000000000000004E-3</v>
      </c>
      <c r="O800" s="411" t="s">
        <v>1086</v>
      </c>
    </row>
    <row r="801" spans="1:15" ht="18" customHeight="1" x14ac:dyDescent="0.25">
      <c r="A801" s="115">
        <v>11</v>
      </c>
      <c r="B801" s="116" t="s">
        <v>104</v>
      </c>
      <c r="C801" s="115">
        <v>90</v>
      </c>
      <c r="D801" s="119" t="s">
        <v>91</v>
      </c>
      <c r="E801" s="119" t="s">
        <v>572</v>
      </c>
      <c r="F801" s="116" t="s">
        <v>1085</v>
      </c>
      <c r="G801" s="280">
        <v>3</v>
      </c>
      <c r="H801" s="259">
        <v>4259</v>
      </c>
      <c r="I801" s="259">
        <v>12778</v>
      </c>
      <c r="J801" s="259">
        <v>0</v>
      </c>
      <c r="K801" s="259">
        <v>12778</v>
      </c>
      <c r="L801" s="259">
        <v>1022</v>
      </c>
      <c r="M801" s="259">
        <v>13800</v>
      </c>
      <c r="N801" s="118">
        <v>2.3E-3</v>
      </c>
      <c r="O801" s="411" t="s">
        <v>1086</v>
      </c>
    </row>
    <row r="802" spans="1:15" ht="18" customHeight="1" x14ac:dyDescent="0.25">
      <c r="A802" s="115">
        <v>11</v>
      </c>
      <c r="B802" s="116" t="s">
        <v>104</v>
      </c>
      <c r="C802" s="115">
        <v>123</v>
      </c>
      <c r="D802" s="119" t="s">
        <v>91</v>
      </c>
      <c r="E802" s="119" t="s">
        <v>1110</v>
      </c>
      <c r="F802" s="116" t="s">
        <v>1085</v>
      </c>
      <c r="G802" s="280">
        <v>4</v>
      </c>
      <c r="H802" s="259">
        <v>2778</v>
      </c>
      <c r="I802" s="259">
        <v>11111</v>
      </c>
      <c r="J802" s="259">
        <v>0</v>
      </c>
      <c r="K802" s="259">
        <v>11111</v>
      </c>
      <c r="L802" s="259">
        <v>889</v>
      </c>
      <c r="M802" s="259">
        <v>12000</v>
      </c>
      <c r="N802" s="118">
        <v>2E-3</v>
      </c>
      <c r="O802" s="411" t="s">
        <v>1086</v>
      </c>
    </row>
    <row r="803" spans="1:15" ht="18" customHeight="1" x14ac:dyDescent="0.25">
      <c r="A803" s="115">
        <v>11</v>
      </c>
      <c r="B803" s="116" t="s">
        <v>104</v>
      </c>
      <c r="C803" s="115">
        <v>31</v>
      </c>
      <c r="D803" s="119" t="s">
        <v>95</v>
      </c>
      <c r="E803" s="119" t="s">
        <v>1111</v>
      </c>
      <c r="F803" s="116" t="s">
        <v>1085</v>
      </c>
      <c r="G803" s="280">
        <v>9</v>
      </c>
      <c r="H803" s="259">
        <v>1204</v>
      </c>
      <c r="I803" s="259">
        <v>10833</v>
      </c>
      <c r="J803" s="259">
        <v>0</v>
      </c>
      <c r="K803" s="259">
        <v>10833</v>
      </c>
      <c r="L803" s="259">
        <v>867</v>
      </c>
      <c r="M803" s="259">
        <v>11700</v>
      </c>
      <c r="N803" s="118">
        <v>2E-3</v>
      </c>
      <c r="O803" s="411" t="s">
        <v>1086</v>
      </c>
    </row>
    <row r="804" spans="1:15" ht="18" customHeight="1" x14ac:dyDescent="0.25">
      <c r="A804" s="115">
        <v>11</v>
      </c>
      <c r="B804" s="116" t="s">
        <v>104</v>
      </c>
      <c r="C804" s="115">
        <v>74</v>
      </c>
      <c r="D804" s="119" t="s">
        <v>91</v>
      </c>
      <c r="E804" s="119" t="s">
        <v>1153</v>
      </c>
      <c r="F804" s="116" t="s">
        <v>1085</v>
      </c>
      <c r="G804" s="280">
        <v>5</v>
      </c>
      <c r="H804" s="259">
        <v>6481</v>
      </c>
      <c r="I804" s="259">
        <v>32407</v>
      </c>
      <c r="J804" s="259">
        <v>0</v>
      </c>
      <c r="K804" s="259">
        <v>32407</v>
      </c>
      <c r="L804" s="259">
        <v>2593</v>
      </c>
      <c r="M804" s="259">
        <v>35000</v>
      </c>
      <c r="N804" s="118">
        <v>5.8999999999999999E-3</v>
      </c>
      <c r="O804" s="411" t="s">
        <v>1086</v>
      </c>
    </row>
    <row r="805" spans="1:15" ht="18" customHeight="1" x14ac:dyDescent="0.25">
      <c r="A805" s="115">
        <v>11</v>
      </c>
      <c r="B805" s="116" t="s">
        <v>104</v>
      </c>
      <c r="C805" s="115">
        <v>235</v>
      </c>
      <c r="D805" s="119" t="s">
        <v>91</v>
      </c>
      <c r="E805" s="119" t="s">
        <v>1154</v>
      </c>
      <c r="F805" s="116" t="s">
        <v>1085</v>
      </c>
      <c r="G805" s="280">
        <v>1</v>
      </c>
      <c r="H805" s="259">
        <v>3426</v>
      </c>
      <c r="I805" s="259">
        <v>3426</v>
      </c>
      <c r="J805" s="259">
        <v>0</v>
      </c>
      <c r="K805" s="259">
        <v>3426</v>
      </c>
      <c r="L805" s="259">
        <v>274</v>
      </c>
      <c r="M805" s="259">
        <v>3700</v>
      </c>
      <c r="N805" s="118">
        <v>5.9999999999999995E-4</v>
      </c>
      <c r="O805" s="411" t="s">
        <v>1086</v>
      </c>
    </row>
    <row r="806" spans="1:15" ht="18" customHeight="1" x14ac:dyDescent="0.25">
      <c r="A806" s="115">
        <v>11</v>
      </c>
      <c r="B806" s="116" t="s">
        <v>104</v>
      </c>
      <c r="C806" s="115">
        <v>118</v>
      </c>
      <c r="D806" s="119" t="s">
        <v>87</v>
      </c>
      <c r="E806" s="119" t="s">
        <v>126</v>
      </c>
      <c r="F806" s="116" t="s">
        <v>1085</v>
      </c>
      <c r="G806" s="280">
        <v>4</v>
      </c>
      <c r="H806" s="259">
        <v>41667</v>
      </c>
      <c r="I806" s="259">
        <v>166667</v>
      </c>
      <c r="J806" s="259">
        <v>0</v>
      </c>
      <c r="K806" s="259">
        <v>166667</v>
      </c>
      <c r="L806" s="259">
        <v>13333</v>
      </c>
      <c r="M806" s="259">
        <v>180000</v>
      </c>
      <c r="N806" s="118">
        <v>3.0499999999999999E-2</v>
      </c>
      <c r="O806" s="411" t="s">
        <v>1086</v>
      </c>
    </row>
    <row r="807" spans="1:15" ht="18" customHeight="1" x14ac:dyDescent="0.25">
      <c r="A807" s="115">
        <v>11</v>
      </c>
      <c r="B807" s="116" t="s">
        <v>104</v>
      </c>
      <c r="C807" s="115">
        <v>204</v>
      </c>
      <c r="D807" s="119" t="s">
        <v>91</v>
      </c>
      <c r="E807" s="119" t="s">
        <v>1114</v>
      </c>
      <c r="F807" s="116" t="s">
        <v>1085</v>
      </c>
      <c r="G807" s="280">
        <v>1</v>
      </c>
      <c r="H807" s="259">
        <v>12037</v>
      </c>
      <c r="I807" s="259">
        <v>12037</v>
      </c>
      <c r="J807" s="259">
        <v>0</v>
      </c>
      <c r="K807" s="259">
        <v>12037</v>
      </c>
      <c r="L807" s="259">
        <v>963</v>
      </c>
      <c r="M807" s="259">
        <v>13000</v>
      </c>
      <c r="N807" s="118">
        <v>2.2000000000000001E-3</v>
      </c>
      <c r="O807" s="411" t="s">
        <v>1086</v>
      </c>
    </row>
    <row r="808" spans="1:15" ht="18" customHeight="1" x14ac:dyDescent="0.25">
      <c r="A808" s="115">
        <v>11</v>
      </c>
      <c r="B808" s="116" t="s">
        <v>104</v>
      </c>
      <c r="C808" s="115">
        <v>109</v>
      </c>
      <c r="D808" s="119" t="s">
        <v>91</v>
      </c>
      <c r="E808" s="119" t="s">
        <v>144</v>
      </c>
      <c r="F808" s="116" t="s">
        <v>1085</v>
      </c>
      <c r="G808" s="280">
        <v>5</v>
      </c>
      <c r="H808" s="259">
        <v>12963</v>
      </c>
      <c r="I808" s="259">
        <v>64815</v>
      </c>
      <c r="J808" s="259">
        <v>0</v>
      </c>
      <c r="K808" s="259">
        <v>64815</v>
      </c>
      <c r="L808" s="259">
        <v>5185</v>
      </c>
      <c r="M808" s="259">
        <v>70000</v>
      </c>
      <c r="N808" s="118">
        <v>1.18E-2</v>
      </c>
      <c r="O808" s="411" t="s">
        <v>1086</v>
      </c>
    </row>
    <row r="809" spans="1:15" ht="18" customHeight="1" x14ac:dyDescent="0.25">
      <c r="A809" s="115">
        <v>11</v>
      </c>
      <c r="B809" s="116" t="s">
        <v>104</v>
      </c>
      <c r="C809" s="115">
        <v>147</v>
      </c>
      <c r="D809" s="119" t="s">
        <v>91</v>
      </c>
      <c r="E809" s="119" t="s">
        <v>1115</v>
      </c>
      <c r="F809" s="116" t="s">
        <v>1085</v>
      </c>
      <c r="G809" s="280">
        <v>4</v>
      </c>
      <c r="H809" s="259">
        <v>6481</v>
      </c>
      <c r="I809" s="259">
        <v>25926</v>
      </c>
      <c r="J809" s="259">
        <v>0</v>
      </c>
      <c r="K809" s="259">
        <v>25926</v>
      </c>
      <c r="L809" s="259">
        <v>2074</v>
      </c>
      <c r="M809" s="259">
        <v>28000</v>
      </c>
      <c r="N809" s="118">
        <v>4.6999999999999993E-3</v>
      </c>
      <c r="O809" s="411" t="s">
        <v>1086</v>
      </c>
    </row>
    <row r="810" spans="1:15" ht="18" customHeight="1" x14ac:dyDescent="0.25">
      <c r="A810" s="115">
        <v>11</v>
      </c>
      <c r="B810" s="116" t="s">
        <v>104</v>
      </c>
      <c r="C810" s="115">
        <v>72</v>
      </c>
      <c r="D810" s="119" t="s">
        <v>97</v>
      </c>
      <c r="E810" s="119" t="s">
        <v>1117</v>
      </c>
      <c r="F810" s="116" t="s">
        <v>1085</v>
      </c>
      <c r="G810" s="280">
        <v>9</v>
      </c>
      <c r="H810" s="259">
        <v>3704</v>
      </c>
      <c r="I810" s="259">
        <v>33333</v>
      </c>
      <c r="J810" s="259">
        <v>0</v>
      </c>
      <c r="K810" s="259">
        <v>33333</v>
      </c>
      <c r="L810" s="259">
        <v>2667</v>
      </c>
      <c r="M810" s="259">
        <v>36000</v>
      </c>
      <c r="N810" s="118">
        <v>6.1000000000000004E-3</v>
      </c>
      <c r="O810" s="411" t="s">
        <v>1086</v>
      </c>
    </row>
    <row r="811" spans="1:15" ht="18" customHeight="1" x14ac:dyDescent="0.25">
      <c r="A811" s="115">
        <v>11</v>
      </c>
      <c r="B811" s="116" t="s">
        <v>104</v>
      </c>
      <c r="C811" s="115">
        <v>93</v>
      </c>
      <c r="D811" s="119" t="s">
        <v>89</v>
      </c>
      <c r="E811" s="119" t="s">
        <v>123</v>
      </c>
      <c r="F811" s="116" t="s">
        <v>1085</v>
      </c>
      <c r="G811" s="280">
        <v>7</v>
      </c>
      <c r="H811" s="259">
        <v>20370</v>
      </c>
      <c r="I811" s="259">
        <v>142593</v>
      </c>
      <c r="J811" s="259">
        <v>0</v>
      </c>
      <c r="K811" s="259">
        <v>142593</v>
      </c>
      <c r="L811" s="259">
        <v>11407</v>
      </c>
      <c r="M811" s="259">
        <v>154000</v>
      </c>
      <c r="N811" s="118">
        <v>2.6100000000000002E-2</v>
      </c>
      <c r="O811" s="411" t="s">
        <v>1086</v>
      </c>
    </row>
    <row r="812" spans="1:15" ht="18" customHeight="1" x14ac:dyDescent="0.25">
      <c r="A812" s="115">
        <v>11</v>
      </c>
      <c r="B812" s="116" t="s">
        <v>104</v>
      </c>
      <c r="C812" s="115">
        <v>119</v>
      </c>
      <c r="D812" s="119" t="s">
        <v>89</v>
      </c>
      <c r="E812" s="119" t="s">
        <v>114</v>
      </c>
      <c r="F812" s="116" t="s">
        <v>1085</v>
      </c>
      <c r="G812" s="280">
        <v>5</v>
      </c>
      <c r="H812" s="259">
        <v>44444</v>
      </c>
      <c r="I812" s="259">
        <v>222222</v>
      </c>
      <c r="J812" s="259">
        <v>0</v>
      </c>
      <c r="K812" s="259">
        <v>222222</v>
      </c>
      <c r="L812" s="259">
        <v>17778</v>
      </c>
      <c r="M812" s="259">
        <v>240000</v>
      </c>
      <c r="N812" s="118">
        <v>4.0599999999999997E-2</v>
      </c>
      <c r="O812" s="411" t="s">
        <v>1086</v>
      </c>
    </row>
    <row r="813" spans="1:15" ht="18" customHeight="1" x14ac:dyDescent="0.25">
      <c r="A813" s="115">
        <v>11</v>
      </c>
      <c r="B813" s="116" t="s">
        <v>104</v>
      </c>
      <c r="C813" s="115">
        <v>21</v>
      </c>
      <c r="D813" s="119" t="s">
        <v>95</v>
      </c>
      <c r="E813" s="119" t="s">
        <v>1202</v>
      </c>
      <c r="F813" s="116" t="s">
        <v>1085</v>
      </c>
      <c r="G813" s="280">
        <v>4</v>
      </c>
      <c r="H813" s="259">
        <v>7407</v>
      </c>
      <c r="I813" s="259">
        <v>29630</v>
      </c>
      <c r="J813" s="259">
        <v>0</v>
      </c>
      <c r="K813" s="259">
        <v>29630</v>
      </c>
      <c r="L813" s="259">
        <v>2370</v>
      </c>
      <c r="M813" s="259">
        <v>32000</v>
      </c>
      <c r="N813" s="118">
        <v>5.4000000000000003E-3</v>
      </c>
      <c r="O813" s="411" t="s">
        <v>1086</v>
      </c>
    </row>
    <row r="814" spans="1:15" ht="18" customHeight="1" x14ac:dyDescent="0.25">
      <c r="A814" s="115">
        <v>11</v>
      </c>
      <c r="B814" s="116" t="s">
        <v>104</v>
      </c>
      <c r="C814" s="115">
        <v>19</v>
      </c>
      <c r="D814" s="119" t="s">
        <v>87</v>
      </c>
      <c r="E814" s="119" t="s">
        <v>1120</v>
      </c>
      <c r="F814" s="116" t="s">
        <v>1085</v>
      </c>
      <c r="G814" s="280">
        <v>1</v>
      </c>
      <c r="H814" s="259">
        <v>9259</v>
      </c>
      <c r="I814" s="259">
        <v>9259</v>
      </c>
      <c r="J814" s="259">
        <v>0</v>
      </c>
      <c r="K814" s="259">
        <v>9259</v>
      </c>
      <c r="L814" s="259">
        <v>741</v>
      </c>
      <c r="M814" s="259">
        <v>10000</v>
      </c>
      <c r="N814" s="118">
        <v>1.6999999999999999E-3</v>
      </c>
      <c r="O814" s="411" t="s">
        <v>1086</v>
      </c>
    </row>
    <row r="815" spans="1:15" ht="18" customHeight="1" x14ac:dyDescent="0.25">
      <c r="A815" s="115">
        <v>11</v>
      </c>
      <c r="B815" s="116" t="s">
        <v>104</v>
      </c>
      <c r="C815" s="115">
        <v>22</v>
      </c>
      <c r="D815" s="119" t="s">
        <v>93</v>
      </c>
      <c r="E815" s="119" t="s">
        <v>1177</v>
      </c>
      <c r="F815" s="116" t="s">
        <v>1085</v>
      </c>
      <c r="G815" s="280">
        <v>20</v>
      </c>
      <c r="H815" s="259">
        <v>18657</v>
      </c>
      <c r="I815" s="259">
        <v>373148</v>
      </c>
      <c r="J815" s="259">
        <v>0</v>
      </c>
      <c r="K815" s="259">
        <v>373148</v>
      </c>
      <c r="L815" s="259">
        <v>29852</v>
      </c>
      <c r="M815" s="259">
        <v>403000</v>
      </c>
      <c r="N815" s="118">
        <v>6.8199999999999997E-2</v>
      </c>
      <c r="O815" s="411" t="s">
        <v>1086</v>
      </c>
    </row>
    <row r="816" spans="1:15" ht="18" customHeight="1" x14ac:dyDescent="0.25">
      <c r="A816" s="115">
        <v>11</v>
      </c>
      <c r="B816" s="116" t="s">
        <v>104</v>
      </c>
      <c r="C816" s="115">
        <v>239</v>
      </c>
      <c r="D816" s="119" t="s">
        <v>87</v>
      </c>
      <c r="E816" s="119" t="s">
        <v>1178</v>
      </c>
      <c r="F816" s="116" t="s">
        <v>1085</v>
      </c>
      <c r="G816" s="280">
        <v>13</v>
      </c>
      <c r="H816" s="259">
        <v>18875</v>
      </c>
      <c r="I816" s="259">
        <v>245370</v>
      </c>
      <c r="J816" s="259">
        <v>0</v>
      </c>
      <c r="K816" s="259">
        <v>245370</v>
      </c>
      <c r="L816" s="259">
        <v>19630</v>
      </c>
      <c r="M816" s="259">
        <v>265000</v>
      </c>
      <c r="N816" s="118">
        <v>4.4800000000000013E-2</v>
      </c>
      <c r="O816" s="411" t="s">
        <v>1086</v>
      </c>
    </row>
    <row r="817" spans="1:15" ht="18" customHeight="1" x14ac:dyDescent="0.25">
      <c r="A817" s="115">
        <v>11</v>
      </c>
      <c r="B817" s="116" t="s">
        <v>104</v>
      </c>
      <c r="C817" s="115">
        <v>145</v>
      </c>
      <c r="D817" s="119" t="s">
        <v>87</v>
      </c>
      <c r="E817" s="119" t="s">
        <v>1179</v>
      </c>
      <c r="F817" s="116" t="s">
        <v>1085</v>
      </c>
      <c r="G817" s="280">
        <v>14</v>
      </c>
      <c r="H817" s="259">
        <v>18585</v>
      </c>
      <c r="I817" s="259">
        <v>260185</v>
      </c>
      <c r="J817" s="259">
        <v>0</v>
      </c>
      <c r="K817" s="259">
        <v>260185</v>
      </c>
      <c r="L817" s="259">
        <v>20815</v>
      </c>
      <c r="M817" s="259">
        <v>281000</v>
      </c>
      <c r="N817" s="118">
        <v>4.7500000000000001E-2</v>
      </c>
      <c r="O817" s="411" t="s">
        <v>1086</v>
      </c>
    </row>
    <row r="818" spans="1:15" ht="18" customHeight="1" x14ac:dyDescent="0.25">
      <c r="A818" s="115">
        <v>11</v>
      </c>
      <c r="B818" s="116" t="s">
        <v>104</v>
      </c>
      <c r="C818" s="115">
        <v>111</v>
      </c>
      <c r="D818" s="119" t="s">
        <v>87</v>
      </c>
      <c r="E818" s="119" t="s">
        <v>1192</v>
      </c>
      <c r="F818" s="116" t="s">
        <v>1085</v>
      </c>
      <c r="G818" s="280">
        <v>1</v>
      </c>
      <c r="H818" s="259">
        <v>6481</v>
      </c>
      <c r="I818" s="259">
        <v>6481</v>
      </c>
      <c r="J818" s="259">
        <v>0</v>
      </c>
      <c r="K818" s="259">
        <v>6481</v>
      </c>
      <c r="L818" s="259">
        <v>519</v>
      </c>
      <c r="M818" s="259">
        <v>7000</v>
      </c>
      <c r="N818" s="118">
        <v>1.1999999999999999E-3</v>
      </c>
      <c r="O818" s="411" t="s">
        <v>1086</v>
      </c>
    </row>
    <row r="819" spans="1:15" ht="18" customHeight="1" x14ac:dyDescent="0.25">
      <c r="A819" s="115">
        <v>11</v>
      </c>
      <c r="B819" s="116" t="s">
        <v>104</v>
      </c>
      <c r="C819" s="115">
        <v>168</v>
      </c>
      <c r="D819" s="119" t="s">
        <v>87</v>
      </c>
      <c r="E819" s="119" t="s">
        <v>1208</v>
      </c>
      <c r="F819" s="116" t="s">
        <v>1085</v>
      </c>
      <c r="G819" s="280">
        <v>11</v>
      </c>
      <c r="H819" s="259">
        <v>6481</v>
      </c>
      <c r="I819" s="259">
        <v>71296</v>
      </c>
      <c r="J819" s="259">
        <v>0</v>
      </c>
      <c r="K819" s="259">
        <v>71296</v>
      </c>
      <c r="L819" s="259">
        <v>5704</v>
      </c>
      <c r="M819" s="259">
        <v>77000</v>
      </c>
      <c r="N819" s="118">
        <v>1.2999999999999999E-2</v>
      </c>
      <c r="O819" s="411" t="s">
        <v>1086</v>
      </c>
    </row>
    <row r="820" spans="1:15" ht="18" customHeight="1" x14ac:dyDescent="0.25">
      <c r="A820" s="115">
        <v>11</v>
      </c>
      <c r="B820" s="116" t="s">
        <v>104</v>
      </c>
      <c r="C820" s="115">
        <v>99</v>
      </c>
      <c r="D820" s="119" t="s">
        <v>87</v>
      </c>
      <c r="E820" s="119" t="s">
        <v>1209</v>
      </c>
      <c r="F820" s="116" t="s">
        <v>1210</v>
      </c>
      <c r="G820" s="280">
        <v>1</v>
      </c>
      <c r="H820" s="259">
        <v>3241</v>
      </c>
      <c r="I820" s="259">
        <v>3241</v>
      </c>
      <c r="J820" s="259">
        <v>0</v>
      </c>
      <c r="K820" s="259">
        <v>3241</v>
      </c>
      <c r="L820" s="259">
        <v>259</v>
      </c>
      <c r="M820" s="259">
        <v>3500</v>
      </c>
      <c r="N820" s="118">
        <v>5.9999999999999995E-4</v>
      </c>
      <c r="O820" s="411" t="s">
        <v>1086</v>
      </c>
    </row>
    <row r="821" spans="1:15" ht="18" customHeight="1" x14ac:dyDescent="0.25">
      <c r="A821" s="115">
        <v>11</v>
      </c>
      <c r="B821" s="116" t="s">
        <v>104</v>
      </c>
      <c r="C821" s="115">
        <v>240</v>
      </c>
      <c r="D821" s="119" t="s">
        <v>87</v>
      </c>
      <c r="E821" s="119" t="s">
        <v>1180</v>
      </c>
      <c r="F821" s="116" t="s">
        <v>1085</v>
      </c>
      <c r="G821" s="280">
        <v>5</v>
      </c>
      <c r="H821" s="259">
        <v>6481</v>
      </c>
      <c r="I821" s="259">
        <v>32407</v>
      </c>
      <c r="J821" s="259">
        <v>0</v>
      </c>
      <c r="K821" s="259">
        <v>32407</v>
      </c>
      <c r="L821" s="259">
        <v>2593</v>
      </c>
      <c r="M821" s="259">
        <v>35000</v>
      </c>
      <c r="N821" s="118">
        <v>5.8999999999999999E-3</v>
      </c>
      <c r="O821" s="411" t="s">
        <v>1086</v>
      </c>
    </row>
    <row r="822" spans="1:15" ht="18" customHeight="1" x14ac:dyDescent="0.25">
      <c r="A822" s="115">
        <v>11</v>
      </c>
      <c r="B822" s="116" t="s">
        <v>104</v>
      </c>
      <c r="C822" s="115">
        <v>156</v>
      </c>
      <c r="D822" s="119" t="s">
        <v>93</v>
      </c>
      <c r="E822" s="119" t="s">
        <v>1181</v>
      </c>
      <c r="F822" s="116" t="s">
        <v>1085</v>
      </c>
      <c r="G822" s="280">
        <v>4</v>
      </c>
      <c r="H822" s="259">
        <v>6481</v>
      </c>
      <c r="I822" s="259">
        <v>25926</v>
      </c>
      <c r="J822" s="259">
        <v>0</v>
      </c>
      <c r="K822" s="259">
        <v>25926</v>
      </c>
      <c r="L822" s="259">
        <v>2074</v>
      </c>
      <c r="M822" s="259">
        <v>28000</v>
      </c>
      <c r="N822" s="118">
        <v>4.6999999999999993E-3</v>
      </c>
      <c r="O822" s="411" t="s">
        <v>1086</v>
      </c>
    </row>
    <row r="823" spans="1:15" ht="18" customHeight="1" x14ac:dyDescent="0.25">
      <c r="A823" s="115">
        <v>11</v>
      </c>
      <c r="B823" s="116" t="s">
        <v>104</v>
      </c>
      <c r="C823" s="115">
        <v>81</v>
      </c>
      <c r="D823" s="119" t="s">
        <v>95</v>
      </c>
      <c r="E823" s="119" t="s">
        <v>1123</v>
      </c>
      <c r="F823" s="116" t="s">
        <v>1085</v>
      </c>
      <c r="G823" s="280">
        <v>2</v>
      </c>
      <c r="H823" s="259">
        <v>1389</v>
      </c>
      <c r="I823" s="259">
        <v>2778</v>
      </c>
      <c r="J823" s="259">
        <v>0</v>
      </c>
      <c r="K823" s="259">
        <v>2778</v>
      </c>
      <c r="L823" s="259">
        <v>222</v>
      </c>
      <c r="M823" s="259">
        <v>3000</v>
      </c>
      <c r="N823" s="118">
        <v>5.0000000000000001E-4</v>
      </c>
      <c r="O823" s="411" t="s">
        <v>1086</v>
      </c>
    </row>
    <row r="824" spans="1:15" ht="18" customHeight="1" x14ac:dyDescent="0.25">
      <c r="A824" s="115">
        <v>11</v>
      </c>
      <c r="B824" s="116" t="s">
        <v>104</v>
      </c>
      <c r="C824" s="115">
        <v>86</v>
      </c>
      <c r="D824" s="119" t="s">
        <v>95</v>
      </c>
      <c r="E824" s="119" t="s">
        <v>1124</v>
      </c>
      <c r="F824" s="116" t="s">
        <v>1085</v>
      </c>
      <c r="G824" s="280">
        <v>15</v>
      </c>
      <c r="H824" s="259">
        <v>3241</v>
      </c>
      <c r="I824" s="259">
        <v>48611</v>
      </c>
      <c r="J824" s="259">
        <v>0</v>
      </c>
      <c r="K824" s="259">
        <v>48611</v>
      </c>
      <c r="L824" s="259">
        <v>3889</v>
      </c>
      <c r="M824" s="259">
        <v>52500</v>
      </c>
      <c r="N824" s="118">
        <v>8.8999999999999999E-3</v>
      </c>
      <c r="O824" s="411" t="s">
        <v>1086</v>
      </c>
    </row>
    <row r="825" spans="1:15" ht="18" customHeight="1" x14ac:dyDescent="0.25">
      <c r="A825" s="115">
        <v>11</v>
      </c>
      <c r="B825" s="116" t="s">
        <v>104</v>
      </c>
      <c r="C825" s="115">
        <v>80</v>
      </c>
      <c r="D825" s="119" t="s">
        <v>95</v>
      </c>
      <c r="E825" s="119" t="s">
        <v>1125</v>
      </c>
      <c r="F825" s="116" t="s">
        <v>1085</v>
      </c>
      <c r="G825" s="280">
        <v>0</v>
      </c>
      <c r="H825" s="259">
        <v>0</v>
      </c>
      <c r="I825" s="259">
        <v>0</v>
      </c>
      <c r="J825" s="259">
        <v>0</v>
      </c>
      <c r="K825" s="259">
        <v>0</v>
      </c>
      <c r="L825" s="259">
        <v>0</v>
      </c>
      <c r="M825" s="259">
        <v>0</v>
      </c>
      <c r="N825" s="118">
        <v>0</v>
      </c>
      <c r="O825" s="411" t="s">
        <v>1086</v>
      </c>
    </row>
    <row r="826" spans="1:15" ht="18" customHeight="1" x14ac:dyDescent="0.25">
      <c r="A826" s="115">
        <v>11</v>
      </c>
      <c r="B826" s="116" t="s">
        <v>104</v>
      </c>
      <c r="C826" s="115">
        <v>63</v>
      </c>
      <c r="D826" s="119" t="s">
        <v>95</v>
      </c>
      <c r="E826" s="119" t="s">
        <v>1182</v>
      </c>
      <c r="F826" s="116" t="s">
        <v>1085</v>
      </c>
      <c r="G826" s="280">
        <v>1</v>
      </c>
      <c r="H826" s="259">
        <v>3704</v>
      </c>
      <c r="I826" s="259">
        <v>3704</v>
      </c>
      <c r="J826" s="259">
        <v>0</v>
      </c>
      <c r="K826" s="259">
        <v>3704</v>
      </c>
      <c r="L826" s="259">
        <v>296</v>
      </c>
      <c r="M826" s="259">
        <v>4000</v>
      </c>
      <c r="N826" s="118">
        <v>7.000000000000001E-4</v>
      </c>
      <c r="O826" s="411" t="s">
        <v>1086</v>
      </c>
    </row>
    <row r="827" spans="1:15" ht="18" customHeight="1" x14ac:dyDescent="0.25">
      <c r="A827" s="115">
        <v>11</v>
      </c>
      <c r="B827" s="116" t="s">
        <v>104</v>
      </c>
      <c r="C827" s="115">
        <v>79</v>
      </c>
      <c r="D827" s="119" t="s">
        <v>95</v>
      </c>
      <c r="E827" s="119" t="s">
        <v>1127</v>
      </c>
      <c r="F827" s="116" t="s">
        <v>1085</v>
      </c>
      <c r="G827" s="280">
        <v>3</v>
      </c>
      <c r="H827" s="259">
        <v>6481</v>
      </c>
      <c r="I827" s="259">
        <v>19444</v>
      </c>
      <c r="J827" s="259">
        <v>0</v>
      </c>
      <c r="K827" s="259">
        <v>19444</v>
      </c>
      <c r="L827" s="259">
        <v>1556</v>
      </c>
      <c r="M827" s="259">
        <v>21000</v>
      </c>
      <c r="N827" s="118">
        <v>3.5999999999999999E-3</v>
      </c>
      <c r="O827" s="411" t="s">
        <v>1086</v>
      </c>
    </row>
    <row r="828" spans="1:15" ht="18" customHeight="1" x14ac:dyDescent="0.25">
      <c r="A828" s="115">
        <v>11</v>
      </c>
      <c r="B828" s="116" t="s">
        <v>104</v>
      </c>
      <c r="C828" s="115">
        <v>62</v>
      </c>
      <c r="D828" s="119" t="s">
        <v>95</v>
      </c>
      <c r="E828" s="119" t="s">
        <v>1128</v>
      </c>
      <c r="F828" s="116" t="s">
        <v>1085</v>
      </c>
      <c r="G828" s="280">
        <v>3</v>
      </c>
      <c r="H828" s="259">
        <v>6944</v>
      </c>
      <c r="I828" s="259">
        <v>20833</v>
      </c>
      <c r="J828" s="259">
        <v>0</v>
      </c>
      <c r="K828" s="259">
        <v>20833</v>
      </c>
      <c r="L828" s="259">
        <v>1667</v>
      </c>
      <c r="M828" s="259">
        <v>22500</v>
      </c>
      <c r="N828" s="118">
        <v>3.8E-3</v>
      </c>
      <c r="O828" s="411" t="s">
        <v>1086</v>
      </c>
    </row>
    <row r="829" spans="1:15" ht="18" customHeight="1" x14ac:dyDescent="0.25">
      <c r="A829" s="115">
        <v>11</v>
      </c>
      <c r="B829" s="116" t="s">
        <v>104</v>
      </c>
      <c r="C829" s="115">
        <v>137</v>
      </c>
      <c r="D829" s="119" t="s">
        <v>95</v>
      </c>
      <c r="E829" s="119" t="s">
        <v>1159</v>
      </c>
      <c r="F829" s="116" t="s">
        <v>1085</v>
      </c>
      <c r="G829" s="280">
        <v>6</v>
      </c>
      <c r="H829" s="259">
        <v>6481</v>
      </c>
      <c r="I829" s="259">
        <v>38889</v>
      </c>
      <c r="J829" s="259">
        <v>0</v>
      </c>
      <c r="K829" s="259">
        <v>38889</v>
      </c>
      <c r="L829" s="259">
        <v>3111</v>
      </c>
      <c r="M829" s="259">
        <v>42000</v>
      </c>
      <c r="N829" s="118">
        <v>7.1000000000000004E-3</v>
      </c>
      <c r="O829" s="411" t="s">
        <v>1086</v>
      </c>
    </row>
    <row r="830" spans="1:15" ht="18" customHeight="1" x14ac:dyDescent="0.25">
      <c r="A830" s="115">
        <v>11</v>
      </c>
      <c r="B830" s="116" t="s">
        <v>104</v>
      </c>
      <c r="C830" s="115">
        <v>219</v>
      </c>
      <c r="D830" s="119" t="s">
        <v>87</v>
      </c>
      <c r="E830" s="119" t="s">
        <v>150</v>
      </c>
      <c r="F830" s="116" t="s">
        <v>1085</v>
      </c>
      <c r="G830" s="280">
        <v>1</v>
      </c>
      <c r="H830" s="259">
        <v>69444</v>
      </c>
      <c r="I830" s="259">
        <v>69444</v>
      </c>
      <c r="J830" s="259">
        <v>0</v>
      </c>
      <c r="K830" s="259">
        <v>69444</v>
      </c>
      <c r="L830" s="259">
        <v>5556</v>
      </c>
      <c r="M830" s="259">
        <v>75000</v>
      </c>
      <c r="N830" s="118">
        <v>1.2699999999999999E-2</v>
      </c>
      <c r="O830" s="411" t="s">
        <v>1086</v>
      </c>
    </row>
    <row r="831" spans="1:15" ht="18" customHeight="1" x14ac:dyDescent="0.25">
      <c r="A831" s="115">
        <v>11</v>
      </c>
      <c r="B831" s="116" t="s">
        <v>104</v>
      </c>
      <c r="C831" s="115">
        <v>140</v>
      </c>
      <c r="D831" s="119" t="s">
        <v>87</v>
      </c>
      <c r="E831" s="119" t="s">
        <v>1131</v>
      </c>
      <c r="F831" s="116" t="s">
        <v>1085</v>
      </c>
      <c r="G831" s="280">
        <v>1</v>
      </c>
      <c r="H831" s="259">
        <v>90741</v>
      </c>
      <c r="I831" s="259">
        <v>90741</v>
      </c>
      <c r="J831" s="259">
        <v>0</v>
      </c>
      <c r="K831" s="259">
        <v>90741</v>
      </c>
      <c r="L831" s="259">
        <v>7259</v>
      </c>
      <c r="M831" s="259">
        <v>98000</v>
      </c>
      <c r="N831" s="118">
        <v>1.66E-2</v>
      </c>
      <c r="O831" s="411" t="s">
        <v>1086</v>
      </c>
    </row>
    <row r="832" spans="1:15" ht="18" customHeight="1" x14ac:dyDescent="0.25">
      <c r="A832" s="115">
        <v>11</v>
      </c>
      <c r="B832" s="116" t="s">
        <v>104</v>
      </c>
      <c r="C832" s="115">
        <v>221</v>
      </c>
      <c r="D832" s="119" t="s">
        <v>87</v>
      </c>
      <c r="E832" s="119" t="s">
        <v>1132</v>
      </c>
      <c r="F832" s="116" t="s">
        <v>1085</v>
      </c>
      <c r="G832" s="280">
        <v>1</v>
      </c>
      <c r="H832" s="259">
        <v>54167</v>
      </c>
      <c r="I832" s="259">
        <v>54167</v>
      </c>
      <c r="J832" s="259">
        <v>0</v>
      </c>
      <c r="K832" s="259">
        <v>54167</v>
      </c>
      <c r="L832" s="259">
        <v>4333</v>
      </c>
      <c r="M832" s="259">
        <v>58500</v>
      </c>
      <c r="N832" s="118">
        <v>9.8999999999999991E-3</v>
      </c>
      <c r="O832" s="411" t="s">
        <v>1086</v>
      </c>
    </row>
    <row r="833" spans="1:15" ht="18" customHeight="1" x14ac:dyDescent="0.25">
      <c r="A833" s="115">
        <v>11</v>
      </c>
      <c r="B833" s="116" t="s">
        <v>104</v>
      </c>
      <c r="C833" s="115">
        <v>223</v>
      </c>
      <c r="D833" s="119" t="s">
        <v>87</v>
      </c>
      <c r="E833" s="119" t="s">
        <v>141</v>
      </c>
      <c r="F833" s="116" t="s">
        <v>1085</v>
      </c>
      <c r="G833" s="280">
        <v>2</v>
      </c>
      <c r="H833" s="259">
        <v>69444</v>
      </c>
      <c r="I833" s="259">
        <v>138889</v>
      </c>
      <c r="J833" s="259">
        <v>0</v>
      </c>
      <c r="K833" s="259">
        <v>138889</v>
      </c>
      <c r="L833" s="259">
        <v>11111</v>
      </c>
      <c r="M833" s="259">
        <v>150000</v>
      </c>
      <c r="N833" s="118">
        <v>2.5399999999999999E-2</v>
      </c>
      <c r="O833" s="411" t="s">
        <v>1086</v>
      </c>
    </row>
    <row r="834" spans="1:15" ht="18" customHeight="1" x14ac:dyDescent="0.25">
      <c r="A834" s="115">
        <v>11</v>
      </c>
      <c r="B834" s="116" t="s">
        <v>104</v>
      </c>
      <c r="C834" s="115">
        <v>50</v>
      </c>
      <c r="D834" s="119" t="s">
        <v>87</v>
      </c>
      <c r="E834" s="119" t="s">
        <v>159</v>
      </c>
      <c r="F834" s="116" t="s">
        <v>1085</v>
      </c>
      <c r="G834" s="280">
        <v>3</v>
      </c>
      <c r="H834" s="259">
        <v>49074</v>
      </c>
      <c r="I834" s="259">
        <v>147222</v>
      </c>
      <c r="J834" s="259">
        <v>0</v>
      </c>
      <c r="K834" s="259">
        <v>147222</v>
      </c>
      <c r="L834" s="259">
        <v>11778</v>
      </c>
      <c r="M834" s="259">
        <v>159000</v>
      </c>
      <c r="N834" s="118">
        <v>2.69E-2</v>
      </c>
      <c r="O834" s="411" t="s">
        <v>1086</v>
      </c>
    </row>
    <row r="835" spans="1:15" ht="18" customHeight="1" x14ac:dyDescent="0.25">
      <c r="A835" s="115">
        <v>11</v>
      </c>
      <c r="B835" s="116" t="s">
        <v>104</v>
      </c>
      <c r="C835" s="115">
        <v>117</v>
      </c>
      <c r="D835" s="119" t="s">
        <v>87</v>
      </c>
      <c r="E835" s="119" t="s">
        <v>120</v>
      </c>
      <c r="F835" s="116" t="s">
        <v>1085</v>
      </c>
      <c r="G835" s="280">
        <v>1</v>
      </c>
      <c r="H835" s="259">
        <v>41667</v>
      </c>
      <c r="I835" s="259">
        <v>41667</v>
      </c>
      <c r="J835" s="259">
        <v>0</v>
      </c>
      <c r="K835" s="259">
        <v>41667</v>
      </c>
      <c r="L835" s="259">
        <v>3333</v>
      </c>
      <c r="M835" s="259">
        <v>45000</v>
      </c>
      <c r="N835" s="118">
        <v>7.6E-3</v>
      </c>
      <c r="O835" s="411" t="s">
        <v>1086</v>
      </c>
    </row>
    <row r="836" spans="1:15" ht="18" customHeight="1" x14ac:dyDescent="0.25">
      <c r="A836" s="115">
        <v>11</v>
      </c>
      <c r="B836" s="116" t="s">
        <v>104</v>
      </c>
      <c r="C836" s="115">
        <v>36</v>
      </c>
      <c r="D836" s="119" t="s">
        <v>91</v>
      </c>
      <c r="E836" s="119" t="s">
        <v>1136</v>
      </c>
      <c r="F836" s="116" t="s">
        <v>1085</v>
      </c>
      <c r="G836" s="280">
        <v>3</v>
      </c>
      <c r="H836" s="259">
        <v>3704</v>
      </c>
      <c r="I836" s="259">
        <v>11111</v>
      </c>
      <c r="J836" s="259">
        <v>0</v>
      </c>
      <c r="K836" s="259">
        <v>11111</v>
      </c>
      <c r="L836" s="259">
        <v>889</v>
      </c>
      <c r="M836" s="259">
        <v>12000</v>
      </c>
      <c r="N836" s="118">
        <v>2E-3</v>
      </c>
      <c r="O836" s="411" t="s">
        <v>1086</v>
      </c>
    </row>
    <row r="837" spans="1:15" ht="18" customHeight="1" x14ac:dyDescent="0.25">
      <c r="A837" s="115">
        <v>11</v>
      </c>
      <c r="B837" s="116" t="s">
        <v>104</v>
      </c>
      <c r="C837" s="115">
        <v>61</v>
      </c>
      <c r="D837" s="119" t="s">
        <v>97</v>
      </c>
      <c r="E837" s="119" t="s">
        <v>1137</v>
      </c>
      <c r="F837" s="116" t="s">
        <v>1085</v>
      </c>
      <c r="G837" s="280">
        <v>18</v>
      </c>
      <c r="H837" s="259">
        <v>4630</v>
      </c>
      <c r="I837" s="259">
        <v>83333</v>
      </c>
      <c r="J837" s="259">
        <v>0</v>
      </c>
      <c r="K837" s="259">
        <v>83333</v>
      </c>
      <c r="L837" s="259">
        <v>6667</v>
      </c>
      <c r="M837" s="259">
        <v>90000</v>
      </c>
      <c r="N837" s="118">
        <v>1.52E-2</v>
      </c>
      <c r="O837" s="411" t="s">
        <v>1086</v>
      </c>
    </row>
    <row r="838" spans="1:15" ht="18" customHeight="1" x14ac:dyDescent="0.25">
      <c r="A838" s="115">
        <v>11</v>
      </c>
      <c r="B838" s="116" t="s">
        <v>104</v>
      </c>
      <c r="C838" s="115">
        <v>215</v>
      </c>
      <c r="D838" s="119" t="s">
        <v>87</v>
      </c>
      <c r="E838" s="119" t="s">
        <v>135</v>
      </c>
      <c r="F838" s="116" t="s">
        <v>1085</v>
      </c>
      <c r="G838" s="280">
        <v>4</v>
      </c>
      <c r="H838" s="259">
        <v>37500</v>
      </c>
      <c r="I838" s="259">
        <v>150000</v>
      </c>
      <c r="J838" s="259">
        <v>0</v>
      </c>
      <c r="K838" s="259">
        <v>150000</v>
      </c>
      <c r="L838" s="259">
        <v>12000</v>
      </c>
      <c r="M838" s="259">
        <v>162000</v>
      </c>
      <c r="N838" s="118">
        <v>2.7400000000000001E-2</v>
      </c>
      <c r="O838" s="411" t="s">
        <v>1086</v>
      </c>
    </row>
    <row r="839" spans="1:15" ht="18" customHeight="1" x14ac:dyDescent="0.25">
      <c r="A839" s="115">
        <v>11</v>
      </c>
      <c r="B839" s="116" t="s">
        <v>104</v>
      </c>
      <c r="C839" s="115">
        <v>214</v>
      </c>
      <c r="D839" s="119" t="s">
        <v>87</v>
      </c>
      <c r="E839" s="119" t="s">
        <v>170</v>
      </c>
      <c r="F839" s="116" t="s">
        <v>1085</v>
      </c>
      <c r="G839" s="280">
        <v>1</v>
      </c>
      <c r="H839" s="259">
        <v>37500</v>
      </c>
      <c r="I839" s="259">
        <v>37500</v>
      </c>
      <c r="J839" s="259">
        <v>0</v>
      </c>
      <c r="K839" s="259">
        <v>37500</v>
      </c>
      <c r="L839" s="259">
        <v>3000</v>
      </c>
      <c r="M839" s="259">
        <v>40500</v>
      </c>
      <c r="N839" s="118">
        <v>6.8999999999999999E-3</v>
      </c>
      <c r="O839" s="411" t="s">
        <v>1086</v>
      </c>
    </row>
    <row r="840" spans="1:15" ht="18" customHeight="1" x14ac:dyDescent="0.25">
      <c r="A840" s="115">
        <v>11</v>
      </c>
      <c r="B840" s="116" t="s">
        <v>104</v>
      </c>
      <c r="C840" s="115">
        <v>315</v>
      </c>
      <c r="D840" s="119" t="s">
        <v>87</v>
      </c>
      <c r="E840" s="119" t="s">
        <v>1160</v>
      </c>
      <c r="F840" s="116" t="s">
        <v>1085</v>
      </c>
      <c r="G840" s="280">
        <v>3</v>
      </c>
      <c r="H840" s="259">
        <v>1852</v>
      </c>
      <c r="I840" s="259">
        <v>5556</v>
      </c>
      <c r="J840" s="259">
        <v>0</v>
      </c>
      <c r="K840" s="259">
        <v>5556</v>
      </c>
      <c r="L840" s="259">
        <v>444</v>
      </c>
      <c r="M840" s="259">
        <v>6000</v>
      </c>
      <c r="N840" s="118">
        <v>1E-3</v>
      </c>
      <c r="O840" s="411" t="s">
        <v>1086</v>
      </c>
    </row>
    <row r="841" spans="1:15" ht="18" customHeight="1" x14ac:dyDescent="0.25">
      <c r="A841" s="115">
        <v>11</v>
      </c>
      <c r="B841" s="116" t="s">
        <v>104</v>
      </c>
      <c r="C841" s="115">
        <v>33</v>
      </c>
      <c r="D841" s="119" t="s">
        <v>91</v>
      </c>
      <c r="E841" s="119" t="s">
        <v>1139</v>
      </c>
      <c r="F841" s="116" t="s">
        <v>1085</v>
      </c>
      <c r="G841" s="280">
        <v>1</v>
      </c>
      <c r="H841" s="259">
        <v>1852</v>
      </c>
      <c r="I841" s="259">
        <v>1852</v>
      </c>
      <c r="J841" s="259">
        <v>0</v>
      </c>
      <c r="K841" s="259">
        <v>1852</v>
      </c>
      <c r="L841" s="259">
        <v>148</v>
      </c>
      <c r="M841" s="259">
        <v>2000</v>
      </c>
      <c r="N841" s="118">
        <v>2.9999999999999997E-4</v>
      </c>
      <c r="O841" s="411" t="s">
        <v>1086</v>
      </c>
    </row>
    <row r="842" spans="1:15" ht="18" customHeight="1" x14ac:dyDescent="0.25">
      <c r="A842" s="115">
        <v>11</v>
      </c>
      <c r="B842" s="116" t="s">
        <v>104</v>
      </c>
      <c r="C842" s="115">
        <v>39</v>
      </c>
      <c r="D842" s="119" t="s">
        <v>91</v>
      </c>
      <c r="E842" s="119" t="s">
        <v>1162</v>
      </c>
      <c r="F842" s="116" t="s">
        <v>1085</v>
      </c>
      <c r="G842" s="280">
        <v>1</v>
      </c>
      <c r="H842" s="259">
        <v>3333</v>
      </c>
      <c r="I842" s="259">
        <v>3333</v>
      </c>
      <c r="J842" s="259">
        <v>0</v>
      </c>
      <c r="K842" s="259">
        <v>3333</v>
      </c>
      <c r="L842" s="259">
        <v>267</v>
      </c>
      <c r="M842" s="259">
        <v>3600</v>
      </c>
      <c r="N842" s="118">
        <v>5.9999999999999995E-4</v>
      </c>
      <c r="O842" s="411" t="s">
        <v>1086</v>
      </c>
    </row>
    <row r="843" spans="1:15" ht="18" customHeight="1" x14ac:dyDescent="0.25">
      <c r="A843" s="115">
        <v>12</v>
      </c>
      <c r="B843" s="116" t="s">
        <v>106</v>
      </c>
      <c r="C843" s="115">
        <v>316</v>
      </c>
      <c r="D843" s="119" t="s">
        <v>87</v>
      </c>
      <c r="E843" s="119" t="s">
        <v>1174</v>
      </c>
      <c r="F843" s="116" t="s">
        <v>1085</v>
      </c>
      <c r="G843" s="280">
        <v>0</v>
      </c>
      <c r="H843" s="259">
        <v>0</v>
      </c>
      <c r="I843" s="259">
        <v>0</v>
      </c>
      <c r="J843" s="259">
        <v>0</v>
      </c>
      <c r="K843" s="259">
        <v>0</v>
      </c>
      <c r="L843" s="259">
        <v>0</v>
      </c>
      <c r="M843" s="259">
        <v>0</v>
      </c>
      <c r="N843" s="118">
        <v>0</v>
      </c>
      <c r="O843" s="411" t="s">
        <v>1086</v>
      </c>
    </row>
    <row r="844" spans="1:15" ht="18" customHeight="1" x14ac:dyDescent="0.25">
      <c r="A844" s="115">
        <v>12</v>
      </c>
      <c r="B844" s="116" t="s">
        <v>106</v>
      </c>
      <c r="C844" s="115">
        <v>73</v>
      </c>
      <c r="D844" s="119" t="s">
        <v>91</v>
      </c>
      <c r="E844" s="119" t="s">
        <v>1084</v>
      </c>
      <c r="F844" s="116" t="s">
        <v>1085</v>
      </c>
      <c r="G844" s="280">
        <v>16</v>
      </c>
      <c r="H844" s="259">
        <v>2593</v>
      </c>
      <c r="I844" s="259">
        <v>41481</v>
      </c>
      <c r="J844" s="259">
        <v>0</v>
      </c>
      <c r="K844" s="259">
        <v>41481</v>
      </c>
      <c r="L844" s="259">
        <v>3319</v>
      </c>
      <c r="M844" s="259">
        <v>44800</v>
      </c>
      <c r="N844" s="118">
        <v>4.4000000000000003E-3</v>
      </c>
      <c r="O844" s="411" t="s">
        <v>1086</v>
      </c>
    </row>
    <row r="845" spans="1:15" ht="18" customHeight="1" x14ac:dyDescent="0.25">
      <c r="A845" s="115">
        <v>12</v>
      </c>
      <c r="B845" s="116" t="s">
        <v>106</v>
      </c>
      <c r="C845" s="115">
        <v>65</v>
      </c>
      <c r="D845" s="119" t="s">
        <v>91</v>
      </c>
      <c r="E845" s="119" t="s">
        <v>1087</v>
      </c>
      <c r="F845" s="116" t="s">
        <v>1085</v>
      </c>
      <c r="G845" s="280">
        <v>1</v>
      </c>
      <c r="H845" s="259">
        <v>2778</v>
      </c>
      <c r="I845" s="259">
        <v>2778</v>
      </c>
      <c r="J845" s="259">
        <v>0</v>
      </c>
      <c r="K845" s="259">
        <v>2778</v>
      </c>
      <c r="L845" s="259">
        <v>222</v>
      </c>
      <c r="M845" s="259">
        <v>3000</v>
      </c>
      <c r="N845" s="118">
        <v>2.9999999999999997E-4</v>
      </c>
      <c r="O845" s="411" t="s">
        <v>1086</v>
      </c>
    </row>
    <row r="846" spans="1:15" ht="18" customHeight="1" x14ac:dyDescent="0.25">
      <c r="A846" s="115">
        <v>12</v>
      </c>
      <c r="B846" s="116" t="s">
        <v>106</v>
      </c>
      <c r="C846" s="115">
        <v>12</v>
      </c>
      <c r="D846" s="119" t="s">
        <v>93</v>
      </c>
      <c r="E846" s="119" t="s">
        <v>1089</v>
      </c>
      <c r="F846" s="116" t="s">
        <v>1085</v>
      </c>
      <c r="G846" s="280">
        <v>4</v>
      </c>
      <c r="H846" s="259">
        <v>41667</v>
      </c>
      <c r="I846" s="259">
        <v>166667</v>
      </c>
      <c r="J846" s="259">
        <v>0</v>
      </c>
      <c r="K846" s="259">
        <v>166667</v>
      </c>
      <c r="L846" s="259">
        <v>13333</v>
      </c>
      <c r="M846" s="259">
        <v>180000</v>
      </c>
      <c r="N846" s="118">
        <v>1.78E-2</v>
      </c>
      <c r="O846" s="411" t="s">
        <v>1086</v>
      </c>
    </row>
    <row r="847" spans="1:15" ht="18" customHeight="1" x14ac:dyDescent="0.25">
      <c r="A847" s="115">
        <v>12</v>
      </c>
      <c r="B847" s="116" t="s">
        <v>106</v>
      </c>
      <c r="C847" s="115">
        <v>40</v>
      </c>
      <c r="D847" s="119" t="s">
        <v>87</v>
      </c>
      <c r="E847" s="119" t="s">
        <v>1143</v>
      </c>
      <c r="F847" s="116" t="s">
        <v>1085</v>
      </c>
      <c r="G847" s="280">
        <v>4</v>
      </c>
      <c r="H847" s="259">
        <v>55093</v>
      </c>
      <c r="I847" s="259">
        <v>220370</v>
      </c>
      <c r="J847" s="259">
        <v>0</v>
      </c>
      <c r="K847" s="259">
        <v>220370</v>
      </c>
      <c r="L847" s="259">
        <v>17630</v>
      </c>
      <c r="M847" s="259">
        <v>238000</v>
      </c>
      <c r="N847" s="118">
        <v>2.3599999999999999E-2</v>
      </c>
      <c r="O847" s="411" t="s">
        <v>1086</v>
      </c>
    </row>
    <row r="848" spans="1:15" ht="18" customHeight="1" x14ac:dyDescent="0.25">
      <c r="A848" s="115">
        <v>12</v>
      </c>
      <c r="B848" s="116" t="s">
        <v>106</v>
      </c>
      <c r="C848" s="115">
        <v>131</v>
      </c>
      <c r="D848" s="119" t="s">
        <v>87</v>
      </c>
      <c r="E848" s="119" t="s">
        <v>1144</v>
      </c>
      <c r="F848" s="116" t="s">
        <v>1085</v>
      </c>
      <c r="G848" s="280">
        <v>1</v>
      </c>
      <c r="H848" s="259">
        <v>278</v>
      </c>
      <c r="I848" s="259">
        <v>278</v>
      </c>
      <c r="J848" s="259">
        <v>0</v>
      </c>
      <c r="K848" s="259">
        <v>278</v>
      </c>
      <c r="L848" s="259">
        <v>22</v>
      </c>
      <c r="M848" s="259">
        <v>300</v>
      </c>
      <c r="N848" s="118">
        <v>0</v>
      </c>
      <c r="O848" s="411" t="s">
        <v>1086</v>
      </c>
    </row>
    <row r="849" spans="1:15" ht="18" customHeight="1" x14ac:dyDescent="0.25">
      <c r="A849" s="115">
        <v>12</v>
      </c>
      <c r="B849" s="116" t="s">
        <v>106</v>
      </c>
      <c r="C849" s="115">
        <v>95</v>
      </c>
      <c r="D849" s="119" t="s">
        <v>87</v>
      </c>
      <c r="E849" s="119" t="s">
        <v>1090</v>
      </c>
      <c r="F849" s="116" t="s">
        <v>1085</v>
      </c>
      <c r="G849" s="280">
        <v>2</v>
      </c>
      <c r="H849" s="259">
        <v>926</v>
      </c>
      <c r="I849" s="259">
        <v>1852</v>
      </c>
      <c r="J849" s="259">
        <v>0</v>
      </c>
      <c r="K849" s="259">
        <v>1852</v>
      </c>
      <c r="L849" s="259">
        <v>148</v>
      </c>
      <c r="M849" s="259">
        <v>2000</v>
      </c>
      <c r="N849" s="118">
        <v>2.0000000000000001E-4</v>
      </c>
      <c r="O849" s="411" t="s">
        <v>1086</v>
      </c>
    </row>
    <row r="850" spans="1:15" ht="18" customHeight="1" x14ac:dyDescent="0.25">
      <c r="A850" s="115">
        <v>12</v>
      </c>
      <c r="B850" s="116" t="s">
        <v>106</v>
      </c>
      <c r="C850" s="115">
        <v>136</v>
      </c>
      <c r="D850" s="119" t="s">
        <v>89</v>
      </c>
      <c r="E850" s="119" t="s">
        <v>1091</v>
      </c>
      <c r="F850" s="116" t="s">
        <v>1085</v>
      </c>
      <c r="G850" s="280">
        <v>6</v>
      </c>
      <c r="H850" s="259">
        <v>24074</v>
      </c>
      <c r="I850" s="259">
        <v>144444</v>
      </c>
      <c r="J850" s="259">
        <v>0</v>
      </c>
      <c r="K850" s="259">
        <v>144444</v>
      </c>
      <c r="L850" s="259">
        <v>11556</v>
      </c>
      <c r="M850" s="259">
        <v>156000</v>
      </c>
      <c r="N850" s="118">
        <v>1.55E-2</v>
      </c>
      <c r="O850" s="411" t="s">
        <v>1086</v>
      </c>
    </row>
    <row r="851" spans="1:15" ht="18" customHeight="1" x14ac:dyDescent="0.25">
      <c r="A851" s="115">
        <v>12</v>
      </c>
      <c r="B851" s="116" t="s">
        <v>106</v>
      </c>
      <c r="C851" s="115">
        <v>135</v>
      </c>
      <c r="D851" s="119" t="s">
        <v>89</v>
      </c>
      <c r="E851" s="119" t="s">
        <v>1175</v>
      </c>
      <c r="F851" s="116" t="s">
        <v>1085</v>
      </c>
      <c r="G851" s="280">
        <v>2</v>
      </c>
      <c r="H851" s="259">
        <v>13889</v>
      </c>
      <c r="I851" s="259">
        <v>27778</v>
      </c>
      <c r="J851" s="259">
        <v>0</v>
      </c>
      <c r="K851" s="259">
        <v>27778</v>
      </c>
      <c r="L851" s="259">
        <v>2222</v>
      </c>
      <c r="M851" s="259">
        <v>30000</v>
      </c>
      <c r="N851" s="118">
        <v>3.0000000000000001E-3</v>
      </c>
      <c r="O851" s="411" t="s">
        <v>1086</v>
      </c>
    </row>
    <row r="852" spans="1:15" ht="18" customHeight="1" x14ac:dyDescent="0.25">
      <c r="A852" s="115">
        <v>12</v>
      </c>
      <c r="B852" s="116" t="s">
        <v>106</v>
      </c>
      <c r="C852" s="115">
        <v>6</v>
      </c>
      <c r="D852" s="119" t="s">
        <v>89</v>
      </c>
      <c r="E852" s="119" t="s">
        <v>1147</v>
      </c>
      <c r="F852" s="116" t="s">
        <v>1085</v>
      </c>
      <c r="G852" s="280">
        <v>5</v>
      </c>
      <c r="H852" s="259">
        <v>14815</v>
      </c>
      <c r="I852" s="259">
        <v>74074</v>
      </c>
      <c r="J852" s="259">
        <v>0</v>
      </c>
      <c r="K852" s="259">
        <v>74074</v>
      </c>
      <c r="L852" s="259">
        <v>5926</v>
      </c>
      <c r="M852" s="259">
        <v>80000</v>
      </c>
      <c r="N852" s="118">
        <v>7.9000000000000008E-3</v>
      </c>
      <c r="O852" s="411" t="s">
        <v>1086</v>
      </c>
    </row>
    <row r="853" spans="1:15" ht="18" customHeight="1" x14ac:dyDescent="0.25">
      <c r="A853" s="115">
        <v>12</v>
      </c>
      <c r="B853" s="116" t="s">
        <v>106</v>
      </c>
      <c r="C853" s="115">
        <v>87</v>
      </c>
      <c r="D853" s="119" t="s">
        <v>89</v>
      </c>
      <c r="E853" s="119" t="s">
        <v>147</v>
      </c>
      <c r="F853" s="116" t="s">
        <v>1085</v>
      </c>
      <c r="G853" s="280">
        <v>2</v>
      </c>
      <c r="H853" s="259">
        <v>37500</v>
      </c>
      <c r="I853" s="259">
        <v>75000</v>
      </c>
      <c r="J853" s="259">
        <v>0</v>
      </c>
      <c r="K853" s="259">
        <v>75000</v>
      </c>
      <c r="L853" s="259">
        <v>6000</v>
      </c>
      <c r="M853" s="259">
        <v>81000</v>
      </c>
      <c r="N853" s="118">
        <v>8.0000000000000002E-3</v>
      </c>
      <c r="O853" s="411" t="s">
        <v>1086</v>
      </c>
    </row>
    <row r="854" spans="1:15" ht="18" customHeight="1" x14ac:dyDescent="0.25">
      <c r="A854" s="115">
        <v>12</v>
      </c>
      <c r="B854" s="116" t="s">
        <v>106</v>
      </c>
      <c r="C854" s="115">
        <v>206</v>
      </c>
      <c r="D854" s="119" t="s">
        <v>93</v>
      </c>
      <c r="E854" s="119" t="s">
        <v>1093</v>
      </c>
      <c r="F854" s="116" t="s">
        <v>1085</v>
      </c>
      <c r="G854" s="280">
        <v>1</v>
      </c>
      <c r="H854" s="259">
        <v>44907</v>
      </c>
      <c r="I854" s="259">
        <v>44907</v>
      </c>
      <c r="J854" s="259">
        <v>0</v>
      </c>
      <c r="K854" s="259">
        <v>44907</v>
      </c>
      <c r="L854" s="259">
        <v>3593</v>
      </c>
      <c r="M854" s="259">
        <v>48500</v>
      </c>
      <c r="N854" s="118">
        <v>4.7999999999999996E-3</v>
      </c>
      <c r="O854" s="411" t="s">
        <v>1086</v>
      </c>
    </row>
    <row r="855" spans="1:15" ht="18" customHeight="1" x14ac:dyDescent="0.25">
      <c r="A855" s="115">
        <v>12</v>
      </c>
      <c r="B855" s="116" t="s">
        <v>106</v>
      </c>
      <c r="C855" s="115">
        <v>246</v>
      </c>
      <c r="D855" s="119" t="s">
        <v>91</v>
      </c>
      <c r="E855" s="119" t="s">
        <v>1095</v>
      </c>
      <c r="F855" s="116" t="s">
        <v>1085</v>
      </c>
      <c r="G855" s="280">
        <v>7</v>
      </c>
      <c r="H855" s="259">
        <v>6481</v>
      </c>
      <c r="I855" s="259">
        <v>45370</v>
      </c>
      <c r="J855" s="259">
        <v>0</v>
      </c>
      <c r="K855" s="259">
        <v>45370</v>
      </c>
      <c r="L855" s="259">
        <v>3630</v>
      </c>
      <c r="M855" s="259">
        <v>49000</v>
      </c>
      <c r="N855" s="118">
        <v>4.8999999999999998E-3</v>
      </c>
      <c r="O855" s="411" t="s">
        <v>1086</v>
      </c>
    </row>
    <row r="856" spans="1:15" ht="18" customHeight="1" x14ac:dyDescent="0.25">
      <c r="A856" s="115">
        <v>12</v>
      </c>
      <c r="B856" s="116" t="s">
        <v>106</v>
      </c>
      <c r="C856" s="115">
        <v>70</v>
      </c>
      <c r="D856" s="119" t="s">
        <v>91</v>
      </c>
      <c r="E856" s="119" t="s">
        <v>1096</v>
      </c>
      <c r="F856" s="116" t="s">
        <v>1085</v>
      </c>
      <c r="G856" s="280">
        <v>7</v>
      </c>
      <c r="H856" s="259">
        <v>4630</v>
      </c>
      <c r="I856" s="259">
        <v>32407</v>
      </c>
      <c r="J856" s="259">
        <v>0</v>
      </c>
      <c r="K856" s="259">
        <v>32407</v>
      </c>
      <c r="L856" s="259">
        <v>2593</v>
      </c>
      <c r="M856" s="259">
        <v>35000</v>
      </c>
      <c r="N856" s="118">
        <v>3.5000000000000001E-3</v>
      </c>
      <c r="O856" s="411" t="s">
        <v>1086</v>
      </c>
    </row>
    <row r="857" spans="1:15" ht="18" customHeight="1" x14ac:dyDescent="0.25">
      <c r="A857" s="115">
        <v>12</v>
      </c>
      <c r="B857" s="116" t="s">
        <v>106</v>
      </c>
      <c r="C857" s="115">
        <v>83</v>
      </c>
      <c r="D857" s="119" t="s">
        <v>87</v>
      </c>
      <c r="E857" s="119" t="s">
        <v>1098</v>
      </c>
      <c r="F857" s="116" t="s">
        <v>1085</v>
      </c>
      <c r="G857" s="280">
        <v>7</v>
      </c>
      <c r="H857" s="259">
        <v>20833</v>
      </c>
      <c r="I857" s="259">
        <v>145833</v>
      </c>
      <c r="J857" s="259">
        <v>0</v>
      </c>
      <c r="K857" s="259">
        <v>145833</v>
      </c>
      <c r="L857" s="259">
        <v>11667</v>
      </c>
      <c r="M857" s="259">
        <v>157500</v>
      </c>
      <c r="N857" s="118">
        <v>1.5599999999999999E-2</v>
      </c>
      <c r="O857" s="411" t="s">
        <v>1086</v>
      </c>
    </row>
    <row r="858" spans="1:15" ht="18" customHeight="1" x14ac:dyDescent="0.25">
      <c r="A858" s="115">
        <v>12</v>
      </c>
      <c r="B858" s="116" t="s">
        <v>106</v>
      </c>
      <c r="C858" s="115">
        <v>14</v>
      </c>
      <c r="D858" s="119" t="s">
        <v>87</v>
      </c>
      <c r="E858" s="119" t="s">
        <v>1214</v>
      </c>
      <c r="F858" s="116" t="s">
        <v>1085</v>
      </c>
      <c r="G858" s="280">
        <v>0</v>
      </c>
      <c r="H858" s="259">
        <v>0</v>
      </c>
      <c r="I858" s="259">
        <v>0</v>
      </c>
      <c r="J858" s="259">
        <v>0</v>
      </c>
      <c r="K858" s="259">
        <v>0</v>
      </c>
      <c r="L858" s="259">
        <v>0</v>
      </c>
      <c r="M858" s="259">
        <v>0</v>
      </c>
      <c r="N858" s="118">
        <v>0</v>
      </c>
      <c r="O858" s="411" t="s">
        <v>1086</v>
      </c>
    </row>
    <row r="859" spans="1:15" ht="18" customHeight="1" x14ac:dyDescent="0.25">
      <c r="A859" s="115">
        <v>12</v>
      </c>
      <c r="B859" s="116" t="s">
        <v>106</v>
      </c>
      <c r="C859" s="115">
        <v>27</v>
      </c>
      <c r="D859" s="119" t="s">
        <v>87</v>
      </c>
      <c r="E859" s="119" t="s">
        <v>1215</v>
      </c>
      <c r="F859" s="116" t="s">
        <v>1085</v>
      </c>
      <c r="G859" s="280">
        <v>0</v>
      </c>
      <c r="H859" s="259">
        <v>0</v>
      </c>
      <c r="I859" s="259">
        <v>0</v>
      </c>
      <c r="J859" s="259">
        <v>0</v>
      </c>
      <c r="K859" s="259">
        <v>0</v>
      </c>
      <c r="L859" s="259">
        <v>0</v>
      </c>
      <c r="M859" s="259">
        <v>0</v>
      </c>
      <c r="N859" s="118">
        <v>0</v>
      </c>
      <c r="O859" s="411" t="s">
        <v>1086</v>
      </c>
    </row>
    <row r="860" spans="1:15" ht="18" customHeight="1" x14ac:dyDescent="0.25">
      <c r="A860" s="115">
        <v>12</v>
      </c>
      <c r="B860" s="116" t="s">
        <v>106</v>
      </c>
      <c r="C860" s="115">
        <v>41</v>
      </c>
      <c r="D860" s="119" t="s">
        <v>87</v>
      </c>
      <c r="E860" s="119" t="s">
        <v>168</v>
      </c>
      <c r="F860" s="116" t="s">
        <v>1085</v>
      </c>
      <c r="G860" s="280">
        <v>1</v>
      </c>
      <c r="H860" s="259">
        <v>49074</v>
      </c>
      <c r="I860" s="259">
        <v>49074</v>
      </c>
      <c r="J860" s="259">
        <v>0</v>
      </c>
      <c r="K860" s="259">
        <v>49074</v>
      </c>
      <c r="L860" s="259">
        <v>3926</v>
      </c>
      <c r="M860" s="259">
        <v>53000</v>
      </c>
      <c r="N860" s="118">
        <v>5.3E-3</v>
      </c>
      <c r="O860" s="411" t="s">
        <v>1086</v>
      </c>
    </row>
    <row r="861" spans="1:15" ht="18" customHeight="1" x14ac:dyDescent="0.25">
      <c r="A861" s="115">
        <v>12</v>
      </c>
      <c r="B861" s="116" t="s">
        <v>106</v>
      </c>
      <c r="C861" s="115">
        <v>122</v>
      </c>
      <c r="D861" s="119" t="s">
        <v>91</v>
      </c>
      <c r="E861" s="119" t="s">
        <v>1100</v>
      </c>
      <c r="F861" s="116" t="s">
        <v>1085</v>
      </c>
      <c r="G861" s="280">
        <v>1</v>
      </c>
      <c r="H861" s="259">
        <v>2778</v>
      </c>
      <c r="I861" s="259">
        <v>2778</v>
      </c>
      <c r="J861" s="259">
        <v>0</v>
      </c>
      <c r="K861" s="259">
        <v>2778</v>
      </c>
      <c r="L861" s="259">
        <v>222</v>
      </c>
      <c r="M861" s="259">
        <v>3000</v>
      </c>
      <c r="N861" s="118">
        <v>2.9999999999999997E-4</v>
      </c>
      <c r="O861" s="411" t="s">
        <v>1086</v>
      </c>
    </row>
    <row r="862" spans="1:15" ht="18" customHeight="1" x14ac:dyDescent="0.25">
      <c r="A862" s="115">
        <v>12</v>
      </c>
      <c r="B862" s="116" t="s">
        <v>106</v>
      </c>
      <c r="C862" s="115">
        <v>247</v>
      </c>
      <c r="D862" s="119" t="s">
        <v>87</v>
      </c>
      <c r="E862" s="119" t="s">
        <v>1165</v>
      </c>
      <c r="F862" s="116" t="s">
        <v>1085</v>
      </c>
      <c r="G862" s="280">
        <v>5</v>
      </c>
      <c r="H862" s="259">
        <v>3056</v>
      </c>
      <c r="I862" s="259">
        <v>15278</v>
      </c>
      <c r="J862" s="259">
        <v>0</v>
      </c>
      <c r="K862" s="259">
        <v>15278</v>
      </c>
      <c r="L862" s="259">
        <v>1222</v>
      </c>
      <c r="M862" s="259">
        <v>16500</v>
      </c>
      <c r="N862" s="118">
        <v>1.6000000000000001E-3</v>
      </c>
      <c r="O862" s="411" t="s">
        <v>1086</v>
      </c>
    </row>
    <row r="863" spans="1:15" ht="18" customHeight="1" x14ac:dyDescent="0.25">
      <c r="A863" s="115">
        <v>12</v>
      </c>
      <c r="B863" s="116" t="s">
        <v>106</v>
      </c>
      <c r="C863" s="115">
        <v>42</v>
      </c>
      <c r="D863" s="119" t="s">
        <v>87</v>
      </c>
      <c r="E863" s="119" t="s">
        <v>359</v>
      </c>
      <c r="F863" s="116" t="s">
        <v>1085</v>
      </c>
      <c r="G863" s="280">
        <v>3</v>
      </c>
      <c r="H863" s="259">
        <v>32407</v>
      </c>
      <c r="I863" s="259">
        <v>97222</v>
      </c>
      <c r="J863" s="259">
        <v>0</v>
      </c>
      <c r="K863" s="259">
        <v>97222</v>
      </c>
      <c r="L863" s="259">
        <v>7778</v>
      </c>
      <c r="M863" s="259">
        <v>105000</v>
      </c>
      <c r="N863" s="118">
        <v>1.04E-2</v>
      </c>
      <c r="O863" s="411" t="s">
        <v>1086</v>
      </c>
    </row>
    <row r="864" spans="1:15" ht="18" customHeight="1" x14ac:dyDescent="0.25">
      <c r="A864" s="115">
        <v>12</v>
      </c>
      <c r="B864" s="116" t="s">
        <v>106</v>
      </c>
      <c r="C864" s="115">
        <v>44</v>
      </c>
      <c r="D864" s="119" t="s">
        <v>87</v>
      </c>
      <c r="E864" s="119" t="s">
        <v>138</v>
      </c>
      <c r="F864" s="116" t="s">
        <v>1085</v>
      </c>
      <c r="G864" s="280">
        <v>8</v>
      </c>
      <c r="H864" s="259">
        <v>28241</v>
      </c>
      <c r="I864" s="259">
        <v>225926</v>
      </c>
      <c r="J864" s="259">
        <v>0</v>
      </c>
      <c r="K864" s="259">
        <v>225926</v>
      </c>
      <c r="L864" s="259">
        <v>18074</v>
      </c>
      <c r="M864" s="259">
        <v>244000</v>
      </c>
      <c r="N864" s="118">
        <v>2.4199999999999999E-2</v>
      </c>
      <c r="O864" s="411" t="s">
        <v>1086</v>
      </c>
    </row>
    <row r="865" spans="1:15" ht="18" customHeight="1" x14ac:dyDescent="0.25">
      <c r="A865" s="115">
        <v>12</v>
      </c>
      <c r="B865" s="116" t="s">
        <v>106</v>
      </c>
      <c r="C865" s="115">
        <v>110</v>
      </c>
      <c r="D865" s="119" t="s">
        <v>99</v>
      </c>
      <c r="E865" s="119" t="s">
        <v>1101</v>
      </c>
      <c r="F865" s="116" t="s">
        <v>1085</v>
      </c>
      <c r="G865" s="280">
        <v>29</v>
      </c>
      <c r="H865" s="259">
        <v>926</v>
      </c>
      <c r="I865" s="259">
        <v>26852</v>
      </c>
      <c r="J865" s="259">
        <v>0</v>
      </c>
      <c r="K865" s="259">
        <v>26852</v>
      </c>
      <c r="L865" s="259">
        <v>2148</v>
      </c>
      <c r="M865" s="259">
        <v>29000</v>
      </c>
      <c r="N865" s="118">
        <v>2.8999999999999998E-3</v>
      </c>
      <c r="O865" s="411" t="s">
        <v>1086</v>
      </c>
    </row>
    <row r="866" spans="1:15" ht="18" customHeight="1" x14ac:dyDescent="0.25">
      <c r="A866" s="115">
        <v>12</v>
      </c>
      <c r="B866" s="116" t="s">
        <v>106</v>
      </c>
      <c r="C866" s="115">
        <v>102</v>
      </c>
      <c r="D866" s="119" t="s">
        <v>87</v>
      </c>
      <c r="E866" s="119" t="s">
        <v>1151</v>
      </c>
      <c r="F866" s="116" t="s">
        <v>1085</v>
      </c>
      <c r="G866" s="280">
        <v>4</v>
      </c>
      <c r="H866" s="259">
        <v>6944</v>
      </c>
      <c r="I866" s="259">
        <v>27778</v>
      </c>
      <c r="J866" s="259">
        <v>0</v>
      </c>
      <c r="K866" s="259">
        <v>27778</v>
      </c>
      <c r="L866" s="259">
        <v>2222</v>
      </c>
      <c r="M866" s="259">
        <v>30000</v>
      </c>
      <c r="N866" s="118">
        <v>3.0000000000000001E-3</v>
      </c>
      <c r="O866" s="411" t="s">
        <v>1086</v>
      </c>
    </row>
    <row r="867" spans="1:15" ht="18" customHeight="1" x14ac:dyDescent="0.25">
      <c r="A867" s="115">
        <v>12</v>
      </c>
      <c r="B867" s="116" t="s">
        <v>106</v>
      </c>
      <c r="C867" s="115">
        <v>45</v>
      </c>
      <c r="D867" s="119" t="s">
        <v>87</v>
      </c>
      <c r="E867" s="119" t="s">
        <v>1102</v>
      </c>
      <c r="F867" s="116" t="s">
        <v>1085</v>
      </c>
      <c r="G867" s="280">
        <v>7</v>
      </c>
      <c r="H867" s="259">
        <v>35648</v>
      </c>
      <c r="I867" s="259">
        <v>249537</v>
      </c>
      <c r="J867" s="259">
        <v>0</v>
      </c>
      <c r="K867" s="259">
        <v>249537</v>
      </c>
      <c r="L867" s="259">
        <v>19963</v>
      </c>
      <c r="M867" s="259">
        <v>269500</v>
      </c>
      <c r="N867" s="118">
        <v>2.6700000000000002E-2</v>
      </c>
      <c r="O867" s="411" t="s">
        <v>1086</v>
      </c>
    </row>
    <row r="868" spans="1:15" ht="18" customHeight="1" x14ac:dyDescent="0.25">
      <c r="A868" s="115">
        <v>12</v>
      </c>
      <c r="B868" s="116" t="s">
        <v>106</v>
      </c>
      <c r="C868" s="115">
        <v>30</v>
      </c>
      <c r="D868" s="119" t="s">
        <v>95</v>
      </c>
      <c r="E868" s="119" t="s">
        <v>1103</v>
      </c>
      <c r="F868" s="116" t="s">
        <v>1085</v>
      </c>
      <c r="G868" s="280">
        <v>4</v>
      </c>
      <c r="H868" s="259">
        <v>6481</v>
      </c>
      <c r="I868" s="259">
        <v>25926</v>
      </c>
      <c r="J868" s="259">
        <v>0</v>
      </c>
      <c r="K868" s="259">
        <v>25926</v>
      </c>
      <c r="L868" s="259">
        <v>2074</v>
      </c>
      <c r="M868" s="259">
        <v>28000</v>
      </c>
      <c r="N868" s="118">
        <v>2.8E-3</v>
      </c>
      <c r="O868" s="411" t="s">
        <v>1086</v>
      </c>
    </row>
    <row r="869" spans="1:15" ht="18" customHeight="1" x14ac:dyDescent="0.25">
      <c r="A869" s="115">
        <v>12</v>
      </c>
      <c r="B869" s="116" t="s">
        <v>106</v>
      </c>
      <c r="C869" s="115">
        <v>233</v>
      </c>
      <c r="D869" s="119" t="s">
        <v>89</v>
      </c>
      <c r="E869" s="119" t="s">
        <v>117</v>
      </c>
      <c r="F869" s="116" t="s">
        <v>1085</v>
      </c>
      <c r="G869" s="280">
        <v>1</v>
      </c>
      <c r="H869" s="259">
        <v>18519</v>
      </c>
      <c r="I869" s="259">
        <v>18519</v>
      </c>
      <c r="J869" s="259">
        <v>0</v>
      </c>
      <c r="K869" s="259">
        <v>18519</v>
      </c>
      <c r="L869" s="259">
        <v>1481</v>
      </c>
      <c r="M869" s="259">
        <v>20000</v>
      </c>
      <c r="N869" s="118">
        <v>2E-3</v>
      </c>
      <c r="O869" s="411" t="s">
        <v>1086</v>
      </c>
    </row>
    <row r="870" spans="1:15" ht="18" customHeight="1" x14ac:dyDescent="0.25">
      <c r="A870" s="115">
        <v>12</v>
      </c>
      <c r="B870" s="116" t="s">
        <v>106</v>
      </c>
      <c r="C870" s="115">
        <v>217</v>
      </c>
      <c r="D870" s="119" t="s">
        <v>89</v>
      </c>
      <c r="E870" s="119" t="s">
        <v>1105</v>
      </c>
      <c r="F870" s="116" t="s">
        <v>1085</v>
      </c>
      <c r="G870" s="280">
        <v>13</v>
      </c>
      <c r="H870" s="259">
        <v>28134</v>
      </c>
      <c r="I870" s="259">
        <v>365741</v>
      </c>
      <c r="J870" s="259">
        <v>0</v>
      </c>
      <c r="K870" s="259">
        <v>365741</v>
      </c>
      <c r="L870" s="259">
        <v>29259</v>
      </c>
      <c r="M870" s="259">
        <v>395000</v>
      </c>
      <c r="N870" s="118">
        <v>3.9100000000000003E-2</v>
      </c>
      <c r="O870" s="411" t="s">
        <v>1086</v>
      </c>
    </row>
    <row r="871" spans="1:15" ht="18" customHeight="1" x14ac:dyDescent="0.25">
      <c r="A871" s="115">
        <v>12</v>
      </c>
      <c r="B871" s="116" t="s">
        <v>106</v>
      </c>
      <c r="C871" s="115">
        <v>34</v>
      </c>
      <c r="D871" s="119" t="s">
        <v>91</v>
      </c>
      <c r="E871" s="119" t="s">
        <v>1107</v>
      </c>
      <c r="F871" s="116" t="s">
        <v>1085</v>
      </c>
      <c r="G871" s="280">
        <v>11</v>
      </c>
      <c r="H871" s="259">
        <v>6481</v>
      </c>
      <c r="I871" s="259">
        <v>71296</v>
      </c>
      <c r="J871" s="259">
        <v>0</v>
      </c>
      <c r="K871" s="259">
        <v>71296</v>
      </c>
      <c r="L871" s="259">
        <v>5704</v>
      </c>
      <c r="M871" s="259">
        <v>77000</v>
      </c>
      <c r="N871" s="118">
        <v>7.6E-3</v>
      </c>
      <c r="O871" s="411" t="s">
        <v>1086</v>
      </c>
    </row>
    <row r="872" spans="1:15" ht="18" customHeight="1" x14ac:dyDescent="0.25">
      <c r="A872" s="115">
        <v>12</v>
      </c>
      <c r="B872" s="116" t="s">
        <v>106</v>
      </c>
      <c r="C872" s="115">
        <v>121</v>
      </c>
      <c r="D872" s="119" t="s">
        <v>91</v>
      </c>
      <c r="E872" s="119" t="s">
        <v>1108</v>
      </c>
      <c r="F872" s="116" t="s">
        <v>1085</v>
      </c>
      <c r="G872" s="280">
        <v>18</v>
      </c>
      <c r="H872" s="259">
        <v>2778</v>
      </c>
      <c r="I872" s="259">
        <v>50000</v>
      </c>
      <c r="J872" s="259">
        <v>0</v>
      </c>
      <c r="K872" s="259">
        <v>50000</v>
      </c>
      <c r="L872" s="259">
        <v>4000</v>
      </c>
      <c r="M872" s="259">
        <v>54000</v>
      </c>
      <c r="N872" s="118">
        <v>5.4000000000000003E-3</v>
      </c>
      <c r="O872" s="411" t="s">
        <v>1086</v>
      </c>
    </row>
    <row r="873" spans="1:15" ht="18" customHeight="1" x14ac:dyDescent="0.25">
      <c r="A873" s="115">
        <v>12</v>
      </c>
      <c r="B873" s="116" t="s">
        <v>106</v>
      </c>
      <c r="C873" s="115">
        <v>208</v>
      </c>
      <c r="D873" s="119" t="s">
        <v>91</v>
      </c>
      <c r="E873" s="119" t="s">
        <v>1109</v>
      </c>
      <c r="F873" s="116" t="s">
        <v>1085</v>
      </c>
      <c r="G873" s="280">
        <v>18</v>
      </c>
      <c r="H873" s="259">
        <v>3704</v>
      </c>
      <c r="I873" s="259">
        <v>66667</v>
      </c>
      <c r="J873" s="259">
        <v>0</v>
      </c>
      <c r="K873" s="259">
        <v>66667</v>
      </c>
      <c r="L873" s="259">
        <v>5333</v>
      </c>
      <c r="M873" s="259">
        <v>72000</v>
      </c>
      <c r="N873" s="118">
        <v>7.1000000000000004E-3</v>
      </c>
      <c r="O873" s="411" t="s">
        <v>1086</v>
      </c>
    </row>
    <row r="874" spans="1:15" ht="18" customHeight="1" x14ac:dyDescent="0.25">
      <c r="A874" s="115">
        <v>12</v>
      </c>
      <c r="B874" s="116" t="s">
        <v>106</v>
      </c>
      <c r="C874" s="115">
        <v>90</v>
      </c>
      <c r="D874" s="119" t="s">
        <v>91</v>
      </c>
      <c r="E874" s="119" t="s">
        <v>572</v>
      </c>
      <c r="F874" s="116" t="s">
        <v>1085</v>
      </c>
      <c r="G874" s="280">
        <v>3</v>
      </c>
      <c r="H874" s="259">
        <v>4259</v>
      </c>
      <c r="I874" s="259">
        <v>12778</v>
      </c>
      <c r="J874" s="259">
        <v>0</v>
      </c>
      <c r="K874" s="259">
        <v>12778</v>
      </c>
      <c r="L874" s="259">
        <v>1022</v>
      </c>
      <c r="M874" s="259">
        <v>13800</v>
      </c>
      <c r="N874" s="118">
        <v>1.4E-3</v>
      </c>
      <c r="O874" s="411" t="s">
        <v>1086</v>
      </c>
    </row>
    <row r="875" spans="1:15" ht="18" customHeight="1" x14ac:dyDescent="0.25">
      <c r="A875" s="115">
        <v>12</v>
      </c>
      <c r="B875" s="116" t="s">
        <v>106</v>
      </c>
      <c r="C875" s="115">
        <v>123</v>
      </c>
      <c r="D875" s="119" t="s">
        <v>91</v>
      </c>
      <c r="E875" s="119" t="s">
        <v>1110</v>
      </c>
      <c r="F875" s="116" t="s">
        <v>1085</v>
      </c>
      <c r="G875" s="280">
        <v>6</v>
      </c>
      <c r="H875" s="259">
        <v>2778</v>
      </c>
      <c r="I875" s="259">
        <v>16667</v>
      </c>
      <c r="J875" s="259">
        <v>0</v>
      </c>
      <c r="K875" s="259">
        <v>16667</v>
      </c>
      <c r="L875" s="259">
        <v>1333</v>
      </c>
      <c r="M875" s="259">
        <v>18000</v>
      </c>
      <c r="N875" s="118">
        <v>1.8E-3</v>
      </c>
      <c r="O875" s="411" t="s">
        <v>1086</v>
      </c>
    </row>
    <row r="876" spans="1:15" ht="18" customHeight="1" x14ac:dyDescent="0.25">
      <c r="A876" s="115">
        <v>12</v>
      </c>
      <c r="B876" s="116" t="s">
        <v>106</v>
      </c>
      <c r="C876" s="115">
        <v>314</v>
      </c>
      <c r="D876" s="119" t="s">
        <v>87</v>
      </c>
      <c r="E876" s="119" t="s">
        <v>1152</v>
      </c>
      <c r="F876" s="116" t="s">
        <v>1085</v>
      </c>
      <c r="G876" s="280">
        <v>2</v>
      </c>
      <c r="H876" s="259">
        <v>4167</v>
      </c>
      <c r="I876" s="259">
        <v>8333</v>
      </c>
      <c r="J876" s="259">
        <v>0</v>
      </c>
      <c r="K876" s="259">
        <v>8333</v>
      </c>
      <c r="L876" s="259">
        <v>667</v>
      </c>
      <c r="M876" s="259">
        <v>9000</v>
      </c>
      <c r="N876" s="118">
        <v>8.9999999999999998E-4</v>
      </c>
      <c r="O876" s="411" t="s">
        <v>1086</v>
      </c>
    </row>
    <row r="877" spans="1:15" ht="18" customHeight="1" x14ac:dyDescent="0.25">
      <c r="A877" s="115">
        <v>12</v>
      </c>
      <c r="B877" s="116" t="s">
        <v>106</v>
      </c>
      <c r="C877" s="115">
        <v>31</v>
      </c>
      <c r="D877" s="119" t="s">
        <v>95</v>
      </c>
      <c r="E877" s="119" t="s">
        <v>1111</v>
      </c>
      <c r="F877" s="116" t="s">
        <v>1085</v>
      </c>
      <c r="G877" s="280">
        <v>8</v>
      </c>
      <c r="H877" s="259">
        <v>1204</v>
      </c>
      <c r="I877" s="259">
        <v>9630</v>
      </c>
      <c r="J877" s="259">
        <v>0</v>
      </c>
      <c r="K877" s="259">
        <v>9630</v>
      </c>
      <c r="L877" s="259">
        <v>770</v>
      </c>
      <c r="M877" s="259">
        <v>10400</v>
      </c>
      <c r="N877" s="118">
        <v>1E-3</v>
      </c>
      <c r="O877" s="411" t="s">
        <v>1086</v>
      </c>
    </row>
    <row r="878" spans="1:15" ht="18" customHeight="1" x14ac:dyDescent="0.25">
      <c r="A878" s="115">
        <v>12</v>
      </c>
      <c r="B878" s="116" t="s">
        <v>106</v>
      </c>
      <c r="C878" s="115">
        <v>201</v>
      </c>
      <c r="D878" s="119" t="s">
        <v>91</v>
      </c>
      <c r="E878" s="119" t="s">
        <v>1187</v>
      </c>
      <c r="F878" s="116" t="s">
        <v>1085</v>
      </c>
      <c r="G878" s="280">
        <v>1</v>
      </c>
      <c r="H878" s="259">
        <v>18519</v>
      </c>
      <c r="I878" s="259">
        <v>18519</v>
      </c>
      <c r="J878" s="259">
        <v>0</v>
      </c>
      <c r="K878" s="259">
        <v>18519</v>
      </c>
      <c r="L878" s="259">
        <v>1481</v>
      </c>
      <c r="M878" s="259">
        <v>20000</v>
      </c>
      <c r="N878" s="118">
        <v>2E-3</v>
      </c>
      <c r="O878" s="411" t="s">
        <v>1086</v>
      </c>
    </row>
    <row r="879" spans="1:15" ht="18" customHeight="1" x14ac:dyDescent="0.25">
      <c r="A879" s="115">
        <v>12</v>
      </c>
      <c r="B879" s="116" t="s">
        <v>106</v>
      </c>
      <c r="C879" s="115">
        <v>212</v>
      </c>
      <c r="D879" s="119" t="s">
        <v>91</v>
      </c>
      <c r="E879" s="119" t="s">
        <v>162</v>
      </c>
      <c r="F879" s="116" t="s">
        <v>1085</v>
      </c>
      <c r="G879" s="280">
        <v>9</v>
      </c>
      <c r="H879" s="259">
        <v>22222</v>
      </c>
      <c r="I879" s="259">
        <v>200000</v>
      </c>
      <c r="J879" s="259">
        <v>0</v>
      </c>
      <c r="K879" s="259">
        <v>200000</v>
      </c>
      <c r="L879" s="259">
        <v>16000</v>
      </c>
      <c r="M879" s="259">
        <v>216000</v>
      </c>
      <c r="N879" s="118">
        <v>2.1399999999999999E-2</v>
      </c>
      <c r="O879" s="411" t="s">
        <v>1086</v>
      </c>
    </row>
    <row r="880" spans="1:15" ht="18" customHeight="1" x14ac:dyDescent="0.25">
      <c r="A880" s="115">
        <v>12</v>
      </c>
      <c r="B880" s="116" t="s">
        <v>106</v>
      </c>
      <c r="C880" s="115">
        <v>74</v>
      </c>
      <c r="D880" s="119" t="s">
        <v>91</v>
      </c>
      <c r="E880" s="119" t="s">
        <v>1153</v>
      </c>
      <c r="F880" s="116" t="s">
        <v>1085</v>
      </c>
      <c r="G880" s="280">
        <v>10</v>
      </c>
      <c r="H880" s="259">
        <v>6481</v>
      </c>
      <c r="I880" s="259">
        <v>64815</v>
      </c>
      <c r="J880" s="259">
        <v>0</v>
      </c>
      <c r="K880" s="259">
        <v>64815</v>
      </c>
      <c r="L880" s="259">
        <v>5185</v>
      </c>
      <c r="M880" s="259">
        <v>70000</v>
      </c>
      <c r="N880" s="118">
        <v>6.8999999999999999E-3</v>
      </c>
      <c r="O880" s="411" t="s">
        <v>1086</v>
      </c>
    </row>
    <row r="881" spans="1:15" ht="18" customHeight="1" x14ac:dyDescent="0.25">
      <c r="A881" s="115">
        <v>12</v>
      </c>
      <c r="B881" s="116" t="s">
        <v>106</v>
      </c>
      <c r="C881" s="115">
        <v>306</v>
      </c>
      <c r="D881" s="119" t="s">
        <v>91</v>
      </c>
      <c r="E881" s="119" t="s">
        <v>1176</v>
      </c>
      <c r="F881" s="116" t="s">
        <v>1085</v>
      </c>
      <c r="G881" s="280">
        <v>1</v>
      </c>
      <c r="H881" s="259">
        <v>2315</v>
      </c>
      <c r="I881" s="259">
        <v>2315</v>
      </c>
      <c r="J881" s="259">
        <v>0</v>
      </c>
      <c r="K881" s="259">
        <v>2315</v>
      </c>
      <c r="L881" s="259">
        <v>185</v>
      </c>
      <c r="M881" s="259">
        <v>2500</v>
      </c>
      <c r="N881" s="118">
        <v>2.0000000000000001E-4</v>
      </c>
      <c r="O881" s="411" t="s">
        <v>1086</v>
      </c>
    </row>
    <row r="882" spans="1:15" ht="18" customHeight="1" x14ac:dyDescent="0.25">
      <c r="A882" s="115">
        <v>12</v>
      </c>
      <c r="B882" s="116" t="s">
        <v>106</v>
      </c>
      <c r="C882" s="115">
        <v>235</v>
      </c>
      <c r="D882" s="119" t="s">
        <v>91</v>
      </c>
      <c r="E882" s="119" t="s">
        <v>1154</v>
      </c>
      <c r="F882" s="116" t="s">
        <v>1085</v>
      </c>
      <c r="G882" s="280">
        <v>3</v>
      </c>
      <c r="H882" s="259">
        <v>3426</v>
      </c>
      <c r="I882" s="259">
        <v>10278</v>
      </c>
      <c r="J882" s="259">
        <v>0</v>
      </c>
      <c r="K882" s="259">
        <v>10278</v>
      </c>
      <c r="L882" s="259">
        <v>822</v>
      </c>
      <c r="M882" s="259">
        <v>11100</v>
      </c>
      <c r="N882" s="118">
        <v>1.1000000000000001E-3</v>
      </c>
      <c r="O882" s="411" t="s">
        <v>1086</v>
      </c>
    </row>
    <row r="883" spans="1:15" ht="18" customHeight="1" x14ac:dyDescent="0.25">
      <c r="A883" s="115">
        <v>12</v>
      </c>
      <c r="B883" s="116" t="s">
        <v>106</v>
      </c>
      <c r="C883" s="115">
        <v>134</v>
      </c>
      <c r="D883" s="119" t="s">
        <v>91</v>
      </c>
      <c r="E883" s="119" t="s">
        <v>1168</v>
      </c>
      <c r="F883" s="116" t="s">
        <v>1085</v>
      </c>
      <c r="G883" s="280">
        <v>3</v>
      </c>
      <c r="H883" s="259">
        <v>12963</v>
      </c>
      <c r="I883" s="259">
        <v>38889</v>
      </c>
      <c r="J883" s="259">
        <v>0</v>
      </c>
      <c r="K883" s="259">
        <v>38889</v>
      </c>
      <c r="L883" s="259">
        <v>3111</v>
      </c>
      <c r="M883" s="259">
        <v>42000</v>
      </c>
      <c r="N883" s="118">
        <v>4.1999999999999997E-3</v>
      </c>
      <c r="O883" s="411" t="s">
        <v>1086</v>
      </c>
    </row>
    <row r="884" spans="1:15" ht="18" customHeight="1" x14ac:dyDescent="0.25">
      <c r="A884" s="115">
        <v>12</v>
      </c>
      <c r="B884" s="116" t="s">
        <v>106</v>
      </c>
      <c r="C884" s="115">
        <v>75</v>
      </c>
      <c r="D884" s="119" t="s">
        <v>91</v>
      </c>
      <c r="E884" s="119" t="s">
        <v>1113</v>
      </c>
      <c r="F884" s="116" t="s">
        <v>1085</v>
      </c>
      <c r="G884" s="280">
        <v>3</v>
      </c>
      <c r="H884" s="259">
        <v>9259</v>
      </c>
      <c r="I884" s="259">
        <v>27778</v>
      </c>
      <c r="J884" s="259">
        <v>0</v>
      </c>
      <c r="K884" s="259">
        <v>27778</v>
      </c>
      <c r="L884" s="259">
        <v>2222</v>
      </c>
      <c r="M884" s="259">
        <v>30000</v>
      </c>
      <c r="N884" s="118">
        <v>3.0000000000000001E-3</v>
      </c>
      <c r="O884" s="411" t="s">
        <v>1086</v>
      </c>
    </row>
    <row r="885" spans="1:15" ht="18" customHeight="1" x14ac:dyDescent="0.25">
      <c r="A885" s="115">
        <v>12</v>
      </c>
      <c r="B885" s="116" t="s">
        <v>106</v>
      </c>
      <c r="C885" s="115">
        <v>51</v>
      </c>
      <c r="D885" s="119" t="s">
        <v>87</v>
      </c>
      <c r="E885" s="119" t="s">
        <v>1189</v>
      </c>
      <c r="F885" s="116" t="s">
        <v>1085</v>
      </c>
      <c r="G885" s="280">
        <v>1</v>
      </c>
      <c r="H885" s="259">
        <v>29167</v>
      </c>
      <c r="I885" s="259">
        <v>29167</v>
      </c>
      <c r="J885" s="259">
        <v>0</v>
      </c>
      <c r="K885" s="259">
        <v>29167</v>
      </c>
      <c r="L885" s="259">
        <v>2333</v>
      </c>
      <c r="M885" s="259">
        <v>31500</v>
      </c>
      <c r="N885" s="118">
        <v>3.0999999999999999E-3</v>
      </c>
      <c r="O885" s="411" t="s">
        <v>1086</v>
      </c>
    </row>
    <row r="886" spans="1:15" ht="18" customHeight="1" x14ac:dyDescent="0.25">
      <c r="A886" s="115">
        <v>12</v>
      </c>
      <c r="B886" s="116" t="s">
        <v>106</v>
      </c>
      <c r="C886" s="115">
        <v>88</v>
      </c>
      <c r="D886" s="119" t="s">
        <v>87</v>
      </c>
      <c r="E886" s="119" t="s">
        <v>132</v>
      </c>
      <c r="F886" s="116" t="s">
        <v>1085</v>
      </c>
      <c r="G886" s="280">
        <v>18</v>
      </c>
      <c r="H886" s="259">
        <v>32870</v>
      </c>
      <c r="I886" s="259">
        <v>591667</v>
      </c>
      <c r="J886" s="259">
        <v>0</v>
      </c>
      <c r="K886" s="259">
        <v>591667</v>
      </c>
      <c r="L886" s="259">
        <v>47333</v>
      </c>
      <c r="M886" s="259">
        <v>639000</v>
      </c>
      <c r="N886" s="118">
        <v>6.3299999999999995E-2</v>
      </c>
      <c r="O886" s="411" t="s">
        <v>1086</v>
      </c>
    </row>
    <row r="887" spans="1:15" ht="18" customHeight="1" x14ac:dyDescent="0.25">
      <c r="A887" s="115">
        <v>12</v>
      </c>
      <c r="B887" s="116" t="s">
        <v>106</v>
      </c>
      <c r="C887" s="115">
        <v>118</v>
      </c>
      <c r="D887" s="119" t="s">
        <v>87</v>
      </c>
      <c r="E887" s="119" t="s">
        <v>126</v>
      </c>
      <c r="F887" s="116" t="s">
        <v>1085</v>
      </c>
      <c r="G887" s="280">
        <v>4</v>
      </c>
      <c r="H887" s="259">
        <v>41667</v>
      </c>
      <c r="I887" s="259">
        <v>166667</v>
      </c>
      <c r="J887" s="259">
        <v>0</v>
      </c>
      <c r="K887" s="259">
        <v>166667</v>
      </c>
      <c r="L887" s="259">
        <v>13333</v>
      </c>
      <c r="M887" s="259">
        <v>180000</v>
      </c>
      <c r="N887" s="118">
        <v>1.78E-2</v>
      </c>
      <c r="O887" s="411" t="s">
        <v>1086</v>
      </c>
    </row>
    <row r="888" spans="1:15" ht="18" customHeight="1" x14ac:dyDescent="0.25">
      <c r="A888" s="115">
        <v>12</v>
      </c>
      <c r="B888" s="116" t="s">
        <v>106</v>
      </c>
      <c r="C888" s="115">
        <v>205</v>
      </c>
      <c r="D888" s="119" t="s">
        <v>91</v>
      </c>
      <c r="E888" s="119" t="s">
        <v>1155</v>
      </c>
      <c r="F888" s="116" t="s">
        <v>1085</v>
      </c>
      <c r="G888" s="280">
        <v>1</v>
      </c>
      <c r="H888" s="259">
        <v>12037</v>
      </c>
      <c r="I888" s="259">
        <v>12037</v>
      </c>
      <c r="J888" s="259">
        <v>0</v>
      </c>
      <c r="K888" s="259">
        <v>12037</v>
      </c>
      <c r="L888" s="259">
        <v>963</v>
      </c>
      <c r="M888" s="259">
        <v>13000</v>
      </c>
      <c r="N888" s="118">
        <v>1.2999999999999999E-3</v>
      </c>
      <c r="O888" s="411" t="s">
        <v>1086</v>
      </c>
    </row>
    <row r="889" spans="1:15" ht="18" customHeight="1" x14ac:dyDescent="0.25">
      <c r="A889" s="115">
        <v>12</v>
      </c>
      <c r="B889" s="116" t="s">
        <v>106</v>
      </c>
      <c r="C889" s="115">
        <v>204</v>
      </c>
      <c r="D889" s="119" t="s">
        <v>91</v>
      </c>
      <c r="E889" s="119" t="s">
        <v>1114</v>
      </c>
      <c r="F889" s="116" t="s">
        <v>1085</v>
      </c>
      <c r="G889" s="280">
        <v>2</v>
      </c>
      <c r="H889" s="259">
        <v>12037</v>
      </c>
      <c r="I889" s="259">
        <v>24074</v>
      </c>
      <c r="J889" s="259">
        <v>0</v>
      </c>
      <c r="K889" s="259">
        <v>24074</v>
      </c>
      <c r="L889" s="259">
        <v>1926</v>
      </c>
      <c r="M889" s="259">
        <v>26000</v>
      </c>
      <c r="N889" s="118">
        <v>2.5999999999999999E-3</v>
      </c>
      <c r="O889" s="411" t="s">
        <v>1086</v>
      </c>
    </row>
    <row r="890" spans="1:15" ht="18" customHeight="1" x14ac:dyDescent="0.25">
      <c r="A890" s="115">
        <v>12</v>
      </c>
      <c r="B890" s="116" t="s">
        <v>106</v>
      </c>
      <c r="C890" s="115">
        <v>109</v>
      </c>
      <c r="D890" s="119" t="s">
        <v>91</v>
      </c>
      <c r="E890" s="119" t="s">
        <v>144</v>
      </c>
      <c r="F890" s="116" t="s">
        <v>1085</v>
      </c>
      <c r="G890" s="280">
        <v>30</v>
      </c>
      <c r="H890" s="259">
        <v>12963</v>
      </c>
      <c r="I890" s="259">
        <v>388889</v>
      </c>
      <c r="J890" s="259">
        <v>0</v>
      </c>
      <c r="K890" s="259">
        <v>388889</v>
      </c>
      <c r="L890" s="259">
        <v>31111</v>
      </c>
      <c r="M890" s="259">
        <v>420000</v>
      </c>
      <c r="N890" s="118">
        <v>4.1599999999999998E-2</v>
      </c>
      <c r="O890" s="411" t="s">
        <v>1086</v>
      </c>
    </row>
    <row r="891" spans="1:15" ht="18" customHeight="1" x14ac:dyDescent="0.25">
      <c r="A891" s="115">
        <v>12</v>
      </c>
      <c r="B891" s="116" t="s">
        <v>106</v>
      </c>
      <c r="C891" s="115">
        <v>147</v>
      </c>
      <c r="D891" s="119" t="s">
        <v>91</v>
      </c>
      <c r="E891" s="119" t="s">
        <v>1115</v>
      </c>
      <c r="F891" s="116" t="s">
        <v>1085</v>
      </c>
      <c r="G891" s="280">
        <v>5</v>
      </c>
      <c r="H891" s="259">
        <v>6481</v>
      </c>
      <c r="I891" s="259">
        <v>32407</v>
      </c>
      <c r="J891" s="259">
        <v>0</v>
      </c>
      <c r="K891" s="259">
        <v>32407</v>
      </c>
      <c r="L891" s="259">
        <v>2593</v>
      </c>
      <c r="M891" s="259">
        <v>35000</v>
      </c>
      <c r="N891" s="118">
        <v>3.5000000000000001E-3</v>
      </c>
      <c r="O891" s="411" t="s">
        <v>1086</v>
      </c>
    </row>
    <row r="892" spans="1:15" ht="18" customHeight="1" x14ac:dyDescent="0.25">
      <c r="A892" s="115">
        <v>12</v>
      </c>
      <c r="B892" s="116" t="s">
        <v>106</v>
      </c>
      <c r="C892" s="115">
        <v>46</v>
      </c>
      <c r="D892" s="119" t="s">
        <v>87</v>
      </c>
      <c r="E892" s="119" t="s">
        <v>1116</v>
      </c>
      <c r="F892" s="116" t="s">
        <v>1085</v>
      </c>
      <c r="G892" s="280">
        <v>4</v>
      </c>
      <c r="H892" s="259">
        <v>35648</v>
      </c>
      <c r="I892" s="259">
        <v>142593</v>
      </c>
      <c r="J892" s="259">
        <v>0</v>
      </c>
      <c r="K892" s="259">
        <v>142593</v>
      </c>
      <c r="L892" s="259">
        <v>11407</v>
      </c>
      <c r="M892" s="259">
        <v>154000</v>
      </c>
      <c r="N892" s="118">
        <v>1.5299999999999999E-2</v>
      </c>
      <c r="O892" s="411" t="s">
        <v>1086</v>
      </c>
    </row>
    <row r="893" spans="1:15" ht="18" customHeight="1" x14ac:dyDescent="0.25">
      <c r="A893" s="115">
        <v>12</v>
      </c>
      <c r="B893" s="116" t="s">
        <v>106</v>
      </c>
      <c r="C893" s="115">
        <v>72</v>
      </c>
      <c r="D893" s="119" t="s">
        <v>97</v>
      </c>
      <c r="E893" s="119" t="s">
        <v>1117</v>
      </c>
      <c r="F893" s="116" t="s">
        <v>1085</v>
      </c>
      <c r="G893" s="280">
        <v>8</v>
      </c>
      <c r="H893" s="259">
        <v>3704</v>
      </c>
      <c r="I893" s="259">
        <v>29630</v>
      </c>
      <c r="J893" s="259">
        <v>0</v>
      </c>
      <c r="K893" s="259">
        <v>29630</v>
      </c>
      <c r="L893" s="259">
        <v>2370</v>
      </c>
      <c r="M893" s="259">
        <v>32000</v>
      </c>
      <c r="N893" s="118">
        <v>3.2000000000000002E-3</v>
      </c>
      <c r="O893" s="411" t="s">
        <v>1086</v>
      </c>
    </row>
    <row r="894" spans="1:15" ht="18" customHeight="1" x14ac:dyDescent="0.25">
      <c r="A894" s="115">
        <v>12</v>
      </c>
      <c r="B894" s="116" t="s">
        <v>106</v>
      </c>
      <c r="C894" s="115">
        <v>112</v>
      </c>
      <c r="D894" s="119" t="s">
        <v>87</v>
      </c>
      <c r="E894" s="119" t="s">
        <v>1118</v>
      </c>
      <c r="F894" s="116" t="s">
        <v>1085</v>
      </c>
      <c r="G894" s="280">
        <v>3</v>
      </c>
      <c r="H894" s="259">
        <v>41667</v>
      </c>
      <c r="I894" s="259">
        <v>125000</v>
      </c>
      <c r="J894" s="259">
        <v>0</v>
      </c>
      <c r="K894" s="259">
        <v>125000</v>
      </c>
      <c r="L894" s="259">
        <v>10000</v>
      </c>
      <c r="M894" s="259">
        <v>135000</v>
      </c>
      <c r="N894" s="118">
        <v>1.34E-2</v>
      </c>
      <c r="O894" s="411" t="s">
        <v>1086</v>
      </c>
    </row>
    <row r="895" spans="1:15" ht="18" customHeight="1" x14ac:dyDescent="0.25">
      <c r="A895" s="115">
        <v>12</v>
      </c>
      <c r="B895" s="116" t="s">
        <v>106</v>
      </c>
      <c r="C895" s="115">
        <v>227</v>
      </c>
      <c r="D895" s="119" t="s">
        <v>87</v>
      </c>
      <c r="E895" s="119" t="s">
        <v>1169</v>
      </c>
      <c r="F895" s="116" t="s">
        <v>1085</v>
      </c>
      <c r="G895" s="280">
        <v>4</v>
      </c>
      <c r="H895" s="259">
        <v>1389</v>
      </c>
      <c r="I895" s="259">
        <v>5556</v>
      </c>
      <c r="J895" s="259">
        <v>0</v>
      </c>
      <c r="K895" s="259">
        <v>5556</v>
      </c>
      <c r="L895" s="259">
        <v>444</v>
      </c>
      <c r="M895" s="259">
        <v>6000</v>
      </c>
      <c r="N895" s="118">
        <v>5.9999999999999995E-4</v>
      </c>
      <c r="O895" s="411" t="s">
        <v>1086</v>
      </c>
    </row>
    <row r="896" spans="1:15" ht="18" customHeight="1" x14ac:dyDescent="0.25">
      <c r="A896" s="115">
        <v>12</v>
      </c>
      <c r="B896" s="116" t="s">
        <v>106</v>
      </c>
      <c r="C896" s="115">
        <v>119</v>
      </c>
      <c r="D896" s="119" t="s">
        <v>89</v>
      </c>
      <c r="E896" s="119" t="s">
        <v>114</v>
      </c>
      <c r="F896" s="116" t="s">
        <v>1085</v>
      </c>
      <c r="G896" s="280">
        <v>16</v>
      </c>
      <c r="H896" s="259">
        <v>44444</v>
      </c>
      <c r="I896" s="259">
        <v>711111</v>
      </c>
      <c r="J896" s="259">
        <v>0</v>
      </c>
      <c r="K896" s="259">
        <v>711111</v>
      </c>
      <c r="L896" s="259">
        <v>56889</v>
      </c>
      <c r="M896" s="259">
        <v>768000</v>
      </c>
      <c r="N896" s="118">
        <v>7.6100000000000001E-2</v>
      </c>
      <c r="O896" s="411" t="s">
        <v>1086</v>
      </c>
    </row>
    <row r="897" spans="1:15" ht="18" customHeight="1" x14ac:dyDescent="0.25">
      <c r="A897" s="115">
        <v>12</v>
      </c>
      <c r="B897" s="116" t="s">
        <v>106</v>
      </c>
      <c r="C897" s="115">
        <v>21</v>
      </c>
      <c r="D897" s="119" t="s">
        <v>95</v>
      </c>
      <c r="E897" s="119" t="s">
        <v>1202</v>
      </c>
      <c r="F897" s="116" t="s">
        <v>1085</v>
      </c>
      <c r="G897" s="280">
        <v>1</v>
      </c>
      <c r="H897" s="259">
        <v>7407</v>
      </c>
      <c r="I897" s="259">
        <v>7407</v>
      </c>
      <c r="J897" s="259">
        <v>0</v>
      </c>
      <c r="K897" s="259">
        <v>7407</v>
      </c>
      <c r="L897" s="259">
        <v>593</v>
      </c>
      <c r="M897" s="259">
        <v>8000</v>
      </c>
      <c r="N897" s="118">
        <v>8.0000000000000004E-4</v>
      </c>
      <c r="O897" s="411" t="s">
        <v>1086</v>
      </c>
    </row>
    <row r="898" spans="1:15" ht="18" customHeight="1" x14ac:dyDescent="0.25">
      <c r="A898" s="115">
        <v>12</v>
      </c>
      <c r="B898" s="116" t="s">
        <v>106</v>
      </c>
      <c r="C898" s="115">
        <v>19</v>
      </c>
      <c r="D898" s="119" t="s">
        <v>87</v>
      </c>
      <c r="E898" s="119" t="s">
        <v>1120</v>
      </c>
      <c r="F898" s="116" t="s">
        <v>1085</v>
      </c>
      <c r="G898" s="280">
        <v>3</v>
      </c>
      <c r="H898" s="259">
        <v>9259</v>
      </c>
      <c r="I898" s="259">
        <v>27778</v>
      </c>
      <c r="J898" s="259">
        <v>0</v>
      </c>
      <c r="K898" s="259">
        <v>27778</v>
      </c>
      <c r="L898" s="259">
        <v>2222</v>
      </c>
      <c r="M898" s="259">
        <v>30000</v>
      </c>
      <c r="N898" s="118">
        <v>3.0000000000000001E-3</v>
      </c>
      <c r="O898" s="411" t="s">
        <v>1086</v>
      </c>
    </row>
    <row r="899" spans="1:15" ht="18" customHeight="1" x14ac:dyDescent="0.25">
      <c r="A899" s="115">
        <v>12</v>
      </c>
      <c r="B899" s="116" t="s">
        <v>106</v>
      </c>
      <c r="C899" s="115">
        <v>20</v>
      </c>
      <c r="D899" s="119" t="s">
        <v>87</v>
      </c>
      <c r="E899" s="119" t="s">
        <v>1170</v>
      </c>
      <c r="F899" s="116" t="s">
        <v>1085</v>
      </c>
      <c r="G899" s="280">
        <v>1</v>
      </c>
      <c r="H899" s="259">
        <v>6481</v>
      </c>
      <c r="I899" s="259">
        <v>6481</v>
      </c>
      <c r="J899" s="259">
        <v>0</v>
      </c>
      <c r="K899" s="259">
        <v>6481</v>
      </c>
      <c r="L899" s="259">
        <v>519</v>
      </c>
      <c r="M899" s="259">
        <v>7000</v>
      </c>
      <c r="N899" s="118">
        <v>7.000000000000001E-4</v>
      </c>
      <c r="O899" s="411" t="s">
        <v>1086</v>
      </c>
    </row>
    <row r="900" spans="1:15" ht="18" customHeight="1" x14ac:dyDescent="0.25">
      <c r="A900" s="115">
        <v>12</v>
      </c>
      <c r="B900" s="116" t="s">
        <v>106</v>
      </c>
      <c r="C900" s="115">
        <v>168</v>
      </c>
      <c r="D900" s="119" t="s">
        <v>87</v>
      </c>
      <c r="E900" s="119" t="s">
        <v>1208</v>
      </c>
      <c r="F900" s="116" t="s">
        <v>1085</v>
      </c>
      <c r="G900" s="280">
        <v>0</v>
      </c>
      <c r="H900" s="259">
        <v>0</v>
      </c>
      <c r="I900" s="259">
        <v>0</v>
      </c>
      <c r="J900" s="259">
        <v>0</v>
      </c>
      <c r="K900" s="259">
        <v>0</v>
      </c>
      <c r="L900" s="259">
        <v>0</v>
      </c>
      <c r="M900" s="259">
        <v>0</v>
      </c>
      <c r="N900" s="118">
        <v>0</v>
      </c>
      <c r="O900" s="411" t="s">
        <v>1086</v>
      </c>
    </row>
    <row r="901" spans="1:15" ht="18" customHeight="1" x14ac:dyDescent="0.25">
      <c r="A901" s="115">
        <v>12</v>
      </c>
      <c r="B901" s="116" t="s">
        <v>106</v>
      </c>
      <c r="C901" s="115">
        <v>86</v>
      </c>
      <c r="D901" s="119" t="s">
        <v>95</v>
      </c>
      <c r="E901" s="119" t="s">
        <v>1124</v>
      </c>
      <c r="F901" s="116" t="s">
        <v>1085</v>
      </c>
      <c r="G901" s="280">
        <v>13</v>
      </c>
      <c r="H901" s="259">
        <v>3241</v>
      </c>
      <c r="I901" s="259">
        <v>42130</v>
      </c>
      <c r="J901" s="259">
        <v>0</v>
      </c>
      <c r="K901" s="259">
        <v>42130</v>
      </c>
      <c r="L901" s="259">
        <v>3370</v>
      </c>
      <c r="M901" s="259">
        <v>45500</v>
      </c>
      <c r="N901" s="118">
        <v>4.5000000000000014E-3</v>
      </c>
      <c r="O901" s="411" t="s">
        <v>1086</v>
      </c>
    </row>
    <row r="902" spans="1:15" ht="18" customHeight="1" x14ac:dyDescent="0.25">
      <c r="A902" s="115">
        <v>12</v>
      </c>
      <c r="B902" s="116" t="s">
        <v>106</v>
      </c>
      <c r="C902" s="115">
        <v>80</v>
      </c>
      <c r="D902" s="119" t="s">
        <v>95</v>
      </c>
      <c r="E902" s="119" t="s">
        <v>1125</v>
      </c>
      <c r="F902" s="116" t="s">
        <v>1085</v>
      </c>
      <c r="G902" s="280">
        <v>0</v>
      </c>
      <c r="H902" s="259">
        <v>0</v>
      </c>
      <c r="I902" s="259">
        <v>0</v>
      </c>
      <c r="J902" s="259">
        <v>0</v>
      </c>
      <c r="K902" s="259">
        <v>0</v>
      </c>
      <c r="L902" s="259">
        <v>0</v>
      </c>
      <c r="M902" s="259">
        <v>0</v>
      </c>
      <c r="N902" s="118">
        <v>0</v>
      </c>
      <c r="O902" s="411" t="s">
        <v>1086</v>
      </c>
    </row>
    <row r="903" spans="1:15" ht="18" customHeight="1" x14ac:dyDescent="0.25">
      <c r="A903" s="115">
        <v>12</v>
      </c>
      <c r="B903" s="116" t="s">
        <v>106</v>
      </c>
      <c r="C903" s="115">
        <v>91</v>
      </c>
      <c r="D903" s="119" t="s">
        <v>95</v>
      </c>
      <c r="E903" s="119" t="s">
        <v>1193</v>
      </c>
      <c r="F903" s="116" t="s">
        <v>1085</v>
      </c>
      <c r="G903" s="280">
        <v>1</v>
      </c>
      <c r="H903" s="259">
        <v>11111</v>
      </c>
      <c r="I903" s="259">
        <v>11111</v>
      </c>
      <c r="J903" s="259">
        <v>0</v>
      </c>
      <c r="K903" s="259">
        <v>11111</v>
      </c>
      <c r="L903" s="259">
        <v>889</v>
      </c>
      <c r="M903" s="259">
        <v>12000</v>
      </c>
      <c r="N903" s="118">
        <v>1.1999999999999999E-3</v>
      </c>
      <c r="O903" s="411" t="s">
        <v>1086</v>
      </c>
    </row>
    <row r="904" spans="1:15" ht="18" customHeight="1" x14ac:dyDescent="0.25">
      <c r="A904" s="115">
        <v>12</v>
      </c>
      <c r="B904" s="116" t="s">
        <v>106</v>
      </c>
      <c r="C904" s="115">
        <v>79</v>
      </c>
      <c r="D904" s="119" t="s">
        <v>95</v>
      </c>
      <c r="E904" s="119" t="s">
        <v>1127</v>
      </c>
      <c r="F904" s="116" t="s">
        <v>1085</v>
      </c>
      <c r="G904" s="280">
        <v>4</v>
      </c>
      <c r="H904" s="259">
        <v>6481</v>
      </c>
      <c r="I904" s="259">
        <v>25926</v>
      </c>
      <c r="J904" s="259">
        <v>0</v>
      </c>
      <c r="K904" s="259">
        <v>25926</v>
      </c>
      <c r="L904" s="259">
        <v>2074</v>
      </c>
      <c r="M904" s="259">
        <v>28000</v>
      </c>
      <c r="N904" s="118">
        <v>2.8E-3</v>
      </c>
      <c r="O904" s="411" t="s">
        <v>1086</v>
      </c>
    </row>
    <row r="905" spans="1:15" ht="18" customHeight="1" x14ac:dyDescent="0.25">
      <c r="A905" s="115">
        <v>12</v>
      </c>
      <c r="B905" s="116" t="s">
        <v>106</v>
      </c>
      <c r="C905" s="115">
        <v>62</v>
      </c>
      <c r="D905" s="119" t="s">
        <v>95</v>
      </c>
      <c r="E905" s="119" t="s">
        <v>1128</v>
      </c>
      <c r="F905" s="116" t="s">
        <v>1085</v>
      </c>
      <c r="G905" s="280">
        <v>7</v>
      </c>
      <c r="H905" s="259">
        <v>6944</v>
      </c>
      <c r="I905" s="259">
        <v>48611</v>
      </c>
      <c r="J905" s="259">
        <v>0</v>
      </c>
      <c r="K905" s="259">
        <v>48611</v>
      </c>
      <c r="L905" s="259">
        <v>3889</v>
      </c>
      <c r="M905" s="259">
        <v>52500</v>
      </c>
      <c r="N905" s="118">
        <v>5.1999999999999998E-3</v>
      </c>
      <c r="O905" s="411" t="s">
        <v>1086</v>
      </c>
    </row>
    <row r="906" spans="1:15" ht="18" customHeight="1" x14ac:dyDescent="0.25">
      <c r="A906" s="115">
        <v>12</v>
      </c>
      <c r="B906" s="116" t="s">
        <v>106</v>
      </c>
      <c r="C906" s="115">
        <v>84</v>
      </c>
      <c r="D906" s="119" t="s">
        <v>95</v>
      </c>
      <c r="E906" s="119" t="s">
        <v>1130</v>
      </c>
      <c r="F906" s="116" t="s">
        <v>1085</v>
      </c>
      <c r="G906" s="280">
        <v>0</v>
      </c>
      <c r="H906" s="259">
        <v>0</v>
      </c>
      <c r="I906" s="259">
        <v>0</v>
      </c>
      <c r="J906" s="259">
        <v>0</v>
      </c>
      <c r="K906" s="259">
        <v>0</v>
      </c>
      <c r="L906" s="259">
        <v>0</v>
      </c>
      <c r="M906" s="259">
        <v>0</v>
      </c>
      <c r="N906" s="118">
        <v>0</v>
      </c>
      <c r="O906" s="411" t="s">
        <v>1086</v>
      </c>
    </row>
    <row r="907" spans="1:15" ht="18" customHeight="1" x14ac:dyDescent="0.25">
      <c r="A907" s="115">
        <v>12</v>
      </c>
      <c r="B907" s="116" t="s">
        <v>106</v>
      </c>
      <c r="C907" s="115">
        <v>219</v>
      </c>
      <c r="D907" s="119" t="s">
        <v>87</v>
      </c>
      <c r="E907" s="119" t="s">
        <v>150</v>
      </c>
      <c r="F907" s="116" t="s">
        <v>1085</v>
      </c>
      <c r="G907" s="280">
        <v>2</v>
      </c>
      <c r="H907" s="259">
        <v>69444</v>
      </c>
      <c r="I907" s="259">
        <v>138889</v>
      </c>
      <c r="J907" s="259">
        <v>0</v>
      </c>
      <c r="K907" s="259">
        <v>138889</v>
      </c>
      <c r="L907" s="259">
        <v>11111</v>
      </c>
      <c r="M907" s="259">
        <v>150000</v>
      </c>
      <c r="N907" s="118">
        <v>1.49E-2</v>
      </c>
      <c r="O907" s="411" t="s">
        <v>1086</v>
      </c>
    </row>
    <row r="908" spans="1:15" ht="18" customHeight="1" x14ac:dyDescent="0.25">
      <c r="A908" s="115">
        <v>12</v>
      </c>
      <c r="B908" s="116" t="s">
        <v>106</v>
      </c>
      <c r="C908" s="115">
        <v>220</v>
      </c>
      <c r="D908" s="119" t="s">
        <v>87</v>
      </c>
      <c r="E908" s="119" t="s">
        <v>1195</v>
      </c>
      <c r="F908" s="116" t="s">
        <v>1085</v>
      </c>
      <c r="G908" s="280">
        <v>2</v>
      </c>
      <c r="H908" s="259">
        <v>69444</v>
      </c>
      <c r="I908" s="259">
        <v>138889</v>
      </c>
      <c r="J908" s="259">
        <v>0</v>
      </c>
      <c r="K908" s="259">
        <v>138889</v>
      </c>
      <c r="L908" s="259">
        <v>11111</v>
      </c>
      <c r="M908" s="259">
        <v>150000</v>
      </c>
      <c r="N908" s="118">
        <v>1.49E-2</v>
      </c>
      <c r="O908" s="411" t="s">
        <v>1086</v>
      </c>
    </row>
    <row r="909" spans="1:15" ht="18" customHeight="1" x14ac:dyDescent="0.25">
      <c r="A909" s="115">
        <v>12</v>
      </c>
      <c r="B909" s="116" t="s">
        <v>106</v>
      </c>
      <c r="C909" s="115">
        <v>140</v>
      </c>
      <c r="D909" s="119" t="s">
        <v>87</v>
      </c>
      <c r="E909" s="119" t="s">
        <v>1131</v>
      </c>
      <c r="F909" s="116" t="s">
        <v>1085</v>
      </c>
      <c r="G909" s="280">
        <v>2</v>
      </c>
      <c r="H909" s="259">
        <v>90741</v>
      </c>
      <c r="I909" s="259">
        <v>181481</v>
      </c>
      <c r="J909" s="259">
        <v>0</v>
      </c>
      <c r="K909" s="259">
        <v>181481</v>
      </c>
      <c r="L909" s="259">
        <v>14519</v>
      </c>
      <c r="M909" s="259">
        <v>196000</v>
      </c>
      <c r="N909" s="118">
        <v>1.9400000000000001E-2</v>
      </c>
      <c r="O909" s="411" t="s">
        <v>1086</v>
      </c>
    </row>
    <row r="910" spans="1:15" ht="18" customHeight="1" x14ac:dyDescent="0.25">
      <c r="A910" s="115">
        <v>12</v>
      </c>
      <c r="B910" s="116" t="s">
        <v>106</v>
      </c>
      <c r="C910" s="115">
        <v>221</v>
      </c>
      <c r="D910" s="119" t="s">
        <v>87</v>
      </c>
      <c r="E910" s="119" t="s">
        <v>1132</v>
      </c>
      <c r="F910" s="116" t="s">
        <v>1085</v>
      </c>
      <c r="G910" s="280">
        <v>2</v>
      </c>
      <c r="H910" s="259">
        <v>54167</v>
      </c>
      <c r="I910" s="259">
        <v>108333</v>
      </c>
      <c r="J910" s="259">
        <v>0</v>
      </c>
      <c r="K910" s="259">
        <v>108333</v>
      </c>
      <c r="L910" s="259">
        <v>8667</v>
      </c>
      <c r="M910" s="259">
        <v>117000</v>
      </c>
      <c r="N910" s="118">
        <v>1.1599999999999999E-2</v>
      </c>
      <c r="O910" s="411" t="s">
        <v>1086</v>
      </c>
    </row>
    <row r="911" spans="1:15" ht="18" customHeight="1" x14ac:dyDescent="0.25">
      <c r="A911" s="115">
        <v>12</v>
      </c>
      <c r="B911" s="116" t="s">
        <v>106</v>
      </c>
      <c r="C911" s="115">
        <v>226</v>
      </c>
      <c r="D911" s="119" t="s">
        <v>87</v>
      </c>
      <c r="E911" s="119" t="s">
        <v>1183</v>
      </c>
      <c r="F911" s="116" t="s">
        <v>1085</v>
      </c>
      <c r="G911" s="280">
        <v>2</v>
      </c>
      <c r="H911" s="259">
        <v>90741</v>
      </c>
      <c r="I911" s="259">
        <v>181481</v>
      </c>
      <c r="J911" s="259">
        <v>0</v>
      </c>
      <c r="K911" s="259">
        <v>181481</v>
      </c>
      <c r="L911" s="259">
        <v>14519</v>
      </c>
      <c r="M911" s="259">
        <v>196000</v>
      </c>
      <c r="N911" s="118">
        <v>1.9400000000000001E-2</v>
      </c>
      <c r="O911" s="411" t="s">
        <v>1086</v>
      </c>
    </row>
    <row r="912" spans="1:15" ht="18" customHeight="1" x14ac:dyDescent="0.25">
      <c r="A912" s="115">
        <v>12</v>
      </c>
      <c r="B912" s="116" t="s">
        <v>106</v>
      </c>
      <c r="C912" s="115">
        <v>222</v>
      </c>
      <c r="D912" s="119" t="s">
        <v>93</v>
      </c>
      <c r="E912" s="119" t="s">
        <v>1133</v>
      </c>
      <c r="F912" s="116" t="s">
        <v>1085</v>
      </c>
      <c r="G912" s="280">
        <v>2</v>
      </c>
      <c r="H912" s="259">
        <v>63426</v>
      </c>
      <c r="I912" s="259">
        <v>126852</v>
      </c>
      <c r="J912" s="259">
        <v>0</v>
      </c>
      <c r="K912" s="259">
        <v>126852</v>
      </c>
      <c r="L912" s="259">
        <v>10148</v>
      </c>
      <c r="M912" s="259">
        <v>137000</v>
      </c>
      <c r="N912" s="118">
        <v>1.3599999999999999E-2</v>
      </c>
      <c r="O912" s="411" t="s">
        <v>1086</v>
      </c>
    </row>
    <row r="913" spans="1:15" ht="18" customHeight="1" x14ac:dyDescent="0.25">
      <c r="A913" s="115">
        <v>12</v>
      </c>
      <c r="B913" s="116" t="s">
        <v>106</v>
      </c>
      <c r="C913" s="115">
        <v>223</v>
      </c>
      <c r="D913" s="119" t="s">
        <v>87</v>
      </c>
      <c r="E913" s="119" t="s">
        <v>141</v>
      </c>
      <c r="F913" s="116" t="s">
        <v>1085</v>
      </c>
      <c r="G913" s="280">
        <v>7</v>
      </c>
      <c r="H913" s="259">
        <v>69444</v>
      </c>
      <c r="I913" s="259">
        <v>486111</v>
      </c>
      <c r="J913" s="259">
        <v>0</v>
      </c>
      <c r="K913" s="259">
        <v>486111</v>
      </c>
      <c r="L913" s="259">
        <v>38889</v>
      </c>
      <c r="M913" s="259">
        <v>525000</v>
      </c>
      <c r="N913" s="118">
        <v>5.1999999999999998E-2</v>
      </c>
      <c r="O913" s="411" t="s">
        <v>1086</v>
      </c>
    </row>
    <row r="914" spans="1:15" ht="18" customHeight="1" x14ac:dyDescent="0.25">
      <c r="A914" s="115">
        <v>12</v>
      </c>
      <c r="B914" s="116" t="s">
        <v>106</v>
      </c>
      <c r="C914" s="115">
        <v>229</v>
      </c>
      <c r="D914" s="119" t="s">
        <v>87</v>
      </c>
      <c r="E914" s="119" t="s">
        <v>1197</v>
      </c>
      <c r="F914" s="116" t="s">
        <v>1085</v>
      </c>
      <c r="G914" s="280">
        <v>1</v>
      </c>
      <c r="H914" s="259">
        <v>66204</v>
      </c>
      <c r="I914" s="259">
        <v>66204</v>
      </c>
      <c r="J914" s="259">
        <v>0</v>
      </c>
      <c r="K914" s="259">
        <v>66204</v>
      </c>
      <c r="L914" s="259">
        <v>5296</v>
      </c>
      <c r="M914" s="259">
        <v>71500</v>
      </c>
      <c r="N914" s="118">
        <v>7.1000000000000004E-3</v>
      </c>
      <c r="O914" s="411" t="s">
        <v>1086</v>
      </c>
    </row>
    <row r="915" spans="1:15" ht="18" customHeight="1" x14ac:dyDescent="0.25">
      <c r="A915" s="115">
        <v>12</v>
      </c>
      <c r="B915" s="116" t="s">
        <v>106</v>
      </c>
      <c r="C915" s="115">
        <v>50</v>
      </c>
      <c r="D915" s="119" t="s">
        <v>87</v>
      </c>
      <c r="E915" s="119" t="s">
        <v>159</v>
      </c>
      <c r="F915" s="116" t="s">
        <v>1085</v>
      </c>
      <c r="G915" s="280">
        <v>5</v>
      </c>
      <c r="H915" s="259">
        <v>49074</v>
      </c>
      <c r="I915" s="259">
        <v>245370</v>
      </c>
      <c r="J915" s="259">
        <v>0</v>
      </c>
      <c r="K915" s="259">
        <v>245370</v>
      </c>
      <c r="L915" s="259">
        <v>19630</v>
      </c>
      <c r="M915" s="259">
        <v>265000</v>
      </c>
      <c r="N915" s="118">
        <v>2.63E-2</v>
      </c>
      <c r="O915" s="411" t="s">
        <v>1086</v>
      </c>
    </row>
    <row r="916" spans="1:15" ht="18" customHeight="1" x14ac:dyDescent="0.25">
      <c r="A916" s="115">
        <v>12</v>
      </c>
      <c r="B916" s="116" t="s">
        <v>106</v>
      </c>
      <c r="C916" s="115">
        <v>10</v>
      </c>
      <c r="D916" s="119" t="s">
        <v>87</v>
      </c>
      <c r="E916" s="119" t="s">
        <v>1184</v>
      </c>
      <c r="F916" s="116" t="s">
        <v>1085</v>
      </c>
      <c r="G916" s="280">
        <v>2</v>
      </c>
      <c r="H916" s="259">
        <v>13889</v>
      </c>
      <c r="I916" s="259">
        <v>27778</v>
      </c>
      <c r="J916" s="259">
        <v>0</v>
      </c>
      <c r="K916" s="259">
        <v>27778</v>
      </c>
      <c r="L916" s="259">
        <v>2222</v>
      </c>
      <c r="M916" s="259">
        <v>30000</v>
      </c>
      <c r="N916" s="118">
        <v>3.0000000000000001E-3</v>
      </c>
      <c r="O916" s="411" t="s">
        <v>1086</v>
      </c>
    </row>
    <row r="917" spans="1:15" ht="18" customHeight="1" x14ac:dyDescent="0.25">
      <c r="A917" s="115">
        <v>12</v>
      </c>
      <c r="B917" s="116" t="s">
        <v>106</v>
      </c>
      <c r="C917" s="115">
        <v>120</v>
      </c>
      <c r="D917" s="119" t="s">
        <v>93</v>
      </c>
      <c r="E917" s="119" t="s">
        <v>1134</v>
      </c>
      <c r="F917" s="116" t="s">
        <v>1085</v>
      </c>
      <c r="G917" s="280">
        <v>3</v>
      </c>
      <c r="H917" s="259">
        <v>41667</v>
      </c>
      <c r="I917" s="259">
        <v>125000</v>
      </c>
      <c r="J917" s="259">
        <v>0</v>
      </c>
      <c r="K917" s="259">
        <v>125000</v>
      </c>
      <c r="L917" s="259">
        <v>10000</v>
      </c>
      <c r="M917" s="259">
        <v>135000</v>
      </c>
      <c r="N917" s="118">
        <v>1.34E-2</v>
      </c>
      <c r="O917" s="411" t="s">
        <v>1086</v>
      </c>
    </row>
    <row r="918" spans="1:15" ht="18" customHeight="1" x14ac:dyDescent="0.25">
      <c r="A918" s="115">
        <v>12</v>
      </c>
      <c r="B918" s="116" t="s">
        <v>106</v>
      </c>
      <c r="C918" s="115">
        <v>129</v>
      </c>
      <c r="D918" s="119" t="s">
        <v>93</v>
      </c>
      <c r="E918" s="119" t="s">
        <v>1135</v>
      </c>
      <c r="F918" s="116" t="s">
        <v>1085</v>
      </c>
      <c r="G918" s="280">
        <v>3</v>
      </c>
      <c r="H918" s="259">
        <v>44444</v>
      </c>
      <c r="I918" s="259">
        <v>133333</v>
      </c>
      <c r="J918" s="259">
        <v>0</v>
      </c>
      <c r="K918" s="259">
        <v>133333</v>
      </c>
      <c r="L918" s="259">
        <v>10667</v>
      </c>
      <c r="M918" s="259">
        <v>144000</v>
      </c>
      <c r="N918" s="118">
        <v>1.43E-2</v>
      </c>
      <c r="O918" s="411" t="s">
        <v>1086</v>
      </c>
    </row>
    <row r="919" spans="1:15" ht="18" customHeight="1" x14ac:dyDescent="0.25">
      <c r="A919" s="115">
        <v>12</v>
      </c>
      <c r="B919" s="116" t="s">
        <v>106</v>
      </c>
      <c r="C919" s="115">
        <v>116</v>
      </c>
      <c r="D919" s="119" t="s">
        <v>89</v>
      </c>
      <c r="E919" s="119" t="s">
        <v>1198</v>
      </c>
      <c r="F919" s="116" t="s">
        <v>1085</v>
      </c>
      <c r="G919" s="280">
        <v>17</v>
      </c>
      <c r="H919" s="259">
        <v>5556</v>
      </c>
      <c r="I919" s="259">
        <v>94444</v>
      </c>
      <c r="J919" s="259">
        <v>0</v>
      </c>
      <c r="K919" s="259">
        <v>94444</v>
      </c>
      <c r="L919" s="259">
        <v>7556</v>
      </c>
      <c r="M919" s="259">
        <v>102000</v>
      </c>
      <c r="N919" s="118">
        <v>1.01E-2</v>
      </c>
      <c r="O919" s="411" t="s">
        <v>1086</v>
      </c>
    </row>
    <row r="920" spans="1:15" ht="18" customHeight="1" x14ac:dyDescent="0.25">
      <c r="A920" s="115">
        <v>12</v>
      </c>
      <c r="B920" s="116" t="s">
        <v>106</v>
      </c>
      <c r="C920" s="115">
        <v>117</v>
      </c>
      <c r="D920" s="119" t="s">
        <v>87</v>
      </c>
      <c r="E920" s="119" t="s">
        <v>120</v>
      </c>
      <c r="F920" s="116" t="s">
        <v>1085</v>
      </c>
      <c r="G920" s="280">
        <v>13</v>
      </c>
      <c r="H920" s="259">
        <v>41667</v>
      </c>
      <c r="I920" s="259">
        <v>541667</v>
      </c>
      <c r="J920" s="259">
        <v>0</v>
      </c>
      <c r="K920" s="259">
        <v>541667</v>
      </c>
      <c r="L920" s="259">
        <v>43333</v>
      </c>
      <c r="M920" s="259">
        <v>585000</v>
      </c>
      <c r="N920" s="118">
        <v>5.8000000000000003E-2</v>
      </c>
      <c r="O920" s="411" t="s">
        <v>1086</v>
      </c>
    </row>
    <row r="921" spans="1:15" ht="18" customHeight="1" x14ac:dyDescent="0.25">
      <c r="A921" s="115">
        <v>12</v>
      </c>
      <c r="B921" s="116" t="s">
        <v>106</v>
      </c>
      <c r="C921" s="115">
        <v>36</v>
      </c>
      <c r="D921" s="119" t="s">
        <v>91</v>
      </c>
      <c r="E921" s="119" t="s">
        <v>1136</v>
      </c>
      <c r="F921" s="116" t="s">
        <v>1085</v>
      </c>
      <c r="G921" s="280">
        <v>6</v>
      </c>
      <c r="H921" s="259">
        <v>3704</v>
      </c>
      <c r="I921" s="259">
        <v>22222</v>
      </c>
      <c r="J921" s="259">
        <v>0</v>
      </c>
      <c r="K921" s="259">
        <v>22222</v>
      </c>
      <c r="L921" s="259">
        <v>1778</v>
      </c>
      <c r="M921" s="259">
        <v>24000</v>
      </c>
      <c r="N921" s="118">
        <v>2.3999999999999998E-3</v>
      </c>
      <c r="O921" s="411" t="s">
        <v>1086</v>
      </c>
    </row>
    <row r="922" spans="1:15" ht="18" customHeight="1" x14ac:dyDescent="0.25">
      <c r="A922" s="115">
        <v>12</v>
      </c>
      <c r="B922" s="116" t="s">
        <v>106</v>
      </c>
      <c r="C922" s="115">
        <v>61</v>
      </c>
      <c r="D922" s="119" t="s">
        <v>97</v>
      </c>
      <c r="E922" s="119" t="s">
        <v>1137</v>
      </c>
      <c r="F922" s="116" t="s">
        <v>1085</v>
      </c>
      <c r="G922" s="280">
        <v>1</v>
      </c>
      <c r="H922" s="259">
        <v>4630</v>
      </c>
      <c r="I922" s="259">
        <v>4630</v>
      </c>
      <c r="J922" s="259">
        <v>0</v>
      </c>
      <c r="K922" s="259">
        <v>4630</v>
      </c>
      <c r="L922" s="259">
        <v>370</v>
      </c>
      <c r="M922" s="259">
        <v>5000</v>
      </c>
      <c r="N922" s="118">
        <v>5.0000000000000001E-4</v>
      </c>
      <c r="O922" s="411" t="s">
        <v>1086</v>
      </c>
    </row>
    <row r="923" spans="1:15" ht="18" customHeight="1" x14ac:dyDescent="0.25">
      <c r="A923" s="115">
        <v>12</v>
      </c>
      <c r="B923" s="116" t="s">
        <v>106</v>
      </c>
      <c r="C923" s="115">
        <v>215</v>
      </c>
      <c r="D923" s="119" t="s">
        <v>87</v>
      </c>
      <c r="E923" s="119" t="s">
        <v>135</v>
      </c>
      <c r="F923" s="116" t="s">
        <v>1085</v>
      </c>
      <c r="G923" s="280">
        <v>11</v>
      </c>
      <c r="H923" s="259">
        <v>37500</v>
      </c>
      <c r="I923" s="259">
        <v>412500</v>
      </c>
      <c r="J923" s="259">
        <v>0</v>
      </c>
      <c r="K923" s="259">
        <v>412500</v>
      </c>
      <c r="L923" s="259">
        <v>33000</v>
      </c>
      <c r="M923" s="259">
        <v>445500</v>
      </c>
      <c r="N923" s="118">
        <v>4.4200000000000003E-2</v>
      </c>
      <c r="O923" s="411" t="s">
        <v>1086</v>
      </c>
    </row>
    <row r="924" spans="1:15" ht="18" customHeight="1" x14ac:dyDescent="0.25">
      <c r="A924" s="115">
        <v>12</v>
      </c>
      <c r="B924" s="116" t="s">
        <v>106</v>
      </c>
      <c r="C924" s="115">
        <v>214</v>
      </c>
      <c r="D924" s="119" t="s">
        <v>87</v>
      </c>
      <c r="E924" s="119" t="s">
        <v>170</v>
      </c>
      <c r="F924" s="116" t="s">
        <v>1085</v>
      </c>
      <c r="G924" s="280">
        <v>7</v>
      </c>
      <c r="H924" s="259">
        <v>37500</v>
      </c>
      <c r="I924" s="259">
        <v>262500</v>
      </c>
      <c r="J924" s="259">
        <v>0</v>
      </c>
      <c r="K924" s="259">
        <v>262500</v>
      </c>
      <c r="L924" s="259">
        <v>21000</v>
      </c>
      <c r="M924" s="259">
        <v>283500</v>
      </c>
      <c r="N924" s="118">
        <v>2.81E-2</v>
      </c>
      <c r="O924" s="411" t="s">
        <v>1086</v>
      </c>
    </row>
    <row r="925" spans="1:15" ht="18" customHeight="1" x14ac:dyDescent="0.25">
      <c r="A925" s="115">
        <v>12</v>
      </c>
      <c r="B925" s="116" t="s">
        <v>106</v>
      </c>
      <c r="C925" s="115">
        <v>113</v>
      </c>
      <c r="D925" s="119" t="s">
        <v>89</v>
      </c>
      <c r="E925" s="119" t="s">
        <v>129</v>
      </c>
      <c r="F925" s="116" t="s">
        <v>1085</v>
      </c>
      <c r="G925" s="280">
        <v>28</v>
      </c>
      <c r="H925" s="259">
        <v>22222</v>
      </c>
      <c r="I925" s="259">
        <v>622222</v>
      </c>
      <c r="J925" s="259">
        <v>0</v>
      </c>
      <c r="K925" s="259">
        <v>622222</v>
      </c>
      <c r="L925" s="259">
        <v>49778</v>
      </c>
      <c r="M925" s="259">
        <v>672000</v>
      </c>
      <c r="N925" s="118">
        <v>6.6600000000000006E-2</v>
      </c>
      <c r="O925" s="411" t="s">
        <v>1086</v>
      </c>
    </row>
    <row r="926" spans="1:15" ht="18" customHeight="1" x14ac:dyDescent="0.25">
      <c r="A926" s="115">
        <v>12</v>
      </c>
      <c r="B926" s="116" t="s">
        <v>106</v>
      </c>
      <c r="C926" s="115">
        <v>256</v>
      </c>
      <c r="D926" s="119" t="s">
        <v>89</v>
      </c>
      <c r="E926" s="119" t="s">
        <v>1216</v>
      </c>
      <c r="F926" s="116" t="s">
        <v>1085</v>
      </c>
      <c r="G926" s="280">
        <v>1</v>
      </c>
      <c r="H926" s="259">
        <v>18519</v>
      </c>
      <c r="I926" s="259">
        <v>18519</v>
      </c>
      <c r="J926" s="259">
        <v>0</v>
      </c>
      <c r="K926" s="259">
        <v>18519</v>
      </c>
      <c r="L926" s="259">
        <v>1481</v>
      </c>
      <c r="M926" s="259">
        <v>20000</v>
      </c>
      <c r="N926" s="118">
        <v>2E-3</v>
      </c>
      <c r="O926" s="411" t="s">
        <v>1086</v>
      </c>
    </row>
    <row r="927" spans="1:15" ht="18" customHeight="1" x14ac:dyDescent="0.25">
      <c r="A927" s="115">
        <v>12</v>
      </c>
      <c r="B927" s="116" t="s">
        <v>106</v>
      </c>
      <c r="C927" s="115">
        <v>96</v>
      </c>
      <c r="D927" s="119" t="s">
        <v>93</v>
      </c>
      <c r="E927" s="119" t="s">
        <v>1161</v>
      </c>
      <c r="F927" s="116" t="s">
        <v>1085</v>
      </c>
      <c r="G927" s="280">
        <v>5</v>
      </c>
      <c r="H927" s="259">
        <v>35648</v>
      </c>
      <c r="I927" s="259">
        <v>178241</v>
      </c>
      <c r="J927" s="259">
        <v>0</v>
      </c>
      <c r="K927" s="259">
        <v>178241</v>
      </c>
      <c r="L927" s="259">
        <v>14259</v>
      </c>
      <c r="M927" s="259">
        <v>192500</v>
      </c>
      <c r="N927" s="118">
        <v>1.9099999999999999E-2</v>
      </c>
      <c r="O927" s="411" t="s">
        <v>1086</v>
      </c>
    </row>
    <row r="928" spans="1:15" ht="18" customHeight="1" x14ac:dyDescent="0.25">
      <c r="A928" s="115">
        <v>12</v>
      </c>
      <c r="B928" s="116" t="s">
        <v>106</v>
      </c>
      <c r="C928" s="115">
        <v>255</v>
      </c>
      <c r="D928" s="119" t="s">
        <v>93</v>
      </c>
      <c r="E928" s="119" t="s">
        <v>482</v>
      </c>
      <c r="F928" s="116" t="s">
        <v>1085</v>
      </c>
      <c r="G928" s="280">
        <v>2</v>
      </c>
      <c r="H928" s="259">
        <v>35648</v>
      </c>
      <c r="I928" s="259">
        <v>71296</v>
      </c>
      <c r="J928" s="259">
        <v>0</v>
      </c>
      <c r="K928" s="259">
        <v>71296</v>
      </c>
      <c r="L928" s="259">
        <v>5704</v>
      </c>
      <c r="M928" s="259">
        <v>77000</v>
      </c>
      <c r="N928" s="118">
        <v>7.6E-3</v>
      </c>
      <c r="O928" s="411" t="s">
        <v>1086</v>
      </c>
    </row>
    <row r="929" spans="1:15" ht="18" customHeight="1" x14ac:dyDescent="0.25">
      <c r="A929" s="115">
        <v>13</v>
      </c>
      <c r="B929" s="116" t="s">
        <v>112</v>
      </c>
      <c r="C929" s="115">
        <v>73</v>
      </c>
      <c r="D929" s="119" t="s">
        <v>91</v>
      </c>
      <c r="E929" s="119" t="s">
        <v>1084</v>
      </c>
      <c r="F929" s="116" t="s">
        <v>1085</v>
      </c>
      <c r="G929" s="280">
        <v>25</v>
      </c>
      <c r="H929" s="259">
        <v>2593</v>
      </c>
      <c r="I929" s="259">
        <v>64815</v>
      </c>
      <c r="J929" s="259">
        <v>0</v>
      </c>
      <c r="K929" s="259">
        <v>64815</v>
      </c>
      <c r="L929" s="259">
        <v>5185</v>
      </c>
      <c r="M929" s="259">
        <v>70000</v>
      </c>
      <c r="N929" s="118">
        <v>4.0999999999999986E-3</v>
      </c>
      <c r="O929" s="411" t="s">
        <v>1086</v>
      </c>
    </row>
    <row r="930" spans="1:15" ht="18" customHeight="1" x14ac:dyDescent="0.25">
      <c r="A930" s="115">
        <v>13</v>
      </c>
      <c r="B930" s="116" t="s">
        <v>112</v>
      </c>
      <c r="C930" s="115">
        <v>65</v>
      </c>
      <c r="D930" s="119" t="s">
        <v>91</v>
      </c>
      <c r="E930" s="119" t="s">
        <v>1087</v>
      </c>
      <c r="F930" s="116" t="s">
        <v>1085</v>
      </c>
      <c r="G930" s="280">
        <v>1</v>
      </c>
      <c r="H930" s="259">
        <v>2778</v>
      </c>
      <c r="I930" s="259">
        <v>2778</v>
      </c>
      <c r="J930" s="259">
        <v>0</v>
      </c>
      <c r="K930" s="259">
        <v>2778</v>
      </c>
      <c r="L930" s="259">
        <v>222</v>
      </c>
      <c r="M930" s="259">
        <v>3000</v>
      </c>
      <c r="N930" s="118">
        <v>2.0000000000000001E-4</v>
      </c>
      <c r="O930" s="411" t="s">
        <v>1086</v>
      </c>
    </row>
    <row r="931" spans="1:15" ht="18" customHeight="1" x14ac:dyDescent="0.25">
      <c r="A931" s="115">
        <v>13</v>
      </c>
      <c r="B931" s="116" t="s">
        <v>112</v>
      </c>
      <c r="C931" s="115">
        <v>12</v>
      </c>
      <c r="D931" s="119" t="s">
        <v>93</v>
      </c>
      <c r="E931" s="119" t="s">
        <v>1089</v>
      </c>
      <c r="F931" s="116" t="s">
        <v>1085</v>
      </c>
      <c r="G931" s="280">
        <v>7</v>
      </c>
      <c r="H931" s="259">
        <v>41667</v>
      </c>
      <c r="I931" s="259">
        <v>291667</v>
      </c>
      <c r="J931" s="259">
        <v>0</v>
      </c>
      <c r="K931" s="259">
        <v>291667</v>
      </c>
      <c r="L931" s="259">
        <v>23333</v>
      </c>
      <c r="M931" s="259">
        <v>315000</v>
      </c>
      <c r="N931" s="118">
        <v>1.8499999999999999E-2</v>
      </c>
      <c r="O931" s="411" t="s">
        <v>1086</v>
      </c>
    </row>
    <row r="932" spans="1:15" ht="18" customHeight="1" x14ac:dyDescent="0.25">
      <c r="A932" s="115">
        <v>13</v>
      </c>
      <c r="B932" s="116" t="s">
        <v>112</v>
      </c>
      <c r="C932" s="115">
        <v>313</v>
      </c>
      <c r="D932" s="119" t="s">
        <v>87</v>
      </c>
      <c r="E932" s="119" t="s">
        <v>1199</v>
      </c>
      <c r="F932" s="116" t="s">
        <v>1085</v>
      </c>
      <c r="G932" s="280">
        <v>1</v>
      </c>
      <c r="H932" s="259">
        <v>4167</v>
      </c>
      <c r="I932" s="259">
        <v>4167</v>
      </c>
      <c r="J932" s="259">
        <v>0</v>
      </c>
      <c r="K932" s="259">
        <v>4167</v>
      </c>
      <c r="L932" s="259">
        <v>333</v>
      </c>
      <c r="M932" s="259">
        <v>4500</v>
      </c>
      <c r="N932" s="118">
        <v>2.9999999999999997E-4</v>
      </c>
      <c r="O932" s="411" t="s">
        <v>1086</v>
      </c>
    </row>
    <row r="933" spans="1:15" ht="18" customHeight="1" x14ac:dyDescent="0.25">
      <c r="A933" s="115">
        <v>13</v>
      </c>
      <c r="B933" s="116" t="s">
        <v>112</v>
      </c>
      <c r="C933" s="115">
        <v>40</v>
      </c>
      <c r="D933" s="119" t="s">
        <v>87</v>
      </c>
      <c r="E933" s="119" t="s">
        <v>1143</v>
      </c>
      <c r="F933" s="116" t="s">
        <v>1085</v>
      </c>
      <c r="G933" s="280">
        <v>4</v>
      </c>
      <c r="H933" s="259">
        <v>55093</v>
      </c>
      <c r="I933" s="259">
        <v>220370</v>
      </c>
      <c r="J933" s="259">
        <v>0</v>
      </c>
      <c r="K933" s="259">
        <v>220370</v>
      </c>
      <c r="L933" s="259">
        <v>17630</v>
      </c>
      <c r="M933" s="259">
        <v>238000</v>
      </c>
      <c r="N933" s="118">
        <v>1.4E-2</v>
      </c>
      <c r="O933" s="411" t="s">
        <v>1086</v>
      </c>
    </row>
    <row r="934" spans="1:15" ht="18" customHeight="1" x14ac:dyDescent="0.25">
      <c r="A934" s="115">
        <v>13</v>
      </c>
      <c r="B934" s="116" t="s">
        <v>112</v>
      </c>
      <c r="C934" s="115">
        <v>104</v>
      </c>
      <c r="D934" s="119" t="s">
        <v>89</v>
      </c>
      <c r="E934" s="119" t="s">
        <v>165</v>
      </c>
      <c r="F934" s="116" t="s">
        <v>1085</v>
      </c>
      <c r="G934" s="280">
        <v>1</v>
      </c>
      <c r="H934" s="259">
        <v>15741</v>
      </c>
      <c r="I934" s="259">
        <v>15741</v>
      </c>
      <c r="J934" s="259">
        <v>0</v>
      </c>
      <c r="K934" s="259">
        <v>15741</v>
      </c>
      <c r="L934" s="259">
        <v>1259</v>
      </c>
      <c r="M934" s="259">
        <v>17000</v>
      </c>
      <c r="N934" s="118">
        <v>1E-3</v>
      </c>
      <c r="O934" s="411" t="s">
        <v>1086</v>
      </c>
    </row>
    <row r="935" spans="1:15" ht="18" customHeight="1" x14ac:dyDescent="0.25">
      <c r="A935" s="115">
        <v>13</v>
      </c>
      <c r="B935" s="116" t="s">
        <v>112</v>
      </c>
      <c r="C935" s="115">
        <v>54</v>
      </c>
      <c r="D935" s="119" t="s">
        <v>91</v>
      </c>
      <c r="E935" s="119" t="s">
        <v>1145</v>
      </c>
      <c r="F935" s="116" t="s">
        <v>1085</v>
      </c>
      <c r="G935" s="280">
        <v>2</v>
      </c>
      <c r="H935" s="259">
        <v>2315</v>
      </c>
      <c r="I935" s="259">
        <v>4630</v>
      </c>
      <c r="J935" s="259">
        <v>0</v>
      </c>
      <c r="K935" s="259">
        <v>4630</v>
      </c>
      <c r="L935" s="259">
        <v>370</v>
      </c>
      <c r="M935" s="259">
        <v>5000</v>
      </c>
      <c r="N935" s="118">
        <v>2.9999999999999997E-4</v>
      </c>
      <c r="O935" s="411" t="s">
        <v>1086</v>
      </c>
    </row>
    <row r="936" spans="1:15" ht="18" customHeight="1" x14ac:dyDescent="0.25">
      <c r="A936" s="115">
        <v>13</v>
      </c>
      <c r="B936" s="116" t="s">
        <v>112</v>
      </c>
      <c r="C936" s="115">
        <v>5</v>
      </c>
      <c r="D936" s="119" t="s">
        <v>89</v>
      </c>
      <c r="E936" s="119" t="s">
        <v>1146</v>
      </c>
      <c r="F936" s="116" t="s">
        <v>1085</v>
      </c>
      <c r="G936" s="280">
        <v>1</v>
      </c>
      <c r="H936" s="259">
        <v>11111</v>
      </c>
      <c r="I936" s="259">
        <v>11111</v>
      </c>
      <c r="J936" s="259">
        <v>0</v>
      </c>
      <c r="K936" s="259">
        <v>11111</v>
      </c>
      <c r="L936" s="259">
        <v>889</v>
      </c>
      <c r="M936" s="259">
        <v>12000</v>
      </c>
      <c r="N936" s="118">
        <v>7.000000000000001E-4</v>
      </c>
      <c r="O936" s="411" t="s">
        <v>1086</v>
      </c>
    </row>
    <row r="937" spans="1:15" ht="18" customHeight="1" x14ac:dyDescent="0.25">
      <c r="A937" s="115">
        <v>13</v>
      </c>
      <c r="B937" s="116" t="s">
        <v>112</v>
      </c>
      <c r="C937" s="115">
        <v>136</v>
      </c>
      <c r="D937" s="119" t="s">
        <v>89</v>
      </c>
      <c r="E937" s="119" t="s">
        <v>1091</v>
      </c>
      <c r="F937" s="116" t="s">
        <v>1085</v>
      </c>
      <c r="G937" s="280">
        <v>6</v>
      </c>
      <c r="H937" s="259">
        <v>24074</v>
      </c>
      <c r="I937" s="259">
        <v>144444</v>
      </c>
      <c r="J937" s="259">
        <v>0</v>
      </c>
      <c r="K937" s="259">
        <v>144444</v>
      </c>
      <c r="L937" s="259">
        <v>11556</v>
      </c>
      <c r="M937" s="259">
        <v>156000</v>
      </c>
      <c r="N937" s="118">
        <v>9.1999999999999998E-3</v>
      </c>
      <c r="O937" s="411" t="s">
        <v>1086</v>
      </c>
    </row>
    <row r="938" spans="1:15" ht="18" customHeight="1" x14ac:dyDescent="0.25">
      <c r="A938" s="115">
        <v>13</v>
      </c>
      <c r="B938" s="116" t="s">
        <v>112</v>
      </c>
      <c r="C938" s="115">
        <v>135</v>
      </c>
      <c r="D938" s="119" t="s">
        <v>89</v>
      </c>
      <c r="E938" s="119" t="s">
        <v>1175</v>
      </c>
      <c r="F938" s="116" t="s">
        <v>1085</v>
      </c>
      <c r="G938" s="280">
        <v>4</v>
      </c>
      <c r="H938" s="259">
        <v>13889</v>
      </c>
      <c r="I938" s="259">
        <v>55556</v>
      </c>
      <c r="J938" s="259">
        <v>0</v>
      </c>
      <c r="K938" s="259">
        <v>55556</v>
      </c>
      <c r="L938" s="259">
        <v>4444</v>
      </c>
      <c r="M938" s="259">
        <v>60000</v>
      </c>
      <c r="N938" s="118">
        <v>3.5000000000000001E-3</v>
      </c>
      <c r="O938" s="411" t="s">
        <v>1086</v>
      </c>
    </row>
    <row r="939" spans="1:15" ht="18" customHeight="1" x14ac:dyDescent="0.25">
      <c r="A939" s="115">
        <v>13</v>
      </c>
      <c r="B939" s="116" t="s">
        <v>112</v>
      </c>
      <c r="C939" s="115">
        <v>6</v>
      </c>
      <c r="D939" s="119" t="s">
        <v>89</v>
      </c>
      <c r="E939" s="119" t="s">
        <v>1147</v>
      </c>
      <c r="F939" s="116" t="s">
        <v>1085</v>
      </c>
      <c r="G939" s="280">
        <v>2</v>
      </c>
      <c r="H939" s="259">
        <v>14815</v>
      </c>
      <c r="I939" s="259">
        <v>29630</v>
      </c>
      <c r="J939" s="259">
        <v>0</v>
      </c>
      <c r="K939" s="259">
        <v>29630</v>
      </c>
      <c r="L939" s="259">
        <v>2370</v>
      </c>
      <c r="M939" s="259">
        <v>32000</v>
      </c>
      <c r="N939" s="118">
        <v>1.9E-3</v>
      </c>
      <c r="O939" s="411" t="s">
        <v>1086</v>
      </c>
    </row>
    <row r="940" spans="1:15" ht="18" customHeight="1" x14ac:dyDescent="0.25">
      <c r="A940" s="115">
        <v>13</v>
      </c>
      <c r="B940" s="116" t="s">
        <v>112</v>
      </c>
      <c r="C940" s="115">
        <v>8</v>
      </c>
      <c r="D940" s="119" t="s">
        <v>87</v>
      </c>
      <c r="E940" s="119" t="s">
        <v>156</v>
      </c>
      <c r="F940" s="116" t="s">
        <v>1085</v>
      </c>
      <c r="G940" s="280">
        <v>2</v>
      </c>
      <c r="H940" s="259">
        <v>18519</v>
      </c>
      <c r="I940" s="259">
        <v>37037</v>
      </c>
      <c r="J940" s="259">
        <v>0</v>
      </c>
      <c r="K940" s="259">
        <v>37037</v>
      </c>
      <c r="L940" s="259">
        <v>2963</v>
      </c>
      <c r="M940" s="259">
        <v>40000</v>
      </c>
      <c r="N940" s="118">
        <v>2.3E-3</v>
      </c>
      <c r="O940" s="411" t="s">
        <v>1086</v>
      </c>
    </row>
    <row r="941" spans="1:15" ht="18" customHeight="1" x14ac:dyDescent="0.25">
      <c r="A941" s="115">
        <v>13</v>
      </c>
      <c r="B941" s="116" t="s">
        <v>112</v>
      </c>
      <c r="C941" s="115">
        <v>311</v>
      </c>
      <c r="D941" s="119" t="s">
        <v>93</v>
      </c>
      <c r="E941" s="119" t="s">
        <v>1092</v>
      </c>
      <c r="F941" s="116" t="s">
        <v>1085</v>
      </c>
      <c r="G941" s="280">
        <v>3</v>
      </c>
      <c r="H941" s="259">
        <v>44907</v>
      </c>
      <c r="I941" s="259">
        <v>134722</v>
      </c>
      <c r="J941" s="259">
        <v>0</v>
      </c>
      <c r="K941" s="259">
        <v>134722</v>
      </c>
      <c r="L941" s="259">
        <v>10778</v>
      </c>
      <c r="M941" s="259">
        <v>145500</v>
      </c>
      <c r="N941" s="118">
        <v>8.5000000000000006E-3</v>
      </c>
      <c r="O941" s="411" t="s">
        <v>1086</v>
      </c>
    </row>
    <row r="942" spans="1:15" ht="18" customHeight="1" x14ac:dyDescent="0.25">
      <c r="A942" s="115">
        <v>13</v>
      </c>
      <c r="B942" s="116" t="s">
        <v>112</v>
      </c>
      <c r="C942" s="115">
        <v>87</v>
      </c>
      <c r="D942" s="119" t="s">
        <v>89</v>
      </c>
      <c r="E942" s="119" t="s">
        <v>147</v>
      </c>
      <c r="F942" s="116" t="s">
        <v>1085</v>
      </c>
      <c r="G942" s="280">
        <v>11</v>
      </c>
      <c r="H942" s="259">
        <v>37500</v>
      </c>
      <c r="I942" s="259">
        <v>412500</v>
      </c>
      <c r="J942" s="259">
        <v>0</v>
      </c>
      <c r="K942" s="259">
        <v>412500</v>
      </c>
      <c r="L942" s="259">
        <v>33000</v>
      </c>
      <c r="M942" s="259">
        <v>445500</v>
      </c>
      <c r="N942" s="118">
        <v>2.6200000000000001E-2</v>
      </c>
      <c r="O942" s="411" t="s">
        <v>1086</v>
      </c>
    </row>
    <row r="943" spans="1:15" ht="18" customHeight="1" x14ac:dyDescent="0.25">
      <c r="A943" s="115">
        <v>13</v>
      </c>
      <c r="B943" s="116" t="s">
        <v>112</v>
      </c>
      <c r="C943" s="115">
        <v>246</v>
      </c>
      <c r="D943" s="119" t="s">
        <v>91</v>
      </c>
      <c r="E943" s="119" t="s">
        <v>1095</v>
      </c>
      <c r="F943" s="116" t="s">
        <v>1085</v>
      </c>
      <c r="G943" s="280">
        <v>6</v>
      </c>
      <c r="H943" s="259">
        <v>6481</v>
      </c>
      <c r="I943" s="259">
        <v>38889</v>
      </c>
      <c r="J943" s="259">
        <v>0</v>
      </c>
      <c r="K943" s="259">
        <v>38889</v>
      </c>
      <c r="L943" s="259">
        <v>3111</v>
      </c>
      <c r="M943" s="259">
        <v>42000</v>
      </c>
      <c r="N943" s="118">
        <v>2.5000000000000001E-3</v>
      </c>
      <c r="O943" s="411" t="s">
        <v>1086</v>
      </c>
    </row>
    <row r="944" spans="1:15" ht="18" customHeight="1" x14ac:dyDescent="0.25">
      <c r="A944" s="115">
        <v>13</v>
      </c>
      <c r="B944" s="116" t="s">
        <v>112</v>
      </c>
      <c r="C944" s="115">
        <v>70</v>
      </c>
      <c r="D944" s="119" t="s">
        <v>91</v>
      </c>
      <c r="E944" s="119" t="s">
        <v>1096</v>
      </c>
      <c r="F944" s="116" t="s">
        <v>1085</v>
      </c>
      <c r="G944" s="280">
        <v>2</v>
      </c>
      <c r="H944" s="259">
        <v>4630</v>
      </c>
      <c r="I944" s="259">
        <v>9259</v>
      </c>
      <c r="J944" s="259">
        <v>0</v>
      </c>
      <c r="K944" s="259">
        <v>9259</v>
      </c>
      <c r="L944" s="259">
        <v>741</v>
      </c>
      <c r="M944" s="259">
        <v>10000</v>
      </c>
      <c r="N944" s="118">
        <v>5.9999999999999995E-4</v>
      </c>
      <c r="O944" s="411" t="s">
        <v>1086</v>
      </c>
    </row>
    <row r="945" spans="1:15" ht="18" customHeight="1" x14ac:dyDescent="0.25">
      <c r="A945" s="115">
        <v>13</v>
      </c>
      <c r="B945" s="116" t="s">
        <v>112</v>
      </c>
      <c r="C945" s="115">
        <v>71</v>
      </c>
      <c r="D945" s="119" t="s">
        <v>91</v>
      </c>
      <c r="E945" s="119" t="s">
        <v>1097</v>
      </c>
      <c r="F945" s="116" t="s">
        <v>1085</v>
      </c>
      <c r="G945" s="280">
        <v>3</v>
      </c>
      <c r="H945" s="259">
        <v>5556</v>
      </c>
      <c r="I945" s="259">
        <v>16667</v>
      </c>
      <c r="J945" s="259">
        <v>0</v>
      </c>
      <c r="K945" s="259">
        <v>16667</v>
      </c>
      <c r="L945" s="259">
        <v>1333</v>
      </c>
      <c r="M945" s="259">
        <v>18000</v>
      </c>
      <c r="N945" s="118">
        <v>1.1000000000000001E-3</v>
      </c>
      <c r="O945" s="411" t="s">
        <v>1086</v>
      </c>
    </row>
    <row r="946" spans="1:15" ht="18" customHeight="1" x14ac:dyDescent="0.25">
      <c r="A946" s="115">
        <v>13</v>
      </c>
      <c r="B946" s="116" t="s">
        <v>112</v>
      </c>
      <c r="C946" s="115">
        <v>83</v>
      </c>
      <c r="D946" s="119" t="s">
        <v>87</v>
      </c>
      <c r="E946" s="119" t="s">
        <v>1098</v>
      </c>
      <c r="F946" s="116" t="s">
        <v>1085</v>
      </c>
      <c r="G946" s="280">
        <v>9</v>
      </c>
      <c r="H946" s="259">
        <v>20833</v>
      </c>
      <c r="I946" s="259">
        <v>187500</v>
      </c>
      <c r="J946" s="259">
        <v>0</v>
      </c>
      <c r="K946" s="259">
        <v>187500</v>
      </c>
      <c r="L946" s="259">
        <v>15000</v>
      </c>
      <c r="M946" s="259">
        <v>202500</v>
      </c>
      <c r="N946" s="118">
        <v>1.1900000000000001E-2</v>
      </c>
      <c r="O946" s="411" t="s">
        <v>1086</v>
      </c>
    </row>
    <row r="947" spans="1:15" ht="18" customHeight="1" x14ac:dyDescent="0.25">
      <c r="A947" s="115">
        <v>13</v>
      </c>
      <c r="B947" s="116" t="s">
        <v>112</v>
      </c>
      <c r="C947" s="115">
        <v>52</v>
      </c>
      <c r="D947" s="119" t="s">
        <v>87</v>
      </c>
      <c r="E947" s="119" t="s">
        <v>1149</v>
      </c>
      <c r="F947" s="116" t="s">
        <v>1085</v>
      </c>
      <c r="G947" s="280">
        <v>1</v>
      </c>
      <c r="H947" s="259">
        <v>5556</v>
      </c>
      <c r="I947" s="259">
        <v>5556</v>
      </c>
      <c r="J947" s="259">
        <v>0</v>
      </c>
      <c r="K947" s="259">
        <v>5556</v>
      </c>
      <c r="L947" s="259">
        <v>444</v>
      </c>
      <c r="M947" s="259">
        <v>6000</v>
      </c>
      <c r="N947" s="118">
        <v>4.0000000000000002E-4</v>
      </c>
      <c r="O947" s="411" t="s">
        <v>1086</v>
      </c>
    </row>
    <row r="948" spans="1:15" ht="18" customHeight="1" x14ac:dyDescent="0.25">
      <c r="A948" s="115">
        <v>13</v>
      </c>
      <c r="B948" s="116" t="s">
        <v>112</v>
      </c>
      <c r="C948" s="115">
        <v>43</v>
      </c>
      <c r="D948" s="119" t="s">
        <v>87</v>
      </c>
      <c r="E948" s="119" t="s">
        <v>1099</v>
      </c>
      <c r="F948" s="116" t="s">
        <v>1085</v>
      </c>
      <c r="G948" s="280">
        <v>1</v>
      </c>
      <c r="H948" s="259">
        <v>8333</v>
      </c>
      <c r="I948" s="259">
        <v>8333</v>
      </c>
      <c r="J948" s="259">
        <v>0</v>
      </c>
      <c r="K948" s="259">
        <v>8333</v>
      </c>
      <c r="L948" s="259">
        <v>667</v>
      </c>
      <c r="M948" s="259">
        <v>9000</v>
      </c>
      <c r="N948" s="118">
        <v>5.0000000000000001E-4</v>
      </c>
      <c r="O948" s="411" t="s">
        <v>1086</v>
      </c>
    </row>
    <row r="949" spans="1:15" ht="18" customHeight="1" x14ac:dyDescent="0.25">
      <c r="A949" s="115">
        <v>13</v>
      </c>
      <c r="B949" s="116" t="s">
        <v>112</v>
      </c>
      <c r="C949" s="115">
        <v>41</v>
      </c>
      <c r="D949" s="119" t="s">
        <v>87</v>
      </c>
      <c r="E949" s="119" t="s">
        <v>168</v>
      </c>
      <c r="F949" s="116" t="s">
        <v>1085</v>
      </c>
      <c r="G949" s="280">
        <v>5</v>
      </c>
      <c r="H949" s="259">
        <v>49074</v>
      </c>
      <c r="I949" s="259">
        <v>245370</v>
      </c>
      <c r="J949" s="259">
        <v>0</v>
      </c>
      <c r="K949" s="259">
        <v>245370</v>
      </c>
      <c r="L949" s="259">
        <v>19630</v>
      </c>
      <c r="M949" s="259">
        <v>265000</v>
      </c>
      <c r="N949" s="118">
        <v>1.5599999999999999E-2</v>
      </c>
      <c r="O949" s="411" t="s">
        <v>1086</v>
      </c>
    </row>
    <row r="950" spans="1:15" ht="18" customHeight="1" x14ac:dyDescent="0.25">
      <c r="A950" s="115">
        <v>13</v>
      </c>
      <c r="B950" s="116" t="s">
        <v>112</v>
      </c>
      <c r="C950" s="115">
        <v>122</v>
      </c>
      <c r="D950" s="119" t="s">
        <v>91</v>
      </c>
      <c r="E950" s="119" t="s">
        <v>1100</v>
      </c>
      <c r="F950" s="116" t="s">
        <v>1085</v>
      </c>
      <c r="G950" s="280">
        <v>1</v>
      </c>
      <c r="H950" s="259">
        <v>2778</v>
      </c>
      <c r="I950" s="259">
        <v>2778</v>
      </c>
      <c r="J950" s="259">
        <v>0</v>
      </c>
      <c r="K950" s="259">
        <v>2778</v>
      </c>
      <c r="L950" s="259">
        <v>222</v>
      </c>
      <c r="M950" s="259">
        <v>3000</v>
      </c>
      <c r="N950" s="118">
        <v>2.0000000000000001E-4</v>
      </c>
      <c r="O950" s="411" t="s">
        <v>1086</v>
      </c>
    </row>
    <row r="951" spans="1:15" ht="18" customHeight="1" x14ac:dyDescent="0.25">
      <c r="A951" s="115">
        <v>13</v>
      </c>
      <c r="B951" s="116" t="s">
        <v>112</v>
      </c>
      <c r="C951" s="115">
        <v>247</v>
      </c>
      <c r="D951" s="119" t="s">
        <v>87</v>
      </c>
      <c r="E951" s="119" t="s">
        <v>1165</v>
      </c>
      <c r="F951" s="116" t="s">
        <v>1085</v>
      </c>
      <c r="G951" s="280">
        <v>1</v>
      </c>
      <c r="H951" s="259">
        <v>3056</v>
      </c>
      <c r="I951" s="259">
        <v>3056</v>
      </c>
      <c r="J951" s="259">
        <v>0</v>
      </c>
      <c r="K951" s="259">
        <v>3056</v>
      </c>
      <c r="L951" s="259">
        <v>244</v>
      </c>
      <c r="M951" s="259">
        <v>3300</v>
      </c>
      <c r="N951" s="118">
        <v>2.0000000000000001E-4</v>
      </c>
      <c r="O951" s="411" t="s">
        <v>1086</v>
      </c>
    </row>
    <row r="952" spans="1:15" ht="18" customHeight="1" x14ac:dyDescent="0.25">
      <c r="A952" s="115">
        <v>13</v>
      </c>
      <c r="B952" s="116" t="s">
        <v>112</v>
      </c>
      <c r="C952" s="115">
        <v>42</v>
      </c>
      <c r="D952" s="119" t="s">
        <v>87</v>
      </c>
      <c r="E952" s="119" t="s">
        <v>359</v>
      </c>
      <c r="F952" s="116" t="s">
        <v>1085</v>
      </c>
      <c r="G952" s="280">
        <v>7</v>
      </c>
      <c r="H952" s="259">
        <v>32407</v>
      </c>
      <c r="I952" s="259">
        <v>226852</v>
      </c>
      <c r="J952" s="259">
        <v>0</v>
      </c>
      <c r="K952" s="259">
        <v>226852</v>
      </c>
      <c r="L952" s="259">
        <v>18148</v>
      </c>
      <c r="M952" s="259">
        <v>245000</v>
      </c>
      <c r="N952" s="118">
        <v>1.44E-2</v>
      </c>
      <c r="O952" s="411" t="s">
        <v>1086</v>
      </c>
    </row>
    <row r="953" spans="1:15" ht="18" customHeight="1" x14ac:dyDescent="0.25">
      <c r="A953" s="115">
        <v>13</v>
      </c>
      <c r="B953" s="116" t="s">
        <v>112</v>
      </c>
      <c r="C953" s="115">
        <v>44</v>
      </c>
      <c r="D953" s="119" t="s">
        <v>87</v>
      </c>
      <c r="E953" s="119" t="s">
        <v>138</v>
      </c>
      <c r="F953" s="116" t="s">
        <v>1085</v>
      </c>
      <c r="G953" s="280">
        <v>33</v>
      </c>
      <c r="H953" s="259">
        <v>28241</v>
      </c>
      <c r="I953" s="259">
        <v>931944</v>
      </c>
      <c r="J953" s="259">
        <v>0</v>
      </c>
      <c r="K953" s="259">
        <v>931944</v>
      </c>
      <c r="L953" s="259">
        <v>74556</v>
      </c>
      <c r="M953" s="259">
        <v>1006500</v>
      </c>
      <c r="N953" s="118">
        <v>5.91E-2</v>
      </c>
      <c r="O953" s="411" t="s">
        <v>1086</v>
      </c>
    </row>
    <row r="954" spans="1:15" ht="18" customHeight="1" x14ac:dyDescent="0.25">
      <c r="A954" s="115">
        <v>13</v>
      </c>
      <c r="B954" s="116" t="s">
        <v>112</v>
      </c>
      <c r="C954" s="115">
        <v>110</v>
      </c>
      <c r="D954" s="119" t="s">
        <v>99</v>
      </c>
      <c r="E954" s="119" t="s">
        <v>1101</v>
      </c>
      <c r="F954" s="116" t="s">
        <v>1085</v>
      </c>
      <c r="G954" s="280">
        <v>31</v>
      </c>
      <c r="H954" s="259">
        <v>926</v>
      </c>
      <c r="I954" s="259">
        <v>28704</v>
      </c>
      <c r="J954" s="259">
        <v>0</v>
      </c>
      <c r="K954" s="259">
        <v>28704</v>
      </c>
      <c r="L954" s="259">
        <v>2296</v>
      </c>
      <c r="M954" s="259">
        <v>31000</v>
      </c>
      <c r="N954" s="118">
        <v>1.8E-3</v>
      </c>
      <c r="O954" s="411" t="s">
        <v>1086</v>
      </c>
    </row>
    <row r="955" spans="1:15" ht="18" customHeight="1" x14ac:dyDescent="0.25">
      <c r="A955" s="115">
        <v>13</v>
      </c>
      <c r="B955" s="116" t="s">
        <v>112</v>
      </c>
      <c r="C955" s="115">
        <v>102</v>
      </c>
      <c r="D955" s="119" t="s">
        <v>87</v>
      </c>
      <c r="E955" s="119" t="s">
        <v>1151</v>
      </c>
      <c r="F955" s="116" t="s">
        <v>1085</v>
      </c>
      <c r="G955" s="280">
        <v>4</v>
      </c>
      <c r="H955" s="259">
        <v>6944</v>
      </c>
      <c r="I955" s="259">
        <v>27778</v>
      </c>
      <c r="J955" s="259">
        <v>0</v>
      </c>
      <c r="K955" s="259">
        <v>27778</v>
      </c>
      <c r="L955" s="259">
        <v>2222</v>
      </c>
      <c r="M955" s="259">
        <v>30000</v>
      </c>
      <c r="N955" s="118">
        <v>1.8E-3</v>
      </c>
      <c r="O955" s="411" t="s">
        <v>1086</v>
      </c>
    </row>
    <row r="956" spans="1:15" ht="18" customHeight="1" x14ac:dyDescent="0.25">
      <c r="A956" s="115">
        <v>13</v>
      </c>
      <c r="B956" s="116" t="s">
        <v>112</v>
      </c>
      <c r="C956" s="115">
        <v>45</v>
      </c>
      <c r="D956" s="119" t="s">
        <v>87</v>
      </c>
      <c r="E956" s="119" t="s">
        <v>1102</v>
      </c>
      <c r="F956" s="116" t="s">
        <v>1085</v>
      </c>
      <c r="G956" s="280">
        <v>7</v>
      </c>
      <c r="H956" s="259">
        <v>35648</v>
      </c>
      <c r="I956" s="259">
        <v>249537</v>
      </c>
      <c r="J956" s="259">
        <v>0</v>
      </c>
      <c r="K956" s="259">
        <v>249537</v>
      </c>
      <c r="L956" s="259">
        <v>19963</v>
      </c>
      <c r="M956" s="259">
        <v>269500</v>
      </c>
      <c r="N956" s="118">
        <v>1.5800000000000002E-2</v>
      </c>
      <c r="O956" s="411" t="s">
        <v>1086</v>
      </c>
    </row>
    <row r="957" spans="1:15" ht="18" customHeight="1" x14ac:dyDescent="0.25">
      <c r="A957" s="115">
        <v>13</v>
      </c>
      <c r="B957" s="116" t="s">
        <v>112</v>
      </c>
      <c r="C957" s="115">
        <v>30</v>
      </c>
      <c r="D957" s="119" t="s">
        <v>95</v>
      </c>
      <c r="E957" s="119" t="s">
        <v>1103</v>
      </c>
      <c r="F957" s="116" t="s">
        <v>1085</v>
      </c>
      <c r="G957" s="280">
        <v>7</v>
      </c>
      <c r="H957" s="259">
        <v>6481</v>
      </c>
      <c r="I957" s="259">
        <v>45370</v>
      </c>
      <c r="J957" s="259">
        <v>0</v>
      </c>
      <c r="K957" s="259">
        <v>45370</v>
      </c>
      <c r="L957" s="259">
        <v>3630</v>
      </c>
      <c r="M957" s="259">
        <v>49000</v>
      </c>
      <c r="N957" s="118">
        <v>2.8999999999999998E-3</v>
      </c>
      <c r="O957" s="411" t="s">
        <v>1086</v>
      </c>
    </row>
    <row r="958" spans="1:15" ht="18" customHeight="1" x14ac:dyDescent="0.25">
      <c r="A958" s="115">
        <v>13</v>
      </c>
      <c r="B958" s="116" t="s">
        <v>112</v>
      </c>
      <c r="C958" s="115">
        <v>94</v>
      </c>
      <c r="D958" s="119" t="s">
        <v>89</v>
      </c>
      <c r="E958" s="119" t="s">
        <v>153</v>
      </c>
      <c r="F958" s="116" t="s">
        <v>1085</v>
      </c>
      <c r="G958" s="280">
        <v>2</v>
      </c>
      <c r="H958" s="259">
        <v>18519</v>
      </c>
      <c r="I958" s="259">
        <v>37037</v>
      </c>
      <c r="J958" s="259">
        <v>0</v>
      </c>
      <c r="K958" s="259">
        <v>37037</v>
      </c>
      <c r="L958" s="259">
        <v>2963</v>
      </c>
      <c r="M958" s="259">
        <v>40000</v>
      </c>
      <c r="N958" s="118">
        <v>2.3E-3</v>
      </c>
      <c r="O958" s="411" t="s">
        <v>1086</v>
      </c>
    </row>
    <row r="959" spans="1:15" ht="18" customHeight="1" x14ac:dyDescent="0.25">
      <c r="A959" s="115">
        <v>13</v>
      </c>
      <c r="B959" s="116" t="s">
        <v>112</v>
      </c>
      <c r="C959" s="115">
        <v>233</v>
      </c>
      <c r="D959" s="119" t="s">
        <v>89</v>
      </c>
      <c r="E959" s="119" t="s">
        <v>117</v>
      </c>
      <c r="F959" s="116" t="s">
        <v>1085</v>
      </c>
      <c r="G959" s="280">
        <v>1</v>
      </c>
      <c r="H959" s="259">
        <v>18519</v>
      </c>
      <c r="I959" s="259">
        <v>18519</v>
      </c>
      <c r="J959" s="259">
        <v>0</v>
      </c>
      <c r="K959" s="259">
        <v>18519</v>
      </c>
      <c r="L959" s="259">
        <v>1481</v>
      </c>
      <c r="M959" s="259">
        <v>20000</v>
      </c>
      <c r="N959" s="118">
        <v>1.1999999999999999E-3</v>
      </c>
      <c r="O959" s="411" t="s">
        <v>1086</v>
      </c>
    </row>
    <row r="960" spans="1:15" ht="18" customHeight="1" x14ac:dyDescent="0.25">
      <c r="A960" s="115">
        <v>13</v>
      </c>
      <c r="B960" s="116" t="s">
        <v>112</v>
      </c>
      <c r="C960" s="115">
        <v>217</v>
      </c>
      <c r="D960" s="119" t="s">
        <v>89</v>
      </c>
      <c r="E960" s="119" t="s">
        <v>1105</v>
      </c>
      <c r="F960" s="116" t="s">
        <v>1085</v>
      </c>
      <c r="G960" s="280">
        <v>1</v>
      </c>
      <c r="H960" s="259">
        <v>27778</v>
      </c>
      <c r="I960" s="259">
        <v>27778</v>
      </c>
      <c r="J960" s="259">
        <v>0</v>
      </c>
      <c r="K960" s="259">
        <v>27778</v>
      </c>
      <c r="L960" s="259">
        <v>2222</v>
      </c>
      <c r="M960" s="259">
        <v>30000</v>
      </c>
      <c r="N960" s="118">
        <v>1.8E-3</v>
      </c>
      <c r="O960" s="411" t="s">
        <v>1086</v>
      </c>
    </row>
    <row r="961" spans="1:15" ht="18" customHeight="1" x14ac:dyDescent="0.25">
      <c r="A961" s="115">
        <v>13</v>
      </c>
      <c r="B961" s="116" t="s">
        <v>112</v>
      </c>
      <c r="C961" s="115">
        <v>34</v>
      </c>
      <c r="D961" s="119" t="s">
        <v>91</v>
      </c>
      <c r="E961" s="119" t="s">
        <v>1107</v>
      </c>
      <c r="F961" s="116" t="s">
        <v>1085</v>
      </c>
      <c r="G961" s="280">
        <v>10</v>
      </c>
      <c r="H961" s="259">
        <v>6481</v>
      </c>
      <c r="I961" s="259">
        <v>64815</v>
      </c>
      <c r="J961" s="259">
        <v>0</v>
      </c>
      <c r="K961" s="259">
        <v>64815</v>
      </c>
      <c r="L961" s="259">
        <v>5185</v>
      </c>
      <c r="M961" s="259">
        <v>70000</v>
      </c>
      <c r="N961" s="118">
        <v>4.0999999999999986E-3</v>
      </c>
      <c r="O961" s="411" t="s">
        <v>1086</v>
      </c>
    </row>
    <row r="962" spans="1:15" ht="18" customHeight="1" x14ac:dyDescent="0.25">
      <c r="A962" s="115">
        <v>13</v>
      </c>
      <c r="B962" s="116" t="s">
        <v>112</v>
      </c>
      <c r="C962" s="115">
        <v>66</v>
      </c>
      <c r="D962" s="119" t="s">
        <v>91</v>
      </c>
      <c r="E962" s="119" t="s">
        <v>1186</v>
      </c>
      <c r="F962" s="116" t="s">
        <v>1085</v>
      </c>
      <c r="G962" s="280">
        <v>2</v>
      </c>
      <c r="H962" s="259">
        <v>11574</v>
      </c>
      <c r="I962" s="259">
        <v>23148</v>
      </c>
      <c r="J962" s="259">
        <v>0</v>
      </c>
      <c r="K962" s="259">
        <v>23148</v>
      </c>
      <c r="L962" s="259">
        <v>1852</v>
      </c>
      <c r="M962" s="259">
        <v>25000</v>
      </c>
      <c r="N962" s="118">
        <v>1.5E-3</v>
      </c>
      <c r="O962" s="411" t="s">
        <v>1086</v>
      </c>
    </row>
    <row r="963" spans="1:15" ht="18" customHeight="1" x14ac:dyDescent="0.25">
      <c r="A963" s="115">
        <v>13</v>
      </c>
      <c r="B963" s="116" t="s">
        <v>112</v>
      </c>
      <c r="C963" s="115">
        <v>121</v>
      </c>
      <c r="D963" s="119" t="s">
        <v>91</v>
      </c>
      <c r="E963" s="119" t="s">
        <v>1108</v>
      </c>
      <c r="F963" s="116" t="s">
        <v>1085</v>
      </c>
      <c r="G963" s="280">
        <v>19</v>
      </c>
      <c r="H963" s="259">
        <v>2778</v>
      </c>
      <c r="I963" s="259">
        <v>52778</v>
      </c>
      <c r="J963" s="259">
        <v>0</v>
      </c>
      <c r="K963" s="259">
        <v>52778</v>
      </c>
      <c r="L963" s="259">
        <v>4222</v>
      </c>
      <c r="M963" s="259">
        <v>57000</v>
      </c>
      <c r="N963" s="118">
        <v>3.3E-3</v>
      </c>
      <c r="O963" s="411" t="s">
        <v>1086</v>
      </c>
    </row>
    <row r="964" spans="1:15" ht="18" customHeight="1" x14ac:dyDescent="0.25">
      <c r="A964" s="115">
        <v>13</v>
      </c>
      <c r="B964" s="116" t="s">
        <v>112</v>
      </c>
      <c r="C964" s="115">
        <v>208</v>
      </c>
      <c r="D964" s="119" t="s">
        <v>91</v>
      </c>
      <c r="E964" s="119" t="s">
        <v>1109</v>
      </c>
      <c r="F964" s="116" t="s">
        <v>1085</v>
      </c>
      <c r="G964" s="280">
        <v>26</v>
      </c>
      <c r="H964" s="259">
        <v>3704</v>
      </c>
      <c r="I964" s="259">
        <v>96296</v>
      </c>
      <c r="J964" s="259">
        <v>0</v>
      </c>
      <c r="K964" s="259">
        <v>96296</v>
      </c>
      <c r="L964" s="259">
        <v>7704</v>
      </c>
      <c r="M964" s="259">
        <v>104000</v>
      </c>
      <c r="N964" s="118">
        <v>6.1000000000000004E-3</v>
      </c>
      <c r="O964" s="411" t="s">
        <v>1086</v>
      </c>
    </row>
    <row r="965" spans="1:15" ht="18" customHeight="1" x14ac:dyDescent="0.25">
      <c r="A965" s="115">
        <v>13</v>
      </c>
      <c r="B965" s="116" t="s">
        <v>112</v>
      </c>
      <c r="C965" s="115">
        <v>90</v>
      </c>
      <c r="D965" s="119" t="s">
        <v>91</v>
      </c>
      <c r="E965" s="119" t="s">
        <v>572</v>
      </c>
      <c r="F965" s="116" t="s">
        <v>1085</v>
      </c>
      <c r="G965" s="280">
        <v>2</v>
      </c>
      <c r="H965" s="259">
        <v>4259</v>
      </c>
      <c r="I965" s="259">
        <v>8519</v>
      </c>
      <c r="J965" s="259">
        <v>0</v>
      </c>
      <c r="K965" s="259">
        <v>8519</v>
      </c>
      <c r="L965" s="259">
        <v>681</v>
      </c>
      <c r="M965" s="259">
        <v>9200</v>
      </c>
      <c r="N965" s="118">
        <v>5.0000000000000001E-4</v>
      </c>
      <c r="O965" s="411" t="s">
        <v>1086</v>
      </c>
    </row>
    <row r="966" spans="1:15" ht="18" customHeight="1" x14ac:dyDescent="0.25">
      <c r="A966" s="115">
        <v>13</v>
      </c>
      <c r="B966" s="116" t="s">
        <v>112</v>
      </c>
      <c r="C966" s="115">
        <v>123</v>
      </c>
      <c r="D966" s="119" t="s">
        <v>91</v>
      </c>
      <c r="E966" s="119" t="s">
        <v>1110</v>
      </c>
      <c r="F966" s="116" t="s">
        <v>1085</v>
      </c>
      <c r="G966" s="280">
        <v>9</v>
      </c>
      <c r="H966" s="259">
        <v>2778</v>
      </c>
      <c r="I966" s="259">
        <v>25000</v>
      </c>
      <c r="J966" s="259">
        <v>0</v>
      </c>
      <c r="K966" s="259">
        <v>25000</v>
      </c>
      <c r="L966" s="259">
        <v>2000</v>
      </c>
      <c r="M966" s="259">
        <v>27000</v>
      </c>
      <c r="N966" s="118">
        <v>1.6000000000000001E-3</v>
      </c>
      <c r="O966" s="411" t="s">
        <v>1086</v>
      </c>
    </row>
    <row r="967" spans="1:15" ht="18" customHeight="1" x14ac:dyDescent="0.25">
      <c r="A967" s="115">
        <v>13</v>
      </c>
      <c r="B967" s="116" t="s">
        <v>112</v>
      </c>
      <c r="C967" s="115">
        <v>314</v>
      </c>
      <c r="D967" s="119" t="s">
        <v>87</v>
      </c>
      <c r="E967" s="119" t="s">
        <v>1152</v>
      </c>
      <c r="F967" s="116" t="s">
        <v>1085</v>
      </c>
      <c r="G967" s="280">
        <v>4</v>
      </c>
      <c r="H967" s="259">
        <v>4167</v>
      </c>
      <c r="I967" s="259">
        <v>16667</v>
      </c>
      <c r="J967" s="259">
        <v>0</v>
      </c>
      <c r="K967" s="259">
        <v>16667</v>
      </c>
      <c r="L967" s="259">
        <v>1333</v>
      </c>
      <c r="M967" s="259">
        <v>18000</v>
      </c>
      <c r="N967" s="118">
        <v>1.1000000000000001E-3</v>
      </c>
      <c r="O967" s="411" t="s">
        <v>1086</v>
      </c>
    </row>
    <row r="968" spans="1:15" ht="18" customHeight="1" x14ac:dyDescent="0.25">
      <c r="A968" s="115">
        <v>13</v>
      </c>
      <c r="B968" s="116" t="s">
        <v>112</v>
      </c>
      <c r="C968" s="115">
        <v>31</v>
      </c>
      <c r="D968" s="119" t="s">
        <v>95</v>
      </c>
      <c r="E968" s="119" t="s">
        <v>1111</v>
      </c>
      <c r="F968" s="116" t="s">
        <v>1085</v>
      </c>
      <c r="G968" s="280">
        <v>3</v>
      </c>
      <c r="H968" s="259">
        <v>1204</v>
      </c>
      <c r="I968" s="259">
        <v>3611</v>
      </c>
      <c r="J968" s="259">
        <v>0</v>
      </c>
      <c r="K968" s="259">
        <v>3611</v>
      </c>
      <c r="L968" s="259">
        <v>289</v>
      </c>
      <c r="M968" s="259">
        <v>3900</v>
      </c>
      <c r="N968" s="118">
        <v>2.0000000000000001E-4</v>
      </c>
      <c r="O968" s="411" t="s">
        <v>1086</v>
      </c>
    </row>
    <row r="969" spans="1:15" ht="18" customHeight="1" x14ac:dyDescent="0.25">
      <c r="A969" s="115">
        <v>13</v>
      </c>
      <c r="B969" s="116" t="s">
        <v>112</v>
      </c>
      <c r="C969" s="115">
        <v>201</v>
      </c>
      <c r="D969" s="119" t="s">
        <v>91</v>
      </c>
      <c r="E969" s="119" t="s">
        <v>1187</v>
      </c>
      <c r="F969" s="116" t="s">
        <v>1085</v>
      </c>
      <c r="G969" s="280">
        <v>1</v>
      </c>
      <c r="H969" s="259">
        <v>18519</v>
      </c>
      <c r="I969" s="259">
        <v>18519</v>
      </c>
      <c r="J969" s="259">
        <v>0</v>
      </c>
      <c r="K969" s="259">
        <v>18519</v>
      </c>
      <c r="L969" s="259">
        <v>1481</v>
      </c>
      <c r="M969" s="259">
        <v>20000</v>
      </c>
      <c r="N969" s="118">
        <v>1.1999999999999999E-3</v>
      </c>
      <c r="O969" s="411" t="s">
        <v>1086</v>
      </c>
    </row>
    <row r="970" spans="1:15" ht="18" customHeight="1" x14ac:dyDescent="0.25">
      <c r="A970" s="115">
        <v>13</v>
      </c>
      <c r="B970" s="116" t="s">
        <v>112</v>
      </c>
      <c r="C970" s="115">
        <v>202</v>
      </c>
      <c r="D970" s="119" t="s">
        <v>91</v>
      </c>
      <c r="E970" s="119" t="s">
        <v>1188</v>
      </c>
      <c r="F970" s="116" t="s">
        <v>1085</v>
      </c>
      <c r="G970" s="280">
        <v>1</v>
      </c>
      <c r="H970" s="259">
        <v>32407</v>
      </c>
      <c r="I970" s="259">
        <v>32407</v>
      </c>
      <c r="J970" s="259">
        <v>0</v>
      </c>
      <c r="K970" s="259">
        <v>32407</v>
      </c>
      <c r="L970" s="259">
        <v>2593</v>
      </c>
      <c r="M970" s="259">
        <v>35000</v>
      </c>
      <c r="N970" s="118">
        <v>2.0999999999999999E-3</v>
      </c>
      <c r="O970" s="411" t="s">
        <v>1086</v>
      </c>
    </row>
    <row r="971" spans="1:15" ht="18" customHeight="1" x14ac:dyDescent="0.25">
      <c r="A971" s="115">
        <v>13</v>
      </c>
      <c r="B971" s="116" t="s">
        <v>112</v>
      </c>
      <c r="C971" s="115">
        <v>212</v>
      </c>
      <c r="D971" s="119" t="s">
        <v>91</v>
      </c>
      <c r="E971" s="119" t="s">
        <v>162</v>
      </c>
      <c r="F971" s="116" t="s">
        <v>1085</v>
      </c>
      <c r="G971" s="280">
        <v>17</v>
      </c>
      <c r="H971" s="259">
        <v>22222</v>
      </c>
      <c r="I971" s="259">
        <v>377778</v>
      </c>
      <c r="J971" s="259">
        <v>0</v>
      </c>
      <c r="K971" s="259">
        <v>377778</v>
      </c>
      <c r="L971" s="259">
        <v>30222</v>
      </c>
      <c r="M971" s="259">
        <v>408000</v>
      </c>
      <c r="N971" s="118">
        <v>2.4E-2</v>
      </c>
      <c r="O971" s="411" t="s">
        <v>1086</v>
      </c>
    </row>
    <row r="972" spans="1:15" ht="18" customHeight="1" x14ac:dyDescent="0.25">
      <c r="A972" s="115">
        <v>13</v>
      </c>
      <c r="B972" s="116" t="s">
        <v>112</v>
      </c>
      <c r="C972" s="115">
        <v>74</v>
      </c>
      <c r="D972" s="119" t="s">
        <v>91</v>
      </c>
      <c r="E972" s="119" t="s">
        <v>1153</v>
      </c>
      <c r="F972" s="116" t="s">
        <v>1085</v>
      </c>
      <c r="G972" s="280">
        <v>11</v>
      </c>
      <c r="H972" s="259">
        <v>6481</v>
      </c>
      <c r="I972" s="259">
        <v>71296</v>
      </c>
      <c r="J972" s="259">
        <v>0</v>
      </c>
      <c r="K972" s="259">
        <v>71296</v>
      </c>
      <c r="L972" s="259">
        <v>5704</v>
      </c>
      <c r="M972" s="259">
        <v>77000</v>
      </c>
      <c r="N972" s="118">
        <v>4.5000000000000014E-3</v>
      </c>
      <c r="O972" s="411" t="s">
        <v>1086</v>
      </c>
    </row>
    <row r="973" spans="1:15" ht="18" customHeight="1" x14ac:dyDescent="0.25">
      <c r="A973" s="115">
        <v>13</v>
      </c>
      <c r="B973" s="116" t="s">
        <v>112</v>
      </c>
      <c r="C973" s="115">
        <v>306</v>
      </c>
      <c r="D973" s="119" t="s">
        <v>91</v>
      </c>
      <c r="E973" s="119" t="s">
        <v>1176</v>
      </c>
      <c r="F973" s="116" t="s">
        <v>1085</v>
      </c>
      <c r="G973" s="280">
        <v>2</v>
      </c>
      <c r="H973" s="259">
        <v>2315</v>
      </c>
      <c r="I973" s="259">
        <v>4630</v>
      </c>
      <c r="J973" s="259">
        <v>0</v>
      </c>
      <c r="K973" s="259">
        <v>4630</v>
      </c>
      <c r="L973" s="259">
        <v>370</v>
      </c>
      <c r="M973" s="259">
        <v>5000</v>
      </c>
      <c r="N973" s="118">
        <v>2.9999999999999997E-4</v>
      </c>
      <c r="O973" s="411" t="s">
        <v>1086</v>
      </c>
    </row>
    <row r="974" spans="1:15" ht="18" customHeight="1" x14ac:dyDescent="0.25">
      <c r="A974" s="115">
        <v>13</v>
      </c>
      <c r="B974" s="116" t="s">
        <v>112</v>
      </c>
      <c r="C974" s="115">
        <v>235</v>
      </c>
      <c r="D974" s="119" t="s">
        <v>91</v>
      </c>
      <c r="E974" s="119" t="s">
        <v>1154</v>
      </c>
      <c r="F974" s="116" t="s">
        <v>1085</v>
      </c>
      <c r="G974" s="280">
        <v>1</v>
      </c>
      <c r="H974" s="259">
        <v>3426</v>
      </c>
      <c r="I974" s="259">
        <v>3426</v>
      </c>
      <c r="J974" s="259">
        <v>0</v>
      </c>
      <c r="K974" s="259">
        <v>3426</v>
      </c>
      <c r="L974" s="259">
        <v>274</v>
      </c>
      <c r="M974" s="259">
        <v>3700</v>
      </c>
      <c r="N974" s="118">
        <v>2.0000000000000001E-4</v>
      </c>
      <c r="O974" s="411" t="s">
        <v>1086</v>
      </c>
    </row>
    <row r="975" spans="1:15" ht="18" customHeight="1" x14ac:dyDescent="0.25">
      <c r="A975" s="115">
        <v>13</v>
      </c>
      <c r="B975" s="116" t="s">
        <v>112</v>
      </c>
      <c r="C975" s="115">
        <v>134</v>
      </c>
      <c r="D975" s="119" t="s">
        <v>91</v>
      </c>
      <c r="E975" s="119" t="s">
        <v>1168</v>
      </c>
      <c r="F975" s="116" t="s">
        <v>1085</v>
      </c>
      <c r="G975" s="280">
        <v>4</v>
      </c>
      <c r="H975" s="259">
        <v>12963</v>
      </c>
      <c r="I975" s="259">
        <v>51852</v>
      </c>
      <c r="J975" s="259">
        <v>0</v>
      </c>
      <c r="K975" s="259">
        <v>51852</v>
      </c>
      <c r="L975" s="259">
        <v>4148</v>
      </c>
      <c r="M975" s="259">
        <v>56000</v>
      </c>
      <c r="N975" s="118">
        <v>3.3E-3</v>
      </c>
      <c r="O975" s="411" t="s">
        <v>1086</v>
      </c>
    </row>
    <row r="976" spans="1:15" ht="18" customHeight="1" x14ac:dyDescent="0.25">
      <c r="A976" s="115">
        <v>13</v>
      </c>
      <c r="B976" s="116" t="s">
        <v>112</v>
      </c>
      <c r="C976" s="115">
        <v>501</v>
      </c>
      <c r="D976" s="119" t="s">
        <v>91</v>
      </c>
      <c r="E976" s="119" t="s">
        <v>1112</v>
      </c>
      <c r="F976" s="116" t="s">
        <v>1085</v>
      </c>
      <c r="G976" s="280">
        <v>2</v>
      </c>
      <c r="H976" s="259">
        <v>22222</v>
      </c>
      <c r="I976" s="259">
        <v>44444</v>
      </c>
      <c r="J976" s="259">
        <v>0</v>
      </c>
      <c r="K976" s="259">
        <v>44444</v>
      </c>
      <c r="L976" s="259">
        <v>3556</v>
      </c>
      <c r="M976" s="259">
        <v>48000</v>
      </c>
      <c r="N976" s="118">
        <v>2.8E-3</v>
      </c>
      <c r="O976" s="411" t="s">
        <v>1086</v>
      </c>
    </row>
    <row r="977" spans="1:15" ht="18" customHeight="1" x14ac:dyDescent="0.25">
      <c r="A977" s="115">
        <v>13</v>
      </c>
      <c r="B977" s="116" t="s">
        <v>112</v>
      </c>
      <c r="C977" s="115">
        <v>75</v>
      </c>
      <c r="D977" s="119" t="s">
        <v>91</v>
      </c>
      <c r="E977" s="119" t="s">
        <v>1113</v>
      </c>
      <c r="F977" s="116" t="s">
        <v>1085</v>
      </c>
      <c r="G977" s="280">
        <v>3</v>
      </c>
      <c r="H977" s="259">
        <v>9259</v>
      </c>
      <c r="I977" s="259">
        <v>27778</v>
      </c>
      <c r="J977" s="259">
        <v>0</v>
      </c>
      <c r="K977" s="259">
        <v>27778</v>
      </c>
      <c r="L977" s="259">
        <v>2222</v>
      </c>
      <c r="M977" s="259">
        <v>30000</v>
      </c>
      <c r="N977" s="118">
        <v>1.8E-3</v>
      </c>
      <c r="O977" s="411" t="s">
        <v>1086</v>
      </c>
    </row>
    <row r="978" spans="1:15" ht="18" customHeight="1" x14ac:dyDescent="0.25">
      <c r="A978" s="115">
        <v>13</v>
      </c>
      <c r="B978" s="116" t="s">
        <v>112</v>
      </c>
      <c r="C978" s="115">
        <v>51</v>
      </c>
      <c r="D978" s="119" t="s">
        <v>87</v>
      </c>
      <c r="E978" s="119" t="s">
        <v>1189</v>
      </c>
      <c r="F978" s="116" t="s">
        <v>1085</v>
      </c>
      <c r="G978" s="280">
        <v>7</v>
      </c>
      <c r="H978" s="259">
        <v>29167</v>
      </c>
      <c r="I978" s="259">
        <v>204167</v>
      </c>
      <c r="J978" s="259">
        <v>0</v>
      </c>
      <c r="K978" s="259">
        <v>204167</v>
      </c>
      <c r="L978" s="259">
        <v>16333</v>
      </c>
      <c r="M978" s="259">
        <v>220500</v>
      </c>
      <c r="N978" s="118">
        <v>1.29E-2</v>
      </c>
      <c r="O978" s="411" t="s">
        <v>1086</v>
      </c>
    </row>
    <row r="979" spans="1:15" ht="18" customHeight="1" x14ac:dyDescent="0.25">
      <c r="A979" s="115">
        <v>13</v>
      </c>
      <c r="B979" s="116" t="s">
        <v>112</v>
      </c>
      <c r="C979" s="115">
        <v>88</v>
      </c>
      <c r="D979" s="119" t="s">
        <v>87</v>
      </c>
      <c r="E979" s="119" t="s">
        <v>132</v>
      </c>
      <c r="F979" s="116" t="s">
        <v>1085</v>
      </c>
      <c r="G979" s="280">
        <v>28</v>
      </c>
      <c r="H979" s="259">
        <v>32870</v>
      </c>
      <c r="I979" s="259">
        <v>920370</v>
      </c>
      <c r="J979" s="259">
        <v>0</v>
      </c>
      <c r="K979" s="259">
        <v>920370</v>
      </c>
      <c r="L979" s="259">
        <v>73630</v>
      </c>
      <c r="M979" s="259">
        <v>994000</v>
      </c>
      <c r="N979" s="118">
        <v>5.8400000000000001E-2</v>
      </c>
      <c r="O979" s="411" t="s">
        <v>1086</v>
      </c>
    </row>
    <row r="980" spans="1:15" ht="18" customHeight="1" x14ac:dyDescent="0.25">
      <c r="A980" s="115">
        <v>13</v>
      </c>
      <c r="B980" s="116" t="s">
        <v>112</v>
      </c>
      <c r="C980" s="115">
        <v>118</v>
      </c>
      <c r="D980" s="119" t="s">
        <v>87</v>
      </c>
      <c r="E980" s="119" t="s">
        <v>126</v>
      </c>
      <c r="F980" s="116" t="s">
        <v>1085</v>
      </c>
      <c r="G980" s="280">
        <v>12</v>
      </c>
      <c r="H980" s="259">
        <v>41667</v>
      </c>
      <c r="I980" s="259">
        <v>500000</v>
      </c>
      <c r="J980" s="259">
        <v>0</v>
      </c>
      <c r="K980" s="259">
        <v>500000</v>
      </c>
      <c r="L980" s="259">
        <v>40000</v>
      </c>
      <c r="M980" s="259">
        <v>540000</v>
      </c>
      <c r="N980" s="118">
        <v>3.1699999999999999E-2</v>
      </c>
      <c r="O980" s="411" t="s">
        <v>1086</v>
      </c>
    </row>
    <row r="981" spans="1:15" ht="18" customHeight="1" x14ac:dyDescent="0.25">
      <c r="A981" s="115">
        <v>13</v>
      </c>
      <c r="B981" s="116" t="s">
        <v>112</v>
      </c>
      <c r="C981" s="115">
        <v>205</v>
      </c>
      <c r="D981" s="119" t="s">
        <v>91</v>
      </c>
      <c r="E981" s="119" t="s">
        <v>1155</v>
      </c>
      <c r="F981" s="116" t="s">
        <v>1085</v>
      </c>
      <c r="G981" s="280">
        <v>2</v>
      </c>
      <c r="H981" s="259">
        <v>12037</v>
      </c>
      <c r="I981" s="259">
        <v>24074</v>
      </c>
      <c r="J981" s="259">
        <v>0</v>
      </c>
      <c r="K981" s="259">
        <v>24074</v>
      </c>
      <c r="L981" s="259">
        <v>1926</v>
      </c>
      <c r="M981" s="259">
        <v>26000</v>
      </c>
      <c r="N981" s="118">
        <v>1.5E-3</v>
      </c>
      <c r="O981" s="411" t="s">
        <v>1086</v>
      </c>
    </row>
    <row r="982" spans="1:15" ht="18" customHeight="1" x14ac:dyDescent="0.25">
      <c r="A982" s="115">
        <v>13</v>
      </c>
      <c r="B982" s="116" t="s">
        <v>112</v>
      </c>
      <c r="C982" s="115">
        <v>204</v>
      </c>
      <c r="D982" s="119" t="s">
        <v>91</v>
      </c>
      <c r="E982" s="119" t="s">
        <v>1114</v>
      </c>
      <c r="F982" s="116" t="s">
        <v>1085</v>
      </c>
      <c r="G982" s="280">
        <v>2</v>
      </c>
      <c r="H982" s="259">
        <v>12037</v>
      </c>
      <c r="I982" s="259">
        <v>24074</v>
      </c>
      <c r="J982" s="259">
        <v>0</v>
      </c>
      <c r="K982" s="259">
        <v>24074</v>
      </c>
      <c r="L982" s="259">
        <v>1926</v>
      </c>
      <c r="M982" s="259">
        <v>26000</v>
      </c>
      <c r="N982" s="118">
        <v>1.5E-3</v>
      </c>
      <c r="O982" s="411" t="s">
        <v>1086</v>
      </c>
    </row>
    <row r="983" spans="1:15" ht="18" customHeight="1" x14ac:dyDescent="0.25">
      <c r="A983" s="115">
        <v>13</v>
      </c>
      <c r="B983" s="116" t="s">
        <v>112</v>
      </c>
      <c r="C983" s="115">
        <v>109</v>
      </c>
      <c r="D983" s="119" t="s">
        <v>91</v>
      </c>
      <c r="E983" s="119" t="s">
        <v>144</v>
      </c>
      <c r="F983" s="116" t="s">
        <v>1085</v>
      </c>
      <c r="G983" s="280">
        <v>42</v>
      </c>
      <c r="H983" s="259">
        <v>12963</v>
      </c>
      <c r="I983" s="259">
        <v>544444</v>
      </c>
      <c r="J983" s="259">
        <v>0</v>
      </c>
      <c r="K983" s="259">
        <v>544444</v>
      </c>
      <c r="L983" s="259">
        <v>43556</v>
      </c>
      <c r="M983" s="259">
        <v>588000</v>
      </c>
      <c r="N983" s="118">
        <v>3.4500000000000003E-2</v>
      </c>
      <c r="O983" s="411" t="s">
        <v>1086</v>
      </c>
    </row>
    <row r="984" spans="1:15" ht="18" customHeight="1" x14ac:dyDescent="0.25">
      <c r="A984" s="115">
        <v>13</v>
      </c>
      <c r="B984" s="116" t="s">
        <v>112</v>
      </c>
      <c r="C984" s="115">
        <v>147</v>
      </c>
      <c r="D984" s="119" t="s">
        <v>91</v>
      </c>
      <c r="E984" s="119" t="s">
        <v>1115</v>
      </c>
      <c r="F984" s="116" t="s">
        <v>1085</v>
      </c>
      <c r="G984" s="280">
        <v>8</v>
      </c>
      <c r="H984" s="259">
        <v>6481</v>
      </c>
      <c r="I984" s="259">
        <v>51852</v>
      </c>
      <c r="J984" s="259">
        <v>0</v>
      </c>
      <c r="K984" s="259">
        <v>51852</v>
      </c>
      <c r="L984" s="259">
        <v>4148</v>
      </c>
      <c r="M984" s="259">
        <v>56000</v>
      </c>
      <c r="N984" s="118">
        <v>3.3E-3</v>
      </c>
      <c r="O984" s="411" t="s">
        <v>1086</v>
      </c>
    </row>
    <row r="985" spans="1:15" ht="18" customHeight="1" x14ac:dyDescent="0.25">
      <c r="A985" s="115">
        <v>13</v>
      </c>
      <c r="B985" s="116" t="s">
        <v>112</v>
      </c>
      <c r="C985" s="115">
        <v>46</v>
      </c>
      <c r="D985" s="119" t="s">
        <v>87</v>
      </c>
      <c r="E985" s="119" t="s">
        <v>1116</v>
      </c>
      <c r="F985" s="116" t="s">
        <v>1085</v>
      </c>
      <c r="G985" s="280">
        <v>1</v>
      </c>
      <c r="H985" s="259">
        <v>35648</v>
      </c>
      <c r="I985" s="259">
        <v>35648</v>
      </c>
      <c r="J985" s="259">
        <v>0</v>
      </c>
      <c r="K985" s="259">
        <v>35648</v>
      </c>
      <c r="L985" s="259">
        <v>2852</v>
      </c>
      <c r="M985" s="259">
        <v>38500</v>
      </c>
      <c r="N985" s="118">
        <v>2.3E-3</v>
      </c>
      <c r="O985" s="411" t="s">
        <v>1086</v>
      </c>
    </row>
    <row r="986" spans="1:15" ht="18" customHeight="1" x14ac:dyDescent="0.25">
      <c r="A986" s="115">
        <v>13</v>
      </c>
      <c r="B986" s="116" t="s">
        <v>112</v>
      </c>
      <c r="C986" s="115">
        <v>72</v>
      </c>
      <c r="D986" s="119" t="s">
        <v>97</v>
      </c>
      <c r="E986" s="119" t="s">
        <v>1117</v>
      </c>
      <c r="F986" s="116" t="s">
        <v>1085</v>
      </c>
      <c r="G986" s="280">
        <v>19</v>
      </c>
      <c r="H986" s="259">
        <v>3704</v>
      </c>
      <c r="I986" s="259">
        <v>70370</v>
      </c>
      <c r="J986" s="259">
        <v>0</v>
      </c>
      <c r="K986" s="259">
        <v>70370</v>
      </c>
      <c r="L986" s="259">
        <v>5630</v>
      </c>
      <c r="M986" s="259">
        <v>76000</v>
      </c>
      <c r="N986" s="118">
        <v>4.5000000000000014E-3</v>
      </c>
      <c r="O986" s="411" t="s">
        <v>1086</v>
      </c>
    </row>
    <row r="987" spans="1:15" ht="18" customHeight="1" x14ac:dyDescent="0.25">
      <c r="A987" s="115">
        <v>13</v>
      </c>
      <c r="B987" s="116" t="s">
        <v>112</v>
      </c>
      <c r="C987" s="115">
        <v>112</v>
      </c>
      <c r="D987" s="119" t="s">
        <v>87</v>
      </c>
      <c r="E987" s="119" t="s">
        <v>1118</v>
      </c>
      <c r="F987" s="116" t="s">
        <v>1085</v>
      </c>
      <c r="G987" s="280">
        <v>6</v>
      </c>
      <c r="H987" s="259">
        <v>41667</v>
      </c>
      <c r="I987" s="259">
        <v>250000</v>
      </c>
      <c r="J987" s="259">
        <v>0</v>
      </c>
      <c r="K987" s="259">
        <v>250000</v>
      </c>
      <c r="L987" s="259">
        <v>20000</v>
      </c>
      <c r="M987" s="259">
        <v>270000</v>
      </c>
      <c r="N987" s="118">
        <v>1.5900000000000001E-2</v>
      </c>
      <c r="O987" s="411" t="s">
        <v>1086</v>
      </c>
    </row>
    <row r="988" spans="1:15" ht="18" customHeight="1" x14ac:dyDescent="0.25">
      <c r="A988" s="115">
        <v>13</v>
      </c>
      <c r="B988" s="116" t="s">
        <v>112</v>
      </c>
      <c r="C988" s="115">
        <v>227</v>
      </c>
      <c r="D988" s="119" t="s">
        <v>87</v>
      </c>
      <c r="E988" s="119" t="s">
        <v>1169</v>
      </c>
      <c r="F988" s="116" t="s">
        <v>1085</v>
      </c>
      <c r="G988" s="280">
        <v>11</v>
      </c>
      <c r="H988" s="259">
        <v>1389</v>
      </c>
      <c r="I988" s="259">
        <v>15278</v>
      </c>
      <c r="J988" s="259">
        <v>0</v>
      </c>
      <c r="K988" s="259">
        <v>15278</v>
      </c>
      <c r="L988" s="259">
        <v>1222</v>
      </c>
      <c r="M988" s="259">
        <v>16500</v>
      </c>
      <c r="N988" s="118">
        <v>1E-3</v>
      </c>
      <c r="O988" s="411" t="s">
        <v>1086</v>
      </c>
    </row>
    <row r="989" spans="1:15" ht="18" customHeight="1" x14ac:dyDescent="0.25">
      <c r="A989" s="115">
        <v>13</v>
      </c>
      <c r="B989" s="116" t="s">
        <v>112</v>
      </c>
      <c r="C989" s="115">
        <v>119</v>
      </c>
      <c r="D989" s="119" t="s">
        <v>89</v>
      </c>
      <c r="E989" s="119" t="s">
        <v>114</v>
      </c>
      <c r="F989" s="116" t="s">
        <v>1085</v>
      </c>
      <c r="G989" s="280">
        <v>31</v>
      </c>
      <c r="H989" s="259">
        <v>44444</v>
      </c>
      <c r="I989" s="259">
        <v>1377778</v>
      </c>
      <c r="J989" s="259">
        <v>0</v>
      </c>
      <c r="K989" s="259">
        <v>1377778</v>
      </c>
      <c r="L989" s="259">
        <v>110222</v>
      </c>
      <c r="M989" s="259">
        <v>1488000</v>
      </c>
      <c r="N989" s="118">
        <v>8.7400000000000005E-2</v>
      </c>
      <c r="O989" s="411" t="s">
        <v>1086</v>
      </c>
    </row>
    <row r="990" spans="1:15" ht="18" customHeight="1" x14ac:dyDescent="0.25">
      <c r="A990" s="115">
        <v>13</v>
      </c>
      <c r="B990" s="116" t="s">
        <v>112</v>
      </c>
      <c r="C990" s="115">
        <v>21</v>
      </c>
      <c r="D990" s="119" t="s">
        <v>95</v>
      </c>
      <c r="E990" s="119" t="s">
        <v>1202</v>
      </c>
      <c r="F990" s="116" t="s">
        <v>1085</v>
      </c>
      <c r="G990" s="280">
        <v>3</v>
      </c>
      <c r="H990" s="259">
        <v>7407</v>
      </c>
      <c r="I990" s="259">
        <v>22222</v>
      </c>
      <c r="J990" s="259">
        <v>0</v>
      </c>
      <c r="K990" s="259">
        <v>22222</v>
      </c>
      <c r="L990" s="259">
        <v>1778</v>
      </c>
      <c r="M990" s="259">
        <v>24000</v>
      </c>
      <c r="N990" s="118">
        <v>1.4E-3</v>
      </c>
      <c r="O990" s="411" t="s">
        <v>1086</v>
      </c>
    </row>
    <row r="991" spans="1:15" ht="18" customHeight="1" x14ac:dyDescent="0.25">
      <c r="A991" s="115">
        <v>13</v>
      </c>
      <c r="B991" s="116" t="s">
        <v>112</v>
      </c>
      <c r="C991" s="115">
        <v>19</v>
      </c>
      <c r="D991" s="119" t="s">
        <v>87</v>
      </c>
      <c r="E991" s="119" t="s">
        <v>1120</v>
      </c>
      <c r="F991" s="116" t="s">
        <v>1085</v>
      </c>
      <c r="G991" s="280">
        <v>3</v>
      </c>
      <c r="H991" s="259">
        <v>9259</v>
      </c>
      <c r="I991" s="259">
        <v>27778</v>
      </c>
      <c r="J991" s="259">
        <v>0</v>
      </c>
      <c r="K991" s="259">
        <v>27778</v>
      </c>
      <c r="L991" s="259">
        <v>2222</v>
      </c>
      <c r="M991" s="259">
        <v>30000</v>
      </c>
      <c r="N991" s="118">
        <v>1.8E-3</v>
      </c>
      <c r="O991" s="411" t="s">
        <v>1086</v>
      </c>
    </row>
    <row r="992" spans="1:15" ht="18" customHeight="1" x14ac:dyDescent="0.25">
      <c r="A992" s="115">
        <v>13</v>
      </c>
      <c r="B992" s="116" t="s">
        <v>112</v>
      </c>
      <c r="C992" s="115">
        <v>20</v>
      </c>
      <c r="D992" s="119" t="s">
        <v>87</v>
      </c>
      <c r="E992" s="119" t="s">
        <v>1170</v>
      </c>
      <c r="F992" s="116" t="s">
        <v>1085</v>
      </c>
      <c r="G992" s="280">
        <v>1</v>
      </c>
      <c r="H992" s="259">
        <v>6481</v>
      </c>
      <c r="I992" s="259">
        <v>6481</v>
      </c>
      <c r="J992" s="259">
        <v>0</v>
      </c>
      <c r="K992" s="259">
        <v>6481</v>
      </c>
      <c r="L992" s="259">
        <v>519</v>
      </c>
      <c r="M992" s="259">
        <v>7000</v>
      </c>
      <c r="N992" s="118">
        <v>4.0000000000000002E-4</v>
      </c>
      <c r="O992" s="411" t="s">
        <v>1086</v>
      </c>
    </row>
    <row r="993" spans="1:15" ht="18" customHeight="1" x14ac:dyDescent="0.25">
      <c r="A993" s="115">
        <v>13</v>
      </c>
      <c r="B993" s="116" t="s">
        <v>112</v>
      </c>
      <c r="C993" s="115">
        <v>48</v>
      </c>
      <c r="D993" s="119" t="s">
        <v>87</v>
      </c>
      <c r="E993" s="119" t="s">
        <v>1190</v>
      </c>
      <c r="F993" s="116" t="s">
        <v>1085</v>
      </c>
      <c r="G993" s="280">
        <v>1</v>
      </c>
      <c r="H993" s="259">
        <v>129630</v>
      </c>
      <c r="I993" s="259">
        <v>129630</v>
      </c>
      <c r="J993" s="259">
        <v>0</v>
      </c>
      <c r="K993" s="259">
        <v>129630</v>
      </c>
      <c r="L993" s="259">
        <v>10370</v>
      </c>
      <c r="M993" s="259">
        <v>140000</v>
      </c>
      <c r="N993" s="118">
        <v>8.199999999999999E-3</v>
      </c>
      <c r="O993" s="411" t="s">
        <v>1086</v>
      </c>
    </row>
    <row r="994" spans="1:15" ht="18" customHeight="1" x14ac:dyDescent="0.25">
      <c r="A994" s="115">
        <v>13</v>
      </c>
      <c r="B994" s="116" t="s">
        <v>112</v>
      </c>
      <c r="C994" s="115">
        <v>47</v>
      </c>
      <c r="D994" s="119" t="s">
        <v>87</v>
      </c>
      <c r="E994" s="119" t="s">
        <v>1191</v>
      </c>
      <c r="F994" s="116" t="s">
        <v>1085</v>
      </c>
      <c r="G994" s="280">
        <v>1</v>
      </c>
      <c r="H994" s="259">
        <v>64815</v>
      </c>
      <c r="I994" s="259">
        <v>64815</v>
      </c>
      <c r="J994" s="259">
        <v>0</v>
      </c>
      <c r="K994" s="259">
        <v>64815</v>
      </c>
      <c r="L994" s="259">
        <v>5185</v>
      </c>
      <c r="M994" s="259">
        <v>70000</v>
      </c>
      <c r="N994" s="118">
        <v>4.0999999999999986E-3</v>
      </c>
      <c r="O994" s="411" t="s">
        <v>1086</v>
      </c>
    </row>
    <row r="995" spans="1:15" ht="18" customHeight="1" x14ac:dyDescent="0.25">
      <c r="A995" s="115">
        <v>13</v>
      </c>
      <c r="B995" s="116" t="s">
        <v>112</v>
      </c>
      <c r="C995" s="115">
        <v>77</v>
      </c>
      <c r="D995" s="119" t="s">
        <v>87</v>
      </c>
      <c r="E995" s="119" t="s">
        <v>1121</v>
      </c>
      <c r="F995" s="116" t="s">
        <v>1085</v>
      </c>
      <c r="G995" s="280">
        <v>2</v>
      </c>
      <c r="H995" s="259">
        <v>2778</v>
      </c>
      <c r="I995" s="259">
        <v>5556</v>
      </c>
      <c r="J995" s="259">
        <v>0</v>
      </c>
      <c r="K995" s="259">
        <v>5556</v>
      </c>
      <c r="L995" s="259">
        <v>444</v>
      </c>
      <c r="M995" s="259">
        <v>6000</v>
      </c>
      <c r="N995" s="118">
        <v>4.0000000000000002E-4</v>
      </c>
      <c r="O995" s="411" t="s">
        <v>1086</v>
      </c>
    </row>
    <row r="996" spans="1:15" ht="18" customHeight="1" x14ac:dyDescent="0.25">
      <c r="A996" s="115">
        <v>13</v>
      </c>
      <c r="B996" s="116" t="s">
        <v>112</v>
      </c>
      <c r="C996" s="115">
        <v>111</v>
      </c>
      <c r="D996" s="119" t="s">
        <v>87</v>
      </c>
      <c r="E996" s="119" t="s">
        <v>1192</v>
      </c>
      <c r="F996" s="116" t="s">
        <v>1085</v>
      </c>
      <c r="G996" s="280">
        <v>0</v>
      </c>
      <c r="H996" s="259">
        <v>0</v>
      </c>
      <c r="I996" s="259">
        <v>0</v>
      </c>
      <c r="J996" s="259">
        <v>0</v>
      </c>
      <c r="K996" s="259">
        <v>0</v>
      </c>
      <c r="L996" s="259">
        <v>0</v>
      </c>
      <c r="M996" s="259">
        <v>0</v>
      </c>
      <c r="N996" s="118">
        <v>0</v>
      </c>
      <c r="O996" s="411" t="s">
        <v>1086</v>
      </c>
    </row>
    <row r="997" spans="1:15" ht="18" customHeight="1" x14ac:dyDescent="0.25">
      <c r="A997" s="115">
        <v>13</v>
      </c>
      <c r="B997" s="116" t="s">
        <v>112</v>
      </c>
      <c r="C997" s="115">
        <v>81</v>
      </c>
      <c r="D997" s="119" t="s">
        <v>95</v>
      </c>
      <c r="E997" s="119" t="s">
        <v>1123</v>
      </c>
      <c r="F997" s="116" t="s">
        <v>1085</v>
      </c>
      <c r="G997" s="280">
        <v>1</v>
      </c>
      <c r="H997" s="259">
        <v>1389</v>
      </c>
      <c r="I997" s="259">
        <v>1389</v>
      </c>
      <c r="J997" s="259">
        <v>0</v>
      </c>
      <c r="K997" s="259">
        <v>1389</v>
      </c>
      <c r="L997" s="259">
        <v>111</v>
      </c>
      <c r="M997" s="259">
        <v>1500</v>
      </c>
      <c r="N997" s="118">
        <v>1E-4</v>
      </c>
      <c r="O997" s="411" t="s">
        <v>1086</v>
      </c>
    </row>
    <row r="998" spans="1:15" ht="18" customHeight="1" x14ac:dyDescent="0.25">
      <c r="A998" s="115">
        <v>13</v>
      </c>
      <c r="B998" s="116" t="s">
        <v>112</v>
      </c>
      <c r="C998" s="115">
        <v>86</v>
      </c>
      <c r="D998" s="119" t="s">
        <v>95</v>
      </c>
      <c r="E998" s="119" t="s">
        <v>1124</v>
      </c>
      <c r="F998" s="116" t="s">
        <v>1085</v>
      </c>
      <c r="G998" s="280">
        <v>5</v>
      </c>
      <c r="H998" s="259">
        <v>3241</v>
      </c>
      <c r="I998" s="259">
        <v>16204</v>
      </c>
      <c r="J998" s="259">
        <v>0</v>
      </c>
      <c r="K998" s="259">
        <v>16204</v>
      </c>
      <c r="L998" s="259">
        <v>1296</v>
      </c>
      <c r="M998" s="259">
        <v>17500</v>
      </c>
      <c r="N998" s="118">
        <v>1E-3</v>
      </c>
      <c r="O998" s="411" t="s">
        <v>1086</v>
      </c>
    </row>
    <row r="999" spans="1:15" ht="18" customHeight="1" x14ac:dyDescent="0.25">
      <c r="A999" s="115">
        <v>13</v>
      </c>
      <c r="B999" s="116" t="s">
        <v>112</v>
      </c>
      <c r="C999" s="115">
        <v>91</v>
      </c>
      <c r="D999" s="119" t="s">
        <v>95</v>
      </c>
      <c r="E999" s="119" t="s">
        <v>1193</v>
      </c>
      <c r="F999" s="116" t="s">
        <v>1085</v>
      </c>
      <c r="G999" s="280">
        <v>1</v>
      </c>
      <c r="H999" s="259">
        <v>11111</v>
      </c>
      <c r="I999" s="259">
        <v>11111</v>
      </c>
      <c r="J999" s="259">
        <v>0</v>
      </c>
      <c r="K999" s="259">
        <v>11111</v>
      </c>
      <c r="L999" s="259">
        <v>889</v>
      </c>
      <c r="M999" s="259">
        <v>12000</v>
      </c>
      <c r="N999" s="118">
        <v>7.000000000000001E-4</v>
      </c>
      <c r="O999" s="411" t="s">
        <v>1086</v>
      </c>
    </row>
    <row r="1000" spans="1:15" ht="18" customHeight="1" x14ac:dyDescent="0.25">
      <c r="A1000" s="115">
        <v>13</v>
      </c>
      <c r="B1000" s="116" t="s">
        <v>112</v>
      </c>
      <c r="C1000" s="115">
        <v>63</v>
      </c>
      <c r="D1000" s="119" t="s">
        <v>95</v>
      </c>
      <c r="E1000" s="119" t="s">
        <v>1182</v>
      </c>
      <c r="F1000" s="116" t="s">
        <v>1085</v>
      </c>
      <c r="G1000" s="280">
        <v>1</v>
      </c>
      <c r="H1000" s="259">
        <v>3704</v>
      </c>
      <c r="I1000" s="259">
        <v>3704</v>
      </c>
      <c r="J1000" s="259">
        <v>0</v>
      </c>
      <c r="K1000" s="259">
        <v>3704</v>
      </c>
      <c r="L1000" s="259">
        <v>296</v>
      </c>
      <c r="M1000" s="259">
        <v>4000</v>
      </c>
      <c r="N1000" s="118">
        <v>2.0000000000000001E-4</v>
      </c>
      <c r="O1000" s="411" t="s">
        <v>1086</v>
      </c>
    </row>
    <row r="1001" spans="1:15" ht="18" customHeight="1" x14ac:dyDescent="0.25">
      <c r="A1001" s="115">
        <v>13</v>
      </c>
      <c r="B1001" s="116" t="s">
        <v>112</v>
      </c>
      <c r="C1001" s="115">
        <v>79</v>
      </c>
      <c r="D1001" s="119" t="s">
        <v>95</v>
      </c>
      <c r="E1001" s="119" t="s">
        <v>1127</v>
      </c>
      <c r="F1001" s="116" t="s">
        <v>1085</v>
      </c>
      <c r="G1001" s="280">
        <v>6</v>
      </c>
      <c r="H1001" s="259">
        <v>6481</v>
      </c>
      <c r="I1001" s="259">
        <v>38889</v>
      </c>
      <c r="J1001" s="259">
        <v>0</v>
      </c>
      <c r="K1001" s="259">
        <v>38889</v>
      </c>
      <c r="L1001" s="259">
        <v>3111</v>
      </c>
      <c r="M1001" s="259">
        <v>42000</v>
      </c>
      <c r="N1001" s="118">
        <v>2.5000000000000001E-3</v>
      </c>
      <c r="O1001" s="411" t="s">
        <v>1086</v>
      </c>
    </row>
    <row r="1002" spans="1:15" ht="18" customHeight="1" x14ac:dyDescent="0.25">
      <c r="A1002" s="115">
        <v>13</v>
      </c>
      <c r="B1002" s="116" t="s">
        <v>112</v>
      </c>
      <c r="C1002" s="115">
        <v>62</v>
      </c>
      <c r="D1002" s="119" t="s">
        <v>95</v>
      </c>
      <c r="E1002" s="119" t="s">
        <v>1128</v>
      </c>
      <c r="F1002" s="116" t="s">
        <v>1085</v>
      </c>
      <c r="G1002" s="280">
        <v>3</v>
      </c>
      <c r="H1002" s="259">
        <v>6944</v>
      </c>
      <c r="I1002" s="259">
        <v>20833</v>
      </c>
      <c r="J1002" s="259">
        <v>0</v>
      </c>
      <c r="K1002" s="259">
        <v>20833</v>
      </c>
      <c r="L1002" s="259">
        <v>1667</v>
      </c>
      <c r="M1002" s="259">
        <v>22500</v>
      </c>
      <c r="N1002" s="118">
        <v>1.2999999999999999E-3</v>
      </c>
      <c r="O1002" s="411" t="s">
        <v>1086</v>
      </c>
    </row>
    <row r="1003" spans="1:15" ht="18" customHeight="1" x14ac:dyDescent="0.25">
      <c r="A1003" s="115">
        <v>13</v>
      </c>
      <c r="B1003" s="116" t="s">
        <v>112</v>
      </c>
      <c r="C1003" s="115">
        <v>219</v>
      </c>
      <c r="D1003" s="119" t="s">
        <v>87</v>
      </c>
      <c r="E1003" s="119" t="s">
        <v>150</v>
      </c>
      <c r="F1003" s="116" t="s">
        <v>1085</v>
      </c>
      <c r="G1003" s="280">
        <v>6</v>
      </c>
      <c r="H1003" s="259">
        <v>69444</v>
      </c>
      <c r="I1003" s="259">
        <v>416667</v>
      </c>
      <c r="J1003" s="259">
        <v>0</v>
      </c>
      <c r="K1003" s="259">
        <v>416667</v>
      </c>
      <c r="L1003" s="259">
        <v>33333</v>
      </c>
      <c r="M1003" s="259">
        <v>450000</v>
      </c>
      <c r="N1003" s="118">
        <v>2.64E-2</v>
      </c>
      <c r="O1003" s="411" t="s">
        <v>1086</v>
      </c>
    </row>
    <row r="1004" spans="1:15" ht="18" customHeight="1" x14ac:dyDescent="0.25">
      <c r="A1004" s="115">
        <v>13</v>
      </c>
      <c r="B1004" s="116" t="s">
        <v>112</v>
      </c>
      <c r="C1004" s="115">
        <v>220</v>
      </c>
      <c r="D1004" s="119" t="s">
        <v>87</v>
      </c>
      <c r="E1004" s="119" t="s">
        <v>1195</v>
      </c>
      <c r="F1004" s="116" t="s">
        <v>1085</v>
      </c>
      <c r="G1004" s="280">
        <v>3</v>
      </c>
      <c r="H1004" s="259">
        <v>69444</v>
      </c>
      <c r="I1004" s="259">
        <v>208333</v>
      </c>
      <c r="J1004" s="259">
        <v>0</v>
      </c>
      <c r="K1004" s="259">
        <v>208333</v>
      </c>
      <c r="L1004" s="259">
        <v>16667</v>
      </c>
      <c r="M1004" s="259">
        <v>225000</v>
      </c>
      <c r="N1004" s="118">
        <v>1.32E-2</v>
      </c>
      <c r="O1004" s="411" t="s">
        <v>1086</v>
      </c>
    </row>
    <row r="1005" spans="1:15" ht="18" customHeight="1" x14ac:dyDescent="0.25">
      <c r="A1005" s="115">
        <v>13</v>
      </c>
      <c r="B1005" s="116" t="s">
        <v>112</v>
      </c>
      <c r="C1005" s="115">
        <v>140</v>
      </c>
      <c r="D1005" s="119" t="s">
        <v>87</v>
      </c>
      <c r="E1005" s="119" t="s">
        <v>1131</v>
      </c>
      <c r="F1005" s="116" t="s">
        <v>1085</v>
      </c>
      <c r="G1005" s="280">
        <v>3</v>
      </c>
      <c r="H1005" s="259">
        <v>90741</v>
      </c>
      <c r="I1005" s="259">
        <v>272222</v>
      </c>
      <c r="J1005" s="259">
        <v>0</v>
      </c>
      <c r="K1005" s="259">
        <v>272222</v>
      </c>
      <c r="L1005" s="259">
        <v>21778</v>
      </c>
      <c r="M1005" s="259">
        <v>294000</v>
      </c>
      <c r="N1005" s="118">
        <v>1.7299999999999999E-2</v>
      </c>
      <c r="O1005" s="411" t="s">
        <v>1086</v>
      </c>
    </row>
    <row r="1006" spans="1:15" ht="18" customHeight="1" x14ac:dyDescent="0.25">
      <c r="A1006" s="115">
        <v>13</v>
      </c>
      <c r="B1006" s="116" t="s">
        <v>112</v>
      </c>
      <c r="C1006" s="115">
        <v>221</v>
      </c>
      <c r="D1006" s="119" t="s">
        <v>87</v>
      </c>
      <c r="E1006" s="119" t="s">
        <v>1132</v>
      </c>
      <c r="F1006" s="116" t="s">
        <v>1085</v>
      </c>
      <c r="G1006" s="280">
        <v>4</v>
      </c>
      <c r="H1006" s="259">
        <v>54167</v>
      </c>
      <c r="I1006" s="259">
        <v>216667</v>
      </c>
      <c r="J1006" s="259">
        <v>0</v>
      </c>
      <c r="K1006" s="259">
        <v>216667</v>
      </c>
      <c r="L1006" s="259">
        <v>17333</v>
      </c>
      <c r="M1006" s="259">
        <v>234000</v>
      </c>
      <c r="N1006" s="118">
        <v>1.37E-2</v>
      </c>
      <c r="O1006" s="411" t="s">
        <v>1086</v>
      </c>
    </row>
    <row r="1007" spans="1:15" ht="18" customHeight="1" x14ac:dyDescent="0.25">
      <c r="A1007" s="115">
        <v>13</v>
      </c>
      <c r="B1007" s="116" t="s">
        <v>112</v>
      </c>
      <c r="C1007" s="115">
        <v>224</v>
      </c>
      <c r="D1007" s="119" t="s">
        <v>87</v>
      </c>
      <c r="E1007" s="119" t="s">
        <v>1172</v>
      </c>
      <c r="F1007" s="116" t="s">
        <v>1085</v>
      </c>
      <c r="G1007" s="280">
        <v>3</v>
      </c>
      <c r="H1007" s="259">
        <v>62500</v>
      </c>
      <c r="I1007" s="259">
        <v>187500</v>
      </c>
      <c r="J1007" s="259">
        <v>0</v>
      </c>
      <c r="K1007" s="259">
        <v>187500</v>
      </c>
      <c r="L1007" s="259">
        <v>15000</v>
      </c>
      <c r="M1007" s="259">
        <v>202500</v>
      </c>
      <c r="N1007" s="118">
        <v>1.1900000000000001E-2</v>
      </c>
      <c r="O1007" s="411" t="s">
        <v>1086</v>
      </c>
    </row>
    <row r="1008" spans="1:15" ht="18" customHeight="1" x14ac:dyDescent="0.25">
      <c r="A1008" s="115">
        <v>13</v>
      </c>
      <c r="B1008" s="116" t="s">
        <v>112</v>
      </c>
      <c r="C1008" s="115">
        <v>225</v>
      </c>
      <c r="D1008" s="119" t="s">
        <v>87</v>
      </c>
      <c r="E1008" s="119" t="s">
        <v>1196</v>
      </c>
      <c r="F1008" s="116" t="s">
        <v>1085</v>
      </c>
      <c r="G1008" s="280">
        <v>1</v>
      </c>
      <c r="H1008" s="259">
        <v>62500</v>
      </c>
      <c r="I1008" s="259">
        <v>62500</v>
      </c>
      <c r="J1008" s="259">
        <v>0</v>
      </c>
      <c r="K1008" s="259">
        <v>62500</v>
      </c>
      <c r="L1008" s="259">
        <v>5000</v>
      </c>
      <c r="M1008" s="259">
        <v>67500</v>
      </c>
      <c r="N1008" s="118">
        <v>4.0000000000000001E-3</v>
      </c>
      <c r="O1008" s="411" t="s">
        <v>1086</v>
      </c>
    </row>
    <row r="1009" spans="1:15" ht="18" customHeight="1" x14ac:dyDescent="0.25">
      <c r="A1009" s="115">
        <v>13</v>
      </c>
      <c r="B1009" s="116" t="s">
        <v>112</v>
      </c>
      <c r="C1009" s="115">
        <v>226</v>
      </c>
      <c r="D1009" s="119" t="s">
        <v>87</v>
      </c>
      <c r="E1009" s="119" t="s">
        <v>1183</v>
      </c>
      <c r="F1009" s="116" t="s">
        <v>1085</v>
      </c>
      <c r="G1009" s="280">
        <v>1</v>
      </c>
      <c r="H1009" s="259">
        <v>90741</v>
      </c>
      <c r="I1009" s="259">
        <v>90741</v>
      </c>
      <c r="J1009" s="259">
        <v>0</v>
      </c>
      <c r="K1009" s="259">
        <v>90741</v>
      </c>
      <c r="L1009" s="259">
        <v>7259</v>
      </c>
      <c r="M1009" s="259">
        <v>98000</v>
      </c>
      <c r="N1009" s="118">
        <v>5.7999999999999996E-3</v>
      </c>
      <c r="O1009" s="411" t="s">
        <v>1086</v>
      </c>
    </row>
    <row r="1010" spans="1:15" ht="18" customHeight="1" x14ac:dyDescent="0.25">
      <c r="A1010" s="115">
        <v>13</v>
      </c>
      <c r="B1010" s="116" t="s">
        <v>112</v>
      </c>
      <c r="C1010" s="115">
        <v>222</v>
      </c>
      <c r="D1010" s="119" t="s">
        <v>93</v>
      </c>
      <c r="E1010" s="119" t="s">
        <v>1133</v>
      </c>
      <c r="F1010" s="116" t="s">
        <v>1085</v>
      </c>
      <c r="G1010" s="280">
        <v>3</v>
      </c>
      <c r="H1010" s="259">
        <v>63426</v>
      </c>
      <c r="I1010" s="259">
        <v>190278</v>
      </c>
      <c r="J1010" s="259">
        <v>0</v>
      </c>
      <c r="K1010" s="259">
        <v>190278</v>
      </c>
      <c r="L1010" s="259">
        <v>15222</v>
      </c>
      <c r="M1010" s="259">
        <v>205500</v>
      </c>
      <c r="N1010" s="118">
        <v>1.21E-2</v>
      </c>
      <c r="O1010" s="411" t="s">
        <v>1086</v>
      </c>
    </row>
    <row r="1011" spans="1:15" ht="18" customHeight="1" x14ac:dyDescent="0.25">
      <c r="A1011" s="115">
        <v>13</v>
      </c>
      <c r="B1011" s="116" t="s">
        <v>112</v>
      </c>
      <c r="C1011" s="115">
        <v>223</v>
      </c>
      <c r="D1011" s="119" t="s">
        <v>87</v>
      </c>
      <c r="E1011" s="119" t="s">
        <v>141</v>
      </c>
      <c r="F1011" s="116" t="s">
        <v>1085</v>
      </c>
      <c r="G1011" s="280">
        <v>7</v>
      </c>
      <c r="H1011" s="259">
        <v>69444</v>
      </c>
      <c r="I1011" s="259">
        <v>486111</v>
      </c>
      <c r="J1011" s="259">
        <v>0</v>
      </c>
      <c r="K1011" s="259">
        <v>486111</v>
      </c>
      <c r="L1011" s="259">
        <v>38889</v>
      </c>
      <c r="M1011" s="259">
        <v>525000</v>
      </c>
      <c r="N1011" s="118">
        <v>3.0800000000000001E-2</v>
      </c>
      <c r="O1011" s="411" t="s">
        <v>1086</v>
      </c>
    </row>
    <row r="1012" spans="1:15" ht="18" customHeight="1" x14ac:dyDescent="0.25">
      <c r="A1012" s="115">
        <v>13</v>
      </c>
      <c r="B1012" s="116" t="s">
        <v>112</v>
      </c>
      <c r="C1012" s="115">
        <v>229</v>
      </c>
      <c r="D1012" s="119" t="s">
        <v>87</v>
      </c>
      <c r="E1012" s="119" t="s">
        <v>1197</v>
      </c>
      <c r="F1012" s="116" t="s">
        <v>1085</v>
      </c>
      <c r="G1012" s="280">
        <v>2</v>
      </c>
      <c r="H1012" s="259">
        <v>66204</v>
      </c>
      <c r="I1012" s="259">
        <v>132407</v>
      </c>
      <c r="J1012" s="259">
        <v>0</v>
      </c>
      <c r="K1012" s="259">
        <v>132407</v>
      </c>
      <c r="L1012" s="259">
        <v>10593</v>
      </c>
      <c r="M1012" s="259">
        <v>143000</v>
      </c>
      <c r="N1012" s="118">
        <v>8.3999999999999995E-3</v>
      </c>
      <c r="O1012" s="411" t="s">
        <v>1086</v>
      </c>
    </row>
    <row r="1013" spans="1:15" ht="18" customHeight="1" x14ac:dyDescent="0.25">
      <c r="A1013" s="115">
        <v>13</v>
      </c>
      <c r="B1013" s="116" t="s">
        <v>112</v>
      </c>
      <c r="C1013" s="115">
        <v>50</v>
      </c>
      <c r="D1013" s="119" t="s">
        <v>87</v>
      </c>
      <c r="E1013" s="119" t="s">
        <v>159</v>
      </c>
      <c r="F1013" s="116" t="s">
        <v>1085</v>
      </c>
      <c r="G1013" s="280">
        <v>6</v>
      </c>
      <c r="H1013" s="259">
        <v>49074</v>
      </c>
      <c r="I1013" s="259">
        <v>294444</v>
      </c>
      <c r="J1013" s="259">
        <v>0</v>
      </c>
      <c r="K1013" s="259">
        <v>294444</v>
      </c>
      <c r="L1013" s="259">
        <v>23556</v>
      </c>
      <c r="M1013" s="259">
        <v>318000</v>
      </c>
      <c r="N1013" s="118">
        <v>1.8700000000000001E-2</v>
      </c>
      <c r="O1013" s="411" t="s">
        <v>1086</v>
      </c>
    </row>
    <row r="1014" spans="1:15" ht="18" customHeight="1" x14ac:dyDescent="0.25">
      <c r="A1014" s="115">
        <v>13</v>
      </c>
      <c r="B1014" s="116" t="s">
        <v>112</v>
      </c>
      <c r="C1014" s="115">
        <v>10</v>
      </c>
      <c r="D1014" s="119" t="s">
        <v>87</v>
      </c>
      <c r="E1014" s="119" t="s">
        <v>1184</v>
      </c>
      <c r="F1014" s="116" t="s">
        <v>1085</v>
      </c>
      <c r="G1014" s="280">
        <v>3</v>
      </c>
      <c r="H1014" s="259">
        <v>13889</v>
      </c>
      <c r="I1014" s="259">
        <v>41667</v>
      </c>
      <c r="J1014" s="259">
        <v>0</v>
      </c>
      <c r="K1014" s="259">
        <v>41667</v>
      </c>
      <c r="L1014" s="259">
        <v>3333</v>
      </c>
      <c r="M1014" s="259">
        <v>45000</v>
      </c>
      <c r="N1014" s="118">
        <v>2.5999999999999999E-3</v>
      </c>
      <c r="O1014" s="411" t="s">
        <v>1086</v>
      </c>
    </row>
    <row r="1015" spans="1:15" ht="18" customHeight="1" x14ac:dyDescent="0.25">
      <c r="A1015" s="115">
        <v>13</v>
      </c>
      <c r="B1015" s="116" t="s">
        <v>112</v>
      </c>
      <c r="C1015" s="115">
        <v>120</v>
      </c>
      <c r="D1015" s="119" t="s">
        <v>93</v>
      </c>
      <c r="E1015" s="119" t="s">
        <v>1134</v>
      </c>
      <c r="F1015" s="116" t="s">
        <v>1085</v>
      </c>
      <c r="G1015" s="280">
        <v>5</v>
      </c>
      <c r="H1015" s="259">
        <v>41667</v>
      </c>
      <c r="I1015" s="259">
        <v>208333</v>
      </c>
      <c r="J1015" s="259">
        <v>0</v>
      </c>
      <c r="K1015" s="259">
        <v>208333</v>
      </c>
      <c r="L1015" s="259">
        <v>16667</v>
      </c>
      <c r="M1015" s="259">
        <v>225000</v>
      </c>
      <c r="N1015" s="118">
        <v>1.32E-2</v>
      </c>
      <c r="O1015" s="411" t="s">
        <v>1086</v>
      </c>
    </row>
    <row r="1016" spans="1:15" ht="18" customHeight="1" x14ac:dyDescent="0.25">
      <c r="A1016" s="115">
        <v>13</v>
      </c>
      <c r="B1016" s="116" t="s">
        <v>112</v>
      </c>
      <c r="C1016" s="115">
        <v>129</v>
      </c>
      <c r="D1016" s="119" t="s">
        <v>93</v>
      </c>
      <c r="E1016" s="119" t="s">
        <v>1135</v>
      </c>
      <c r="F1016" s="116" t="s">
        <v>1085</v>
      </c>
      <c r="G1016" s="280">
        <v>7</v>
      </c>
      <c r="H1016" s="259">
        <v>44444</v>
      </c>
      <c r="I1016" s="259">
        <v>311111</v>
      </c>
      <c r="J1016" s="259">
        <v>0</v>
      </c>
      <c r="K1016" s="259">
        <v>311111</v>
      </c>
      <c r="L1016" s="259">
        <v>24889</v>
      </c>
      <c r="M1016" s="259">
        <v>336000</v>
      </c>
      <c r="N1016" s="118">
        <v>1.9699999999999999E-2</v>
      </c>
      <c r="O1016" s="411" t="s">
        <v>1086</v>
      </c>
    </row>
    <row r="1017" spans="1:15" ht="18" customHeight="1" x14ac:dyDescent="0.25">
      <c r="A1017" s="115">
        <v>13</v>
      </c>
      <c r="B1017" s="116" t="s">
        <v>112</v>
      </c>
      <c r="C1017" s="115">
        <v>116</v>
      </c>
      <c r="D1017" s="119" t="s">
        <v>89</v>
      </c>
      <c r="E1017" s="119" t="s">
        <v>1198</v>
      </c>
      <c r="F1017" s="116" t="s">
        <v>1085</v>
      </c>
      <c r="G1017" s="280">
        <v>42</v>
      </c>
      <c r="H1017" s="259">
        <v>5556</v>
      </c>
      <c r="I1017" s="259">
        <v>233333</v>
      </c>
      <c r="J1017" s="259">
        <v>0</v>
      </c>
      <c r="K1017" s="259">
        <v>233333</v>
      </c>
      <c r="L1017" s="259">
        <v>18667</v>
      </c>
      <c r="M1017" s="259">
        <v>252000</v>
      </c>
      <c r="N1017" s="118">
        <v>1.4800000000000001E-2</v>
      </c>
      <c r="O1017" s="411" t="s">
        <v>1086</v>
      </c>
    </row>
    <row r="1018" spans="1:15" ht="18" customHeight="1" x14ac:dyDescent="0.25">
      <c r="A1018" s="115">
        <v>13</v>
      </c>
      <c r="B1018" s="116" t="s">
        <v>112</v>
      </c>
      <c r="C1018" s="115">
        <v>117</v>
      </c>
      <c r="D1018" s="119" t="s">
        <v>87</v>
      </c>
      <c r="E1018" s="119" t="s">
        <v>120</v>
      </c>
      <c r="F1018" s="116" t="s">
        <v>1085</v>
      </c>
      <c r="G1018" s="280">
        <v>24</v>
      </c>
      <c r="H1018" s="259">
        <v>41667</v>
      </c>
      <c r="I1018" s="259">
        <v>1000000</v>
      </c>
      <c r="J1018" s="259">
        <v>0</v>
      </c>
      <c r="K1018" s="259">
        <v>1000000</v>
      </c>
      <c r="L1018" s="259">
        <v>80000</v>
      </c>
      <c r="M1018" s="259">
        <v>1080000</v>
      </c>
      <c r="N1018" s="118">
        <v>6.3399999999999998E-2</v>
      </c>
      <c r="O1018" s="411" t="s">
        <v>1086</v>
      </c>
    </row>
    <row r="1019" spans="1:15" ht="18" customHeight="1" x14ac:dyDescent="0.25">
      <c r="A1019" s="115">
        <v>13</v>
      </c>
      <c r="B1019" s="116" t="s">
        <v>112</v>
      </c>
      <c r="C1019" s="115">
        <v>36</v>
      </c>
      <c r="D1019" s="119" t="s">
        <v>91</v>
      </c>
      <c r="E1019" s="119" t="s">
        <v>1136</v>
      </c>
      <c r="F1019" s="116" t="s">
        <v>1085</v>
      </c>
      <c r="G1019" s="280">
        <v>9</v>
      </c>
      <c r="H1019" s="259">
        <v>3704</v>
      </c>
      <c r="I1019" s="259">
        <v>33333</v>
      </c>
      <c r="J1019" s="259">
        <v>0</v>
      </c>
      <c r="K1019" s="259">
        <v>33333</v>
      </c>
      <c r="L1019" s="259">
        <v>2667</v>
      </c>
      <c r="M1019" s="259">
        <v>36000</v>
      </c>
      <c r="N1019" s="118">
        <v>2.0999999999999999E-3</v>
      </c>
      <c r="O1019" s="411" t="s">
        <v>1086</v>
      </c>
    </row>
    <row r="1020" spans="1:15" ht="18" customHeight="1" x14ac:dyDescent="0.25">
      <c r="A1020" s="115">
        <v>13</v>
      </c>
      <c r="B1020" s="116" t="s">
        <v>112</v>
      </c>
      <c r="C1020" s="115">
        <v>61</v>
      </c>
      <c r="D1020" s="119" t="s">
        <v>97</v>
      </c>
      <c r="E1020" s="119" t="s">
        <v>1137</v>
      </c>
      <c r="F1020" s="116" t="s">
        <v>1085</v>
      </c>
      <c r="G1020" s="280">
        <v>4</v>
      </c>
      <c r="H1020" s="259">
        <v>4630</v>
      </c>
      <c r="I1020" s="259">
        <v>18519</v>
      </c>
      <c r="J1020" s="259">
        <v>0</v>
      </c>
      <c r="K1020" s="259">
        <v>18519</v>
      </c>
      <c r="L1020" s="259">
        <v>1481</v>
      </c>
      <c r="M1020" s="259">
        <v>20000</v>
      </c>
      <c r="N1020" s="118">
        <v>1.1999999999999999E-3</v>
      </c>
      <c r="O1020" s="411" t="s">
        <v>1086</v>
      </c>
    </row>
    <row r="1021" spans="1:15" ht="18" customHeight="1" x14ac:dyDescent="0.25">
      <c r="A1021" s="115">
        <v>13</v>
      </c>
      <c r="B1021" s="116" t="s">
        <v>112</v>
      </c>
      <c r="C1021" s="115">
        <v>215</v>
      </c>
      <c r="D1021" s="119" t="s">
        <v>87</v>
      </c>
      <c r="E1021" s="119" t="s">
        <v>135</v>
      </c>
      <c r="F1021" s="116" t="s">
        <v>1085</v>
      </c>
      <c r="G1021" s="280">
        <v>25</v>
      </c>
      <c r="H1021" s="259">
        <v>37500</v>
      </c>
      <c r="I1021" s="259">
        <v>937500</v>
      </c>
      <c r="J1021" s="259">
        <v>0</v>
      </c>
      <c r="K1021" s="259">
        <v>937500</v>
      </c>
      <c r="L1021" s="259">
        <v>75000</v>
      </c>
      <c r="M1021" s="259">
        <v>1012500</v>
      </c>
      <c r="N1021" s="118">
        <v>5.9400000000000001E-2</v>
      </c>
      <c r="O1021" s="411" t="s">
        <v>1086</v>
      </c>
    </row>
    <row r="1022" spans="1:15" ht="18" customHeight="1" x14ac:dyDescent="0.25">
      <c r="A1022" s="115">
        <v>13</v>
      </c>
      <c r="B1022" s="116" t="s">
        <v>112</v>
      </c>
      <c r="C1022" s="115">
        <v>214</v>
      </c>
      <c r="D1022" s="119" t="s">
        <v>87</v>
      </c>
      <c r="E1022" s="119" t="s">
        <v>170</v>
      </c>
      <c r="F1022" s="116" t="s">
        <v>1085</v>
      </c>
      <c r="G1022" s="280">
        <v>7</v>
      </c>
      <c r="H1022" s="259">
        <v>37500</v>
      </c>
      <c r="I1022" s="259">
        <v>262500</v>
      </c>
      <c r="J1022" s="259">
        <v>0</v>
      </c>
      <c r="K1022" s="259">
        <v>262500</v>
      </c>
      <c r="L1022" s="259">
        <v>21000</v>
      </c>
      <c r="M1022" s="259">
        <v>283500</v>
      </c>
      <c r="N1022" s="118">
        <v>1.66E-2</v>
      </c>
      <c r="O1022" s="411" t="s">
        <v>1086</v>
      </c>
    </row>
    <row r="1023" spans="1:15" ht="18" customHeight="1" x14ac:dyDescent="0.25">
      <c r="A1023" s="115">
        <v>13</v>
      </c>
      <c r="B1023" s="116" t="s">
        <v>112</v>
      </c>
      <c r="C1023" s="115">
        <v>113</v>
      </c>
      <c r="D1023" s="119" t="s">
        <v>89</v>
      </c>
      <c r="E1023" s="119" t="s">
        <v>129</v>
      </c>
      <c r="F1023" s="116" t="s">
        <v>1085</v>
      </c>
      <c r="G1023" s="280">
        <v>32</v>
      </c>
      <c r="H1023" s="259">
        <v>22222</v>
      </c>
      <c r="I1023" s="259">
        <v>711111</v>
      </c>
      <c r="J1023" s="259">
        <v>0</v>
      </c>
      <c r="K1023" s="259">
        <v>711111</v>
      </c>
      <c r="L1023" s="259">
        <v>56889</v>
      </c>
      <c r="M1023" s="259">
        <v>768000</v>
      </c>
      <c r="N1023" s="118">
        <v>4.5100000000000001E-2</v>
      </c>
      <c r="O1023" s="411" t="s">
        <v>1086</v>
      </c>
    </row>
    <row r="1024" spans="1:15" ht="18" customHeight="1" x14ac:dyDescent="0.25">
      <c r="A1024" s="115">
        <v>13</v>
      </c>
      <c r="B1024" s="116" t="s">
        <v>112</v>
      </c>
      <c r="C1024" s="115">
        <v>256</v>
      </c>
      <c r="D1024" s="119" t="s">
        <v>89</v>
      </c>
      <c r="E1024" s="119" t="s">
        <v>1216</v>
      </c>
      <c r="F1024" s="116" t="s">
        <v>1085</v>
      </c>
      <c r="G1024" s="280">
        <v>1</v>
      </c>
      <c r="H1024" s="259">
        <v>18519</v>
      </c>
      <c r="I1024" s="259">
        <v>18519</v>
      </c>
      <c r="J1024" s="259">
        <v>0</v>
      </c>
      <c r="K1024" s="259">
        <v>18519</v>
      </c>
      <c r="L1024" s="259">
        <v>1481</v>
      </c>
      <c r="M1024" s="259">
        <v>20000</v>
      </c>
      <c r="N1024" s="118">
        <v>1.1999999999999999E-3</v>
      </c>
      <c r="O1024" s="411" t="s">
        <v>1086</v>
      </c>
    </row>
    <row r="1025" spans="1:15" ht="18" customHeight="1" x14ac:dyDescent="0.25">
      <c r="A1025" s="115">
        <v>13</v>
      </c>
      <c r="B1025" s="116" t="s">
        <v>112</v>
      </c>
      <c r="C1025" s="115">
        <v>315</v>
      </c>
      <c r="D1025" s="119" t="s">
        <v>87</v>
      </c>
      <c r="E1025" s="119" t="s">
        <v>1160</v>
      </c>
      <c r="F1025" s="116" t="s">
        <v>1085</v>
      </c>
      <c r="G1025" s="280">
        <v>1</v>
      </c>
      <c r="H1025" s="259">
        <v>1852</v>
      </c>
      <c r="I1025" s="259">
        <v>1852</v>
      </c>
      <c r="J1025" s="259">
        <v>0</v>
      </c>
      <c r="K1025" s="259">
        <v>1852</v>
      </c>
      <c r="L1025" s="259">
        <v>148</v>
      </c>
      <c r="M1025" s="259">
        <v>2000</v>
      </c>
      <c r="N1025" s="118">
        <v>1E-4</v>
      </c>
      <c r="O1025" s="411" t="s">
        <v>1086</v>
      </c>
    </row>
    <row r="1026" spans="1:15" ht="18" customHeight="1" x14ac:dyDescent="0.25">
      <c r="A1026" s="115">
        <v>13</v>
      </c>
      <c r="B1026" s="116" t="s">
        <v>112</v>
      </c>
      <c r="C1026" s="115">
        <v>96</v>
      </c>
      <c r="D1026" s="119" t="s">
        <v>93</v>
      </c>
      <c r="E1026" s="119" t="s">
        <v>1161</v>
      </c>
      <c r="F1026" s="116" t="s">
        <v>1085</v>
      </c>
      <c r="G1026" s="280">
        <v>6</v>
      </c>
      <c r="H1026" s="259">
        <v>35648</v>
      </c>
      <c r="I1026" s="259">
        <v>213889</v>
      </c>
      <c r="J1026" s="259">
        <v>0</v>
      </c>
      <c r="K1026" s="259">
        <v>213889</v>
      </c>
      <c r="L1026" s="259">
        <v>17111</v>
      </c>
      <c r="M1026" s="259">
        <v>231000</v>
      </c>
      <c r="N1026" s="118">
        <v>1.3599999999999999E-2</v>
      </c>
      <c r="O1026" s="411" t="s">
        <v>1086</v>
      </c>
    </row>
    <row r="1027" spans="1:15" ht="18" customHeight="1" x14ac:dyDescent="0.25">
      <c r="A1027" s="115">
        <v>13</v>
      </c>
      <c r="B1027" s="116" t="s">
        <v>112</v>
      </c>
      <c r="C1027" s="115">
        <v>68</v>
      </c>
      <c r="D1027" s="119" t="s">
        <v>93</v>
      </c>
      <c r="E1027" s="119" t="s">
        <v>1138</v>
      </c>
      <c r="F1027" s="116" t="s">
        <v>1085</v>
      </c>
      <c r="G1027" s="280">
        <v>1</v>
      </c>
      <c r="H1027" s="259">
        <v>41667</v>
      </c>
      <c r="I1027" s="259">
        <v>41667</v>
      </c>
      <c r="J1027" s="259">
        <v>0</v>
      </c>
      <c r="K1027" s="259">
        <v>41667</v>
      </c>
      <c r="L1027" s="259">
        <v>3333</v>
      </c>
      <c r="M1027" s="259">
        <v>45000</v>
      </c>
      <c r="N1027" s="118">
        <v>2.5999999999999999E-3</v>
      </c>
      <c r="O1027" s="411" t="s">
        <v>1086</v>
      </c>
    </row>
    <row r="1028" spans="1:15" ht="18" customHeight="1" x14ac:dyDescent="0.25">
      <c r="A1028" s="115">
        <v>13</v>
      </c>
      <c r="B1028" s="116" t="s">
        <v>112</v>
      </c>
      <c r="C1028" s="115">
        <v>33</v>
      </c>
      <c r="D1028" s="119" t="s">
        <v>91</v>
      </c>
      <c r="E1028" s="119" t="s">
        <v>1139</v>
      </c>
      <c r="F1028" s="116" t="s">
        <v>1085</v>
      </c>
      <c r="G1028" s="280">
        <v>6</v>
      </c>
      <c r="H1028" s="259">
        <v>1852</v>
      </c>
      <c r="I1028" s="259">
        <v>11111</v>
      </c>
      <c r="J1028" s="259">
        <v>0</v>
      </c>
      <c r="K1028" s="259">
        <v>11111</v>
      </c>
      <c r="L1028" s="259">
        <v>889</v>
      </c>
      <c r="M1028" s="259">
        <v>12000</v>
      </c>
      <c r="N1028" s="118">
        <v>7.000000000000001E-4</v>
      </c>
      <c r="O1028" s="411" t="s">
        <v>1086</v>
      </c>
    </row>
    <row r="1029" spans="1:15" ht="18" customHeight="1" x14ac:dyDescent="0.25">
      <c r="A1029" s="115">
        <v>13</v>
      </c>
      <c r="B1029" s="116" t="s">
        <v>112</v>
      </c>
      <c r="C1029" s="115">
        <v>255</v>
      </c>
      <c r="D1029" s="119" t="s">
        <v>93</v>
      </c>
      <c r="E1029" s="119" t="s">
        <v>482</v>
      </c>
      <c r="F1029" s="116" t="s">
        <v>1085</v>
      </c>
      <c r="G1029" s="280">
        <v>6</v>
      </c>
      <c r="H1029" s="259">
        <v>35648</v>
      </c>
      <c r="I1029" s="259">
        <v>213889</v>
      </c>
      <c r="J1029" s="259">
        <v>0</v>
      </c>
      <c r="K1029" s="259">
        <v>213889</v>
      </c>
      <c r="L1029" s="259">
        <v>17111</v>
      </c>
      <c r="M1029" s="259">
        <v>231000</v>
      </c>
      <c r="N1029" s="118">
        <v>1.3599999999999999E-2</v>
      </c>
      <c r="O1029" s="411" t="s">
        <v>1086</v>
      </c>
    </row>
    <row r="1030" spans="1:15" ht="18" customHeight="1" x14ac:dyDescent="0.25">
      <c r="A1030" s="115">
        <v>13</v>
      </c>
      <c r="B1030" s="116" t="s">
        <v>112</v>
      </c>
      <c r="C1030" s="115">
        <v>67</v>
      </c>
      <c r="D1030" s="119" t="s">
        <v>93</v>
      </c>
      <c r="E1030" s="119" t="s">
        <v>1140</v>
      </c>
      <c r="F1030" s="116" t="s">
        <v>1085</v>
      </c>
      <c r="G1030" s="280">
        <v>3</v>
      </c>
      <c r="H1030" s="259">
        <v>41667</v>
      </c>
      <c r="I1030" s="259">
        <v>125000</v>
      </c>
      <c r="J1030" s="259">
        <v>0</v>
      </c>
      <c r="K1030" s="259">
        <v>125000</v>
      </c>
      <c r="L1030" s="259">
        <v>10000</v>
      </c>
      <c r="M1030" s="259">
        <v>135000</v>
      </c>
      <c r="N1030" s="118">
        <v>7.9000000000000008E-3</v>
      </c>
      <c r="O1030" s="411" t="s">
        <v>1086</v>
      </c>
    </row>
    <row r="1031" spans="1:15" ht="18" customHeight="1" x14ac:dyDescent="0.25">
      <c r="A1031" s="115">
        <v>14</v>
      </c>
      <c r="B1031" s="116" t="s">
        <v>115</v>
      </c>
      <c r="C1031" s="115">
        <v>319</v>
      </c>
      <c r="D1031" s="119" t="s">
        <v>91</v>
      </c>
      <c r="E1031" s="119" t="s">
        <v>1217</v>
      </c>
      <c r="F1031" s="116" t="s">
        <v>1085</v>
      </c>
      <c r="G1031" s="280">
        <v>1</v>
      </c>
      <c r="H1031" s="259">
        <v>3519</v>
      </c>
      <c r="I1031" s="259">
        <v>3519</v>
      </c>
      <c r="J1031" s="259">
        <v>0</v>
      </c>
      <c r="K1031" s="259">
        <v>3519</v>
      </c>
      <c r="L1031" s="259">
        <v>281</v>
      </c>
      <c r="M1031" s="259">
        <v>3800</v>
      </c>
      <c r="N1031" s="118">
        <v>8.0000000000000004E-4</v>
      </c>
      <c r="O1031" s="411" t="s">
        <v>1086</v>
      </c>
    </row>
    <row r="1032" spans="1:15" ht="18" customHeight="1" x14ac:dyDescent="0.25">
      <c r="A1032" s="115">
        <v>14</v>
      </c>
      <c r="B1032" s="116" t="s">
        <v>115</v>
      </c>
      <c r="C1032" s="115">
        <v>73</v>
      </c>
      <c r="D1032" s="119" t="s">
        <v>91</v>
      </c>
      <c r="E1032" s="119" t="s">
        <v>1084</v>
      </c>
      <c r="F1032" s="116" t="s">
        <v>1085</v>
      </c>
      <c r="G1032" s="280">
        <v>13</v>
      </c>
      <c r="H1032" s="259">
        <v>2593</v>
      </c>
      <c r="I1032" s="259">
        <v>33704</v>
      </c>
      <c r="J1032" s="259">
        <v>0</v>
      </c>
      <c r="K1032" s="259">
        <v>33704</v>
      </c>
      <c r="L1032" s="259">
        <v>2696</v>
      </c>
      <c r="M1032" s="259">
        <v>36400</v>
      </c>
      <c r="N1032" s="118">
        <v>7.8000000000000014E-3</v>
      </c>
      <c r="O1032" s="411" t="s">
        <v>1086</v>
      </c>
    </row>
    <row r="1033" spans="1:15" ht="18" customHeight="1" x14ac:dyDescent="0.25">
      <c r="A1033" s="115">
        <v>14</v>
      </c>
      <c r="B1033" s="116" t="s">
        <v>115</v>
      </c>
      <c r="C1033" s="115">
        <v>65</v>
      </c>
      <c r="D1033" s="119" t="s">
        <v>91</v>
      </c>
      <c r="E1033" s="119" t="s">
        <v>1087</v>
      </c>
      <c r="F1033" s="116" t="s">
        <v>1085</v>
      </c>
      <c r="G1033" s="280">
        <v>3</v>
      </c>
      <c r="H1033" s="259">
        <v>2778</v>
      </c>
      <c r="I1033" s="259">
        <v>8333</v>
      </c>
      <c r="J1033" s="259">
        <v>0</v>
      </c>
      <c r="K1033" s="259">
        <v>8333</v>
      </c>
      <c r="L1033" s="259">
        <v>667</v>
      </c>
      <c r="M1033" s="259">
        <v>9000</v>
      </c>
      <c r="N1033" s="118">
        <v>1.9E-3</v>
      </c>
      <c r="O1033" s="411" t="s">
        <v>1086</v>
      </c>
    </row>
    <row r="1034" spans="1:15" ht="18" customHeight="1" x14ac:dyDescent="0.25">
      <c r="A1034" s="115">
        <v>14</v>
      </c>
      <c r="B1034" s="116" t="s">
        <v>115</v>
      </c>
      <c r="C1034" s="115">
        <v>12</v>
      </c>
      <c r="D1034" s="119" t="s">
        <v>93</v>
      </c>
      <c r="E1034" s="119" t="s">
        <v>1089</v>
      </c>
      <c r="F1034" s="116" t="s">
        <v>1085</v>
      </c>
      <c r="G1034" s="280">
        <v>1</v>
      </c>
      <c r="H1034" s="259">
        <v>41667</v>
      </c>
      <c r="I1034" s="259">
        <v>41667</v>
      </c>
      <c r="J1034" s="259">
        <v>0</v>
      </c>
      <c r="K1034" s="259">
        <v>41667</v>
      </c>
      <c r="L1034" s="259">
        <v>3333</v>
      </c>
      <c r="M1034" s="259">
        <v>45000</v>
      </c>
      <c r="N1034" s="118">
        <v>9.5999999999999992E-3</v>
      </c>
      <c r="O1034" s="411" t="s">
        <v>1086</v>
      </c>
    </row>
    <row r="1035" spans="1:15" ht="18" customHeight="1" x14ac:dyDescent="0.25">
      <c r="A1035" s="115">
        <v>14</v>
      </c>
      <c r="B1035" s="116" t="s">
        <v>115</v>
      </c>
      <c r="C1035" s="115">
        <v>40</v>
      </c>
      <c r="D1035" s="119" t="s">
        <v>87</v>
      </c>
      <c r="E1035" s="119" t="s">
        <v>1143</v>
      </c>
      <c r="F1035" s="116" t="s">
        <v>1085</v>
      </c>
      <c r="G1035" s="280">
        <v>2</v>
      </c>
      <c r="H1035" s="259">
        <v>55093</v>
      </c>
      <c r="I1035" s="259">
        <v>110185</v>
      </c>
      <c r="J1035" s="259">
        <v>0</v>
      </c>
      <c r="K1035" s="259">
        <v>110185</v>
      </c>
      <c r="L1035" s="259">
        <v>8815</v>
      </c>
      <c r="M1035" s="259">
        <v>119000</v>
      </c>
      <c r="N1035" s="118">
        <v>2.5499999999999998E-2</v>
      </c>
      <c r="O1035" s="411" t="s">
        <v>1086</v>
      </c>
    </row>
    <row r="1036" spans="1:15" ht="18" customHeight="1" x14ac:dyDescent="0.25">
      <c r="A1036" s="115">
        <v>14</v>
      </c>
      <c r="B1036" s="116" t="s">
        <v>115</v>
      </c>
      <c r="C1036" s="115">
        <v>131</v>
      </c>
      <c r="D1036" s="119" t="s">
        <v>87</v>
      </c>
      <c r="E1036" s="119" t="s">
        <v>1144</v>
      </c>
      <c r="F1036" s="116" t="s">
        <v>1085</v>
      </c>
      <c r="G1036" s="280">
        <v>1</v>
      </c>
      <c r="H1036" s="259">
        <v>278</v>
      </c>
      <c r="I1036" s="259">
        <v>278</v>
      </c>
      <c r="J1036" s="259">
        <v>0</v>
      </c>
      <c r="K1036" s="259">
        <v>278</v>
      </c>
      <c r="L1036" s="259">
        <v>22</v>
      </c>
      <c r="M1036" s="259">
        <v>300</v>
      </c>
      <c r="N1036" s="118">
        <v>1E-4</v>
      </c>
      <c r="O1036" s="411" t="s">
        <v>1086</v>
      </c>
    </row>
    <row r="1037" spans="1:15" ht="18" customHeight="1" x14ac:dyDescent="0.25">
      <c r="A1037" s="115">
        <v>14</v>
      </c>
      <c r="B1037" s="116" t="s">
        <v>115</v>
      </c>
      <c r="C1037" s="115">
        <v>104</v>
      </c>
      <c r="D1037" s="119" t="s">
        <v>89</v>
      </c>
      <c r="E1037" s="119" t="s">
        <v>165</v>
      </c>
      <c r="F1037" s="116" t="s">
        <v>1085</v>
      </c>
      <c r="G1037" s="280">
        <v>21</v>
      </c>
      <c r="H1037" s="259">
        <v>15939</v>
      </c>
      <c r="I1037" s="259">
        <v>334722</v>
      </c>
      <c r="J1037" s="259">
        <v>0</v>
      </c>
      <c r="K1037" s="259">
        <v>334722</v>
      </c>
      <c r="L1037" s="259">
        <v>26778</v>
      </c>
      <c r="M1037" s="259">
        <v>361500</v>
      </c>
      <c r="N1037" s="118">
        <v>7.7399999999999997E-2</v>
      </c>
      <c r="O1037" s="411" t="s">
        <v>1086</v>
      </c>
    </row>
    <row r="1038" spans="1:15" ht="18" customHeight="1" x14ac:dyDescent="0.25">
      <c r="A1038" s="115">
        <v>14</v>
      </c>
      <c r="B1038" s="116" t="s">
        <v>115</v>
      </c>
      <c r="C1038" s="115">
        <v>54</v>
      </c>
      <c r="D1038" s="119" t="s">
        <v>91</v>
      </c>
      <c r="E1038" s="119" t="s">
        <v>1145</v>
      </c>
      <c r="F1038" s="116" t="s">
        <v>1085</v>
      </c>
      <c r="G1038" s="280">
        <v>1</v>
      </c>
      <c r="H1038" s="259">
        <v>2315</v>
      </c>
      <c r="I1038" s="259">
        <v>2315</v>
      </c>
      <c r="J1038" s="259">
        <v>0</v>
      </c>
      <c r="K1038" s="259">
        <v>2315</v>
      </c>
      <c r="L1038" s="259">
        <v>185</v>
      </c>
      <c r="M1038" s="259">
        <v>2500</v>
      </c>
      <c r="N1038" s="118">
        <v>5.0000000000000001E-4</v>
      </c>
      <c r="O1038" s="411" t="s">
        <v>1086</v>
      </c>
    </row>
    <row r="1039" spans="1:15" ht="18" customHeight="1" x14ac:dyDescent="0.25">
      <c r="A1039" s="115">
        <v>14</v>
      </c>
      <c r="B1039" s="116" t="s">
        <v>115</v>
      </c>
      <c r="C1039" s="115">
        <v>5</v>
      </c>
      <c r="D1039" s="119" t="s">
        <v>89</v>
      </c>
      <c r="E1039" s="119" t="s">
        <v>1146</v>
      </c>
      <c r="F1039" s="116" t="s">
        <v>1085</v>
      </c>
      <c r="G1039" s="280">
        <v>2</v>
      </c>
      <c r="H1039" s="259">
        <v>11111</v>
      </c>
      <c r="I1039" s="259">
        <v>22222</v>
      </c>
      <c r="J1039" s="259">
        <v>0</v>
      </c>
      <c r="K1039" s="259">
        <v>22222</v>
      </c>
      <c r="L1039" s="259">
        <v>1778</v>
      </c>
      <c r="M1039" s="259">
        <v>24000</v>
      </c>
      <c r="N1039" s="118">
        <v>5.1000000000000004E-3</v>
      </c>
      <c r="O1039" s="411" t="s">
        <v>1086</v>
      </c>
    </row>
    <row r="1040" spans="1:15" ht="18" customHeight="1" x14ac:dyDescent="0.25">
      <c r="A1040" s="115">
        <v>14</v>
      </c>
      <c r="B1040" s="116" t="s">
        <v>115</v>
      </c>
      <c r="C1040" s="115">
        <v>6</v>
      </c>
      <c r="D1040" s="119" t="s">
        <v>89</v>
      </c>
      <c r="E1040" s="119" t="s">
        <v>1147</v>
      </c>
      <c r="F1040" s="116" t="s">
        <v>1085</v>
      </c>
      <c r="G1040" s="280">
        <v>1</v>
      </c>
      <c r="H1040" s="259">
        <v>14815</v>
      </c>
      <c r="I1040" s="259">
        <v>14815</v>
      </c>
      <c r="J1040" s="259">
        <v>0</v>
      </c>
      <c r="K1040" s="259">
        <v>14815</v>
      </c>
      <c r="L1040" s="259">
        <v>1185</v>
      </c>
      <c r="M1040" s="259">
        <v>16000</v>
      </c>
      <c r="N1040" s="118">
        <v>3.3999999999999998E-3</v>
      </c>
      <c r="O1040" s="411" t="s">
        <v>1086</v>
      </c>
    </row>
    <row r="1041" spans="1:15" ht="18" customHeight="1" x14ac:dyDescent="0.25">
      <c r="A1041" s="115">
        <v>14</v>
      </c>
      <c r="B1041" s="116" t="s">
        <v>115</v>
      </c>
      <c r="C1041" s="115">
        <v>8</v>
      </c>
      <c r="D1041" s="119" t="s">
        <v>87</v>
      </c>
      <c r="E1041" s="119" t="s">
        <v>156</v>
      </c>
      <c r="F1041" s="116" t="s">
        <v>1085</v>
      </c>
      <c r="G1041" s="280">
        <v>15</v>
      </c>
      <c r="H1041" s="259">
        <v>18580</v>
      </c>
      <c r="I1041" s="259">
        <v>278704</v>
      </c>
      <c r="J1041" s="259">
        <v>0</v>
      </c>
      <c r="K1041" s="259">
        <v>278704</v>
      </c>
      <c r="L1041" s="259">
        <v>22296</v>
      </c>
      <c r="M1041" s="259">
        <v>301000</v>
      </c>
      <c r="N1041" s="118">
        <v>6.4500000000000002E-2</v>
      </c>
      <c r="O1041" s="411" t="s">
        <v>1086</v>
      </c>
    </row>
    <row r="1042" spans="1:15" ht="18" customHeight="1" x14ac:dyDescent="0.25">
      <c r="A1042" s="115">
        <v>14</v>
      </c>
      <c r="B1042" s="116" t="s">
        <v>115</v>
      </c>
      <c r="C1042" s="115">
        <v>87</v>
      </c>
      <c r="D1042" s="119" t="s">
        <v>89</v>
      </c>
      <c r="E1042" s="119" t="s">
        <v>147</v>
      </c>
      <c r="F1042" s="116" t="s">
        <v>1085</v>
      </c>
      <c r="G1042" s="280">
        <v>4</v>
      </c>
      <c r="H1042" s="259">
        <v>37500</v>
      </c>
      <c r="I1042" s="259">
        <v>150000</v>
      </c>
      <c r="J1042" s="259">
        <v>0</v>
      </c>
      <c r="K1042" s="259">
        <v>150000</v>
      </c>
      <c r="L1042" s="259">
        <v>12000</v>
      </c>
      <c r="M1042" s="259">
        <v>162000</v>
      </c>
      <c r="N1042" s="118">
        <v>3.4700000000000002E-2</v>
      </c>
      <c r="O1042" s="411" t="s">
        <v>1086</v>
      </c>
    </row>
    <row r="1043" spans="1:15" ht="18" customHeight="1" x14ac:dyDescent="0.25">
      <c r="A1043" s="115">
        <v>14</v>
      </c>
      <c r="B1043" s="116" t="s">
        <v>115</v>
      </c>
      <c r="C1043" s="115">
        <v>264</v>
      </c>
      <c r="D1043" s="119" t="s">
        <v>91</v>
      </c>
      <c r="E1043" s="119" t="s">
        <v>1148</v>
      </c>
      <c r="F1043" s="116" t="s">
        <v>1085</v>
      </c>
      <c r="G1043" s="280">
        <v>2</v>
      </c>
      <c r="H1043" s="259">
        <v>4630</v>
      </c>
      <c r="I1043" s="259">
        <v>9259</v>
      </c>
      <c r="J1043" s="259">
        <v>0</v>
      </c>
      <c r="K1043" s="259">
        <v>9259</v>
      </c>
      <c r="L1043" s="259">
        <v>741</v>
      </c>
      <c r="M1043" s="259">
        <v>10000</v>
      </c>
      <c r="N1043" s="118">
        <v>2.0999999999999999E-3</v>
      </c>
      <c r="O1043" s="411" t="s">
        <v>1086</v>
      </c>
    </row>
    <row r="1044" spans="1:15" ht="18" customHeight="1" x14ac:dyDescent="0.25">
      <c r="A1044" s="115">
        <v>14</v>
      </c>
      <c r="B1044" s="116" t="s">
        <v>115</v>
      </c>
      <c r="C1044" s="115">
        <v>83</v>
      </c>
      <c r="D1044" s="119" t="s">
        <v>87</v>
      </c>
      <c r="E1044" s="119" t="s">
        <v>1098</v>
      </c>
      <c r="F1044" s="116" t="s">
        <v>1085</v>
      </c>
      <c r="G1044" s="280">
        <v>5</v>
      </c>
      <c r="H1044" s="259">
        <v>20833</v>
      </c>
      <c r="I1044" s="259">
        <v>104167</v>
      </c>
      <c r="J1044" s="259">
        <v>0</v>
      </c>
      <c r="K1044" s="259">
        <v>104167</v>
      </c>
      <c r="L1044" s="259">
        <v>8333</v>
      </c>
      <c r="M1044" s="259">
        <v>112500</v>
      </c>
      <c r="N1044" s="118">
        <v>2.41E-2</v>
      </c>
      <c r="O1044" s="411" t="s">
        <v>1086</v>
      </c>
    </row>
    <row r="1045" spans="1:15" ht="18" customHeight="1" x14ac:dyDescent="0.25">
      <c r="A1045" s="115">
        <v>14</v>
      </c>
      <c r="B1045" s="116" t="s">
        <v>115</v>
      </c>
      <c r="C1045" s="115">
        <v>27</v>
      </c>
      <c r="D1045" s="119" t="s">
        <v>87</v>
      </c>
      <c r="E1045" s="119" t="s">
        <v>1215</v>
      </c>
      <c r="F1045" s="116" t="s">
        <v>1085</v>
      </c>
      <c r="G1045" s="280">
        <v>6</v>
      </c>
      <c r="H1045" s="259">
        <v>18827</v>
      </c>
      <c r="I1045" s="259">
        <v>112963</v>
      </c>
      <c r="J1045" s="259">
        <v>0</v>
      </c>
      <c r="K1045" s="259">
        <v>112963</v>
      </c>
      <c r="L1045" s="259">
        <v>9037</v>
      </c>
      <c r="M1045" s="259">
        <v>122000</v>
      </c>
      <c r="N1045" s="118">
        <v>2.6100000000000002E-2</v>
      </c>
      <c r="O1045" s="411" t="s">
        <v>1086</v>
      </c>
    </row>
    <row r="1046" spans="1:15" ht="18" customHeight="1" x14ac:dyDescent="0.25">
      <c r="A1046" s="115">
        <v>14</v>
      </c>
      <c r="B1046" s="116" t="s">
        <v>115</v>
      </c>
      <c r="C1046" s="115">
        <v>122</v>
      </c>
      <c r="D1046" s="119" t="s">
        <v>91</v>
      </c>
      <c r="E1046" s="119" t="s">
        <v>1100</v>
      </c>
      <c r="F1046" s="116" t="s">
        <v>1085</v>
      </c>
      <c r="G1046" s="280">
        <v>2</v>
      </c>
      <c r="H1046" s="259">
        <v>2778</v>
      </c>
      <c r="I1046" s="259">
        <v>5556</v>
      </c>
      <c r="J1046" s="259">
        <v>0</v>
      </c>
      <c r="K1046" s="259">
        <v>5556</v>
      </c>
      <c r="L1046" s="259">
        <v>444</v>
      </c>
      <c r="M1046" s="259">
        <v>6000</v>
      </c>
      <c r="N1046" s="118">
        <v>1.2999999999999999E-3</v>
      </c>
      <c r="O1046" s="411" t="s">
        <v>1086</v>
      </c>
    </row>
    <row r="1047" spans="1:15" ht="18" customHeight="1" x14ac:dyDescent="0.25">
      <c r="A1047" s="115">
        <v>14</v>
      </c>
      <c r="B1047" s="116" t="s">
        <v>115</v>
      </c>
      <c r="C1047" s="115">
        <v>42</v>
      </c>
      <c r="D1047" s="119" t="s">
        <v>87</v>
      </c>
      <c r="E1047" s="119" t="s">
        <v>359</v>
      </c>
      <c r="F1047" s="116" t="s">
        <v>1085</v>
      </c>
      <c r="G1047" s="280">
        <v>2</v>
      </c>
      <c r="H1047" s="259">
        <v>32407</v>
      </c>
      <c r="I1047" s="259">
        <v>64815</v>
      </c>
      <c r="J1047" s="259">
        <v>0</v>
      </c>
      <c r="K1047" s="259">
        <v>64815</v>
      </c>
      <c r="L1047" s="259">
        <v>5185</v>
      </c>
      <c r="M1047" s="259">
        <v>70000</v>
      </c>
      <c r="N1047" s="118">
        <v>1.4999999999999999E-2</v>
      </c>
      <c r="O1047" s="411" t="s">
        <v>1086</v>
      </c>
    </row>
    <row r="1048" spans="1:15" ht="18" customHeight="1" x14ac:dyDescent="0.25">
      <c r="A1048" s="115">
        <v>14</v>
      </c>
      <c r="B1048" s="116" t="s">
        <v>115</v>
      </c>
      <c r="C1048" s="115">
        <v>110</v>
      </c>
      <c r="D1048" s="119" t="s">
        <v>99</v>
      </c>
      <c r="E1048" s="119" t="s">
        <v>1101</v>
      </c>
      <c r="F1048" s="116" t="s">
        <v>1085</v>
      </c>
      <c r="G1048" s="280">
        <v>9</v>
      </c>
      <c r="H1048" s="259">
        <v>926</v>
      </c>
      <c r="I1048" s="259">
        <v>8333</v>
      </c>
      <c r="J1048" s="259">
        <v>0</v>
      </c>
      <c r="K1048" s="259">
        <v>8333</v>
      </c>
      <c r="L1048" s="259">
        <v>667</v>
      </c>
      <c r="M1048" s="259">
        <v>9000</v>
      </c>
      <c r="N1048" s="118">
        <v>1.9E-3</v>
      </c>
      <c r="O1048" s="411" t="s">
        <v>1086</v>
      </c>
    </row>
    <row r="1049" spans="1:15" ht="18" customHeight="1" x14ac:dyDescent="0.25">
      <c r="A1049" s="115">
        <v>14</v>
      </c>
      <c r="B1049" s="116" t="s">
        <v>115</v>
      </c>
      <c r="C1049" s="115">
        <v>102</v>
      </c>
      <c r="D1049" s="119" t="s">
        <v>87</v>
      </c>
      <c r="E1049" s="119" t="s">
        <v>1151</v>
      </c>
      <c r="F1049" s="116" t="s">
        <v>1085</v>
      </c>
      <c r="G1049" s="280">
        <v>1</v>
      </c>
      <c r="H1049" s="259">
        <v>6944</v>
      </c>
      <c r="I1049" s="259">
        <v>6944</v>
      </c>
      <c r="J1049" s="259">
        <v>0</v>
      </c>
      <c r="K1049" s="259">
        <v>6944</v>
      </c>
      <c r="L1049" s="259">
        <v>556</v>
      </c>
      <c r="M1049" s="259">
        <v>7500</v>
      </c>
      <c r="N1049" s="118">
        <v>1.6000000000000001E-3</v>
      </c>
      <c r="O1049" s="411" t="s">
        <v>1086</v>
      </c>
    </row>
    <row r="1050" spans="1:15" ht="18" customHeight="1" x14ac:dyDescent="0.25">
      <c r="A1050" s="115">
        <v>14</v>
      </c>
      <c r="B1050" s="116" t="s">
        <v>115</v>
      </c>
      <c r="C1050" s="115">
        <v>26</v>
      </c>
      <c r="D1050" s="119" t="s">
        <v>87</v>
      </c>
      <c r="E1050" s="119" t="s">
        <v>1167</v>
      </c>
      <c r="F1050" s="116" t="s">
        <v>1085</v>
      </c>
      <c r="G1050" s="280">
        <v>4</v>
      </c>
      <c r="H1050" s="259">
        <v>18750</v>
      </c>
      <c r="I1050" s="259">
        <v>75000</v>
      </c>
      <c r="J1050" s="259">
        <v>0</v>
      </c>
      <c r="K1050" s="259">
        <v>75000</v>
      </c>
      <c r="L1050" s="259">
        <v>6000</v>
      </c>
      <c r="M1050" s="259">
        <v>81000</v>
      </c>
      <c r="N1050" s="118">
        <v>1.7299999999999999E-2</v>
      </c>
      <c r="O1050" s="411" t="s">
        <v>1086</v>
      </c>
    </row>
    <row r="1051" spans="1:15" ht="18" customHeight="1" x14ac:dyDescent="0.25">
      <c r="A1051" s="115">
        <v>14</v>
      </c>
      <c r="B1051" s="116" t="s">
        <v>115</v>
      </c>
      <c r="C1051" s="115">
        <v>45</v>
      </c>
      <c r="D1051" s="119" t="s">
        <v>87</v>
      </c>
      <c r="E1051" s="119" t="s">
        <v>1102</v>
      </c>
      <c r="F1051" s="116" t="s">
        <v>1085</v>
      </c>
      <c r="G1051" s="280">
        <v>2</v>
      </c>
      <c r="H1051" s="259">
        <v>35648</v>
      </c>
      <c r="I1051" s="259">
        <v>71296</v>
      </c>
      <c r="J1051" s="259">
        <v>0</v>
      </c>
      <c r="K1051" s="259">
        <v>71296</v>
      </c>
      <c r="L1051" s="259">
        <v>5704</v>
      </c>
      <c r="M1051" s="259">
        <v>77000</v>
      </c>
      <c r="N1051" s="118">
        <v>1.6500000000000001E-2</v>
      </c>
      <c r="O1051" s="411" t="s">
        <v>1086</v>
      </c>
    </row>
    <row r="1052" spans="1:15" ht="18" customHeight="1" x14ac:dyDescent="0.25">
      <c r="A1052" s="115">
        <v>14</v>
      </c>
      <c r="B1052" s="116" t="s">
        <v>115</v>
      </c>
      <c r="C1052" s="115">
        <v>30</v>
      </c>
      <c r="D1052" s="119" t="s">
        <v>95</v>
      </c>
      <c r="E1052" s="119" t="s">
        <v>1103</v>
      </c>
      <c r="F1052" s="116" t="s">
        <v>1085</v>
      </c>
      <c r="G1052" s="280">
        <v>1</v>
      </c>
      <c r="H1052" s="259">
        <v>6481</v>
      </c>
      <c r="I1052" s="259">
        <v>6481</v>
      </c>
      <c r="J1052" s="259">
        <v>0</v>
      </c>
      <c r="K1052" s="259">
        <v>6481</v>
      </c>
      <c r="L1052" s="259">
        <v>519</v>
      </c>
      <c r="M1052" s="259">
        <v>7000</v>
      </c>
      <c r="N1052" s="118">
        <v>1.5E-3</v>
      </c>
      <c r="O1052" s="411" t="s">
        <v>1086</v>
      </c>
    </row>
    <row r="1053" spans="1:15" ht="18" customHeight="1" x14ac:dyDescent="0.25">
      <c r="A1053" s="115">
        <v>14</v>
      </c>
      <c r="B1053" s="116" t="s">
        <v>115</v>
      </c>
      <c r="C1053" s="115">
        <v>94</v>
      </c>
      <c r="D1053" s="119" t="s">
        <v>89</v>
      </c>
      <c r="E1053" s="119" t="s">
        <v>153</v>
      </c>
      <c r="F1053" s="116" t="s">
        <v>1085</v>
      </c>
      <c r="G1053" s="280">
        <v>5</v>
      </c>
      <c r="H1053" s="259">
        <v>18519</v>
      </c>
      <c r="I1053" s="259">
        <v>92593</v>
      </c>
      <c r="J1053" s="259">
        <v>0</v>
      </c>
      <c r="K1053" s="259">
        <v>92593</v>
      </c>
      <c r="L1053" s="259">
        <v>7407</v>
      </c>
      <c r="M1053" s="259">
        <v>100000</v>
      </c>
      <c r="N1053" s="118">
        <v>2.1399999999999999E-2</v>
      </c>
      <c r="O1053" s="411" t="s">
        <v>1086</v>
      </c>
    </row>
    <row r="1054" spans="1:15" ht="18" customHeight="1" x14ac:dyDescent="0.25">
      <c r="A1054" s="115">
        <v>14</v>
      </c>
      <c r="B1054" s="116" t="s">
        <v>115</v>
      </c>
      <c r="C1054" s="115">
        <v>233</v>
      </c>
      <c r="D1054" s="119" t="s">
        <v>89</v>
      </c>
      <c r="E1054" s="119" t="s">
        <v>117</v>
      </c>
      <c r="F1054" s="116" t="s">
        <v>1085</v>
      </c>
      <c r="G1054" s="280">
        <v>30</v>
      </c>
      <c r="H1054" s="259">
        <v>18611</v>
      </c>
      <c r="I1054" s="259">
        <v>558333</v>
      </c>
      <c r="J1054" s="259">
        <v>0</v>
      </c>
      <c r="K1054" s="259">
        <v>558333</v>
      </c>
      <c r="L1054" s="259">
        <v>44667</v>
      </c>
      <c r="M1054" s="259">
        <v>603000</v>
      </c>
      <c r="N1054" s="118">
        <v>0.12909999999999999</v>
      </c>
      <c r="O1054" s="411" t="s">
        <v>1086</v>
      </c>
    </row>
    <row r="1055" spans="1:15" ht="18" customHeight="1" x14ac:dyDescent="0.25">
      <c r="A1055" s="115">
        <v>14</v>
      </c>
      <c r="B1055" s="116" t="s">
        <v>115</v>
      </c>
      <c r="C1055" s="115">
        <v>218</v>
      </c>
      <c r="D1055" s="119" t="s">
        <v>89</v>
      </c>
      <c r="E1055" s="119" t="s">
        <v>1106</v>
      </c>
      <c r="F1055" s="116" t="s">
        <v>1085</v>
      </c>
      <c r="G1055" s="280">
        <v>5</v>
      </c>
      <c r="H1055" s="259">
        <v>18704</v>
      </c>
      <c r="I1055" s="259">
        <v>93519</v>
      </c>
      <c r="J1055" s="259">
        <v>0</v>
      </c>
      <c r="K1055" s="259">
        <v>93519</v>
      </c>
      <c r="L1055" s="259">
        <v>7481</v>
      </c>
      <c r="M1055" s="259">
        <v>101000</v>
      </c>
      <c r="N1055" s="118">
        <v>2.1600000000000001E-2</v>
      </c>
      <c r="O1055" s="411" t="s">
        <v>1086</v>
      </c>
    </row>
    <row r="1056" spans="1:15" ht="18" customHeight="1" x14ac:dyDescent="0.25">
      <c r="A1056" s="115">
        <v>14</v>
      </c>
      <c r="B1056" s="116" t="s">
        <v>115</v>
      </c>
      <c r="C1056" s="115">
        <v>34</v>
      </c>
      <c r="D1056" s="119" t="s">
        <v>91</v>
      </c>
      <c r="E1056" s="119" t="s">
        <v>1107</v>
      </c>
      <c r="F1056" s="116" t="s">
        <v>1085</v>
      </c>
      <c r="G1056" s="280">
        <v>1</v>
      </c>
      <c r="H1056" s="259">
        <v>6481</v>
      </c>
      <c r="I1056" s="259">
        <v>6481</v>
      </c>
      <c r="J1056" s="259">
        <v>0</v>
      </c>
      <c r="K1056" s="259">
        <v>6481</v>
      </c>
      <c r="L1056" s="259">
        <v>519</v>
      </c>
      <c r="M1056" s="259">
        <v>7000</v>
      </c>
      <c r="N1056" s="118">
        <v>1.5E-3</v>
      </c>
      <c r="O1056" s="411" t="s">
        <v>1086</v>
      </c>
    </row>
    <row r="1057" spans="1:15" ht="18" customHeight="1" x14ac:dyDescent="0.25">
      <c r="A1057" s="115">
        <v>14</v>
      </c>
      <c r="B1057" s="116" t="s">
        <v>115</v>
      </c>
      <c r="C1057" s="115">
        <v>121</v>
      </c>
      <c r="D1057" s="119" t="s">
        <v>91</v>
      </c>
      <c r="E1057" s="119" t="s">
        <v>1108</v>
      </c>
      <c r="F1057" s="116" t="s">
        <v>1085</v>
      </c>
      <c r="G1057" s="280">
        <v>1</v>
      </c>
      <c r="H1057" s="259">
        <v>2778</v>
      </c>
      <c r="I1057" s="259">
        <v>2778</v>
      </c>
      <c r="J1057" s="259">
        <v>0</v>
      </c>
      <c r="K1057" s="259">
        <v>2778</v>
      </c>
      <c r="L1057" s="259">
        <v>222</v>
      </c>
      <c r="M1057" s="259">
        <v>3000</v>
      </c>
      <c r="N1057" s="118">
        <v>5.9999999999999995E-4</v>
      </c>
      <c r="O1057" s="411" t="s">
        <v>1086</v>
      </c>
    </row>
    <row r="1058" spans="1:15" ht="18" customHeight="1" x14ac:dyDescent="0.25">
      <c r="A1058" s="115">
        <v>14</v>
      </c>
      <c r="B1058" s="116" t="s">
        <v>115</v>
      </c>
      <c r="C1058" s="115">
        <v>208</v>
      </c>
      <c r="D1058" s="119" t="s">
        <v>91</v>
      </c>
      <c r="E1058" s="119" t="s">
        <v>1109</v>
      </c>
      <c r="F1058" s="116" t="s">
        <v>1085</v>
      </c>
      <c r="G1058" s="280">
        <v>6</v>
      </c>
      <c r="H1058" s="259">
        <v>3704</v>
      </c>
      <c r="I1058" s="259">
        <v>22222</v>
      </c>
      <c r="J1058" s="259">
        <v>0</v>
      </c>
      <c r="K1058" s="259">
        <v>22222</v>
      </c>
      <c r="L1058" s="259">
        <v>1778</v>
      </c>
      <c r="M1058" s="259">
        <v>24000</v>
      </c>
      <c r="N1058" s="118">
        <v>5.1000000000000004E-3</v>
      </c>
      <c r="O1058" s="411" t="s">
        <v>1086</v>
      </c>
    </row>
    <row r="1059" spans="1:15" ht="18" customHeight="1" x14ac:dyDescent="0.25">
      <c r="A1059" s="115">
        <v>14</v>
      </c>
      <c r="B1059" s="116" t="s">
        <v>115</v>
      </c>
      <c r="C1059" s="115">
        <v>318</v>
      </c>
      <c r="D1059" s="119" t="s">
        <v>91</v>
      </c>
      <c r="E1059" s="119" t="s">
        <v>1218</v>
      </c>
      <c r="F1059" s="116" t="s">
        <v>1085</v>
      </c>
      <c r="G1059" s="280">
        <v>1</v>
      </c>
      <c r="H1059" s="259">
        <v>4630</v>
      </c>
      <c r="I1059" s="259">
        <v>4630</v>
      </c>
      <c r="J1059" s="259">
        <v>0</v>
      </c>
      <c r="K1059" s="259">
        <v>4630</v>
      </c>
      <c r="L1059" s="259">
        <v>370</v>
      </c>
      <c r="M1059" s="259">
        <v>5000</v>
      </c>
      <c r="N1059" s="118">
        <v>1.1000000000000001E-3</v>
      </c>
      <c r="O1059" s="411" t="s">
        <v>1086</v>
      </c>
    </row>
    <row r="1060" spans="1:15" ht="18" customHeight="1" x14ac:dyDescent="0.25">
      <c r="A1060" s="115">
        <v>14</v>
      </c>
      <c r="B1060" s="116" t="s">
        <v>115</v>
      </c>
      <c r="C1060" s="115">
        <v>90</v>
      </c>
      <c r="D1060" s="119" t="s">
        <v>91</v>
      </c>
      <c r="E1060" s="119" t="s">
        <v>572</v>
      </c>
      <c r="F1060" s="116" t="s">
        <v>1085</v>
      </c>
      <c r="G1060" s="280">
        <v>1</v>
      </c>
      <c r="H1060" s="259">
        <v>4259</v>
      </c>
      <c r="I1060" s="259">
        <v>4259</v>
      </c>
      <c r="J1060" s="259">
        <v>0</v>
      </c>
      <c r="K1060" s="259">
        <v>4259</v>
      </c>
      <c r="L1060" s="259">
        <v>341</v>
      </c>
      <c r="M1060" s="259">
        <v>4600</v>
      </c>
      <c r="N1060" s="118">
        <v>1E-3</v>
      </c>
      <c r="O1060" s="411" t="s">
        <v>1086</v>
      </c>
    </row>
    <row r="1061" spans="1:15" ht="18" customHeight="1" x14ac:dyDescent="0.25">
      <c r="A1061" s="115">
        <v>14</v>
      </c>
      <c r="B1061" s="116" t="s">
        <v>115</v>
      </c>
      <c r="C1061" s="115">
        <v>123</v>
      </c>
      <c r="D1061" s="119" t="s">
        <v>91</v>
      </c>
      <c r="E1061" s="119" t="s">
        <v>1110</v>
      </c>
      <c r="F1061" s="116" t="s">
        <v>1085</v>
      </c>
      <c r="G1061" s="280">
        <v>2</v>
      </c>
      <c r="H1061" s="259">
        <v>2778</v>
      </c>
      <c r="I1061" s="259">
        <v>5556</v>
      </c>
      <c r="J1061" s="259">
        <v>0</v>
      </c>
      <c r="K1061" s="259">
        <v>5556</v>
      </c>
      <c r="L1061" s="259">
        <v>444</v>
      </c>
      <c r="M1061" s="259">
        <v>6000</v>
      </c>
      <c r="N1061" s="118">
        <v>1.2999999999999999E-3</v>
      </c>
      <c r="O1061" s="411" t="s">
        <v>1086</v>
      </c>
    </row>
    <row r="1062" spans="1:15" ht="18" customHeight="1" x14ac:dyDescent="0.25">
      <c r="A1062" s="115">
        <v>14</v>
      </c>
      <c r="B1062" s="116" t="s">
        <v>115</v>
      </c>
      <c r="C1062" s="115">
        <v>31</v>
      </c>
      <c r="D1062" s="119" t="s">
        <v>95</v>
      </c>
      <c r="E1062" s="119" t="s">
        <v>1111</v>
      </c>
      <c r="F1062" s="116" t="s">
        <v>1085</v>
      </c>
      <c r="G1062" s="280">
        <v>7</v>
      </c>
      <c r="H1062" s="259">
        <v>1204</v>
      </c>
      <c r="I1062" s="259">
        <v>8426</v>
      </c>
      <c r="J1062" s="259">
        <v>0</v>
      </c>
      <c r="K1062" s="259">
        <v>8426</v>
      </c>
      <c r="L1062" s="259">
        <v>674</v>
      </c>
      <c r="M1062" s="259">
        <v>9100</v>
      </c>
      <c r="N1062" s="118">
        <v>1.9E-3</v>
      </c>
      <c r="O1062" s="411" t="s">
        <v>1086</v>
      </c>
    </row>
    <row r="1063" spans="1:15" ht="18" customHeight="1" x14ac:dyDescent="0.25">
      <c r="A1063" s="115">
        <v>14</v>
      </c>
      <c r="B1063" s="116" t="s">
        <v>115</v>
      </c>
      <c r="C1063" s="115">
        <v>74</v>
      </c>
      <c r="D1063" s="119" t="s">
        <v>91</v>
      </c>
      <c r="E1063" s="119" t="s">
        <v>1153</v>
      </c>
      <c r="F1063" s="116" t="s">
        <v>1085</v>
      </c>
      <c r="G1063" s="280">
        <v>1</v>
      </c>
      <c r="H1063" s="259">
        <v>6481</v>
      </c>
      <c r="I1063" s="259">
        <v>6481</v>
      </c>
      <c r="J1063" s="259">
        <v>0</v>
      </c>
      <c r="K1063" s="259">
        <v>6481</v>
      </c>
      <c r="L1063" s="259">
        <v>519</v>
      </c>
      <c r="M1063" s="259">
        <v>7000</v>
      </c>
      <c r="N1063" s="118">
        <v>1.5E-3</v>
      </c>
      <c r="O1063" s="411" t="s">
        <v>1086</v>
      </c>
    </row>
    <row r="1064" spans="1:15" ht="18" customHeight="1" x14ac:dyDescent="0.25">
      <c r="A1064" s="115">
        <v>14</v>
      </c>
      <c r="B1064" s="116" t="s">
        <v>115</v>
      </c>
      <c r="C1064" s="115">
        <v>235</v>
      </c>
      <c r="D1064" s="119" t="s">
        <v>91</v>
      </c>
      <c r="E1064" s="119" t="s">
        <v>1154</v>
      </c>
      <c r="F1064" s="116" t="s">
        <v>1085</v>
      </c>
      <c r="G1064" s="280">
        <v>2</v>
      </c>
      <c r="H1064" s="259">
        <v>3426</v>
      </c>
      <c r="I1064" s="259">
        <v>6852</v>
      </c>
      <c r="J1064" s="259">
        <v>0</v>
      </c>
      <c r="K1064" s="259">
        <v>6852</v>
      </c>
      <c r="L1064" s="259">
        <v>548</v>
      </c>
      <c r="M1064" s="259">
        <v>7400</v>
      </c>
      <c r="N1064" s="118">
        <v>1.6000000000000001E-3</v>
      </c>
      <c r="O1064" s="411" t="s">
        <v>1086</v>
      </c>
    </row>
    <row r="1065" spans="1:15" ht="18" customHeight="1" x14ac:dyDescent="0.25">
      <c r="A1065" s="115">
        <v>14</v>
      </c>
      <c r="B1065" s="116" t="s">
        <v>115</v>
      </c>
      <c r="C1065" s="115">
        <v>134</v>
      </c>
      <c r="D1065" s="119" t="s">
        <v>91</v>
      </c>
      <c r="E1065" s="119" t="s">
        <v>1168</v>
      </c>
      <c r="F1065" s="116" t="s">
        <v>1085</v>
      </c>
      <c r="G1065" s="280">
        <v>1</v>
      </c>
      <c r="H1065" s="259">
        <v>12963</v>
      </c>
      <c r="I1065" s="259">
        <v>12963</v>
      </c>
      <c r="J1065" s="259">
        <v>0</v>
      </c>
      <c r="K1065" s="259">
        <v>12963</v>
      </c>
      <c r="L1065" s="259">
        <v>1037</v>
      </c>
      <c r="M1065" s="259">
        <v>14000</v>
      </c>
      <c r="N1065" s="118">
        <v>3.0000000000000001E-3</v>
      </c>
      <c r="O1065" s="411" t="s">
        <v>1086</v>
      </c>
    </row>
    <row r="1066" spans="1:15" ht="18" customHeight="1" x14ac:dyDescent="0.25">
      <c r="A1066" s="115">
        <v>14</v>
      </c>
      <c r="B1066" s="116" t="s">
        <v>115</v>
      </c>
      <c r="C1066" s="115">
        <v>75</v>
      </c>
      <c r="D1066" s="119" t="s">
        <v>91</v>
      </c>
      <c r="E1066" s="119" t="s">
        <v>1113</v>
      </c>
      <c r="F1066" s="116" t="s">
        <v>1085</v>
      </c>
      <c r="G1066" s="280">
        <v>1</v>
      </c>
      <c r="H1066" s="259">
        <v>9259</v>
      </c>
      <c r="I1066" s="259">
        <v>9259</v>
      </c>
      <c r="J1066" s="259">
        <v>0</v>
      </c>
      <c r="K1066" s="259">
        <v>9259</v>
      </c>
      <c r="L1066" s="259">
        <v>741</v>
      </c>
      <c r="M1066" s="259">
        <v>10000</v>
      </c>
      <c r="N1066" s="118">
        <v>2.0999999999999999E-3</v>
      </c>
      <c r="O1066" s="411" t="s">
        <v>1086</v>
      </c>
    </row>
    <row r="1067" spans="1:15" ht="18" customHeight="1" x14ac:dyDescent="0.25">
      <c r="A1067" s="115">
        <v>14</v>
      </c>
      <c r="B1067" s="116" t="s">
        <v>115</v>
      </c>
      <c r="C1067" s="115">
        <v>118</v>
      </c>
      <c r="D1067" s="119" t="s">
        <v>87</v>
      </c>
      <c r="E1067" s="119" t="s">
        <v>126</v>
      </c>
      <c r="F1067" s="116" t="s">
        <v>1085</v>
      </c>
      <c r="G1067" s="280">
        <v>3</v>
      </c>
      <c r="H1067" s="259">
        <v>41667</v>
      </c>
      <c r="I1067" s="259">
        <v>125000</v>
      </c>
      <c r="J1067" s="259">
        <v>0</v>
      </c>
      <c r="K1067" s="259">
        <v>125000</v>
      </c>
      <c r="L1067" s="259">
        <v>10000</v>
      </c>
      <c r="M1067" s="259">
        <v>135000</v>
      </c>
      <c r="N1067" s="118">
        <v>2.8899999999999999E-2</v>
      </c>
      <c r="O1067" s="411" t="s">
        <v>1086</v>
      </c>
    </row>
    <row r="1068" spans="1:15" ht="18" customHeight="1" x14ac:dyDescent="0.25">
      <c r="A1068" s="115">
        <v>14</v>
      </c>
      <c r="B1068" s="116" t="s">
        <v>115</v>
      </c>
      <c r="C1068" s="115">
        <v>205</v>
      </c>
      <c r="D1068" s="119" t="s">
        <v>91</v>
      </c>
      <c r="E1068" s="119" t="s">
        <v>1155</v>
      </c>
      <c r="F1068" s="116" t="s">
        <v>1085</v>
      </c>
      <c r="G1068" s="280">
        <v>2</v>
      </c>
      <c r="H1068" s="259">
        <v>12037</v>
      </c>
      <c r="I1068" s="259">
        <v>24074</v>
      </c>
      <c r="J1068" s="259">
        <v>0</v>
      </c>
      <c r="K1068" s="259">
        <v>24074</v>
      </c>
      <c r="L1068" s="259">
        <v>1926</v>
      </c>
      <c r="M1068" s="259">
        <v>26000</v>
      </c>
      <c r="N1068" s="118">
        <v>5.6000000000000008E-3</v>
      </c>
      <c r="O1068" s="411" t="s">
        <v>1086</v>
      </c>
    </row>
    <row r="1069" spans="1:15" ht="18" customHeight="1" x14ac:dyDescent="0.25">
      <c r="A1069" s="115">
        <v>14</v>
      </c>
      <c r="B1069" s="116" t="s">
        <v>115</v>
      </c>
      <c r="C1069" s="115">
        <v>109</v>
      </c>
      <c r="D1069" s="119" t="s">
        <v>91</v>
      </c>
      <c r="E1069" s="119" t="s">
        <v>144</v>
      </c>
      <c r="F1069" s="116" t="s">
        <v>1085</v>
      </c>
      <c r="G1069" s="280">
        <v>2</v>
      </c>
      <c r="H1069" s="259">
        <v>12963</v>
      </c>
      <c r="I1069" s="259">
        <v>25926</v>
      </c>
      <c r="J1069" s="259">
        <v>0</v>
      </c>
      <c r="K1069" s="259">
        <v>25926</v>
      </c>
      <c r="L1069" s="259">
        <v>2074</v>
      </c>
      <c r="M1069" s="259">
        <v>28000</v>
      </c>
      <c r="N1069" s="118">
        <v>6.0000000000000001E-3</v>
      </c>
      <c r="O1069" s="411" t="s">
        <v>1086</v>
      </c>
    </row>
    <row r="1070" spans="1:15" ht="18" customHeight="1" x14ac:dyDescent="0.25">
      <c r="A1070" s="115">
        <v>14</v>
      </c>
      <c r="B1070" s="116" t="s">
        <v>115</v>
      </c>
      <c r="C1070" s="115">
        <v>147</v>
      </c>
      <c r="D1070" s="119" t="s">
        <v>91</v>
      </c>
      <c r="E1070" s="119" t="s">
        <v>1115</v>
      </c>
      <c r="F1070" s="116" t="s">
        <v>1085</v>
      </c>
      <c r="G1070" s="280">
        <v>3</v>
      </c>
      <c r="H1070" s="259">
        <v>6481</v>
      </c>
      <c r="I1070" s="259">
        <v>19444</v>
      </c>
      <c r="J1070" s="259">
        <v>0</v>
      </c>
      <c r="K1070" s="259">
        <v>19444</v>
      </c>
      <c r="L1070" s="259">
        <v>1556</v>
      </c>
      <c r="M1070" s="259">
        <v>21000</v>
      </c>
      <c r="N1070" s="118">
        <v>4.5000000000000014E-3</v>
      </c>
      <c r="O1070" s="411" t="s">
        <v>1086</v>
      </c>
    </row>
    <row r="1071" spans="1:15" ht="18" customHeight="1" x14ac:dyDescent="0.25">
      <c r="A1071" s="115">
        <v>14</v>
      </c>
      <c r="B1071" s="116" t="s">
        <v>115</v>
      </c>
      <c r="C1071" s="115">
        <v>46</v>
      </c>
      <c r="D1071" s="119" t="s">
        <v>87</v>
      </c>
      <c r="E1071" s="119" t="s">
        <v>1116</v>
      </c>
      <c r="F1071" s="116" t="s">
        <v>1085</v>
      </c>
      <c r="G1071" s="280">
        <v>1</v>
      </c>
      <c r="H1071" s="259">
        <v>35648</v>
      </c>
      <c r="I1071" s="259">
        <v>35648</v>
      </c>
      <c r="J1071" s="259">
        <v>0</v>
      </c>
      <c r="K1071" s="259">
        <v>35648</v>
      </c>
      <c r="L1071" s="259">
        <v>2852</v>
      </c>
      <c r="M1071" s="259">
        <v>38500</v>
      </c>
      <c r="N1071" s="118">
        <v>8.199999999999999E-3</v>
      </c>
      <c r="O1071" s="411" t="s">
        <v>1086</v>
      </c>
    </row>
    <row r="1072" spans="1:15" ht="18" customHeight="1" x14ac:dyDescent="0.25">
      <c r="A1072" s="115">
        <v>14</v>
      </c>
      <c r="B1072" s="116" t="s">
        <v>115</v>
      </c>
      <c r="C1072" s="115">
        <v>72</v>
      </c>
      <c r="D1072" s="119" t="s">
        <v>97</v>
      </c>
      <c r="E1072" s="119" t="s">
        <v>1117</v>
      </c>
      <c r="F1072" s="116" t="s">
        <v>1085</v>
      </c>
      <c r="G1072" s="280">
        <v>5</v>
      </c>
      <c r="H1072" s="259">
        <v>3704</v>
      </c>
      <c r="I1072" s="259">
        <v>18519</v>
      </c>
      <c r="J1072" s="259">
        <v>0</v>
      </c>
      <c r="K1072" s="259">
        <v>18519</v>
      </c>
      <c r="L1072" s="259">
        <v>1481</v>
      </c>
      <c r="M1072" s="259">
        <v>20000</v>
      </c>
      <c r="N1072" s="118">
        <v>4.3E-3</v>
      </c>
      <c r="O1072" s="411" t="s">
        <v>1086</v>
      </c>
    </row>
    <row r="1073" spans="1:15" ht="18" customHeight="1" x14ac:dyDescent="0.25">
      <c r="A1073" s="115">
        <v>14</v>
      </c>
      <c r="B1073" s="116" t="s">
        <v>115</v>
      </c>
      <c r="C1073" s="115">
        <v>112</v>
      </c>
      <c r="D1073" s="119" t="s">
        <v>87</v>
      </c>
      <c r="E1073" s="119" t="s">
        <v>1118</v>
      </c>
      <c r="F1073" s="116" t="s">
        <v>1085</v>
      </c>
      <c r="G1073" s="280">
        <v>1</v>
      </c>
      <c r="H1073" s="259">
        <v>41667</v>
      </c>
      <c r="I1073" s="259">
        <v>41667</v>
      </c>
      <c r="J1073" s="259">
        <v>0</v>
      </c>
      <c r="K1073" s="259">
        <v>41667</v>
      </c>
      <c r="L1073" s="259">
        <v>3333</v>
      </c>
      <c r="M1073" s="259">
        <v>45000</v>
      </c>
      <c r="N1073" s="118">
        <v>9.5999999999999992E-3</v>
      </c>
      <c r="O1073" s="411" t="s">
        <v>1086</v>
      </c>
    </row>
    <row r="1074" spans="1:15" ht="18" customHeight="1" x14ac:dyDescent="0.25">
      <c r="A1074" s="115">
        <v>14</v>
      </c>
      <c r="B1074" s="116" t="s">
        <v>115</v>
      </c>
      <c r="C1074" s="115">
        <v>227</v>
      </c>
      <c r="D1074" s="119" t="s">
        <v>87</v>
      </c>
      <c r="E1074" s="119" t="s">
        <v>1169</v>
      </c>
      <c r="F1074" s="116" t="s">
        <v>1085</v>
      </c>
      <c r="G1074" s="280">
        <v>2</v>
      </c>
      <c r="H1074" s="259">
        <v>1389</v>
      </c>
      <c r="I1074" s="259">
        <v>2778</v>
      </c>
      <c r="J1074" s="259">
        <v>0</v>
      </c>
      <c r="K1074" s="259">
        <v>2778</v>
      </c>
      <c r="L1074" s="259">
        <v>222</v>
      </c>
      <c r="M1074" s="259">
        <v>3000</v>
      </c>
      <c r="N1074" s="118">
        <v>5.9999999999999995E-4</v>
      </c>
      <c r="O1074" s="411" t="s">
        <v>1086</v>
      </c>
    </row>
    <row r="1075" spans="1:15" ht="18" customHeight="1" x14ac:dyDescent="0.25">
      <c r="A1075" s="115">
        <v>14</v>
      </c>
      <c r="B1075" s="116" t="s">
        <v>115</v>
      </c>
      <c r="C1075" s="115">
        <v>317</v>
      </c>
      <c r="D1075" s="119" t="s">
        <v>87</v>
      </c>
      <c r="E1075" s="119" t="s">
        <v>1219</v>
      </c>
      <c r="F1075" s="116" t="s">
        <v>1220</v>
      </c>
      <c r="G1075" s="280">
        <v>1</v>
      </c>
      <c r="H1075" s="259">
        <v>3519</v>
      </c>
      <c r="I1075" s="259">
        <v>3519</v>
      </c>
      <c r="J1075" s="259">
        <v>0</v>
      </c>
      <c r="K1075" s="259">
        <v>3519</v>
      </c>
      <c r="L1075" s="259">
        <v>281</v>
      </c>
      <c r="M1075" s="259">
        <v>3800</v>
      </c>
      <c r="N1075" s="118">
        <v>8.0000000000000004E-4</v>
      </c>
      <c r="O1075" s="411" t="s">
        <v>1086</v>
      </c>
    </row>
    <row r="1076" spans="1:15" ht="18" customHeight="1" x14ac:dyDescent="0.25">
      <c r="A1076" s="115">
        <v>14</v>
      </c>
      <c r="B1076" s="116" t="s">
        <v>115</v>
      </c>
      <c r="C1076" s="115">
        <v>93</v>
      </c>
      <c r="D1076" s="119" t="s">
        <v>89</v>
      </c>
      <c r="E1076" s="119" t="s">
        <v>123</v>
      </c>
      <c r="F1076" s="116" t="s">
        <v>1085</v>
      </c>
      <c r="G1076" s="280">
        <v>1</v>
      </c>
      <c r="H1076" s="259">
        <v>20370</v>
      </c>
      <c r="I1076" s="259">
        <v>20370</v>
      </c>
      <c r="J1076" s="259">
        <v>0</v>
      </c>
      <c r="K1076" s="259">
        <v>20370</v>
      </c>
      <c r="L1076" s="259">
        <v>1630</v>
      </c>
      <c r="M1076" s="259">
        <v>22000</v>
      </c>
      <c r="N1076" s="118">
        <v>4.6999999999999993E-3</v>
      </c>
      <c r="O1076" s="411" t="s">
        <v>1086</v>
      </c>
    </row>
    <row r="1077" spans="1:15" ht="18" customHeight="1" x14ac:dyDescent="0.25">
      <c r="A1077" s="115">
        <v>14</v>
      </c>
      <c r="B1077" s="116" t="s">
        <v>115</v>
      </c>
      <c r="C1077" s="115">
        <v>119</v>
      </c>
      <c r="D1077" s="119" t="s">
        <v>89</v>
      </c>
      <c r="E1077" s="119" t="s">
        <v>114</v>
      </c>
      <c r="F1077" s="116" t="s">
        <v>1085</v>
      </c>
      <c r="G1077" s="280">
        <v>3</v>
      </c>
      <c r="H1077" s="259">
        <v>44444</v>
      </c>
      <c r="I1077" s="259">
        <v>133333</v>
      </c>
      <c r="J1077" s="259">
        <v>0</v>
      </c>
      <c r="K1077" s="259">
        <v>133333</v>
      </c>
      <c r="L1077" s="259">
        <v>10667</v>
      </c>
      <c r="M1077" s="259">
        <v>144000</v>
      </c>
      <c r="N1077" s="118">
        <v>3.0800000000000001E-2</v>
      </c>
      <c r="O1077" s="411" t="s">
        <v>1086</v>
      </c>
    </row>
    <row r="1078" spans="1:15" ht="18" customHeight="1" x14ac:dyDescent="0.25">
      <c r="A1078" s="115">
        <v>14</v>
      </c>
      <c r="B1078" s="116" t="s">
        <v>115</v>
      </c>
      <c r="C1078" s="115">
        <v>21</v>
      </c>
      <c r="D1078" s="119" t="s">
        <v>95</v>
      </c>
      <c r="E1078" s="119" t="s">
        <v>1202</v>
      </c>
      <c r="F1078" s="116" t="s">
        <v>1085</v>
      </c>
      <c r="G1078" s="280">
        <v>2</v>
      </c>
      <c r="H1078" s="259">
        <v>7407</v>
      </c>
      <c r="I1078" s="259">
        <v>14815</v>
      </c>
      <c r="J1078" s="259">
        <v>0</v>
      </c>
      <c r="K1078" s="259">
        <v>14815</v>
      </c>
      <c r="L1078" s="259">
        <v>1185</v>
      </c>
      <c r="M1078" s="259">
        <v>16000</v>
      </c>
      <c r="N1078" s="118">
        <v>3.3999999999999998E-3</v>
      </c>
      <c r="O1078" s="411" t="s">
        <v>1086</v>
      </c>
    </row>
    <row r="1079" spans="1:15" ht="18" customHeight="1" x14ac:dyDescent="0.25">
      <c r="A1079" s="115">
        <v>14</v>
      </c>
      <c r="B1079" s="116" t="s">
        <v>115</v>
      </c>
      <c r="C1079" s="115">
        <v>145</v>
      </c>
      <c r="D1079" s="119" t="s">
        <v>87</v>
      </c>
      <c r="E1079" s="119" t="s">
        <v>1179</v>
      </c>
      <c r="F1079" s="116" t="s">
        <v>1085</v>
      </c>
      <c r="G1079" s="280">
        <v>9</v>
      </c>
      <c r="H1079" s="259">
        <v>18519</v>
      </c>
      <c r="I1079" s="259">
        <v>166667</v>
      </c>
      <c r="J1079" s="259">
        <v>0</v>
      </c>
      <c r="K1079" s="259">
        <v>166667</v>
      </c>
      <c r="L1079" s="259">
        <v>13333</v>
      </c>
      <c r="M1079" s="259">
        <v>180000</v>
      </c>
      <c r="N1079" s="118">
        <v>3.8600000000000002E-2</v>
      </c>
      <c r="O1079" s="411" t="s">
        <v>1086</v>
      </c>
    </row>
    <row r="1080" spans="1:15" ht="18" customHeight="1" x14ac:dyDescent="0.25">
      <c r="A1080" s="115">
        <v>14</v>
      </c>
      <c r="B1080" s="116" t="s">
        <v>115</v>
      </c>
      <c r="C1080" s="115">
        <v>111</v>
      </c>
      <c r="D1080" s="119" t="s">
        <v>87</v>
      </c>
      <c r="E1080" s="119" t="s">
        <v>1192</v>
      </c>
      <c r="F1080" s="116" t="s">
        <v>1085</v>
      </c>
      <c r="G1080" s="280">
        <v>1</v>
      </c>
      <c r="H1080" s="259">
        <v>6481</v>
      </c>
      <c r="I1080" s="259">
        <v>6481</v>
      </c>
      <c r="J1080" s="259">
        <v>0</v>
      </c>
      <c r="K1080" s="259">
        <v>6481</v>
      </c>
      <c r="L1080" s="259">
        <v>519</v>
      </c>
      <c r="M1080" s="259">
        <v>7000</v>
      </c>
      <c r="N1080" s="118">
        <v>1.5E-3</v>
      </c>
      <c r="O1080" s="411" t="s">
        <v>1086</v>
      </c>
    </row>
    <row r="1081" spans="1:15" ht="18" customHeight="1" x14ac:dyDescent="0.25">
      <c r="A1081" s="115">
        <v>14</v>
      </c>
      <c r="B1081" s="116" t="s">
        <v>115</v>
      </c>
      <c r="C1081" s="115">
        <v>86</v>
      </c>
      <c r="D1081" s="119" t="s">
        <v>95</v>
      </c>
      <c r="E1081" s="119" t="s">
        <v>1124</v>
      </c>
      <c r="F1081" s="116" t="s">
        <v>1085</v>
      </c>
      <c r="G1081" s="280">
        <v>11</v>
      </c>
      <c r="H1081" s="259">
        <v>3241</v>
      </c>
      <c r="I1081" s="259">
        <v>35648</v>
      </c>
      <c r="J1081" s="259">
        <v>0</v>
      </c>
      <c r="K1081" s="259">
        <v>35648</v>
      </c>
      <c r="L1081" s="259">
        <v>2852</v>
      </c>
      <c r="M1081" s="259">
        <v>38500</v>
      </c>
      <c r="N1081" s="118">
        <v>8.199999999999999E-3</v>
      </c>
      <c r="O1081" s="411" t="s">
        <v>1086</v>
      </c>
    </row>
    <row r="1082" spans="1:15" ht="18" customHeight="1" x14ac:dyDescent="0.25">
      <c r="A1082" s="115">
        <v>14</v>
      </c>
      <c r="B1082" s="116" t="s">
        <v>115</v>
      </c>
      <c r="C1082" s="115">
        <v>80</v>
      </c>
      <c r="D1082" s="119" t="s">
        <v>95</v>
      </c>
      <c r="E1082" s="119" t="s">
        <v>1125</v>
      </c>
      <c r="F1082" s="116" t="s">
        <v>1085</v>
      </c>
      <c r="G1082" s="280">
        <v>0</v>
      </c>
      <c r="H1082" s="259">
        <v>0</v>
      </c>
      <c r="I1082" s="259">
        <v>0</v>
      </c>
      <c r="J1082" s="259">
        <v>0</v>
      </c>
      <c r="K1082" s="259">
        <v>0</v>
      </c>
      <c r="L1082" s="259">
        <v>0</v>
      </c>
      <c r="M1082" s="259">
        <v>0</v>
      </c>
      <c r="N1082" s="118">
        <v>0</v>
      </c>
      <c r="O1082" s="411" t="s">
        <v>1086</v>
      </c>
    </row>
    <row r="1083" spans="1:15" ht="18" customHeight="1" x14ac:dyDescent="0.25">
      <c r="A1083" s="115">
        <v>14</v>
      </c>
      <c r="B1083" s="116" t="s">
        <v>115</v>
      </c>
      <c r="C1083" s="115">
        <v>163</v>
      </c>
      <c r="D1083" s="119" t="s">
        <v>95</v>
      </c>
      <c r="E1083" s="119" t="s">
        <v>1221</v>
      </c>
      <c r="F1083" s="116" t="s">
        <v>1085</v>
      </c>
      <c r="G1083" s="280">
        <v>4</v>
      </c>
      <c r="H1083" s="259">
        <v>6481</v>
      </c>
      <c r="I1083" s="259">
        <v>25926</v>
      </c>
      <c r="J1083" s="259">
        <v>0</v>
      </c>
      <c r="K1083" s="259">
        <v>25926</v>
      </c>
      <c r="L1083" s="259">
        <v>2074</v>
      </c>
      <c r="M1083" s="259">
        <v>28000</v>
      </c>
      <c r="N1083" s="118">
        <v>6.0000000000000001E-3</v>
      </c>
      <c r="O1083" s="411" t="s">
        <v>1086</v>
      </c>
    </row>
    <row r="1084" spans="1:15" ht="18" customHeight="1" x14ac:dyDescent="0.25">
      <c r="A1084" s="115">
        <v>14</v>
      </c>
      <c r="B1084" s="116" t="s">
        <v>115</v>
      </c>
      <c r="C1084" s="115">
        <v>79</v>
      </c>
      <c r="D1084" s="119" t="s">
        <v>95</v>
      </c>
      <c r="E1084" s="119" t="s">
        <v>1127</v>
      </c>
      <c r="F1084" s="116" t="s">
        <v>1085</v>
      </c>
      <c r="G1084" s="280">
        <v>3</v>
      </c>
      <c r="H1084" s="259">
        <v>6481</v>
      </c>
      <c r="I1084" s="259">
        <v>19444</v>
      </c>
      <c r="J1084" s="259">
        <v>0</v>
      </c>
      <c r="K1084" s="259">
        <v>19444</v>
      </c>
      <c r="L1084" s="259">
        <v>1556</v>
      </c>
      <c r="M1084" s="259">
        <v>21000</v>
      </c>
      <c r="N1084" s="118">
        <v>4.5000000000000014E-3</v>
      </c>
      <c r="O1084" s="411" t="s">
        <v>1086</v>
      </c>
    </row>
    <row r="1085" spans="1:15" ht="18" customHeight="1" x14ac:dyDescent="0.25">
      <c r="A1085" s="115">
        <v>14</v>
      </c>
      <c r="B1085" s="116" t="s">
        <v>115</v>
      </c>
      <c r="C1085" s="115">
        <v>62</v>
      </c>
      <c r="D1085" s="119" t="s">
        <v>95</v>
      </c>
      <c r="E1085" s="119" t="s">
        <v>1128</v>
      </c>
      <c r="F1085" s="116" t="s">
        <v>1085</v>
      </c>
      <c r="G1085" s="280">
        <v>8</v>
      </c>
      <c r="H1085" s="259">
        <v>6944</v>
      </c>
      <c r="I1085" s="259">
        <v>55556</v>
      </c>
      <c r="J1085" s="259">
        <v>0</v>
      </c>
      <c r="K1085" s="259">
        <v>55556</v>
      </c>
      <c r="L1085" s="259">
        <v>4444</v>
      </c>
      <c r="M1085" s="259">
        <v>60000</v>
      </c>
      <c r="N1085" s="118">
        <v>1.29E-2</v>
      </c>
      <c r="O1085" s="411" t="s">
        <v>1086</v>
      </c>
    </row>
    <row r="1086" spans="1:15" ht="18" customHeight="1" x14ac:dyDescent="0.25">
      <c r="A1086" s="115">
        <v>14</v>
      </c>
      <c r="B1086" s="116" t="s">
        <v>115</v>
      </c>
      <c r="C1086" s="115">
        <v>84</v>
      </c>
      <c r="D1086" s="119" t="s">
        <v>95</v>
      </c>
      <c r="E1086" s="119" t="s">
        <v>1130</v>
      </c>
      <c r="F1086" s="116" t="s">
        <v>1085</v>
      </c>
      <c r="G1086" s="280">
        <v>14</v>
      </c>
      <c r="H1086" s="259">
        <v>7407</v>
      </c>
      <c r="I1086" s="259">
        <v>103704</v>
      </c>
      <c r="J1086" s="259">
        <v>0</v>
      </c>
      <c r="K1086" s="259">
        <v>103704</v>
      </c>
      <c r="L1086" s="259">
        <v>8296</v>
      </c>
      <c r="M1086" s="259">
        <v>112000</v>
      </c>
      <c r="N1086" s="118">
        <v>2.4E-2</v>
      </c>
      <c r="O1086" s="411" t="s">
        <v>1086</v>
      </c>
    </row>
    <row r="1087" spans="1:15" ht="18" customHeight="1" x14ac:dyDescent="0.25">
      <c r="A1087" s="115">
        <v>14</v>
      </c>
      <c r="B1087" s="116" t="s">
        <v>115</v>
      </c>
      <c r="C1087" s="115">
        <v>137</v>
      </c>
      <c r="D1087" s="119" t="s">
        <v>95</v>
      </c>
      <c r="E1087" s="119" t="s">
        <v>1159</v>
      </c>
      <c r="F1087" s="116" t="s">
        <v>1085</v>
      </c>
      <c r="G1087" s="280">
        <v>15</v>
      </c>
      <c r="H1087" s="259">
        <v>6481</v>
      </c>
      <c r="I1087" s="259">
        <v>97222</v>
      </c>
      <c r="J1087" s="259">
        <v>0</v>
      </c>
      <c r="K1087" s="259">
        <v>97222</v>
      </c>
      <c r="L1087" s="259">
        <v>7778</v>
      </c>
      <c r="M1087" s="259">
        <v>105000</v>
      </c>
      <c r="N1087" s="118">
        <v>2.2499999999999999E-2</v>
      </c>
      <c r="O1087" s="411" t="s">
        <v>1086</v>
      </c>
    </row>
    <row r="1088" spans="1:15" ht="18" customHeight="1" x14ac:dyDescent="0.25">
      <c r="A1088" s="115">
        <v>14</v>
      </c>
      <c r="B1088" s="116" t="s">
        <v>115</v>
      </c>
      <c r="C1088" s="115">
        <v>229</v>
      </c>
      <c r="D1088" s="119" t="s">
        <v>87</v>
      </c>
      <c r="E1088" s="119" t="s">
        <v>1197</v>
      </c>
      <c r="F1088" s="116" t="s">
        <v>1085</v>
      </c>
      <c r="G1088" s="280">
        <v>1</v>
      </c>
      <c r="H1088" s="259">
        <v>66204</v>
      </c>
      <c r="I1088" s="259">
        <v>66204</v>
      </c>
      <c r="J1088" s="259">
        <v>0</v>
      </c>
      <c r="K1088" s="259">
        <v>66204</v>
      </c>
      <c r="L1088" s="259">
        <v>5296</v>
      </c>
      <c r="M1088" s="259">
        <v>71500</v>
      </c>
      <c r="N1088" s="118">
        <v>1.5299999999999999E-2</v>
      </c>
      <c r="O1088" s="411" t="s">
        <v>1086</v>
      </c>
    </row>
    <row r="1089" spans="1:15" ht="18" customHeight="1" x14ac:dyDescent="0.25">
      <c r="A1089" s="115">
        <v>14</v>
      </c>
      <c r="B1089" s="116" t="s">
        <v>115</v>
      </c>
      <c r="C1089" s="115">
        <v>120</v>
      </c>
      <c r="D1089" s="119" t="s">
        <v>93</v>
      </c>
      <c r="E1089" s="119" t="s">
        <v>1134</v>
      </c>
      <c r="F1089" s="116" t="s">
        <v>1085</v>
      </c>
      <c r="G1089" s="280">
        <v>1</v>
      </c>
      <c r="H1089" s="259">
        <v>41667</v>
      </c>
      <c r="I1089" s="259">
        <v>41667</v>
      </c>
      <c r="J1089" s="259">
        <v>0</v>
      </c>
      <c r="K1089" s="259">
        <v>41667</v>
      </c>
      <c r="L1089" s="259">
        <v>3333</v>
      </c>
      <c r="M1089" s="259">
        <v>45000</v>
      </c>
      <c r="N1089" s="118">
        <v>9.5999999999999992E-3</v>
      </c>
      <c r="O1089" s="411" t="s">
        <v>1086</v>
      </c>
    </row>
    <row r="1090" spans="1:15" ht="18" customHeight="1" x14ac:dyDescent="0.25">
      <c r="A1090" s="115">
        <v>14</v>
      </c>
      <c r="B1090" s="116" t="s">
        <v>115</v>
      </c>
      <c r="C1090" s="115">
        <v>129</v>
      </c>
      <c r="D1090" s="119" t="s">
        <v>93</v>
      </c>
      <c r="E1090" s="119" t="s">
        <v>1135</v>
      </c>
      <c r="F1090" s="116" t="s">
        <v>1085</v>
      </c>
      <c r="G1090" s="280">
        <v>1</v>
      </c>
      <c r="H1090" s="259">
        <v>44444</v>
      </c>
      <c r="I1090" s="259">
        <v>44444</v>
      </c>
      <c r="J1090" s="259">
        <v>0</v>
      </c>
      <c r="K1090" s="259">
        <v>44444</v>
      </c>
      <c r="L1090" s="259">
        <v>3556</v>
      </c>
      <c r="M1090" s="259">
        <v>48000</v>
      </c>
      <c r="N1090" s="118">
        <v>1.03E-2</v>
      </c>
      <c r="O1090" s="411" t="s">
        <v>1086</v>
      </c>
    </row>
    <row r="1091" spans="1:15" ht="18" customHeight="1" x14ac:dyDescent="0.25">
      <c r="A1091" s="115">
        <v>14</v>
      </c>
      <c r="B1091" s="116" t="s">
        <v>115</v>
      </c>
      <c r="C1091" s="115">
        <v>117</v>
      </c>
      <c r="D1091" s="119" t="s">
        <v>87</v>
      </c>
      <c r="E1091" s="119" t="s">
        <v>120</v>
      </c>
      <c r="F1091" s="116" t="s">
        <v>1085</v>
      </c>
      <c r="G1091" s="280">
        <v>1</v>
      </c>
      <c r="H1091" s="259">
        <v>41667</v>
      </c>
      <c r="I1091" s="259">
        <v>41667</v>
      </c>
      <c r="J1091" s="259">
        <v>0</v>
      </c>
      <c r="K1091" s="259">
        <v>41667</v>
      </c>
      <c r="L1091" s="259">
        <v>3333</v>
      </c>
      <c r="M1091" s="259">
        <v>45000</v>
      </c>
      <c r="N1091" s="118">
        <v>9.5999999999999992E-3</v>
      </c>
      <c r="O1091" s="411" t="s">
        <v>1086</v>
      </c>
    </row>
    <row r="1092" spans="1:15" ht="18" customHeight="1" x14ac:dyDescent="0.25">
      <c r="A1092" s="115">
        <v>14</v>
      </c>
      <c r="B1092" s="116" t="s">
        <v>115</v>
      </c>
      <c r="C1092" s="115">
        <v>28</v>
      </c>
      <c r="D1092" s="119" t="s">
        <v>87</v>
      </c>
      <c r="E1092" s="119" t="s">
        <v>375</v>
      </c>
      <c r="F1092" s="116" t="s">
        <v>1085</v>
      </c>
      <c r="G1092" s="280">
        <v>20</v>
      </c>
      <c r="H1092" s="259">
        <v>19074</v>
      </c>
      <c r="I1092" s="259">
        <v>381481</v>
      </c>
      <c r="J1092" s="259">
        <v>0</v>
      </c>
      <c r="K1092" s="259">
        <v>381481</v>
      </c>
      <c r="L1092" s="259">
        <v>30519</v>
      </c>
      <c r="M1092" s="259">
        <v>412000</v>
      </c>
      <c r="N1092" s="118">
        <v>8.8200000000000001E-2</v>
      </c>
      <c r="O1092" s="411" t="s">
        <v>1086</v>
      </c>
    </row>
    <row r="1093" spans="1:15" ht="18" customHeight="1" x14ac:dyDescent="0.25">
      <c r="A1093" s="115">
        <v>14</v>
      </c>
      <c r="B1093" s="116" t="s">
        <v>115</v>
      </c>
      <c r="C1093" s="115">
        <v>36</v>
      </c>
      <c r="D1093" s="119" t="s">
        <v>91</v>
      </c>
      <c r="E1093" s="119" t="s">
        <v>1136</v>
      </c>
      <c r="F1093" s="116" t="s">
        <v>1085</v>
      </c>
      <c r="G1093" s="280">
        <v>1</v>
      </c>
      <c r="H1093" s="259">
        <v>3704</v>
      </c>
      <c r="I1093" s="259">
        <v>3704</v>
      </c>
      <c r="J1093" s="259">
        <v>0</v>
      </c>
      <c r="K1093" s="259">
        <v>3704</v>
      </c>
      <c r="L1093" s="259">
        <v>296</v>
      </c>
      <c r="M1093" s="259">
        <v>4000</v>
      </c>
      <c r="N1093" s="118">
        <v>8.9999999999999998E-4</v>
      </c>
      <c r="O1093" s="411" t="s">
        <v>1086</v>
      </c>
    </row>
    <row r="1094" spans="1:15" ht="18" customHeight="1" x14ac:dyDescent="0.25">
      <c r="A1094" s="115">
        <v>14</v>
      </c>
      <c r="B1094" s="116" t="s">
        <v>115</v>
      </c>
      <c r="C1094" s="115">
        <v>61</v>
      </c>
      <c r="D1094" s="119" t="s">
        <v>97</v>
      </c>
      <c r="E1094" s="119" t="s">
        <v>1137</v>
      </c>
      <c r="F1094" s="116" t="s">
        <v>1085</v>
      </c>
      <c r="G1094" s="280">
        <v>13</v>
      </c>
      <c r="H1094" s="259">
        <v>4630</v>
      </c>
      <c r="I1094" s="259">
        <v>60185</v>
      </c>
      <c r="J1094" s="259">
        <v>0</v>
      </c>
      <c r="K1094" s="259">
        <v>60185</v>
      </c>
      <c r="L1094" s="259">
        <v>4815</v>
      </c>
      <c r="M1094" s="259">
        <v>65000</v>
      </c>
      <c r="N1094" s="118">
        <v>1.3899999999999999E-2</v>
      </c>
      <c r="O1094" s="411" t="s">
        <v>1086</v>
      </c>
    </row>
    <row r="1095" spans="1:15" ht="18" customHeight="1" x14ac:dyDescent="0.25">
      <c r="A1095" s="115">
        <v>14</v>
      </c>
      <c r="B1095" s="116" t="s">
        <v>115</v>
      </c>
      <c r="C1095" s="115">
        <v>215</v>
      </c>
      <c r="D1095" s="119" t="s">
        <v>87</v>
      </c>
      <c r="E1095" s="119" t="s">
        <v>135</v>
      </c>
      <c r="F1095" s="116" t="s">
        <v>1085</v>
      </c>
      <c r="G1095" s="280">
        <v>4</v>
      </c>
      <c r="H1095" s="259">
        <v>37500</v>
      </c>
      <c r="I1095" s="259">
        <v>150000</v>
      </c>
      <c r="J1095" s="259">
        <v>0</v>
      </c>
      <c r="K1095" s="259">
        <v>150000</v>
      </c>
      <c r="L1095" s="259">
        <v>12000</v>
      </c>
      <c r="M1095" s="259">
        <v>162000</v>
      </c>
      <c r="N1095" s="118">
        <v>3.4700000000000002E-2</v>
      </c>
      <c r="O1095" s="411" t="s">
        <v>1086</v>
      </c>
    </row>
    <row r="1096" spans="1:15" ht="18" customHeight="1" x14ac:dyDescent="0.25">
      <c r="A1096" s="115">
        <v>14</v>
      </c>
      <c r="B1096" s="116" t="s">
        <v>115</v>
      </c>
      <c r="C1096" s="115">
        <v>113</v>
      </c>
      <c r="D1096" s="119" t="s">
        <v>89</v>
      </c>
      <c r="E1096" s="119" t="s">
        <v>129</v>
      </c>
      <c r="F1096" s="116" t="s">
        <v>1085</v>
      </c>
      <c r="G1096" s="280">
        <v>6</v>
      </c>
      <c r="H1096" s="259">
        <v>22222</v>
      </c>
      <c r="I1096" s="259">
        <v>133333</v>
      </c>
      <c r="J1096" s="259">
        <v>0</v>
      </c>
      <c r="K1096" s="259">
        <v>133333</v>
      </c>
      <c r="L1096" s="259">
        <v>10667</v>
      </c>
      <c r="M1096" s="259">
        <v>144000</v>
      </c>
      <c r="N1096" s="118">
        <v>3.0800000000000001E-2</v>
      </c>
      <c r="O1096" s="411" t="s">
        <v>1086</v>
      </c>
    </row>
    <row r="1097" spans="1:15" ht="18" customHeight="1" x14ac:dyDescent="0.25">
      <c r="A1097" s="115">
        <v>14</v>
      </c>
      <c r="B1097" s="116" t="s">
        <v>115</v>
      </c>
      <c r="C1097" s="115">
        <v>96</v>
      </c>
      <c r="D1097" s="119" t="s">
        <v>93</v>
      </c>
      <c r="E1097" s="119" t="s">
        <v>1161</v>
      </c>
      <c r="F1097" s="116" t="s">
        <v>1085</v>
      </c>
      <c r="G1097" s="280">
        <v>2</v>
      </c>
      <c r="H1097" s="259">
        <v>35648</v>
      </c>
      <c r="I1097" s="259">
        <v>71296</v>
      </c>
      <c r="J1097" s="259">
        <v>0</v>
      </c>
      <c r="K1097" s="259">
        <v>71296</v>
      </c>
      <c r="L1097" s="259">
        <v>5704</v>
      </c>
      <c r="M1097" s="259">
        <v>77000</v>
      </c>
      <c r="N1097" s="118">
        <v>1.6500000000000001E-2</v>
      </c>
      <c r="O1097" s="411" t="s">
        <v>1086</v>
      </c>
    </row>
    <row r="1098" spans="1:15" ht="18" customHeight="1" x14ac:dyDescent="0.25">
      <c r="A1098" s="115">
        <v>14</v>
      </c>
      <c r="B1098" s="116" t="s">
        <v>115</v>
      </c>
      <c r="C1098" s="115">
        <v>33</v>
      </c>
      <c r="D1098" s="119" t="s">
        <v>91</v>
      </c>
      <c r="E1098" s="119" t="s">
        <v>1139</v>
      </c>
      <c r="F1098" s="116" t="s">
        <v>1085</v>
      </c>
      <c r="G1098" s="280">
        <v>3</v>
      </c>
      <c r="H1098" s="259">
        <v>1852</v>
      </c>
      <c r="I1098" s="259">
        <v>5556</v>
      </c>
      <c r="J1098" s="259">
        <v>0</v>
      </c>
      <c r="K1098" s="259">
        <v>5556</v>
      </c>
      <c r="L1098" s="259">
        <v>444</v>
      </c>
      <c r="M1098" s="259">
        <v>6000</v>
      </c>
      <c r="N1098" s="118">
        <v>1.2999999999999999E-3</v>
      </c>
      <c r="O1098" s="411" t="s">
        <v>1086</v>
      </c>
    </row>
    <row r="1099" spans="1:15" ht="18" customHeight="1" x14ac:dyDescent="0.25">
      <c r="A1099" s="115">
        <v>14</v>
      </c>
      <c r="B1099" s="116" t="s">
        <v>115</v>
      </c>
      <c r="C1099" s="115">
        <v>67</v>
      </c>
      <c r="D1099" s="119" t="s">
        <v>93</v>
      </c>
      <c r="E1099" s="119" t="s">
        <v>1140</v>
      </c>
      <c r="F1099" s="116" t="s">
        <v>1085</v>
      </c>
      <c r="G1099" s="280">
        <v>1</v>
      </c>
      <c r="H1099" s="259">
        <v>41667</v>
      </c>
      <c r="I1099" s="259">
        <v>41667</v>
      </c>
      <c r="J1099" s="259">
        <v>0</v>
      </c>
      <c r="K1099" s="259">
        <v>41667</v>
      </c>
      <c r="L1099" s="259">
        <v>3333</v>
      </c>
      <c r="M1099" s="259">
        <v>45000</v>
      </c>
      <c r="N1099" s="118">
        <v>9.5999999999999992E-3</v>
      </c>
      <c r="O1099" s="411" t="s">
        <v>1086</v>
      </c>
    </row>
    <row r="1100" spans="1:15" ht="18" customHeight="1" x14ac:dyDescent="0.25">
      <c r="A1100" s="115">
        <v>14</v>
      </c>
      <c r="B1100" s="116" t="s">
        <v>115</v>
      </c>
      <c r="C1100" s="115">
        <v>39</v>
      </c>
      <c r="D1100" s="119" t="s">
        <v>91</v>
      </c>
      <c r="E1100" s="119" t="s">
        <v>1162</v>
      </c>
      <c r="F1100" s="116" t="s">
        <v>1085</v>
      </c>
      <c r="G1100" s="280">
        <v>2</v>
      </c>
      <c r="H1100" s="259">
        <v>3333</v>
      </c>
      <c r="I1100" s="259">
        <v>6667</v>
      </c>
      <c r="J1100" s="259">
        <v>0</v>
      </c>
      <c r="K1100" s="259">
        <v>6667</v>
      </c>
      <c r="L1100" s="259">
        <v>533</v>
      </c>
      <c r="M1100" s="259">
        <v>7200</v>
      </c>
      <c r="N1100" s="118">
        <v>1.5E-3</v>
      </c>
      <c r="O1100" s="411" t="s">
        <v>1086</v>
      </c>
    </row>
    <row r="1101" spans="1:15" x14ac:dyDescent="0.25">
      <c r="A1101" s="508">
        <v>15</v>
      </c>
      <c r="B1101" s="508" t="s">
        <v>118</v>
      </c>
      <c r="C1101" s="508">
        <v>73</v>
      </c>
      <c r="D1101" s="509" t="s">
        <v>91</v>
      </c>
      <c r="E1101" s="509" t="s">
        <v>1084</v>
      </c>
      <c r="F1101" s="508" t="s">
        <v>1085</v>
      </c>
      <c r="G1101" s="510">
        <v>12</v>
      </c>
      <c r="H1101" s="511">
        <v>2593</v>
      </c>
      <c r="I1101" s="511">
        <v>31111</v>
      </c>
      <c r="J1101" s="511">
        <v>0</v>
      </c>
      <c r="K1101" s="511">
        <v>31111</v>
      </c>
      <c r="L1101" s="511">
        <v>2489</v>
      </c>
      <c r="M1101" s="511">
        <v>33600</v>
      </c>
      <c r="N1101" s="512">
        <v>5.1000000000000004E-3</v>
      </c>
      <c r="O1101" s="509" t="s">
        <v>1086</v>
      </c>
    </row>
    <row r="1102" spans="1:15" x14ac:dyDescent="0.25">
      <c r="A1102" s="508">
        <v>15</v>
      </c>
      <c r="B1102" s="508" t="s">
        <v>118</v>
      </c>
      <c r="C1102" s="508">
        <v>65</v>
      </c>
      <c r="D1102" s="509" t="s">
        <v>91</v>
      </c>
      <c r="E1102" s="509" t="s">
        <v>1087</v>
      </c>
      <c r="F1102" s="508" t="s">
        <v>1085</v>
      </c>
      <c r="G1102" s="510">
        <v>2</v>
      </c>
      <c r="H1102" s="511">
        <v>2778</v>
      </c>
      <c r="I1102" s="511">
        <v>5556</v>
      </c>
      <c r="J1102" s="511">
        <v>0</v>
      </c>
      <c r="K1102" s="511">
        <v>5556</v>
      </c>
      <c r="L1102" s="511">
        <v>444</v>
      </c>
      <c r="M1102" s="511">
        <v>6000</v>
      </c>
      <c r="N1102" s="512">
        <v>8.9999999999999998E-4</v>
      </c>
      <c r="O1102" s="509" t="s">
        <v>1086</v>
      </c>
    </row>
    <row r="1103" spans="1:15" x14ac:dyDescent="0.25">
      <c r="A1103" s="508">
        <v>15</v>
      </c>
      <c r="B1103" s="508" t="s">
        <v>118</v>
      </c>
      <c r="C1103" s="508">
        <v>12</v>
      </c>
      <c r="D1103" s="509" t="s">
        <v>93</v>
      </c>
      <c r="E1103" s="509" t="s">
        <v>1089</v>
      </c>
      <c r="F1103" s="508" t="s">
        <v>1085</v>
      </c>
      <c r="G1103" s="510">
        <v>1</v>
      </c>
      <c r="H1103" s="511">
        <v>41667</v>
      </c>
      <c r="I1103" s="511">
        <v>41667</v>
      </c>
      <c r="J1103" s="511">
        <v>0</v>
      </c>
      <c r="K1103" s="511">
        <v>41667</v>
      </c>
      <c r="L1103" s="511">
        <v>3333</v>
      </c>
      <c r="M1103" s="511">
        <v>45000</v>
      </c>
      <c r="N1103" s="512">
        <v>6.7999999999999996E-3</v>
      </c>
      <c r="O1103" s="509" t="s">
        <v>1086</v>
      </c>
    </row>
    <row r="1104" spans="1:15" x14ac:dyDescent="0.25">
      <c r="A1104" s="508">
        <v>15</v>
      </c>
      <c r="B1104" s="508" t="s">
        <v>118</v>
      </c>
      <c r="C1104" s="508">
        <v>207</v>
      </c>
      <c r="D1104" s="509" t="s">
        <v>87</v>
      </c>
      <c r="E1104" s="509" t="s">
        <v>1204</v>
      </c>
      <c r="F1104" s="508" t="s">
        <v>1085</v>
      </c>
      <c r="G1104" s="510">
        <v>15</v>
      </c>
      <c r="H1104" s="511">
        <v>18765</v>
      </c>
      <c r="I1104" s="511">
        <v>281481</v>
      </c>
      <c r="J1104" s="511">
        <v>0</v>
      </c>
      <c r="K1104" s="511">
        <v>281481</v>
      </c>
      <c r="L1104" s="511">
        <v>22519</v>
      </c>
      <c r="M1104" s="511">
        <v>304000</v>
      </c>
      <c r="N1104" s="512">
        <v>4.6199999999999998E-2</v>
      </c>
      <c r="O1104" s="509" t="s">
        <v>1086</v>
      </c>
    </row>
    <row r="1105" spans="1:15" x14ac:dyDescent="0.25">
      <c r="A1105" s="508">
        <v>15</v>
      </c>
      <c r="B1105" s="508" t="s">
        <v>118</v>
      </c>
      <c r="C1105" s="508">
        <v>92</v>
      </c>
      <c r="D1105" s="509" t="s">
        <v>87</v>
      </c>
      <c r="E1105" s="509" t="s">
        <v>1222</v>
      </c>
      <c r="F1105" s="508" t="s">
        <v>1085</v>
      </c>
      <c r="G1105" s="510">
        <v>6</v>
      </c>
      <c r="H1105" s="511">
        <v>18519</v>
      </c>
      <c r="I1105" s="511">
        <v>111111</v>
      </c>
      <c r="J1105" s="511">
        <v>0</v>
      </c>
      <c r="K1105" s="511">
        <v>111111</v>
      </c>
      <c r="L1105" s="511">
        <v>8889</v>
      </c>
      <c r="M1105" s="511">
        <v>120000</v>
      </c>
      <c r="N1105" s="512">
        <v>1.8200000000000001E-2</v>
      </c>
      <c r="O1105" s="509" t="s">
        <v>1086</v>
      </c>
    </row>
    <row r="1106" spans="1:15" x14ac:dyDescent="0.25">
      <c r="A1106" s="508">
        <v>15</v>
      </c>
      <c r="B1106" s="508" t="s">
        <v>118</v>
      </c>
      <c r="C1106" s="508">
        <v>40</v>
      </c>
      <c r="D1106" s="509" t="s">
        <v>87</v>
      </c>
      <c r="E1106" s="509" t="s">
        <v>1143</v>
      </c>
      <c r="F1106" s="508" t="s">
        <v>1085</v>
      </c>
      <c r="G1106" s="510">
        <v>3</v>
      </c>
      <c r="H1106" s="511">
        <v>55093</v>
      </c>
      <c r="I1106" s="511">
        <v>165278</v>
      </c>
      <c r="J1106" s="511">
        <v>0</v>
      </c>
      <c r="K1106" s="511">
        <v>165278</v>
      </c>
      <c r="L1106" s="511">
        <v>13222</v>
      </c>
      <c r="M1106" s="511">
        <v>178500</v>
      </c>
      <c r="N1106" s="512">
        <v>2.7099999999999999E-2</v>
      </c>
      <c r="O1106" s="509" t="s">
        <v>1086</v>
      </c>
    </row>
    <row r="1107" spans="1:15" x14ac:dyDescent="0.25">
      <c r="A1107" s="508">
        <v>15</v>
      </c>
      <c r="B1107" s="508" t="s">
        <v>118</v>
      </c>
      <c r="C1107" s="508">
        <v>131</v>
      </c>
      <c r="D1107" s="509" t="s">
        <v>87</v>
      </c>
      <c r="E1107" s="509" t="s">
        <v>1144</v>
      </c>
      <c r="F1107" s="508" t="s">
        <v>1085</v>
      </c>
      <c r="G1107" s="510">
        <v>1</v>
      </c>
      <c r="H1107" s="511">
        <v>278</v>
      </c>
      <c r="I1107" s="511">
        <v>278</v>
      </c>
      <c r="J1107" s="511">
        <v>0</v>
      </c>
      <c r="K1107" s="511">
        <v>278</v>
      </c>
      <c r="L1107" s="511">
        <v>22</v>
      </c>
      <c r="M1107" s="511">
        <v>300</v>
      </c>
      <c r="N1107" s="512">
        <v>0</v>
      </c>
      <c r="O1107" s="509" t="s">
        <v>1086</v>
      </c>
    </row>
    <row r="1108" spans="1:15" x14ac:dyDescent="0.25">
      <c r="A1108" s="508">
        <v>15</v>
      </c>
      <c r="B1108" s="508" t="s">
        <v>118</v>
      </c>
      <c r="C1108" s="508">
        <v>104</v>
      </c>
      <c r="D1108" s="509" t="s">
        <v>89</v>
      </c>
      <c r="E1108" s="509" t="s">
        <v>165</v>
      </c>
      <c r="F1108" s="508" t="s">
        <v>1085</v>
      </c>
      <c r="G1108" s="510">
        <v>7</v>
      </c>
      <c r="H1108" s="511">
        <v>15741</v>
      </c>
      <c r="I1108" s="511">
        <v>110185</v>
      </c>
      <c r="J1108" s="511">
        <v>0</v>
      </c>
      <c r="K1108" s="511">
        <v>110185</v>
      </c>
      <c r="L1108" s="511">
        <v>8815</v>
      </c>
      <c r="M1108" s="511">
        <v>119000</v>
      </c>
      <c r="N1108" s="512">
        <v>1.8100000000000002E-2</v>
      </c>
      <c r="O1108" s="509" t="s">
        <v>1086</v>
      </c>
    </row>
    <row r="1109" spans="1:15" x14ac:dyDescent="0.25">
      <c r="A1109" s="508">
        <v>15</v>
      </c>
      <c r="B1109" s="508" t="s">
        <v>118</v>
      </c>
      <c r="C1109" s="508">
        <v>95</v>
      </c>
      <c r="D1109" s="509" t="s">
        <v>87</v>
      </c>
      <c r="E1109" s="509" t="s">
        <v>1090</v>
      </c>
      <c r="F1109" s="508" t="s">
        <v>1085</v>
      </c>
      <c r="G1109" s="510">
        <v>4</v>
      </c>
      <c r="H1109" s="511">
        <v>926</v>
      </c>
      <c r="I1109" s="511">
        <v>3704</v>
      </c>
      <c r="J1109" s="511">
        <v>0</v>
      </c>
      <c r="K1109" s="511">
        <v>3704</v>
      </c>
      <c r="L1109" s="511">
        <v>296</v>
      </c>
      <c r="M1109" s="511">
        <v>4000</v>
      </c>
      <c r="N1109" s="512">
        <v>5.9999999999999995E-4</v>
      </c>
      <c r="O1109" s="509" t="s">
        <v>1086</v>
      </c>
    </row>
    <row r="1110" spans="1:15" x14ac:dyDescent="0.25">
      <c r="A1110" s="508">
        <v>15</v>
      </c>
      <c r="B1110" s="508" t="s">
        <v>118</v>
      </c>
      <c r="C1110" s="508">
        <v>54</v>
      </c>
      <c r="D1110" s="509" t="s">
        <v>91</v>
      </c>
      <c r="E1110" s="509" t="s">
        <v>1145</v>
      </c>
      <c r="F1110" s="508" t="s">
        <v>1085</v>
      </c>
      <c r="G1110" s="510">
        <v>2</v>
      </c>
      <c r="H1110" s="511">
        <v>2315</v>
      </c>
      <c r="I1110" s="511">
        <v>4630</v>
      </c>
      <c r="J1110" s="511">
        <v>0</v>
      </c>
      <c r="K1110" s="511">
        <v>4630</v>
      </c>
      <c r="L1110" s="511">
        <v>370</v>
      </c>
      <c r="M1110" s="511">
        <v>5000</v>
      </c>
      <c r="N1110" s="512">
        <v>8.0000000000000004E-4</v>
      </c>
      <c r="O1110" s="509" t="s">
        <v>1086</v>
      </c>
    </row>
    <row r="1111" spans="1:15" x14ac:dyDescent="0.25">
      <c r="A1111" s="508">
        <v>15</v>
      </c>
      <c r="B1111" s="508" t="s">
        <v>118</v>
      </c>
      <c r="C1111" s="508">
        <v>5</v>
      </c>
      <c r="D1111" s="509" t="s">
        <v>89</v>
      </c>
      <c r="E1111" s="509" t="s">
        <v>1146</v>
      </c>
      <c r="F1111" s="508" t="s">
        <v>1085</v>
      </c>
      <c r="G1111" s="510">
        <v>1</v>
      </c>
      <c r="H1111" s="511">
        <v>11111</v>
      </c>
      <c r="I1111" s="511">
        <v>11111</v>
      </c>
      <c r="J1111" s="511">
        <v>0</v>
      </c>
      <c r="K1111" s="511">
        <v>11111</v>
      </c>
      <c r="L1111" s="511">
        <v>889</v>
      </c>
      <c r="M1111" s="511">
        <v>12000</v>
      </c>
      <c r="N1111" s="512">
        <v>1.8E-3</v>
      </c>
      <c r="O1111" s="509" t="s">
        <v>1086</v>
      </c>
    </row>
    <row r="1112" spans="1:15" x14ac:dyDescent="0.25">
      <c r="A1112" s="508">
        <v>15</v>
      </c>
      <c r="B1112" s="508" t="s">
        <v>118</v>
      </c>
      <c r="C1112" s="508">
        <v>136</v>
      </c>
      <c r="D1112" s="509" t="s">
        <v>89</v>
      </c>
      <c r="E1112" s="509" t="s">
        <v>1091</v>
      </c>
      <c r="F1112" s="508" t="s">
        <v>1085</v>
      </c>
      <c r="G1112" s="510">
        <v>1</v>
      </c>
      <c r="H1112" s="511">
        <v>24074</v>
      </c>
      <c r="I1112" s="511">
        <v>24074</v>
      </c>
      <c r="J1112" s="511">
        <v>0</v>
      </c>
      <c r="K1112" s="511">
        <v>24074</v>
      </c>
      <c r="L1112" s="511">
        <v>1926</v>
      </c>
      <c r="M1112" s="511">
        <v>26000</v>
      </c>
      <c r="N1112" s="512">
        <v>4.0000000000000001E-3</v>
      </c>
      <c r="O1112" s="509" t="s">
        <v>1086</v>
      </c>
    </row>
    <row r="1113" spans="1:15" x14ac:dyDescent="0.25">
      <c r="A1113" s="508">
        <v>15</v>
      </c>
      <c r="B1113" s="508" t="s">
        <v>118</v>
      </c>
      <c r="C1113" s="508">
        <v>135</v>
      </c>
      <c r="D1113" s="509" t="s">
        <v>89</v>
      </c>
      <c r="E1113" s="509" t="s">
        <v>1175</v>
      </c>
      <c r="F1113" s="508" t="s">
        <v>1085</v>
      </c>
      <c r="G1113" s="510">
        <v>1</v>
      </c>
      <c r="H1113" s="511">
        <v>13889</v>
      </c>
      <c r="I1113" s="511">
        <v>13889</v>
      </c>
      <c r="J1113" s="511">
        <v>0</v>
      </c>
      <c r="K1113" s="511">
        <v>13889</v>
      </c>
      <c r="L1113" s="511">
        <v>1111</v>
      </c>
      <c r="M1113" s="511">
        <v>15000</v>
      </c>
      <c r="N1113" s="512">
        <v>2.3E-3</v>
      </c>
      <c r="O1113" s="509" t="s">
        <v>1086</v>
      </c>
    </row>
    <row r="1114" spans="1:15" x14ac:dyDescent="0.25">
      <c r="A1114" s="508">
        <v>15</v>
      </c>
      <c r="B1114" s="508" t="s">
        <v>118</v>
      </c>
      <c r="C1114" s="508">
        <v>6</v>
      </c>
      <c r="D1114" s="509" t="s">
        <v>89</v>
      </c>
      <c r="E1114" s="509" t="s">
        <v>1147</v>
      </c>
      <c r="F1114" s="508" t="s">
        <v>1085</v>
      </c>
      <c r="G1114" s="510">
        <v>3</v>
      </c>
      <c r="H1114" s="511">
        <v>14815</v>
      </c>
      <c r="I1114" s="511">
        <v>44444</v>
      </c>
      <c r="J1114" s="511">
        <v>0</v>
      </c>
      <c r="K1114" s="511">
        <v>44444</v>
      </c>
      <c r="L1114" s="511">
        <v>3556</v>
      </c>
      <c r="M1114" s="511">
        <v>48000</v>
      </c>
      <c r="N1114" s="512">
        <v>7.3000000000000001E-3</v>
      </c>
      <c r="O1114" s="509" t="s">
        <v>1086</v>
      </c>
    </row>
    <row r="1115" spans="1:15" x14ac:dyDescent="0.25">
      <c r="A1115" s="508">
        <v>15</v>
      </c>
      <c r="B1115" s="508" t="s">
        <v>118</v>
      </c>
      <c r="C1115" s="508">
        <v>8</v>
      </c>
      <c r="D1115" s="509" t="s">
        <v>87</v>
      </c>
      <c r="E1115" s="509" t="s">
        <v>156</v>
      </c>
      <c r="F1115" s="508" t="s">
        <v>1085</v>
      </c>
      <c r="G1115" s="510">
        <v>14</v>
      </c>
      <c r="H1115" s="511">
        <v>18849</v>
      </c>
      <c r="I1115" s="511">
        <v>263889</v>
      </c>
      <c r="J1115" s="511">
        <v>0</v>
      </c>
      <c r="K1115" s="511">
        <v>263889</v>
      </c>
      <c r="L1115" s="511">
        <v>21111</v>
      </c>
      <c r="M1115" s="511">
        <v>285000</v>
      </c>
      <c r="N1115" s="512">
        <v>4.3299999999999998E-2</v>
      </c>
      <c r="O1115" s="509" t="s">
        <v>1086</v>
      </c>
    </row>
    <row r="1116" spans="1:15" x14ac:dyDescent="0.25">
      <c r="A1116" s="508">
        <v>15</v>
      </c>
      <c r="B1116" s="508" t="s">
        <v>118</v>
      </c>
      <c r="C1116" s="508">
        <v>87</v>
      </c>
      <c r="D1116" s="509" t="s">
        <v>89</v>
      </c>
      <c r="E1116" s="509" t="s">
        <v>147</v>
      </c>
      <c r="F1116" s="508" t="s">
        <v>1085</v>
      </c>
      <c r="G1116" s="510">
        <v>2</v>
      </c>
      <c r="H1116" s="511">
        <v>37500</v>
      </c>
      <c r="I1116" s="511">
        <v>75000</v>
      </c>
      <c r="J1116" s="511">
        <v>0</v>
      </c>
      <c r="K1116" s="511">
        <v>75000</v>
      </c>
      <c r="L1116" s="511">
        <v>6000</v>
      </c>
      <c r="M1116" s="511">
        <v>81000</v>
      </c>
      <c r="N1116" s="512">
        <v>1.23E-2</v>
      </c>
      <c r="O1116" s="509" t="s">
        <v>1086</v>
      </c>
    </row>
    <row r="1117" spans="1:15" x14ac:dyDescent="0.25">
      <c r="A1117" s="508">
        <v>15</v>
      </c>
      <c r="B1117" s="508" t="s">
        <v>118</v>
      </c>
      <c r="C1117" s="508">
        <v>206</v>
      </c>
      <c r="D1117" s="509" t="s">
        <v>93</v>
      </c>
      <c r="E1117" s="509" t="s">
        <v>1093</v>
      </c>
      <c r="F1117" s="508" t="s">
        <v>1085</v>
      </c>
      <c r="G1117" s="510">
        <v>1</v>
      </c>
      <c r="H1117" s="511">
        <v>44907</v>
      </c>
      <c r="I1117" s="511">
        <v>44907</v>
      </c>
      <c r="J1117" s="511">
        <v>0</v>
      </c>
      <c r="K1117" s="511">
        <v>44907</v>
      </c>
      <c r="L1117" s="511">
        <v>3593</v>
      </c>
      <c r="M1117" s="511">
        <v>48500</v>
      </c>
      <c r="N1117" s="512">
        <v>7.4000000000000003E-3</v>
      </c>
      <c r="O1117" s="509" t="s">
        <v>1086</v>
      </c>
    </row>
    <row r="1118" spans="1:15" x14ac:dyDescent="0.25">
      <c r="A1118" s="508">
        <v>15</v>
      </c>
      <c r="B1118" s="508" t="s">
        <v>118</v>
      </c>
      <c r="C1118" s="508">
        <v>13</v>
      </c>
      <c r="D1118" s="509" t="s">
        <v>87</v>
      </c>
      <c r="E1118" s="509" t="s">
        <v>1094</v>
      </c>
      <c r="F1118" s="508" t="s">
        <v>1085</v>
      </c>
      <c r="G1118" s="510">
        <v>4</v>
      </c>
      <c r="H1118" s="511">
        <v>18519</v>
      </c>
      <c r="I1118" s="511">
        <v>74074</v>
      </c>
      <c r="J1118" s="511">
        <v>0</v>
      </c>
      <c r="K1118" s="511">
        <v>74074</v>
      </c>
      <c r="L1118" s="511">
        <v>5926</v>
      </c>
      <c r="M1118" s="511">
        <v>80000</v>
      </c>
      <c r="N1118" s="512">
        <v>1.2200000000000001E-2</v>
      </c>
      <c r="O1118" s="509" t="s">
        <v>1086</v>
      </c>
    </row>
    <row r="1119" spans="1:15" x14ac:dyDescent="0.25">
      <c r="A1119" s="508">
        <v>15</v>
      </c>
      <c r="B1119" s="508" t="s">
        <v>118</v>
      </c>
      <c r="C1119" s="508">
        <v>264</v>
      </c>
      <c r="D1119" s="509" t="s">
        <v>91</v>
      </c>
      <c r="E1119" s="509" t="s">
        <v>1148</v>
      </c>
      <c r="F1119" s="508" t="s">
        <v>1085</v>
      </c>
      <c r="G1119" s="510">
        <v>2</v>
      </c>
      <c r="H1119" s="511">
        <v>4630</v>
      </c>
      <c r="I1119" s="511">
        <v>9259</v>
      </c>
      <c r="J1119" s="511">
        <v>0</v>
      </c>
      <c r="K1119" s="511">
        <v>9259</v>
      </c>
      <c r="L1119" s="511">
        <v>741</v>
      </c>
      <c r="M1119" s="511">
        <v>10000</v>
      </c>
      <c r="N1119" s="512">
        <v>1.5E-3</v>
      </c>
      <c r="O1119" s="509" t="s">
        <v>1086</v>
      </c>
    </row>
    <row r="1120" spans="1:15" x14ac:dyDescent="0.25">
      <c r="A1120" s="508">
        <v>15</v>
      </c>
      <c r="B1120" s="508" t="s">
        <v>118</v>
      </c>
      <c r="C1120" s="508">
        <v>70</v>
      </c>
      <c r="D1120" s="509" t="s">
        <v>91</v>
      </c>
      <c r="E1120" s="509" t="s">
        <v>1096</v>
      </c>
      <c r="F1120" s="508" t="s">
        <v>1085</v>
      </c>
      <c r="G1120" s="510">
        <v>6</v>
      </c>
      <c r="H1120" s="511">
        <v>4630</v>
      </c>
      <c r="I1120" s="511">
        <v>27778</v>
      </c>
      <c r="J1120" s="511">
        <v>0</v>
      </c>
      <c r="K1120" s="511">
        <v>27778</v>
      </c>
      <c r="L1120" s="511">
        <v>2222</v>
      </c>
      <c r="M1120" s="511">
        <v>30000</v>
      </c>
      <c r="N1120" s="512">
        <v>4.5999999999999999E-3</v>
      </c>
      <c r="O1120" s="509" t="s">
        <v>1086</v>
      </c>
    </row>
    <row r="1121" spans="1:15" x14ac:dyDescent="0.25">
      <c r="A1121" s="508">
        <v>15</v>
      </c>
      <c r="B1121" s="508" t="s">
        <v>118</v>
      </c>
      <c r="C1121" s="508">
        <v>71</v>
      </c>
      <c r="D1121" s="509" t="s">
        <v>91</v>
      </c>
      <c r="E1121" s="509" t="s">
        <v>1097</v>
      </c>
      <c r="F1121" s="508" t="s">
        <v>1085</v>
      </c>
      <c r="G1121" s="510">
        <v>2</v>
      </c>
      <c r="H1121" s="511">
        <v>5556</v>
      </c>
      <c r="I1121" s="511">
        <v>11111</v>
      </c>
      <c r="J1121" s="511">
        <v>0</v>
      </c>
      <c r="K1121" s="511">
        <v>11111</v>
      </c>
      <c r="L1121" s="511">
        <v>889</v>
      </c>
      <c r="M1121" s="511">
        <v>12000</v>
      </c>
      <c r="N1121" s="512">
        <v>1.8E-3</v>
      </c>
      <c r="O1121" s="509" t="s">
        <v>1086</v>
      </c>
    </row>
    <row r="1122" spans="1:15" x14ac:dyDescent="0.25">
      <c r="A1122" s="508">
        <v>15</v>
      </c>
      <c r="B1122" s="508" t="s">
        <v>118</v>
      </c>
      <c r="C1122" s="508">
        <v>83</v>
      </c>
      <c r="D1122" s="509" t="s">
        <v>87</v>
      </c>
      <c r="E1122" s="509" t="s">
        <v>1098</v>
      </c>
      <c r="F1122" s="508" t="s">
        <v>1085</v>
      </c>
      <c r="G1122" s="510">
        <v>4</v>
      </c>
      <c r="H1122" s="511">
        <v>20833</v>
      </c>
      <c r="I1122" s="511">
        <v>83333</v>
      </c>
      <c r="J1122" s="511">
        <v>0</v>
      </c>
      <c r="K1122" s="511">
        <v>83333</v>
      </c>
      <c r="L1122" s="511">
        <v>6667</v>
      </c>
      <c r="M1122" s="511">
        <v>90000</v>
      </c>
      <c r="N1122" s="512">
        <v>1.37E-2</v>
      </c>
      <c r="O1122" s="509" t="s">
        <v>1086</v>
      </c>
    </row>
    <row r="1123" spans="1:15" x14ac:dyDescent="0.25">
      <c r="A1123" s="508">
        <v>15</v>
      </c>
      <c r="B1123" s="508" t="s">
        <v>118</v>
      </c>
      <c r="C1123" s="508">
        <v>43</v>
      </c>
      <c r="D1123" s="509" t="s">
        <v>87</v>
      </c>
      <c r="E1123" s="509" t="s">
        <v>1099</v>
      </c>
      <c r="F1123" s="508" t="s">
        <v>1085</v>
      </c>
      <c r="G1123" s="510">
        <v>1</v>
      </c>
      <c r="H1123" s="511">
        <v>8333</v>
      </c>
      <c r="I1123" s="511">
        <v>8333</v>
      </c>
      <c r="J1123" s="511">
        <v>0</v>
      </c>
      <c r="K1123" s="511">
        <v>8333</v>
      </c>
      <c r="L1123" s="511">
        <v>667</v>
      </c>
      <c r="M1123" s="511">
        <v>9000</v>
      </c>
      <c r="N1123" s="512">
        <v>1.4E-3</v>
      </c>
      <c r="O1123" s="509" t="s">
        <v>1086</v>
      </c>
    </row>
    <row r="1124" spans="1:15" x14ac:dyDescent="0.25">
      <c r="A1124" s="508">
        <v>15</v>
      </c>
      <c r="B1124" s="508" t="s">
        <v>118</v>
      </c>
      <c r="C1124" s="508">
        <v>41</v>
      </c>
      <c r="D1124" s="509" t="s">
        <v>87</v>
      </c>
      <c r="E1124" s="509" t="s">
        <v>168</v>
      </c>
      <c r="F1124" s="508" t="s">
        <v>1085</v>
      </c>
      <c r="G1124" s="510">
        <v>3</v>
      </c>
      <c r="H1124" s="511">
        <v>49074</v>
      </c>
      <c r="I1124" s="511">
        <v>147222</v>
      </c>
      <c r="J1124" s="511">
        <v>0</v>
      </c>
      <c r="K1124" s="511">
        <v>147222</v>
      </c>
      <c r="L1124" s="511">
        <v>11778</v>
      </c>
      <c r="M1124" s="511">
        <v>159000</v>
      </c>
      <c r="N1124" s="512">
        <v>2.4199999999999999E-2</v>
      </c>
      <c r="O1124" s="509" t="s">
        <v>1086</v>
      </c>
    </row>
    <row r="1125" spans="1:15" x14ac:dyDescent="0.25">
      <c r="A1125" s="508">
        <v>15</v>
      </c>
      <c r="B1125" s="508" t="s">
        <v>118</v>
      </c>
      <c r="C1125" s="508">
        <v>122</v>
      </c>
      <c r="D1125" s="509" t="s">
        <v>91</v>
      </c>
      <c r="E1125" s="509" t="s">
        <v>1100</v>
      </c>
      <c r="F1125" s="508" t="s">
        <v>1085</v>
      </c>
      <c r="G1125" s="510">
        <v>2</v>
      </c>
      <c r="H1125" s="511">
        <v>2778</v>
      </c>
      <c r="I1125" s="511">
        <v>5556</v>
      </c>
      <c r="J1125" s="511">
        <v>0</v>
      </c>
      <c r="K1125" s="511">
        <v>5556</v>
      </c>
      <c r="L1125" s="511">
        <v>444</v>
      </c>
      <c r="M1125" s="511">
        <v>6000</v>
      </c>
      <c r="N1125" s="512">
        <v>8.9999999999999998E-4</v>
      </c>
      <c r="O1125" s="509" t="s">
        <v>1086</v>
      </c>
    </row>
    <row r="1126" spans="1:15" x14ac:dyDescent="0.25">
      <c r="A1126" s="508">
        <v>15</v>
      </c>
      <c r="B1126" s="508" t="s">
        <v>118</v>
      </c>
      <c r="C1126" s="508">
        <v>247</v>
      </c>
      <c r="D1126" s="509" t="s">
        <v>87</v>
      </c>
      <c r="E1126" s="509" t="s">
        <v>1165</v>
      </c>
      <c r="F1126" s="508" t="s">
        <v>1085</v>
      </c>
      <c r="G1126" s="510">
        <v>1</v>
      </c>
      <c r="H1126" s="511">
        <v>3056</v>
      </c>
      <c r="I1126" s="511">
        <v>3056</v>
      </c>
      <c r="J1126" s="511">
        <v>0</v>
      </c>
      <c r="K1126" s="511">
        <v>3056</v>
      </c>
      <c r="L1126" s="511">
        <v>244</v>
      </c>
      <c r="M1126" s="511">
        <v>3300</v>
      </c>
      <c r="N1126" s="512">
        <v>5.0000000000000001E-4</v>
      </c>
      <c r="O1126" s="509" t="s">
        <v>1086</v>
      </c>
    </row>
    <row r="1127" spans="1:15" x14ac:dyDescent="0.25">
      <c r="A1127" s="508">
        <v>15</v>
      </c>
      <c r="B1127" s="508" t="s">
        <v>118</v>
      </c>
      <c r="C1127" s="508">
        <v>42</v>
      </c>
      <c r="D1127" s="509" t="s">
        <v>87</v>
      </c>
      <c r="E1127" s="509" t="s">
        <v>359</v>
      </c>
      <c r="F1127" s="508" t="s">
        <v>1085</v>
      </c>
      <c r="G1127" s="510">
        <v>1</v>
      </c>
      <c r="H1127" s="511">
        <v>32407</v>
      </c>
      <c r="I1127" s="511">
        <v>32407</v>
      </c>
      <c r="J1127" s="511">
        <v>0</v>
      </c>
      <c r="K1127" s="511">
        <v>32407</v>
      </c>
      <c r="L1127" s="511">
        <v>2593</v>
      </c>
      <c r="M1127" s="511">
        <v>35000</v>
      </c>
      <c r="N1127" s="512">
        <v>5.3E-3</v>
      </c>
      <c r="O1127" s="509" t="s">
        <v>1086</v>
      </c>
    </row>
    <row r="1128" spans="1:15" x14ac:dyDescent="0.25">
      <c r="A1128" s="508">
        <v>15</v>
      </c>
      <c r="B1128" s="508" t="s">
        <v>118</v>
      </c>
      <c r="C1128" s="508">
        <v>44</v>
      </c>
      <c r="D1128" s="509" t="s">
        <v>87</v>
      </c>
      <c r="E1128" s="509" t="s">
        <v>138</v>
      </c>
      <c r="F1128" s="508" t="s">
        <v>1085</v>
      </c>
      <c r="G1128" s="510">
        <v>1</v>
      </c>
      <c r="H1128" s="511">
        <v>28241</v>
      </c>
      <c r="I1128" s="511">
        <v>28241</v>
      </c>
      <c r="J1128" s="511">
        <v>0</v>
      </c>
      <c r="K1128" s="511">
        <v>28241</v>
      </c>
      <c r="L1128" s="511">
        <v>2259</v>
      </c>
      <c r="M1128" s="511">
        <v>30500</v>
      </c>
      <c r="N1128" s="512">
        <v>4.5999999999999999E-3</v>
      </c>
      <c r="O1128" s="509" t="s">
        <v>1086</v>
      </c>
    </row>
    <row r="1129" spans="1:15" x14ac:dyDescent="0.25">
      <c r="A1129" s="508">
        <v>15</v>
      </c>
      <c r="B1129" s="508" t="s">
        <v>118</v>
      </c>
      <c r="C1129" s="508">
        <v>15</v>
      </c>
      <c r="D1129" s="509" t="s">
        <v>87</v>
      </c>
      <c r="E1129" s="509" t="s">
        <v>277</v>
      </c>
      <c r="F1129" s="508" t="s">
        <v>1085</v>
      </c>
      <c r="G1129" s="510">
        <v>19</v>
      </c>
      <c r="H1129" s="511">
        <v>18811</v>
      </c>
      <c r="I1129" s="511">
        <v>360185</v>
      </c>
      <c r="J1129" s="511">
        <v>2778</v>
      </c>
      <c r="K1129" s="511">
        <v>357407</v>
      </c>
      <c r="L1129" s="511">
        <v>28593</v>
      </c>
      <c r="M1129" s="511">
        <v>386000</v>
      </c>
      <c r="N1129" s="512">
        <v>5.8700000000000002E-2</v>
      </c>
      <c r="O1129" s="509" t="s">
        <v>1086</v>
      </c>
    </row>
    <row r="1130" spans="1:15" x14ac:dyDescent="0.25">
      <c r="A1130" s="508">
        <v>15</v>
      </c>
      <c r="B1130" s="508" t="s">
        <v>118</v>
      </c>
      <c r="C1130" s="508">
        <v>110</v>
      </c>
      <c r="D1130" s="509" t="s">
        <v>99</v>
      </c>
      <c r="E1130" s="509" t="s">
        <v>1101</v>
      </c>
      <c r="F1130" s="508" t="s">
        <v>1085</v>
      </c>
      <c r="G1130" s="510">
        <v>17</v>
      </c>
      <c r="H1130" s="511">
        <v>926</v>
      </c>
      <c r="I1130" s="511">
        <v>15741</v>
      </c>
      <c r="J1130" s="511">
        <v>0</v>
      </c>
      <c r="K1130" s="511">
        <v>15741</v>
      </c>
      <c r="L1130" s="511">
        <v>1259</v>
      </c>
      <c r="M1130" s="511">
        <v>17000</v>
      </c>
      <c r="N1130" s="512">
        <v>2.5999999999999999E-3</v>
      </c>
      <c r="O1130" s="509" t="s">
        <v>1086</v>
      </c>
    </row>
    <row r="1131" spans="1:15" x14ac:dyDescent="0.25">
      <c r="A1131" s="508">
        <v>15</v>
      </c>
      <c r="B1131" s="508" t="s">
        <v>118</v>
      </c>
      <c r="C1131" s="508">
        <v>102</v>
      </c>
      <c r="D1131" s="509" t="s">
        <v>87</v>
      </c>
      <c r="E1131" s="509" t="s">
        <v>1151</v>
      </c>
      <c r="F1131" s="508" t="s">
        <v>1085</v>
      </c>
      <c r="G1131" s="510">
        <v>1</v>
      </c>
      <c r="H1131" s="511">
        <v>6944</v>
      </c>
      <c r="I1131" s="511">
        <v>6944</v>
      </c>
      <c r="J1131" s="511">
        <v>0</v>
      </c>
      <c r="K1131" s="511">
        <v>6944</v>
      </c>
      <c r="L1131" s="511">
        <v>556</v>
      </c>
      <c r="M1131" s="511">
        <v>7500</v>
      </c>
      <c r="N1131" s="512">
        <v>1.1000000000000001E-3</v>
      </c>
      <c r="O1131" s="509" t="s">
        <v>1086</v>
      </c>
    </row>
    <row r="1132" spans="1:15" x14ac:dyDescent="0.25">
      <c r="A1132" s="508">
        <v>15</v>
      </c>
      <c r="B1132" s="508" t="s">
        <v>118</v>
      </c>
      <c r="C1132" s="508">
        <v>26</v>
      </c>
      <c r="D1132" s="509" t="s">
        <v>87</v>
      </c>
      <c r="E1132" s="509" t="s">
        <v>1167</v>
      </c>
      <c r="F1132" s="508" t="s">
        <v>1085</v>
      </c>
      <c r="G1132" s="510">
        <v>9</v>
      </c>
      <c r="H1132" s="511">
        <v>18827</v>
      </c>
      <c r="I1132" s="511">
        <v>169444</v>
      </c>
      <c r="J1132" s="511">
        <v>0</v>
      </c>
      <c r="K1132" s="511">
        <v>169444</v>
      </c>
      <c r="L1132" s="511">
        <v>13556</v>
      </c>
      <c r="M1132" s="511">
        <v>183000</v>
      </c>
      <c r="N1132" s="512">
        <v>2.7799999999999998E-2</v>
      </c>
      <c r="O1132" s="509" t="s">
        <v>1086</v>
      </c>
    </row>
    <row r="1133" spans="1:15" x14ac:dyDescent="0.25">
      <c r="A1133" s="508">
        <v>15</v>
      </c>
      <c r="B1133" s="508" t="s">
        <v>118</v>
      </c>
      <c r="C1133" s="508">
        <v>30</v>
      </c>
      <c r="D1133" s="509" t="s">
        <v>95</v>
      </c>
      <c r="E1133" s="509" t="s">
        <v>1103</v>
      </c>
      <c r="F1133" s="508" t="s">
        <v>1085</v>
      </c>
      <c r="G1133" s="510">
        <v>2</v>
      </c>
      <c r="H1133" s="511">
        <v>6481</v>
      </c>
      <c r="I1133" s="511">
        <v>12963</v>
      </c>
      <c r="J1133" s="511">
        <v>0</v>
      </c>
      <c r="K1133" s="511">
        <v>12963</v>
      </c>
      <c r="L1133" s="511">
        <v>1037</v>
      </c>
      <c r="M1133" s="511">
        <v>14000</v>
      </c>
      <c r="N1133" s="512">
        <v>2.0999999999999999E-3</v>
      </c>
      <c r="O1133" s="509" t="s">
        <v>1086</v>
      </c>
    </row>
    <row r="1134" spans="1:15" x14ac:dyDescent="0.25">
      <c r="A1134" s="508">
        <v>15</v>
      </c>
      <c r="B1134" s="508" t="s">
        <v>118</v>
      </c>
      <c r="C1134" s="508">
        <v>94</v>
      </c>
      <c r="D1134" s="509" t="s">
        <v>89</v>
      </c>
      <c r="E1134" s="509" t="s">
        <v>153</v>
      </c>
      <c r="F1134" s="508" t="s">
        <v>1085</v>
      </c>
      <c r="G1134" s="510">
        <v>11</v>
      </c>
      <c r="H1134" s="511">
        <v>18855</v>
      </c>
      <c r="I1134" s="511">
        <v>207407</v>
      </c>
      <c r="J1134" s="511">
        <v>0</v>
      </c>
      <c r="K1134" s="511">
        <v>207407</v>
      </c>
      <c r="L1134" s="511">
        <v>16593</v>
      </c>
      <c r="M1134" s="511">
        <v>224000</v>
      </c>
      <c r="N1134" s="512">
        <v>3.4000000000000002E-2</v>
      </c>
      <c r="O1134" s="509" t="s">
        <v>1086</v>
      </c>
    </row>
    <row r="1135" spans="1:15" x14ac:dyDescent="0.25">
      <c r="A1135" s="508">
        <v>15</v>
      </c>
      <c r="B1135" s="508" t="s">
        <v>118</v>
      </c>
      <c r="C1135" s="508">
        <v>233</v>
      </c>
      <c r="D1135" s="509" t="s">
        <v>89</v>
      </c>
      <c r="E1135" s="509" t="s">
        <v>117</v>
      </c>
      <c r="F1135" s="508" t="s">
        <v>1085</v>
      </c>
      <c r="G1135" s="510">
        <v>29</v>
      </c>
      <c r="H1135" s="511">
        <v>18678</v>
      </c>
      <c r="I1135" s="511">
        <v>541667</v>
      </c>
      <c r="J1135" s="511">
        <v>0</v>
      </c>
      <c r="K1135" s="511">
        <v>541667</v>
      </c>
      <c r="L1135" s="511">
        <v>43333</v>
      </c>
      <c r="M1135" s="511">
        <v>585000</v>
      </c>
      <c r="N1135" s="512">
        <v>8.8900000000000007E-2</v>
      </c>
      <c r="O1135" s="509" t="s">
        <v>1086</v>
      </c>
    </row>
    <row r="1136" spans="1:15" x14ac:dyDescent="0.25">
      <c r="A1136" s="508">
        <v>15</v>
      </c>
      <c r="B1136" s="508" t="s">
        <v>118</v>
      </c>
      <c r="C1136" s="508">
        <v>217</v>
      </c>
      <c r="D1136" s="509" t="s">
        <v>89</v>
      </c>
      <c r="E1136" s="509" t="s">
        <v>1105</v>
      </c>
      <c r="F1136" s="508" t="s">
        <v>1085</v>
      </c>
      <c r="G1136" s="510">
        <v>3</v>
      </c>
      <c r="H1136" s="511">
        <v>27778</v>
      </c>
      <c r="I1136" s="511">
        <v>83333</v>
      </c>
      <c r="J1136" s="511">
        <v>0</v>
      </c>
      <c r="K1136" s="511">
        <v>83333</v>
      </c>
      <c r="L1136" s="511">
        <v>6667</v>
      </c>
      <c r="M1136" s="511">
        <v>90000</v>
      </c>
      <c r="N1136" s="512">
        <v>1.37E-2</v>
      </c>
      <c r="O1136" s="509" t="s">
        <v>1086</v>
      </c>
    </row>
    <row r="1137" spans="1:15" x14ac:dyDescent="0.25">
      <c r="A1137" s="508">
        <v>15</v>
      </c>
      <c r="B1137" s="508" t="s">
        <v>118</v>
      </c>
      <c r="C1137" s="508">
        <v>218</v>
      </c>
      <c r="D1137" s="509" t="s">
        <v>89</v>
      </c>
      <c r="E1137" s="509" t="s">
        <v>1106</v>
      </c>
      <c r="F1137" s="508" t="s">
        <v>1085</v>
      </c>
      <c r="G1137" s="510">
        <v>5</v>
      </c>
      <c r="H1137" s="511">
        <v>18519</v>
      </c>
      <c r="I1137" s="511">
        <v>92593</v>
      </c>
      <c r="J1137" s="511">
        <v>0</v>
      </c>
      <c r="K1137" s="511">
        <v>92593</v>
      </c>
      <c r="L1137" s="511">
        <v>7407</v>
      </c>
      <c r="M1137" s="511">
        <v>100000</v>
      </c>
      <c r="N1137" s="512">
        <v>1.52E-2</v>
      </c>
      <c r="O1137" s="509" t="s">
        <v>1086</v>
      </c>
    </row>
    <row r="1138" spans="1:15" x14ac:dyDescent="0.25">
      <c r="A1138" s="508">
        <v>15</v>
      </c>
      <c r="B1138" s="508" t="s">
        <v>118</v>
      </c>
      <c r="C1138" s="508">
        <v>34</v>
      </c>
      <c r="D1138" s="509" t="s">
        <v>91</v>
      </c>
      <c r="E1138" s="509" t="s">
        <v>1107</v>
      </c>
      <c r="F1138" s="508" t="s">
        <v>1085</v>
      </c>
      <c r="G1138" s="510">
        <v>1</v>
      </c>
      <c r="H1138" s="511">
        <v>6481</v>
      </c>
      <c r="I1138" s="511">
        <v>6481</v>
      </c>
      <c r="J1138" s="511">
        <v>0</v>
      </c>
      <c r="K1138" s="511">
        <v>6481</v>
      </c>
      <c r="L1138" s="511">
        <v>519</v>
      </c>
      <c r="M1138" s="511">
        <v>7000</v>
      </c>
      <c r="N1138" s="512">
        <v>1.1000000000000001E-3</v>
      </c>
      <c r="O1138" s="509" t="s">
        <v>1086</v>
      </c>
    </row>
    <row r="1139" spans="1:15" x14ac:dyDescent="0.25">
      <c r="A1139" s="508">
        <v>15</v>
      </c>
      <c r="B1139" s="508" t="s">
        <v>118</v>
      </c>
      <c r="C1139" s="508">
        <v>121</v>
      </c>
      <c r="D1139" s="509" t="s">
        <v>91</v>
      </c>
      <c r="E1139" s="509" t="s">
        <v>1108</v>
      </c>
      <c r="F1139" s="508" t="s">
        <v>1085</v>
      </c>
      <c r="G1139" s="510">
        <v>7</v>
      </c>
      <c r="H1139" s="511">
        <v>2778</v>
      </c>
      <c r="I1139" s="511">
        <v>19444</v>
      </c>
      <c r="J1139" s="511">
        <v>0</v>
      </c>
      <c r="K1139" s="511">
        <v>19444</v>
      </c>
      <c r="L1139" s="511">
        <v>1556</v>
      </c>
      <c r="M1139" s="511">
        <v>21000</v>
      </c>
      <c r="N1139" s="512">
        <v>3.2000000000000002E-3</v>
      </c>
      <c r="O1139" s="509" t="s">
        <v>1086</v>
      </c>
    </row>
    <row r="1140" spans="1:15" x14ac:dyDescent="0.25">
      <c r="A1140" s="508">
        <v>15</v>
      </c>
      <c r="B1140" s="508" t="s">
        <v>118</v>
      </c>
      <c r="C1140" s="508">
        <v>208</v>
      </c>
      <c r="D1140" s="509" t="s">
        <v>91</v>
      </c>
      <c r="E1140" s="509" t="s">
        <v>1109</v>
      </c>
      <c r="F1140" s="508" t="s">
        <v>1085</v>
      </c>
      <c r="G1140" s="510">
        <v>6</v>
      </c>
      <c r="H1140" s="511">
        <v>3704</v>
      </c>
      <c r="I1140" s="511">
        <v>22222</v>
      </c>
      <c r="J1140" s="511">
        <v>0</v>
      </c>
      <c r="K1140" s="511">
        <v>22222</v>
      </c>
      <c r="L1140" s="511">
        <v>1778</v>
      </c>
      <c r="M1140" s="511">
        <v>24000</v>
      </c>
      <c r="N1140" s="512">
        <v>3.5999999999999999E-3</v>
      </c>
      <c r="O1140" s="509" t="s">
        <v>1086</v>
      </c>
    </row>
    <row r="1141" spans="1:15" x14ac:dyDescent="0.25">
      <c r="A1141" s="508">
        <v>15</v>
      </c>
      <c r="B1141" s="508" t="s">
        <v>118</v>
      </c>
      <c r="C1141" s="508">
        <v>90</v>
      </c>
      <c r="D1141" s="509" t="s">
        <v>91</v>
      </c>
      <c r="E1141" s="509" t="s">
        <v>572</v>
      </c>
      <c r="F1141" s="508" t="s">
        <v>1085</v>
      </c>
      <c r="G1141" s="510">
        <v>1</v>
      </c>
      <c r="H1141" s="511">
        <v>4259</v>
      </c>
      <c r="I1141" s="511">
        <v>4259</v>
      </c>
      <c r="J1141" s="511">
        <v>0</v>
      </c>
      <c r="K1141" s="511">
        <v>4259</v>
      </c>
      <c r="L1141" s="511">
        <v>341</v>
      </c>
      <c r="M1141" s="511">
        <v>4600</v>
      </c>
      <c r="N1141" s="512">
        <v>7.000000000000001E-4</v>
      </c>
      <c r="O1141" s="509" t="s">
        <v>1086</v>
      </c>
    </row>
    <row r="1142" spans="1:15" x14ac:dyDescent="0.25">
      <c r="A1142" s="508">
        <v>15</v>
      </c>
      <c r="B1142" s="508" t="s">
        <v>118</v>
      </c>
      <c r="C1142" s="508">
        <v>123</v>
      </c>
      <c r="D1142" s="509" t="s">
        <v>91</v>
      </c>
      <c r="E1142" s="509" t="s">
        <v>1110</v>
      </c>
      <c r="F1142" s="508" t="s">
        <v>1085</v>
      </c>
      <c r="G1142" s="510">
        <v>3</v>
      </c>
      <c r="H1142" s="511">
        <v>2778</v>
      </c>
      <c r="I1142" s="511">
        <v>8333</v>
      </c>
      <c r="J1142" s="511">
        <v>0</v>
      </c>
      <c r="K1142" s="511">
        <v>8333</v>
      </c>
      <c r="L1142" s="511">
        <v>667</v>
      </c>
      <c r="M1142" s="511">
        <v>9000</v>
      </c>
      <c r="N1142" s="512">
        <v>1.4E-3</v>
      </c>
      <c r="O1142" s="509" t="s">
        <v>1086</v>
      </c>
    </row>
    <row r="1143" spans="1:15" x14ac:dyDescent="0.25">
      <c r="A1143" s="508">
        <v>15</v>
      </c>
      <c r="B1143" s="508" t="s">
        <v>118</v>
      </c>
      <c r="C1143" s="508">
        <v>314</v>
      </c>
      <c r="D1143" s="509" t="s">
        <v>87</v>
      </c>
      <c r="E1143" s="509" t="s">
        <v>1152</v>
      </c>
      <c r="F1143" s="508" t="s">
        <v>1085</v>
      </c>
      <c r="G1143" s="510">
        <v>1</v>
      </c>
      <c r="H1143" s="511">
        <v>4167</v>
      </c>
      <c r="I1143" s="511">
        <v>4167</v>
      </c>
      <c r="J1143" s="511">
        <v>0</v>
      </c>
      <c r="K1143" s="511">
        <v>4167</v>
      </c>
      <c r="L1143" s="511">
        <v>333</v>
      </c>
      <c r="M1143" s="511">
        <v>4500</v>
      </c>
      <c r="N1143" s="512">
        <v>7.000000000000001E-4</v>
      </c>
      <c r="O1143" s="509" t="s">
        <v>1086</v>
      </c>
    </row>
    <row r="1144" spans="1:15" x14ac:dyDescent="0.25">
      <c r="A1144" s="508">
        <v>15</v>
      </c>
      <c r="B1144" s="508" t="s">
        <v>118</v>
      </c>
      <c r="C1144" s="508">
        <v>31</v>
      </c>
      <c r="D1144" s="509" t="s">
        <v>95</v>
      </c>
      <c r="E1144" s="509" t="s">
        <v>1111</v>
      </c>
      <c r="F1144" s="508" t="s">
        <v>1085</v>
      </c>
      <c r="G1144" s="510">
        <v>11</v>
      </c>
      <c r="H1144" s="511">
        <v>1204</v>
      </c>
      <c r="I1144" s="511">
        <v>13241</v>
      </c>
      <c r="J1144" s="511">
        <v>0</v>
      </c>
      <c r="K1144" s="511">
        <v>13241</v>
      </c>
      <c r="L1144" s="511">
        <v>1059</v>
      </c>
      <c r="M1144" s="511">
        <v>14300</v>
      </c>
      <c r="N1144" s="512">
        <v>2.2000000000000001E-3</v>
      </c>
      <c r="O1144" s="509" t="s">
        <v>1086</v>
      </c>
    </row>
    <row r="1145" spans="1:15" x14ac:dyDescent="0.25">
      <c r="A1145" s="508">
        <v>15</v>
      </c>
      <c r="B1145" s="508" t="s">
        <v>118</v>
      </c>
      <c r="C1145" s="508">
        <v>202</v>
      </c>
      <c r="D1145" s="509" t="s">
        <v>91</v>
      </c>
      <c r="E1145" s="509" t="s">
        <v>1188</v>
      </c>
      <c r="F1145" s="508" t="s">
        <v>1085</v>
      </c>
      <c r="G1145" s="510">
        <v>1</v>
      </c>
      <c r="H1145" s="511">
        <v>32407</v>
      </c>
      <c r="I1145" s="511">
        <v>32407</v>
      </c>
      <c r="J1145" s="511">
        <v>0</v>
      </c>
      <c r="K1145" s="511">
        <v>32407</v>
      </c>
      <c r="L1145" s="511">
        <v>2593</v>
      </c>
      <c r="M1145" s="511">
        <v>35000</v>
      </c>
      <c r="N1145" s="512">
        <v>5.3E-3</v>
      </c>
      <c r="O1145" s="509" t="s">
        <v>1086</v>
      </c>
    </row>
    <row r="1146" spans="1:15" x14ac:dyDescent="0.25">
      <c r="A1146" s="508">
        <v>15</v>
      </c>
      <c r="B1146" s="508" t="s">
        <v>118</v>
      </c>
      <c r="C1146" s="508">
        <v>212</v>
      </c>
      <c r="D1146" s="509" t="s">
        <v>91</v>
      </c>
      <c r="E1146" s="509" t="s">
        <v>162</v>
      </c>
      <c r="F1146" s="508" t="s">
        <v>1085</v>
      </c>
      <c r="G1146" s="510">
        <v>4</v>
      </c>
      <c r="H1146" s="511">
        <v>22222</v>
      </c>
      <c r="I1146" s="511">
        <v>88889</v>
      </c>
      <c r="J1146" s="511">
        <v>0</v>
      </c>
      <c r="K1146" s="511">
        <v>88889</v>
      </c>
      <c r="L1146" s="511">
        <v>7111</v>
      </c>
      <c r="M1146" s="511">
        <v>96000</v>
      </c>
      <c r="N1146" s="512">
        <v>1.46E-2</v>
      </c>
      <c r="O1146" s="509" t="s">
        <v>1086</v>
      </c>
    </row>
    <row r="1147" spans="1:15" x14ac:dyDescent="0.25">
      <c r="A1147" s="508">
        <v>15</v>
      </c>
      <c r="B1147" s="508" t="s">
        <v>118</v>
      </c>
      <c r="C1147" s="508">
        <v>74</v>
      </c>
      <c r="D1147" s="509" t="s">
        <v>91</v>
      </c>
      <c r="E1147" s="509" t="s">
        <v>1153</v>
      </c>
      <c r="F1147" s="508" t="s">
        <v>1085</v>
      </c>
      <c r="G1147" s="510">
        <v>1</v>
      </c>
      <c r="H1147" s="511">
        <v>6481</v>
      </c>
      <c r="I1147" s="511">
        <v>6481</v>
      </c>
      <c r="J1147" s="511">
        <v>0</v>
      </c>
      <c r="K1147" s="511">
        <v>6481</v>
      </c>
      <c r="L1147" s="511">
        <v>519</v>
      </c>
      <c r="M1147" s="511">
        <v>7000</v>
      </c>
      <c r="N1147" s="512">
        <v>1.1000000000000001E-3</v>
      </c>
      <c r="O1147" s="509" t="s">
        <v>1086</v>
      </c>
    </row>
    <row r="1148" spans="1:15" x14ac:dyDescent="0.25">
      <c r="A1148" s="508">
        <v>15</v>
      </c>
      <c r="B1148" s="508" t="s">
        <v>118</v>
      </c>
      <c r="C1148" s="508">
        <v>235</v>
      </c>
      <c r="D1148" s="509" t="s">
        <v>91</v>
      </c>
      <c r="E1148" s="509" t="s">
        <v>1154</v>
      </c>
      <c r="F1148" s="508" t="s">
        <v>1085</v>
      </c>
      <c r="G1148" s="510">
        <v>1</v>
      </c>
      <c r="H1148" s="511">
        <v>3426</v>
      </c>
      <c r="I1148" s="511">
        <v>3426</v>
      </c>
      <c r="J1148" s="511">
        <v>0</v>
      </c>
      <c r="K1148" s="511">
        <v>3426</v>
      </c>
      <c r="L1148" s="511">
        <v>274</v>
      </c>
      <c r="M1148" s="511">
        <v>3700</v>
      </c>
      <c r="N1148" s="512">
        <v>5.9999999999999995E-4</v>
      </c>
      <c r="O1148" s="509" t="s">
        <v>1086</v>
      </c>
    </row>
    <row r="1149" spans="1:15" x14ac:dyDescent="0.25">
      <c r="A1149" s="508">
        <v>15</v>
      </c>
      <c r="B1149" s="508" t="s">
        <v>118</v>
      </c>
      <c r="C1149" s="508">
        <v>134</v>
      </c>
      <c r="D1149" s="509" t="s">
        <v>91</v>
      </c>
      <c r="E1149" s="509" t="s">
        <v>1168</v>
      </c>
      <c r="F1149" s="508" t="s">
        <v>1085</v>
      </c>
      <c r="G1149" s="510">
        <v>1</v>
      </c>
      <c r="H1149" s="511">
        <v>12963</v>
      </c>
      <c r="I1149" s="511">
        <v>12963</v>
      </c>
      <c r="J1149" s="511">
        <v>0</v>
      </c>
      <c r="K1149" s="511">
        <v>12963</v>
      </c>
      <c r="L1149" s="511">
        <v>1037</v>
      </c>
      <c r="M1149" s="511">
        <v>14000</v>
      </c>
      <c r="N1149" s="512">
        <v>2.0999999999999999E-3</v>
      </c>
      <c r="O1149" s="509" t="s">
        <v>1086</v>
      </c>
    </row>
    <row r="1150" spans="1:15" x14ac:dyDescent="0.25">
      <c r="A1150" s="508">
        <v>15</v>
      </c>
      <c r="B1150" s="508" t="s">
        <v>118</v>
      </c>
      <c r="C1150" s="508">
        <v>75</v>
      </c>
      <c r="D1150" s="509" t="s">
        <v>91</v>
      </c>
      <c r="E1150" s="509" t="s">
        <v>1113</v>
      </c>
      <c r="F1150" s="508" t="s">
        <v>1085</v>
      </c>
      <c r="G1150" s="510">
        <v>1</v>
      </c>
      <c r="H1150" s="511">
        <v>9259</v>
      </c>
      <c r="I1150" s="511">
        <v>9259</v>
      </c>
      <c r="J1150" s="511">
        <v>0</v>
      </c>
      <c r="K1150" s="511">
        <v>9259</v>
      </c>
      <c r="L1150" s="511">
        <v>741</v>
      </c>
      <c r="M1150" s="511">
        <v>10000</v>
      </c>
      <c r="N1150" s="512">
        <v>1.5E-3</v>
      </c>
      <c r="O1150" s="509" t="s">
        <v>1086</v>
      </c>
    </row>
    <row r="1151" spans="1:15" x14ac:dyDescent="0.25">
      <c r="A1151" s="508">
        <v>15</v>
      </c>
      <c r="B1151" s="508" t="s">
        <v>118</v>
      </c>
      <c r="C1151" s="508">
        <v>118</v>
      </c>
      <c r="D1151" s="509" t="s">
        <v>87</v>
      </c>
      <c r="E1151" s="509" t="s">
        <v>126</v>
      </c>
      <c r="F1151" s="508" t="s">
        <v>1085</v>
      </c>
      <c r="G1151" s="510">
        <v>7</v>
      </c>
      <c r="H1151" s="511">
        <v>41667</v>
      </c>
      <c r="I1151" s="511">
        <v>291667</v>
      </c>
      <c r="J1151" s="511">
        <v>0</v>
      </c>
      <c r="K1151" s="511">
        <v>291667</v>
      </c>
      <c r="L1151" s="511">
        <v>23333</v>
      </c>
      <c r="M1151" s="511">
        <v>315000</v>
      </c>
      <c r="N1151" s="512">
        <v>4.7899999999999998E-2</v>
      </c>
      <c r="O1151" s="509" t="s">
        <v>1086</v>
      </c>
    </row>
    <row r="1152" spans="1:15" x14ac:dyDescent="0.25">
      <c r="A1152" s="508">
        <v>15</v>
      </c>
      <c r="B1152" s="508" t="s">
        <v>118</v>
      </c>
      <c r="C1152" s="508">
        <v>204</v>
      </c>
      <c r="D1152" s="509" t="s">
        <v>91</v>
      </c>
      <c r="E1152" s="509" t="s">
        <v>1114</v>
      </c>
      <c r="F1152" s="508" t="s">
        <v>1085</v>
      </c>
      <c r="G1152" s="510">
        <v>1</v>
      </c>
      <c r="H1152" s="511">
        <v>12037</v>
      </c>
      <c r="I1152" s="511">
        <v>12037</v>
      </c>
      <c r="J1152" s="511">
        <v>0</v>
      </c>
      <c r="K1152" s="511">
        <v>12037</v>
      </c>
      <c r="L1152" s="511">
        <v>963</v>
      </c>
      <c r="M1152" s="511">
        <v>13000</v>
      </c>
      <c r="N1152" s="512">
        <v>2E-3</v>
      </c>
      <c r="O1152" s="509" t="s">
        <v>1086</v>
      </c>
    </row>
    <row r="1153" spans="1:15" x14ac:dyDescent="0.25">
      <c r="A1153" s="508">
        <v>15</v>
      </c>
      <c r="B1153" s="508" t="s">
        <v>118</v>
      </c>
      <c r="C1153" s="508">
        <v>109</v>
      </c>
      <c r="D1153" s="509" t="s">
        <v>91</v>
      </c>
      <c r="E1153" s="509" t="s">
        <v>144</v>
      </c>
      <c r="F1153" s="508" t="s">
        <v>1085</v>
      </c>
      <c r="G1153" s="510">
        <v>1</v>
      </c>
      <c r="H1153" s="511">
        <v>12963</v>
      </c>
      <c r="I1153" s="511">
        <v>12963</v>
      </c>
      <c r="J1153" s="511">
        <v>0</v>
      </c>
      <c r="K1153" s="511">
        <v>12963</v>
      </c>
      <c r="L1153" s="511">
        <v>1037</v>
      </c>
      <c r="M1153" s="511">
        <v>14000</v>
      </c>
      <c r="N1153" s="512">
        <v>2.0999999999999999E-3</v>
      </c>
      <c r="O1153" s="509" t="s">
        <v>1086</v>
      </c>
    </row>
    <row r="1154" spans="1:15" x14ac:dyDescent="0.25">
      <c r="A1154" s="508">
        <v>15</v>
      </c>
      <c r="B1154" s="508" t="s">
        <v>118</v>
      </c>
      <c r="C1154" s="508">
        <v>147</v>
      </c>
      <c r="D1154" s="509" t="s">
        <v>91</v>
      </c>
      <c r="E1154" s="509" t="s">
        <v>1115</v>
      </c>
      <c r="F1154" s="508" t="s">
        <v>1085</v>
      </c>
      <c r="G1154" s="510">
        <v>2</v>
      </c>
      <c r="H1154" s="511">
        <v>6481</v>
      </c>
      <c r="I1154" s="511">
        <v>12963</v>
      </c>
      <c r="J1154" s="511">
        <v>0</v>
      </c>
      <c r="K1154" s="511">
        <v>12963</v>
      </c>
      <c r="L1154" s="511">
        <v>1037</v>
      </c>
      <c r="M1154" s="511">
        <v>14000</v>
      </c>
      <c r="N1154" s="512">
        <v>2.0999999999999999E-3</v>
      </c>
      <c r="O1154" s="509" t="s">
        <v>1086</v>
      </c>
    </row>
    <row r="1155" spans="1:15" x14ac:dyDescent="0.25">
      <c r="A1155" s="508">
        <v>15</v>
      </c>
      <c r="B1155" s="508" t="s">
        <v>118</v>
      </c>
      <c r="C1155" s="508">
        <v>72</v>
      </c>
      <c r="D1155" s="509" t="s">
        <v>97</v>
      </c>
      <c r="E1155" s="509" t="s">
        <v>1117</v>
      </c>
      <c r="F1155" s="508" t="s">
        <v>1085</v>
      </c>
      <c r="G1155" s="510">
        <v>6</v>
      </c>
      <c r="H1155" s="511">
        <v>3704</v>
      </c>
      <c r="I1155" s="511">
        <v>22222</v>
      </c>
      <c r="J1155" s="511">
        <v>0</v>
      </c>
      <c r="K1155" s="511">
        <v>22222</v>
      </c>
      <c r="L1155" s="511">
        <v>1778</v>
      </c>
      <c r="M1155" s="511">
        <v>24000</v>
      </c>
      <c r="N1155" s="512">
        <v>3.5999999999999999E-3</v>
      </c>
      <c r="O1155" s="509" t="s">
        <v>1086</v>
      </c>
    </row>
    <row r="1156" spans="1:15" x14ac:dyDescent="0.25">
      <c r="A1156" s="508">
        <v>15</v>
      </c>
      <c r="B1156" s="508" t="s">
        <v>118</v>
      </c>
      <c r="C1156" s="508">
        <v>112</v>
      </c>
      <c r="D1156" s="509" t="s">
        <v>87</v>
      </c>
      <c r="E1156" s="509" t="s">
        <v>1118</v>
      </c>
      <c r="F1156" s="508" t="s">
        <v>1085</v>
      </c>
      <c r="G1156" s="510">
        <v>1</v>
      </c>
      <c r="H1156" s="511">
        <v>41667</v>
      </c>
      <c r="I1156" s="511">
        <v>41667</v>
      </c>
      <c r="J1156" s="511">
        <v>0</v>
      </c>
      <c r="K1156" s="511">
        <v>41667</v>
      </c>
      <c r="L1156" s="511">
        <v>3333</v>
      </c>
      <c r="M1156" s="511">
        <v>45000</v>
      </c>
      <c r="N1156" s="512">
        <v>6.7999999999999996E-3</v>
      </c>
      <c r="O1156" s="509" t="s">
        <v>1086</v>
      </c>
    </row>
    <row r="1157" spans="1:15" x14ac:dyDescent="0.25">
      <c r="A1157" s="508">
        <v>15</v>
      </c>
      <c r="B1157" s="508" t="s">
        <v>118</v>
      </c>
      <c r="C1157" s="508">
        <v>227</v>
      </c>
      <c r="D1157" s="509" t="s">
        <v>87</v>
      </c>
      <c r="E1157" s="509" t="s">
        <v>1169</v>
      </c>
      <c r="F1157" s="508" t="s">
        <v>1085</v>
      </c>
      <c r="G1157" s="510">
        <v>2</v>
      </c>
      <c r="H1157" s="511">
        <v>1389</v>
      </c>
      <c r="I1157" s="511">
        <v>2778</v>
      </c>
      <c r="J1157" s="511">
        <v>0</v>
      </c>
      <c r="K1157" s="511">
        <v>2778</v>
      </c>
      <c r="L1157" s="511">
        <v>222</v>
      </c>
      <c r="M1157" s="511">
        <v>3000</v>
      </c>
      <c r="N1157" s="512">
        <v>5.0000000000000001E-4</v>
      </c>
      <c r="O1157" s="509" t="s">
        <v>1086</v>
      </c>
    </row>
    <row r="1158" spans="1:15" x14ac:dyDescent="0.25">
      <c r="A1158" s="508">
        <v>15</v>
      </c>
      <c r="B1158" s="508" t="s">
        <v>118</v>
      </c>
      <c r="C1158" s="508">
        <v>18</v>
      </c>
      <c r="D1158" s="509" t="s">
        <v>87</v>
      </c>
      <c r="E1158" s="509" t="s">
        <v>301</v>
      </c>
      <c r="F1158" s="508" t="s">
        <v>1085</v>
      </c>
      <c r="G1158" s="510">
        <v>5</v>
      </c>
      <c r="H1158" s="511">
        <v>17407</v>
      </c>
      <c r="I1158" s="511">
        <v>92593</v>
      </c>
      <c r="J1158" s="511">
        <v>5556</v>
      </c>
      <c r="K1158" s="511">
        <v>87037</v>
      </c>
      <c r="L1158" s="511">
        <v>6963</v>
      </c>
      <c r="M1158" s="511">
        <v>94000</v>
      </c>
      <c r="N1158" s="512">
        <v>1.43E-2</v>
      </c>
      <c r="O1158" s="509" t="s">
        <v>1086</v>
      </c>
    </row>
    <row r="1159" spans="1:15" x14ac:dyDescent="0.25">
      <c r="A1159" s="508">
        <v>15</v>
      </c>
      <c r="B1159" s="508" t="s">
        <v>118</v>
      </c>
      <c r="C1159" s="508">
        <v>101</v>
      </c>
      <c r="D1159" s="509" t="s">
        <v>87</v>
      </c>
      <c r="E1159" s="509" t="s">
        <v>1119</v>
      </c>
      <c r="F1159" s="508" t="s">
        <v>1085</v>
      </c>
      <c r="G1159" s="510">
        <v>1</v>
      </c>
      <c r="H1159" s="511">
        <v>2315</v>
      </c>
      <c r="I1159" s="511">
        <v>2315</v>
      </c>
      <c r="J1159" s="511">
        <v>0</v>
      </c>
      <c r="K1159" s="511">
        <v>2315</v>
      </c>
      <c r="L1159" s="511">
        <v>185</v>
      </c>
      <c r="M1159" s="511">
        <v>2500</v>
      </c>
      <c r="N1159" s="512">
        <v>4.0000000000000002E-4</v>
      </c>
      <c r="O1159" s="509" t="s">
        <v>1086</v>
      </c>
    </row>
    <row r="1160" spans="1:15" x14ac:dyDescent="0.25">
      <c r="A1160" s="508">
        <v>15</v>
      </c>
      <c r="B1160" s="508" t="s">
        <v>118</v>
      </c>
      <c r="C1160" s="508">
        <v>17</v>
      </c>
      <c r="D1160" s="509" t="s">
        <v>87</v>
      </c>
      <c r="E1160" s="509" t="s">
        <v>414</v>
      </c>
      <c r="F1160" s="508" t="s">
        <v>1085</v>
      </c>
      <c r="G1160" s="510">
        <v>20</v>
      </c>
      <c r="H1160" s="511">
        <v>18796</v>
      </c>
      <c r="I1160" s="511">
        <v>375926</v>
      </c>
      <c r="J1160" s="511">
        <v>0</v>
      </c>
      <c r="K1160" s="511">
        <v>375926</v>
      </c>
      <c r="L1160" s="511">
        <v>30074</v>
      </c>
      <c r="M1160" s="511">
        <v>406000</v>
      </c>
      <c r="N1160" s="512">
        <v>6.1699999999999998E-2</v>
      </c>
      <c r="O1160" s="509" t="s">
        <v>1086</v>
      </c>
    </row>
    <row r="1161" spans="1:15" x14ac:dyDescent="0.25">
      <c r="A1161" s="508">
        <v>15</v>
      </c>
      <c r="B1161" s="508" t="s">
        <v>118</v>
      </c>
      <c r="C1161" s="508">
        <v>119</v>
      </c>
      <c r="D1161" s="509" t="s">
        <v>89</v>
      </c>
      <c r="E1161" s="509" t="s">
        <v>114</v>
      </c>
      <c r="F1161" s="508" t="s">
        <v>1085</v>
      </c>
      <c r="G1161" s="510">
        <v>4</v>
      </c>
      <c r="H1161" s="511">
        <v>44444</v>
      </c>
      <c r="I1161" s="511">
        <v>177778</v>
      </c>
      <c r="J1161" s="511">
        <v>0</v>
      </c>
      <c r="K1161" s="511">
        <v>177778</v>
      </c>
      <c r="L1161" s="511">
        <v>14222</v>
      </c>
      <c r="M1161" s="511">
        <v>192000</v>
      </c>
      <c r="N1161" s="512">
        <v>2.92E-2</v>
      </c>
      <c r="O1161" s="509" t="s">
        <v>1086</v>
      </c>
    </row>
    <row r="1162" spans="1:15" x14ac:dyDescent="0.25">
      <c r="A1162" s="508">
        <v>15</v>
      </c>
      <c r="B1162" s="508" t="s">
        <v>118</v>
      </c>
      <c r="C1162" s="508">
        <v>20</v>
      </c>
      <c r="D1162" s="509" t="s">
        <v>87</v>
      </c>
      <c r="E1162" s="509" t="s">
        <v>1170</v>
      </c>
      <c r="F1162" s="508" t="s">
        <v>1085</v>
      </c>
      <c r="G1162" s="510">
        <v>2</v>
      </c>
      <c r="H1162" s="511">
        <v>6481</v>
      </c>
      <c r="I1162" s="511">
        <v>12963</v>
      </c>
      <c r="J1162" s="511">
        <v>0</v>
      </c>
      <c r="K1162" s="511">
        <v>12963</v>
      </c>
      <c r="L1162" s="511">
        <v>1037</v>
      </c>
      <c r="M1162" s="511">
        <v>14000</v>
      </c>
      <c r="N1162" s="512">
        <v>2.0999999999999999E-3</v>
      </c>
      <c r="O1162" s="509" t="s">
        <v>1086</v>
      </c>
    </row>
    <row r="1163" spans="1:15" x14ac:dyDescent="0.25">
      <c r="A1163" s="508">
        <v>15</v>
      </c>
      <c r="B1163" s="508" t="s">
        <v>118</v>
      </c>
      <c r="C1163" s="508">
        <v>77</v>
      </c>
      <c r="D1163" s="509" t="s">
        <v>87</v>
      </c>
      <c r="E1163" s="509" t="s">
        <v>1121</v>
      </c>
      <c r="F1163" s="508" t="s">
        <v>1085</v>
      </c>
      <c r="G1163" s="510">
        <v>2</v>
      </c>
      <c r="H1163" s="511">
        <v>2778</v>
      </c>
      <c r="I1163" s="511">
        <v>5556</v>
      </c>
      <c r="J1163" s="511">
        <v>0</v>
      </c>
      <c r="K1163" s="511">
        <v>5556</v>
      </c>
      <c r="L1163" s="511">
        <v>444</v>
      </c>
      <c r="M1163" s="511">
        <v>6000</v>
      </c>
      <c r="N1163" s="512">
        <v>8.9999999999999998E-4</v>
      </c>
      <c r="O1163" s="509" t="s">
        <v>1086</v>
      </c>
    </row>
    <row r="1164" spans="1:15" x14ac:dyDescent="0.25">
      <c r="A1164" s="508">
        <v>15</v>
      </c>
      <c r="B1164" s="508" t="s">
        <v>118</v>
      </c>
      <c r="C1164" s="508">
        <v>111</v>
      </c>
      <c r="D1164" s="509" t="s">
        <v>87</v>
      </c>
      <c r="E1164" s="509" t="s">
        <v>1192</v>
      </c>
      <c r="F1164" s="508" t="s">
        <v>1085</v>
      </c>
      <c r="G1164" s="510">
        <v>3</v>
      </c>
      <c r="H1164" s="511">
        <v>6481</v>
      </c>
      <c r="I1164" s="511">
        <v>19444</v>
      </c>
      <c r="J1164" s="511">
        <v>0</v>
      </c>
      <c r="K1164" s="511">
        <v>19444</v>
      </c>
      <c r="L1164" s="511">
        <v>1556</v>
      </c>
      <c r="M1164" s="511">
        <v>21000</v>
      </c>
      <c r="N1164" s="512">
        <v>3.2000000000000002E-3</v>
      </c>
      <c r="O1164" s="509" t="s">
        <v>1086</v>
      </c>
    </row>
    <row r="1165" spans="1:15" x14ac:dyDescent="0.25">
      <c r="A1165" s="508">
        <v>15</v>
      </c>
      <c r="B1165" s="508" t="s">
        <v>118</v>
      </c>
      <c r="C1165" s="508">
        <v>86</v>
      </c>
      <c r="D1165" s="509" t="s">
        <v>95</v>
      </c>
      <c r="E1165" s="509" t="s">
        <v>1124</v>
      </c>
      <c r="F1165" s="508" t="s">
        <v>1085</v>
      </c>
      <c r="G1165" s="510">
        <v>11</v>
      </c>
      <c r="H1165" s="511">
        <v>3241</v>
      </c>
      <c r="I1165" s="511">
        <v>35648</v>
      </c>
      <c r="J1165" s="511">
        <v>0</v>
      </c>
      <c r="K1165" s="511">
        <v>35648</v>
      </c>
      <c r="L1165" s="511">
        <v>2852</v>
      </c>
      <c r="M1165" s="511">
        <v>38500</v>
      </c>
      <c r="N1165" s="512">
        <v>5.8999999999999999E-3</v>
      </c>
      <c r="O1165" s="509" t="s">
        <v>1086</v>
      </c>
    </row>
    <row r="1166" spans="1:15" x14ac:dyDescent="0.25">
      <c r="A1166" s="508">
        <v>15</v>
      </c>
      <c r="B1166" s="508" t="s">
        <v>118</v>
      </c>
      <c r="C1166" s="508">
        <v>80</v>
      </c>
      <c r="D1166" s="509" t="s">
        <v>95</v>
      </c>
      <c r="E1166" s="509" t="s">
        <v>1125</v>
      </c>
      <c r="F1166" s="508" t="s">
        <v>1085</v>
      </c>
      <c r="G1166" s="510">
        <v>1</v>
      </c>
      <c r="H1166" s="511">
        <v>6481</v>
      </c>
      <c r="I1166" s="511">
        <v>6481</v>
      </c>
      <c r="J1166" s="511">
        <v>0</v>
      </c>
      <c r="K1166" s="511">
        <v>6481</v>
      </c>
      <c r="L1166" s="511">
        <v>519</v>
      </c>
      <c r="M1166" s="511">
        <v>7000</v>
      </c>
      <c r="N1166" s="512">
        <v>1.1000000000000001E-3</v>
      </c>
      <c r="O1166" s="509" t="s">
        <v>1086</v>
      </c>
    </row>
    <row r="1167" spans="1:15" x14ac:dyDescent="0.25">
      <c r="A1167" s="508">
        <v>15</v>
      </c>
      <c r="B1167" s="508" t="s">
        <v>118</v>
      </c>
      <c r="C1167" s="508">
        <v>169</v>
      </c>
      <c r="D1167" s="509" t="s">
        <v>95</v>
      </c>
      <c r="E1167" s="509" t="s">
        <v>1126</v>
      </c>
      <c r="F1167" s="508" t="s">
        <v>1085</v>
      </c>
      <c r="G1167" s="510">
        <v>17</v>
      </c>
      <c r="H1167" s="511">
        <v>6481</v>
      </c>
      <c r="I1167" s="511">
        <v>110185</v>
      </c>
      <c r="J1167" s="511">
        <v>0</v>
      </c>
      <c r="K1167" s="511">
        <v>110185</v>
      </c>
      <c r="L1167" s="511">
        <v>8815</v>
      </c>
      <c r="M1167" s="511">
        <v>119000</v>
      </c>
      <c r="N1167" s="512">
        <v>1.8100000000000002E-2</v>
      </c>
      <c r="O1167" s="509" t="s">
        <v>1086</v>
      </c>
    </row>
    <row r="1168" spans="1:15" x14ac:dyDescent="0.25">
      <c r="A1168" s="508">
        <v>15</v>
      </c>
      <c r="B1168" s="508" t="s">
        <v>118</v>
      </c>
      <c r="C1168" s="508">
        <v>85</v>
      </c>
      <c r="D1168" s="509" t="s">
        <v>95</v>
      </c>
      <c r="E1168" s="509" t="s">
        <v>1157</v>
      </c>
      <c r="F1168" s="508" t="s">
        <v>1085</v>
      </c>
      <c r="G1168" s="510">
        <v>2</v>
      </c>
      <c r="H1168" s="511">
        <v>2315</v>
      </c>
      <c r="I1168" s="511">
        <v>4630</v>
      </c>
      <c r="J1168" s="511">
        <v>0</v>
      </c>
      <c r="K1168" s="511">
        <v>4630</v>
      </c>
      <c r="L1168" s="511">
        <v>370</v>
      </c>
      <c r="M1168" s="511">
        <v>5000</v>
      </c>
      <c r="N1168" s="512">
        <v>8.0000000000000004E-4</v>
      </c>
      <c r="O1168" s="509" t="s">
        <v>1086</v>
      </c>
    </row>
    <row r="1169" spans="1:15" x14ac:dyDescent="0.25">
      <c r="A1169" s="508">
        <v>15</v>
      </c>
      <c r="B1169" s="508" t="s">
        <v>118</v>
      </c>
      <c r="C1169" s="508">
        <v>63</v>
      </c>
      <c r="D1169" s="509" t="s">
        <v>95</v>
      </c>
      <c r="E1169" s="509" t="s">
        <v>1182</v>
      </c>
      <c r="F1169" s="508" t="s">
        <v>1085</v>
      </c>
      <c r="G1169" s="510">
        <v>1</v>
      </c>
      <c r="H1169" s="511">
        <v>3704</v>
      </c>
      <c r="I1169" s="511">
        <v>3704</v>
      </c>
      <c r="J1169" s="511">
        <v>0</v>
      </c>
      <c r="K1169" s="511">
        <v>3704</v>
      </c>
      <c r="L1169" s="511">
        <v>296</v>
      </c>
      <c r="M1169" s="511">
        <v>4000</v>
      </c>
      <c r="N1169" s="512">
        <v>5.9999999999999995E-4</v>
      </c>
      <c r="O1169" s="509" t="s">
        <v>1086</v>
      </c>
    </row>
    <row r="1170" spans="1:15" x14ac:dyDescent="0.25">
      <c r="A1170" s="508">
        <v>15</v>
      </c>
      <c r="B1170" s="508" t="s">
        <v>118</v>
      </c>
      <c r="C1170" s="508">
        <v>79</v>
      </c>
      <c r="D1170" s="509" t="s">
        <v>95</v>
      </c>
      <c r="E1170" s="509" t="s">
        <v>1127</v>
      </c>
      <c r="F1170" s="508" t="s">
        <v>1085</v>
      </c>
      <c r="G1170" s="510">
        <v>15</v>
      </c>
      <c r="H1170" s="511">
        <v>6481</v>
      </c>
      <c r="I1170" s="511">
        <v>97222</v>
      </c>
      <c r="J1170" s="511">
        <v>0</v>
      </c>
      <c r="K1170" s="511">
        <v>97222</v>
      </c>
      <c r="L1170" s="511">
        <v>7778</v>
      </c>
      <c r="M1170" s="511">
        <v>105000</v>
      </c>
      <c r="N1170" s="512">
        <v>1.6E-2</v>
      </c>
      <c r="O1170" s="509" t="s">
        <v>1086</v>
      </c>
    </row>
    <row r="1171" spans="1:15" x14ac:dyDescent="0.25">
      <c r="A1171" s="508">
        <v>15</v>
      </c>
      <c r="B1171" s="508" t="s">
        <v>118</v>
      </c>
      <c r="C1171" s="508">
        <v>82</v>
      </c>
      <c r="D1171" s="509" t="s">
        <v>95</v>
      </c>
      <c r="E1171" s="509" t="s">
        <v>1158</v>
      </c>
      <c r="F1171" s="508" t="s">
        <v>1085</v>
      </c>
      <c r="G1171" s="510">
        <v>1</v>
      </c>
      <c r="H1171" s="511">
        <v>6481</v>
      </c>
      <c r="I1171" s="511">
        <v>6481</v>
      </c>
      <c r="J1171" s="511">
        <v>0</v>
      </c>
      <c r="K1171" s="511">
        <v>6481</v>
      </c>
      <c r="L1171" s="511">
        <v>519</v>
      </c>
      <c r="M1171" s="511">
        <v>7000</v>
      </c>
      <c r="N1171" s="512">
        <v>1.1000000000000001E-3</v>
      </c>
      <c r="O1171" s="509" t="s">
        <v>1086</v>
      </c>
    </row>
    <row r="1172" spans="1:15" x14ac:dyDescent="0.25">
      <c r="A1172" s="508">
        <v>15</v>
      </c>
      <c r="B1172" s="508" t="s">
        <v>118</v>
      </c>
      <c r="C1172" s="508">
        <v>62</v>
      </c>
      <c r="D1172" s="509" t="s">
        <v>95</v>
      </c>
      <c r="E1172" s="509" t="s">
        <v>1128</v>
      </c>
      <c r="F1172" s="508" t="s">
        <v>1085</v>
      </c>
      <c r="G1172" s="510">
        <v>9</v>
      </c>
      <c r="H1172" s="511">
        <v>6944</v>
      </c>
      <c r="I1172" s="511">
        <v>62500</v>
      </c>
      <c r="J1172" s="511">
        <v>0</v>
      </c>
      <c r="K1172" s="511">
        <v>62500</v>
      </c>
      <c r="L1172" s="511">
        <v>5000</v>
      </c>
      <c r="M1172" s="511">
        <v>67500</v>
      </c>
      <c r="N1172" s="512">
        <v>1.03E-2</v>
      </c>
      <c r="O1172" s="509" t="s">
        <v>1086</v>
      </c>
    </row>
    <row r="1173" spans="1:15" x14ac:dyDescent="0.25">
      <c r="A1173" s="508">
        <v>15</v>
      </c>
      <c r="B1173" s="508" t="s">
        <v>118</v>
      </c>
      <c r="C1173" s="508">
        <v>78</v>
      </c>
      <c r="D1173" s="509" t="s">
        <v>95</v>
      </c>
      <c r="E1173" s="509" t="s">
        <v>1129</v>
      </c>
      <c r="F1173" s="508" t="s">
        <v>1085</v>
      </c>
      <c r="G1173" s="510">
        <v>4</v>
      </c>
      <c r="H1173" s="511">
        <v>6481</v>
      </c>
      <c r="I1173" s="511">
        <v>25926</v>
      </c>
      <c r="J1173" s="511">
        <v>0</v>
      </c>
      <c r="K1173" s="511">
        <v>25926</v>
      </c>
      <c r="L1173" s="511">
        <v>2074</v>
      </c>
      <c r="M1173" s="511">
        <v>28000</v>
      </c>
      <c r="N1173" s="512">
        <v>4.3E-3</v>
      </c>
      <c r="O1173" s="509" t="s">
        <v>1086</v>
      </c>
    </row>
    <row r="1174" spans="1:15" x14ac:dyDescent="0.25">
      <c r="A1174" s="508">
        <v>15</v>
      </c>
      <c r="B1174" s="508" t="s">
        <v>118</v>
      </c>
      <c r="C1174" s="508">
        <v>137</v>
      </c>
      <c r="D1174" s="509" t="s">
        <v>95</v>
      </c>
      <c r="E1174" s="509" t="s">
        <v>1159</v>
      </c>
      <c r="F1174" s="508" t="s">
        <v>1085</v>
      </c>
      <c r="G1174" s="510">
        <v>2</v>
      </c>
      <c r="H1174" s="511">
        <v>6481</v>
      </c>
      <c r="I1174" s="511">
        <v>12963</v>
      </c>
      <c r="J1174" s="511">
        <v>0</v>
      </c>
      <c r="K1174" s="511">
        <v>12963</v>
      </c>
      <c r="L1174" s="511">
        <v>1037</v>
      </c>
      <c r="M1174" s="511">
        <v>14000</v>
      </c>
      <c r="N1174" s="512">
        <v>2.0999999999999999E-3</v>
      </c>
      <c r="O1174" s="509" t="s">
        <v>1086</v>
      </c>
    </row>
    <row r="1175" spans="1:15" x14ac:dyDescent="0.25">
      <c r="A1175" s="508">
        <v>15</v>
      </c>
      <c r="B1175" s="508" t="s">
        <v>118</v>
      </c>
      <c r="C1175" s="508">
        <v>140</v>
      </c>
      <c r="D1175" s="509" t="s">
        <v>87</v>
      </c>
      <c r="E1175" s="509" t="s">
        <v>1131</v>
      </c>
      <c r="F1175" s="508" t="s">
        <v>1085</v>
      </c>
      <c r="G1175" s="510">
        <v>1</v>
      </c>
      <c r="H1175" s="511">
        <v>90741</v>
      </c>
      <c r="I1175" s="511">
        <v>90741</v>
      </c>
      <c r="J1175" s="511">
        <v>0</v>
      </c>
      <c r="K1175" s="511">
        <v>90741</v>
      </c>
      <c r="L1175" s="511">
        <v>7259</v>
      </c>
      <c r="M1175" s="511">
        <v>98000</v>
      </c>
      <c r="N1175" s="512">
        <v>1.49E-2</v>
      </c>
      <c r="O1175" s="509" t="s">
        <v>1086</v>
      </c>
    </row>
    <row r="1176" spans="1:15" x14ac:dyDescent="0.25">
      <c r="A1176" s="508">
        <v>15</v>
      </c>
      <c r="B1176" s="508" t="s">
        <v>118</v>
      </c>
      <c r="C1176" s="508">
        <v>221</v>
      </c>
      <c r="D1176" s="509" t="s">
        <v>87</v>
      </c>
      <c r="E1176" s="509" t="s">
        <v>1132</v>
      </c>
      <c r="F1176" s="508" t="s">
        <v>1085</v>
      </c>
      <c r="G1176" s="510">
        <v>1</v>
      </c>
      <c r="H1176" s="511">
        <v>54167</v>
      </c>
      <c r="I1176" s="511">
        <v>54167</v>
      </c>
      <c r="J1176" s="511">
        <v>0</v>
      </c>
      <c r="K1176" s="511">
        <v>54167</v>
      </c>
      <c r="L1176" s="511">
        <v>4333</v>
      </c>
      <c r="M1176" s="511">
        <v>58500</v>
      </c>
      <c r="N1176" s="512">
        <v>8.8999999999999999E-3</v>
      </c>
      <c r="O1176" s="509" t="s">
        <v>1086</v>
      </c>
    </row>
    <row r="1177" spans="1:15" x14ac:dyDescent="0.25">
      <c r="A1177" s="508">
        <v>15</v>
      </c>
      <c r="B1177" s="508" t="s">
        <v>118</v>
      </c>
      <c r="C1177" s="508">
        <v>225</v>
      </c>
      <c r="D1177" s="509" t="s">
        <v>87</v>
      </c>
      <c r="E1177" s="509" t="s">
        <v>1196</v>
      </c>
      <c r="F1177" s="508" t="s">
        <v>1085</v>
      </c>
      <c r="G1177" s="510">
        <v>1</v>
      </c>
      <c r="H1177" s="511">
        <v>62500</v>
      </c>
      <c r="I1177" s="511">
        <v>62500</v>
      </c>
      <c r="J1177" s="511">
        <v>0</v>
      </c>
      <c r="K1177" s="511">
        <v>62500</v>
      </c>
      <c r="L1177" s="511">
        <v>5000</v>
      </c>
      <c r="M1177" s="511">
        <v>67500</v>
      </c>
      <c r="N1177" s="512">
        <v>1.03E-2</v>
      </c>
      <c r="O1177" s="509" t="s">
        <v>1086</v>
      </c>
    </row>
    <row r="1178" spans="1:15" x14ac:dyDescent="0.25">
      <c r="A1178" s="508">
        <v>15</v>
      </c>
      <c r="B1178" s="508" t="s">
        <v>118</v>
      </c>
      <c r="C1178" s="508">
        <v>223</v>
      </c>
      <c r="D1178" s="509" t="s">
        <v>87</v>
      </c>
      <c r="E1178" s="509" t="s">
        <v>141</v>
      </c>
      <c r="F1178" s="508" t="s">
        <v>1085</v>
      </c>
      <c r="G1178" s="510">
        <v>2</v>
      </c>
      <c r="H1178" s="511">
        <v>69444</v>
      </c>
      <c r="I1178" s="511">
        <v>138889</v>
      </c>
      <c r="J1178" s="511">
        <v>0</v>
      </c>
      <c r="K1178" s="511">
        <v>138889</v>
      </c>
      <c r="L1178" s="511">
        <v>11111</v>
      </c>
      <c r="M1178" s="511">
        <v>150000</v>
      </c>
      <c r="N1178" s="512">
        <v>2.2800000000000001E-2</v>
      </c>
      <c r="O1178" s="509" t="s">
        <v>1086</v>
      </c>
    </row>
    <row r="1179" spans="1:15" x14ac:dyDescent="0.25">
      <c r="A1179" s="508">
        <v>15</v>
      </c>
      <c r="B1179" s="508" t="s">
        <v>118</v>
      </c>
      <c r="C1179" s="508">
        <v>50</v>
      </c>
      <c r="D1179" s="509" t="s">
        <v>87</v>
      </c>
      <c r="E1179" s="509" t="s">
        <v>159</v>
      </c>
      <c r="F1179" s="508" t="s">
        <v>1085</v>
      </c>
      <c r="G1179" s="510">
        <v>3</v>
      </c>
      <c r="H1179" s="511">
        <v>49074</v>
      </c>
      <c r="I1179" s="511">
        <v>147222</v>
      </c>
      <c r="J1179" s="511">
        <v>0</v>
      </c>
      <c r="K1179" s="511">
        <v>147222</v>
      </c>
      <c r="L1179" s="511">
        <v>11778</v>
      </c>
      <c r="M1179" s="511">
        <v>159000</v>
      </c>
      <c r="N1179" s="512">
        <v>2.4199999999999999E-2</v>
      </c>
      <c r="O1179" s="509" t="s">
        <v>1086</v>
      </c>
    </row>
    <row r="1180" spans="1:15" x14ac:dyDescent="0.25">
      <c r="A1180" s="508">
        <v>15</v>
      </c>
      <c r="B1180" s="508" t="s">
        <v>118</v>
      </c>
      <c r="C1180" s="508">
        <v>120</v>
      </c>
      <c r="D1180" s="509" t="s">
        <v>93</v>
      </c>
      <c r="E1180" s="509" t="s">
        <v>1134</v>
      </c>
      <c r="F1180" s="508" t="s">
        <v>1085</v>
      </c>
      <c r="G1180" s="510">
        <v>1</v>
      </c>
      <c r="H1180" s="511">
        <v>41667</v>
      </c>
      <c r="I1180" s="511">
        <v>41667</v>
      </c>
      <c r="J1180" s="511">
        <v>0</v>
      </c>
      <c r="K1180" s="511">
        <v>41667</v>
      </c>
      <c r="L1180" s="511">
        <v>3333</v>
      </c>
      <c r="M1180" s="511">
        <v>45000</v>
      </c>
      <c r="N1180" s="512">
        <v>6.7999999999999996E-3</v>
      </c>
      <c r="O1180" s="509" t="s">
        <v>1086</v>
      </c>
    </row>
    <row r="1181" spans="1:15" x14ac:dyDescent="0.25">
      <c r="A1181" s="508">
        <v>15</v>
      </c>
      <c r="B1181" s="508" t="s">
        <v>118</v>
      </c>
      <c r="C1181" s="508">
        <v>129</v>
      </c>
      <c r="D1181" s="509" t="s">
        <v>93</v>
      </c>
      <c r="E1181" s="509" t="s">
        <v>1135</v>
      </c>
      <c r="F1181" s="508" t="s">
        <v>1085</v>
      </c>
      <c r="G1181" s="510">
        <v>1</v>
      </c>
      <c r="H1181" s="511">
        <v>44444</v>
      </c>
      <c r="I1181" s="511">
        <v>44444</v>
      </c>
      <c r="J1181" s="511">
        <v>0</v>
      </c>
      <c r="K1181" s="511">
        <v>44444</v>
      </c>
      <c r="L1181" s="511">
        <v>3556</v>
      </c>
      <c r="M1181" s="511">
        <v>48000</v>
      </c>
      <c r="N1181" s="512">
        <v>7.3000000000000001E-3</v>
      </c>
      <c r="O1181" s="509" t="s">
        <v>1086</v>
      </c>
    </row>
    <row r="1182" spans="1:15" x14ac:dyDescent="0.25">
      <c r="A1182" s="508">
        <v>15</v>
      </c>
      <c r="B1182" s="508" t="s">
        <v>118</v>
      </c>
      <c r="C1182" s="508">
        <v>117</v>
      </c>
      <c r="D1182" s="509" t="s">
        <v>87</v>
      </c>
      <c r="E1182" s="509" t="s">
        <v>120</v>
      </c>
      <c r="F1182" s="508" t="s">
        <v>1085</v>
      </c>
      <c r="G1182" s="510">
        <v>7</v>
      </c>
      <c r="H1182" s="511">
        <v>41667</v>
      </c>
      <c r="I1182" s="511">
        <v>291667</v>
      </c>
      <c r="J1182" s="511">
        <v>0</v>
      </c>
      <c r="K1182" s="511">
        <v>291667</v>
      </c>
      <c r="L1182" s="511">
        <v>23333</v>
      </c>
      <c r="M1182" s="511">
        <v>315000</v>
      </c>
      <c r="N1182" s="512">
        <v>4.7899999999999998E-2</v>
      </c>
      <c r="O1182" s="509" t="s">
        <v>1086</v>
      </c>
    </row>
    <row r="1183" spans="1:15" x14ac:dyDescent="0.25">
      <c r="A1183" s="508">
        <v>15</v>
      </c>
      <c r="B1183" s="508" t="s">
        <v>118</v>
      </c>
      <c r="C1183" s="508">
        <v>36</v>
      </c>
      <c r="D1183" s="509" t="s">
        <v>91</v>
      </c>
      <c r="E1183" s="509" t="s">
        <v>1136</v>
      </c>
      <c r="F1183" s="508" t="s">
        <v>1085</v>
      </c>
      <c r="G1183" s="510">
        <v>8</v>
      </c>
      <c r="H1183" s="511">
        <v>3704</v>
      </c>
      <c r="I1183" s="511">
        <v>29630</v>
      </c>
      <c r="J1183" s="511">
        <v>0</v>
      </c>
      <c r="K1183" s="511">
        <v>29630</v>
      </c>
      <c r="L1183" s="511">
        <v>2370</v>
      </c>
      <c r="M1183" s="511">
        <v>32000</v>
      </c>
      <c r="N1183" s="512">
        <v>4.8999999999999998E-3</v>
      </c>
      <c r="O1183" s="509" t="s">
        <v>1086</v>
      </c>
    </row>
    <row r="1184" spans="1:15" x14ac:dyDescent="0.25">
      <c r="A1184" s="508">
        <v>15</v>
      </c>
      <c r="B1184" s="508" t="s">
        <v>118</v>
      </c>
      <c r="C1184" s="508">
        <v>61</v>
      </c>
      <c r="D1184" s="509" t="s">
        <v>97</v>
      </c>
      <c r="E1184" s="509" t="s">
        <v>1137</v>
      </c>
      <c r="F1184" s="508" t="s">
        <v>1085</v>
      </c>
      <c r="G1184" s="510">
        <v>23</v>
      </c>
      <c r="H1184" s="511">
        <v>4630</v>
      </c>
      <c r="I1184" s="511">
        <v>106481</v>
      </c>
      <c r="J1184" s="511">
        <v>0</v>
      </c>
      <c r="K1184" s="511">
        <v>106481</v>
      </c>
      <c r="L1184" s="511">
        <v>8519</v>
      </c>
      <c r="M1184" s="511">
        <v>115000</v>
      </c>
      <c r="N1184" s="512">
        <v>1.7500000000000002E-2</v>
      </c>
      <c r="O1184" s="509" t="s">
        <v>1086</v>
      </c>
    </row>
    <row r="1185" spans="1:15" x14ac:dyDescent="0.25">
      <c r="A1185" s="508">
        <v>15</v>
      </c>
      <c r="B1185" s="508" t="s">
        <v>118</v>
      </c>
      <c r="C1185" s="508">
        <v>214</v>
      </c>
      <c r="D1185" s="509" t="s">
        <v>87</v>
      </c>
      <c r="E1185" s="509" t="s">
        <v>170</v>
      </c>
      <c r="F1185" s="508" t="s">
        <v>1085</v>
      </c>
      <c r="G1185" s="510">
        <v>1</v>
      </c>
      <c r="H1185" s="511">
        <v>37500</v>
      </c>
      <c r="I1185" s="511">
        <v>37500</v>
      </c>
      <c r="J1185" s="511">
        <v>0</v>
      </c>
      <c r="K1185" s="511">
        <v>37500</v>
      </c>
      <c r="L1185" s="511">
        <v>3000</v>
      </c>
      <c r="M1185" s="511">
        <v>40500</v>
      </c>
      <c r="N1185" s="512">
        <v>6.1999999999999998E-3</v>
      </c>
      <c r="O1185" s="509" t="s">
        <v>1086</v>
      </c>
    </row>
    <row r="1186" spans="1:15" x14ac:dyDescent="0.25">
      <c r="A1186" s="508">
        <v>15</v>
      </c>
      <c r="B1186" s="508" t="s">
        <v>118</v>
      </c>
      <c r="C1186" s="508">
        <v>113</v>
      </c>
      <c r="D1186" s="509" t="s">
        <v>89</v>
      </c>
      <c r="E1186" s="509" t="s">
        <v>129</v>
      </c>
      <c r="F1186" s="508" t="s">
        <v>1085</v>
      </c>
      <c r="G1186" s="510">
        <v>4</v>
      </c>
      <c r="H1186" s="511">
        <v>22222</v>
      </c>
      <c r="I1186" s="511">
        <v>88889</v>
      </c>
      <c r="J1186" s="511">
        <v>0</v>
      </c>
      <c r="K1186" s="511">
        <v>88889</v>
      </c>
      <c r="L1186" s="511">
        <v>7111</v>
      </c>
      <c r="M1186" s="511">
        <v>96000</v>
      </c>
      <c r="N1186" s="512">
        <v>1.46E-2</v>
      </c>
      <c r="O1186" s="509" t="s">
        <v>1086</v>
      </c>
    </row>
    <row r="1187" spans="1:15" x14ac:dyDescent="0.25">
      <c r="A1187" s="508">
        <v>15</v>
      </c>
      <c r="B1187" s="508" t="s">
        <v>118</v>
      </c>
      <c r="C1187" s="508">
        <v>96</v>
      </c>
      <c r="D1187" s="509" t="s">
        <v>93</v>
      </c>
      <c r="E1187" s="509" t="s">
        <v>1161</v>
      </c>
      <c r="F1187" s="508" t="s">
        <v>1085</v>
      </c>
      <c r="G1187" s="510">
        <v>1</v>
      </c>
      <c r="H1187" s="511">
        <v>35648</v>
      </c>
      <c r="I1187" s="511">
        <v>35648</v>
      </c>
      <c r="J1187" s="511">
        <v>0</v>
      </c>
      <c r="K1187" s="511">
        <v>35648</v>
      </c>
      <c r="L1187" s="511">
        <v>2852</v>
      </c>
      <c r="M1187" s="511">
        <v>38500</v>
      </c>
      <c r="N1187" s="512">
        <v>5.8999999999999999E-3</v>
      </c>
      <c r="O1187" s="509" t="s">
        <v>1086</v>
      </c>
    </row>
    <row r="1188" spans="1:15" x14ac:dyDescent="0.25">
      <c r="A1188" s="508">
        <v>15</v>
      </c>
      <c r="B1188" s="508" t="s">
        <v>118</v>
      </c>
      <c r="C1188" s="508">
        <v>68</v>
      </c>
      <c r="D1188" s="509" t="s">
        <v>93</v>
      </c>
      <c r="E1188" s="509" t="s">
        <v>1138</v>
      </c>
      <c r="F1188" s="508" t="s">
        <v>1085</v>
      </c>
      <c r="G1188" s="510">
        <v>2</v>
      </c>
      <c r="H1188" s="511">
        <v>41667</v>
      </c>
      <c r="I1188" s="511">
        <v>83333</v>
      </c>
      <c r="J1188" s="511">
        <v>0</v>
      </c>
      <c r="K1188" s="511">
        <v>83333</v>
      </c>
      <c r="L1188" s="511">
        <v>6667</v>
      </c>
      <c r="M1188" s="511">
        <v>90000</v>
      </c>
      <c r="N1188" s="512">
        <v>1.37E-2</v>
      </c>
      <c r="O1188" s="509" t="s">
        <v>1086</v>
      </c>
    </row>
    <row r="1189" spans="1:15" x14ac:dyDescent="0.25">
      <c r="A1189" s="508">
        <v>15</v>
      </c>
      <c r="B1189" s="508" t="s">
        <v>118</v>
      </c>
      <c r="C1189" s="508">
        <v>33</v>
      </c>
      <c r="D1189" s="509" t="s">
        <v>91</v>
      </c>
      <c r="E1189" s="509" t="s">
        <v>1139</v>
      </c>
      <c r="F1189" s="508" t="s">
        <v>1085</v>
      </c>
      <c r="G1189" s="510">
        <v>4</v>
      </c>
      <c r="H1189" s="511">
        <v>1852</v>
      </c>
      <c r="I1189" s="511">
        <v>7407</v>
      </c>
      <c r="J1189" s="511">
        <v>0</v>
      </c>
      <c r="K1189" s="511">
        <v>7407</v>
      </c>
      <c r="L1189" s="511">
        <v>593</v>
      </c>
      <c r="M1189" s="511">
        <v>8000</v>
      </c>
      <c r="N1189" s="512">
        <v>1.1999999999999999E-3</v>
      </c>
      <c r="O1189" s="509" t="s">
        <v>1086</v>
      </c>
    </row>
    <row r="1190" spans="1:15" x14ac:dyDescent="0.25">
      <c r="A1190" s="508">
        <v>15</v>
      </c>
      <c r="B1190" s="508" t="s">
        <v>118</v>
      </c>
      <c r="C1190" s="508">
        <v>39</v>
      </c>
      <c r="D1190" s="509" t="s">
        <v>91</v>
      </c>
      <c r="E1190" s="509" t="s">
        <v>1162</v>
      </c>
      <c r="F1190" s="508" t="s">
        <v>1085</v>
      </c>
      <c r="G1190" s="510">
        <v>2</v>
      </c>
      <c r="H1190" s="511">
        <v>3333</v>
      </c>
      <c r="I1190" s="511">
        <v>6667</v>
      </c>
      <c r="J1190" s="511">
        <v>0</v>
      </c>
      <c r="K1190" s="511">
        <v>6667</v>
      </c>
      <c r="L1190" s="511">
        <v>533</v>
      </c>
      <c r="M1190" s="511">
        <v>7200</v>
      </c>
      <c r="N1190" s="512">
        <v>1.1000000000000001E-3</v>
      </c>
      <c r="O1190" s="509" t="s">
        <v>1086</v>
      </c>
    </row>
    <row r="1191" spans="1:15" x14ac:dyDescent="0.25">
      <c r="A1191" s="508">
        <v>16</v>
      </c>
      <c r="B1191" s="508" t="s">
        <v>121</v>
      </c>
      <c r="C1191" s="508">
        <v>319</v>
      </c>
      <c r="D1191" s="509" t="s">
        <v>91</v>
      </c>
      <c r="E1191" s="509" t="s">
        <v>1217</v>
      </c>
      <c r="F1191" s="508" t="s">
        <v>1085</v>
      </c>
      <c r="G1191" s="510">
        <v>1</v>
      </c>
      <c r="H1191" s="511">
        <v>3519</v>
      </c>
      <c r="I1191" s="511">
        <v>3519</v>
      </c>
      <c r="J1191" s="511">
        <v>0</v>
      </c>
      <c r="K1191" s="511">
        <v>3519</v>
      </c>
      <c r="L1191" s="511">
        <v>281</v>
      </c>
      <c r="M1191" s="511">
        <v>3800</v>
      </c>
      <c r="N1191" s="512">
        <v>8.0000000000000004E-4</v>
      </c>
      <c r="O1191" s="509" t="s">
        <v>1086</v>
      </c>
    </row>
    <row r="1192" spans="1:15" x14ac:dyDescent="0.25">
      <c r="A1192" s="508">
        <v>16</v>
      </c>
      <c r="B1192" s="508" t="s">
        <v>121</v>
      </c>
      <c r="C1192" s="508">
        <v>73</v>
      </c>
      <c r="D1192" s="509" t="s">
        <v>91</v>
      </c>
      <c r="E1192" s="509" t="s">
        <v>1084</v>
      </c>
      <c r="F1192" s="508" t="s">
        <v>1085</v>
      </c>
      <c r="G1192" s="510">
        <v>14</v>
      </c>
      <c r="H1192" s="511">
        <v>2593</v>
      </c>
      <c r="I1192" s="511">
        <v>36296</v>
      </c>
      <c r="J1192" s="511">
        <v>0</v>
      </c>
      <c r="K1192" s="511">
        <v>36296</v>
      </c>
      <c r="L1192" s="511">
        <v>2904</v>
      </c>
      <c r="M1192" s="511">
        <v>39200</v>
      </c>
      <c r="N1192" s="512">
        <v>7.8000000000000014E-3</v>
      </c>
      <c r="O1192" s="509" t="s">
        <v>1086</v>
      </c>
    </row>
    <row r="1193" spans="1:15" x14ac:dyDescent="0.25">
      <c r="A1193" s="508">
        <v>16</v>
      </c>
      <c r="B1193" s="508" t="s">
        <v>121</v>
      </c>
      <c r="C1193" s="508">
        <v>313</v>
      </c>
      <c r="D1193" s="509" t="s">
        <v>87</v>
      </c>
      <c r="E1193" s="509" t="s">
        <v>1199</v>
      </c>
      <c r="F1193" s="508" t="s">
        <v>1085</v>
      </c>
      <c r="G1193" s="510">
        <v>1</v>
      </c>
      <c r="H1193" s="511">
        <v>4167</v>
      </c>
      <c r="I1193" s="511">
        <v>4167</v>
      </c>
      <c r="J1193" s="511">
        <v>0</v>
      </c>
      <c r="K1193" s="511">
        <v>4167</v>
      </c>
      <c r="L1193" s="511">
        <v>333</v>
      </c>
      <c r="M1193" s="511">
        <v>4500</v>
      </c>
      <c r="N1193" s="512">
        <v>8.9999999999999998E-4</v>
      </c>
      <c r="O1193" s="509" t="s">
        <v>1086</v>
      </c>
    </row>
    <row r="1194" spans="1:15" x14ac:dyDescent="0.25">
      <c r="A1194" s="508">
        <v>16</v>
      </c>
      <c r="B1194" s="508" t="s">
        <v>121</v>
      </c>
      <c r="C1194" s="508">
        <v>131</v>
      </c>
      <c r="D1194" s="509" t="s">
        <v>87</v>
      </c>
      <c r="E1194" s="509" t="s">
        <v>1144</v>
      </c>
      <c r="F1194" s="508" t="s">
        <v>1085</v>
      </c>
      <c r="G1194" s="510">
        <v>2</v>
      </c>
      <c r="H1194" s="511">
        <v>278</v>
      </c>
      <c r="I1194" s="511">
        <v>556</v>
      </c>
      <c r="J1194" s="511">
        <v>0</v>
      </c>
      <c r="K1194" s="511">
        <v>556</v>
      </c>
      <c r="L1194" s="511">
        <v>44</v>
      </c>
      <c r="M1194" s="511">
        <v>600</v>
      </c>
      <c r="N1194" s="512">
        <v>1E-4</v>
      </c>
      <c r="O1194" s="509" t="s">
        <v>1086</v>
      </c>
    </row>
    <row r="1195" spans="1:15" x14ac:dyDescent="0.25">
      <c r="A1195" s="508">
        <v>16</v>
      </c>
      <c r="B1195" s="508" t="s">
        <v>121</v>
      </c>
      <c r="C1195" s="508">
        <v>104</v>
      </c>
      <c r="D1195" s="509" t="s">
        <v>89</v>
      </c>
      <c r="E1195" s="509" t="s">
        <v>165</v>
      </c>
      <c r="F1195" s="508" t="s">
        <v>1085</v>
      </c>
      <c r="G1195" s="510">
        <v>9</v>
      </c>
      <c r="H1195" s="511">
        <v>15895</v>
      </c>
      <c r="I1195" s="511">
        <v>143056</v>
      </c>
      <c r="J1195" s="511">
        <v>0</v>
      </c>
      <c r="K1195" s="511">
        <v>143056</v>
      </c>
      <c r="L1195" s="511">
        <v>11444</v>
      </c>
      <c r="M1195" s="511">
        <v>154500</v>
      </c>
      <c r="N1195" s="512">
        <v>3.0700000000000002E-2</v>
      </c>
      <c r="O1195" s="509" t="s">
        <v>1086</v>
      </c>
    </row>
    <row r="1196" spans="1:15" x14ac:dyDescent="0.25">
      <c r="A1196" s="508">
        <v>16</v>
      </c>
      <c r="B1196" s="508" t="s">
        <v>121</v>
      </c>
      <c r="C1196" s="508">
        <v>95</v>
      </c>
      <c r="D1196" s="509" t="s">
        <v>87</v>
      </c>
      <c r="E1196" s="509" t="s">
        <v>1090</v>
      </c>
      <c r="F1196" s="508" t="s">
        <v>1085</v>
      </c>
      <c r="G1196" s="510">
        <v>3</v>
      </c>
      <c r="H1196" s="511">
        <v>926</v>
      </c>
      <c r="I1196" s="511">
        <v>2778</v>
      </c>
      <c r="J1196" s="511">
        <v>0</v>
      </c>
      <c r="K1196" s="511">
        <v>2778</v>
      </c>
      <c r="L1196" s="511">
        <v>222</v>
      </c>
      <c r="M1196" s="511">
        <v>3000</v>
      </c>
      <c r="N1196" s="512">
        <v>5.9999999999999995E-4</v>
      </c>
      <c r="O1196" s="509" t="s">
        <v>1086</v>
      </c>
    </row>
    <row r="1197" spans="1:15" x14ac:dyDescent="0.25">
      <c r="A1197" s="508">
        <v>16</v>
      </c>
      <c r="B1197" s="508" t="s">
        <v>121</v>
      </c>
      <c r="C1197" s="508">
        <v>54</v>
      </c>
      <c r="D1197" s="509" t="s">
        <v>91</v>
      </c>
      <c r="E1197" s="509" t="s">
        <v>1145</v>
      </c>
      <c r="F1197" s="508" t="s">
        <v>1085</v>
      </c>
      <c r="G1197" s="510">
        <v>1</v>
      </c>
      <c r="H1197" s="511">
        <v>2315</v>
      </c>
      <c r="I1197" s="511">
        <v>2315</v>
      </c>
      <c r="J1197" s="511">
        <v>0</v>
      </c>
      <c r="K1197" s="511">
        <v>2315</v>
      </c>
      <c r="L1197" s="511">
        <v>185</v>
      </c>
      <c r="M1197" s="511">
        <v>2500</v>
      </c>
      <c r="N1197" s="512">
        <v>5.0000000000000001E-4</v>
      </c>
      <c r="O1197" s="509" t="s">
        <v>1086</v>
      </c>
    </row>
    <row r="1198" spans="1:15" x14ac:dyDescent="0.25">
      <c r="A1198" s="508">
        <v>16</v>
      </c>
      <c r="B1198" s="508" t="s">
        <v>121</v>
      </c>
      <c r="C1198" s="508">
        <v>136</v>
      </c>
      <c r="D1198" s="509" t="s">
        <v>89</v>
      </c>
      <c r="E1198" s="509" t="s">
        <v>1091</v>
      </c>
      <c r="F1198" s="508" t="s">
        <v>1085</v>
      </c>
      <c r="G1198" s="510">
        <v>4</v>
      </c>
      <c r="H1198" s="511">
        <v>24074</v>
      </c>
      <c r="I1198" s="511">
        <v>96296</v>
      </c>
      <c r="J1198" s="511">
        <v>0</v>
      </c>
      <c r="K1198" s="511">
        <v>96296</v>
      </c>
      <c r="L1198" s="511">
        <v>7704</v>
      </c>
      <c r="M1198" s="511">
        <v>104000</v>
      </c>
      <c r="N1198" s="512">
        <v>2.07E-2</v>
      </c>
      <c r="O1198" s="509" t="s">
        <v>1086</v>
      </c>
    </row>
    <row r="1199" spans="1:15" x14ac:dyDescent="0.25">
      <c r="A1199" s="508">
        <v>16</v>
      </c>
      <c r="B1199" s="508" t="s">
        <v>121</v>
      </c>
      <c r="C1199" s="508">
        <v>6</v>
      </c>
      <c r="D1199" s="509" t="s">
        <v>89</v>
      </c>
      <c r="E1199" s="509" t="s">
        <v>1147</v>
      </c>
      <c r="F1199" s="508" t="s">
        <v>1085</v>
      </c>
      <c r="G1199" s="510">
        <v>3</v>
      </c>
      <c r="H1199" s="511">
        <v>14815</v>
      </c>
      <c r="I1199" s="511">
        <v>44444</v>
      </c>
      <c r="J1199" s="511">
        <v>0</v>
      </c>
      <c r="K1199" s="511">
        <v>44444</v>
      </c>
      <c r="L1199" s="511">
        <v>3556</v>
      </c>
      <c r="M1199" s="511">
        <v>48000</v>
      </c>
      <c r="N1199" s="512">
        <v>9.5999999999999992E-3</v>
      </c>
      <c r="O1199" s="509" t="s">
        <v>1086</v>
      </c>
    </row>
    <row r="1200" spans="1:15" x14ac:dyDescent="0.25">
      <c r="A1200" s="508">
        <v>16</v>
      </c>
      <c r="B1200" s="508" t="s">
        <v>121</v>
      </c>
      <c r="C1200" s="508">
        <v>8</v>
      </c>
      <c r="D1200" s="509" t="s">
        <v>87</v>
      </c>
      <c r="E1200" s="509" t="s">
        <v>156</v>
      </c>
      <c r="F1200" s="508" t="s">
        <v>1085</v>
      </c>
      <c r="G1200" s="510">
        <v>12</v>
      </c>
      <c r="H1200" s="511">
        <v>18853</v>
      </c>
      <c r="I1200" s="511">
        <v>226852</v>
      </c>
      <c r="J1200" s="511">
        <v>617</v>
      </c>
      <c r="K1200" s="511">
        <v>226235</v>
      </c>
      <c r="L1200" s="511">
        <v>18099</v>
      </c>
      <c r="M1200" s="511">
        <v>244333</v>
      </c>
      <c r="N1200" s="512">
        <v>4.8599999999999997E-2</v>
      </c>
      <c r="O1200" s="509" t="s">
        <v>1086</v>
      </c>
    </row>
    <row r="1201" spans="1:15" x14ac:dyDescent="0.25">
      <c r="A1201" s="508">
        <v>16</v>
      </c>
      <c r="B1201" s="508" t="s">
        <v>121</v>
      </c>
      <c r="C1201" s="508">
        <v>87</v>
      </c>
      <c r="D1201" s="509" t="s">
        <v>89</v>
      </c>
      <c r="E1201" s="509" t="s">
        <v>147</v>
      </c>
      <c r="F1201" s="508" t="s">
        <v>1085</v>
      </c>
      <c r="G1201" s="510">
        <v>1</v>
      </c>
      <c r="H1201" s="511">
        <v>37500</v>
      </c>
      <c r="I1201" s="511">
        <v>37500</v>
      </c>
      <c r="J1201" s="511">
        <v>0</v>
      </c>
      <c r="K1201" s="511">
        <v>37500</v>
      </c>
      <c r="L1201" s="511">
        <v>3000</v>
      </c>
      <c r="M1201" s="511">
        <v>40500</v>
      </c>
      <c r="N1201" s="512">
        <v>8.1000000000000013E-3</v>
      </c>
      <c r="O1201" s="509" t="s">
        <v>1086</v>
      </c>
    </row>
    <row r="1202" spans="1:15" x14ac:dyDescent="0.25">
      <c r="A1202" s="508">
        <v>16</v>
      </c>
      <c r="B1202" s="508" t="s">
        <v>121</v>
      </c>
      <c r="C1202" s="508">
        <v>246</v>
      </c>
      <c r="D1202" s="509" t="s">
        <v>91</v>
      </c>
      <c r="E1202" s="509" t="s">
        <v>1095</v>
      </c>
      <c r="F1202" s="508" t="s">
        <v>1085</v>
      </c>
      <c r="G1202" s="510">
        <v>1</v>
      </c>
      <c r="H1202" s="511">
        <v>6481</v>
      </c>
      <c r="I1202" s="511">
        <v>6481</v>
      </c>
      <c r="J1202" s="511">
        <v>0</v>
      </c>
      <c r="K1202" s="511">
        <v>6481</v>
      </c>
      <c r="L1202" s="511">
        <v>519</v>
      </c>
      <c r="M1202" s="511">
        <v>7000</v>
      </c>
      <c r="N1202" s="512">
        <v>1.4E-3</v>
      </c>
      <c r="O1202" s="509" t="s">
        <v>1086</v>
      </c>
    </row>
    <row r="1203" spans="1:15" x14ac:dyDescent="0.25">
      <c r="A1203" s="508">
        <v>16</v>
      </c>
      <c r="B1203" s="508" t="s">
        <v>121</v>
      </c>
      <c r="C1203" s="508">
        <v>71</v>
      </c>
      <c r="D1203" s="509" t="s">
        <v>91</v>
      </c>
      <c r="E1203" s="509" t="s">
        <v>1097</v>
      </c>
      <c r="F1203" s="508" t="s">
        <v>1085</v>
      </c>
      <c r="G1203" s="510">
        <v>2</v>
      </c>
      <c r="H1203" s="511">
        <v>5556</v>
      </c>
      <c r="I1203" s="511">
        <v>11111</v>
      </c>
      <c r="J1203" s="511">
        <v>0</v>
      </c>
      <c r="K1203" s="511">
        <v>11111</v>
      </c>
      <c r="L1203" s="511">
        <v>889</v>
      </c>
      <c r="M1203" s="511">
        <v>12000</v>
      </c>
      <c r="N1203" s="512">
        <v>2.3999999999999998E-3</v>
      </c>
      <c r="O1203" s="509" t="s">
        <v>1086</v>
      </c>
    </row>
    <row r="1204" spans="1:15" x14ac:dyDescent="0.25">
      <c r="A1204" s="508">
        <v>16</v>
      </c>
      <c r="B1204" s="508" t="s">
        <v>121</v>
      </c>
      <c r="C1204" s="508">
        <v>83</v>
      </c>
      <c r="D1204" s="509" t="s">
        <v>87</v>
      </c>
      <c r="E1204" s="509" t="s">
        <v>1098</v>
      </c>
      <c r="F1204" s="508" t="s">
        <v>1085</v>
      </c>
      <c r="G1204" s="510">
        <v>1</v>
      </c>
      <c r="H1204" s="511">
        <v>20833</v>
      </c>
      <c r="I1204" s="511">
        <v>20833</v>
      </c>
      <c r="J1204" s="511">
        <v>0</v>
      </c>
      <c r="K1204" s="511">
        <v>20833</v>
      </c>
      <c r="L1204" s="511">
        <v>1667</v>
      </c>
      <c r="M1204" s="511">
        <v>22500</v>
      </c>
      <c r="N1204" s="512">
        <v>4.5000000000000014E-3</v>
      </c>
      <c r="O1204" s="509" t="s">
        <v>1086</v>
      </c>
    </row>
    <row r="1205" spans="1:15" x14ac:dyDescent="0.25">
      <c r="A1205" s="508">
        <v>16</v>
      </c>
      <c r="B1205" s="508" t="s">
        <v>121</v>
      </c>
      <c r="C1205" s="508">
        <v>52</v>
      </c>
      <c r="D1205" s="509" t="s">
        <v>87</v>
      </c>
      <c r="E1205" s="509" t="s">
        <v>1149</v>
      </c>
      <c r="F1205" s="508" t="s">
        <v>1085</v>
      </c>
      <c r="G1205" s="510">
        <v>2</v>
      </c>
      <c r="H1205" s="511">
        <v>5556</v>
      </c>
      <c r="I1205" s="511">
        <v>11111</v>
      </c>
      <c r="J1205" s="511">
        <v>0</v>
      </c>
      <c r="K1205" s="511">
        <v>11111</v>
      </c>
      <c r="L1205" s="511">
        <v>889</v>
      </c>
      <c r="M1205" s="511">
        <v>12000</v>
      </c>
      <c r="N1205" s="512">
        <v>2.3999999999999998E-3</v>
      </c>
      <c r="O1205" s="509" t="s">
        <v>1086</v>
      </c>
    </row>
    <row r="1206" spans="1:15" x14ac:dyDescent="0.25">
      <c r="A1206" s="508">
        <v>16</v>
      </c>
      <c r="B1206" s="508" t="s">
        <v>121</v>
      </c>
      <c r="C1206" s="508">
        <v>43</v>
      </c>
      <c r="D1206" s="509" t="s">
        <v>87</v>
      </c>
      <c r="E1206" s="509" t="s">
        <v>1099</v>
      </c>
      <c r="F1206" s="508" t="s">
        <v>1085</v>
      </c>
      <c r="G1206" s="510">
        <v>1</v>
      </c>
      <c r="H1206" s="511">
        <v>8333</v>
      </c>
      <c r="I1206" s="511">
        <v>8333</v>
      </c>
      <c r="J1206" s="511">
        <v>0</v>
      </c>
      <c r="K1206" s="511">
        <v>8333</v>
      </c>
      <c r="L1206" s="511">
        <v>667</v>
      </c>
      <c r="M1206" s="511">
        <v>9000</v>
      </c>
      <c r="N1206" s="512">
        <v>1.8E-3</v>
      </c>
      <c r="O1206" s="509" t="s">
        <v>1086</v>
      </c>
    </row>
    <row r="1207" spans="1:15" x14ac:dyDescent="0.25">
      <c r="A1207" s="508">
        <v>16</v>
      </c>
      <c r="B1207" s="508" t="s">
        <v>121</v>
      </c>
      <c r="C1207" s="508">
        <v>37</v>
      </c>
      <c r="D1207" s="509" t="s">
        <v>87</v>
      </c>
      <c r="E1207" s="509" t="s">
        <v>1185</v>
      </c>
      <c r="F1207" s="508" t="s">
        <v>1085</v>
      </c>
      <c r="G1207" s="510">
        <v>1</v>
      </c>
      <c r="H1207" s="511">
        <v>8333</v>
      </c>
      <c r="I1207" s="511">
        <v>8333</v>
      </c>
      <c r="J1207" s="511">
        <v>0</v>
      </c>
      <c r="K1207" s="511">
        <v>8333</v>
      </c>
      <c r="L1207" s="511">
        <v>667</v>
      </c>
      <c r="M1207" s="511">
        <v>9000</v>
      </c>
      <c r="N1207" s="512">
        <v>1.8E-3</v>
      </c>
      <c r="O1207" s="509" t="s">
        <v>1086</v>
      </c>
    </row>
    <row r="1208" spans="1:15" x14ac:dyDescent="0.25">
      <c r="A1208" s="508">
        <v>16</v>
      </c>
      <c r="B1208" s="508" t="s">
        <v>121</v>
      </c>
      <c r="C1208" s="508">
        <v>41</v>
      </c>
      <c r="D1208" s="509" t="s">
        <v>87</v>
      </c>
      <c r="E1208" s="509" t="s">
        <v>168</v>
      </c>
      <c r="F1208" s="508" t="s">
        <v>1085</v>
      </c>
      <c r="G1208" s="510">
        <v>1</v>
      </c>
      <c r="H1208" s="511">
        <v>49074</v>
      </c>
      <c r="I1208" s="511">
        <v>49074</v>
      </c>
      <c r="J1208" s="511">
        <v>0</v>
      </c>
      <c r="K1208" s="511">
        <v>49074</v>
      </c>
      <c r="L1208" s="511">
        <v>3926</v>
      </c>
      <c r="M1208" s="511">
        <v>53000</v>
      </c>
      <c r="N1208" s="512">
        <v>1.0500000000000001E-2</v>
      </c>
      <c r="O1208" s="509" t="s">
        <v>1086</v>
      </c>
    </row>
    <row r="1209" spans="1:15" x14ac:dyDescent="0.25">
      <c r="A1209" s="508">
        <v>16</v>
      </c>
      <c r="B1209" s="508" t="s">
        <v>121</v>
      </c>
      <c r="C1209" s="508">
        <v>122</v>
      </c>
      <c r="D1209" s="509" t="s">
        <v>91</v>
      </c>
      <c r="E1209" s="509" t="s">
        <v>1100</v>
      </c>
      <c r="F1209" s="508" t="s">
        <v>1085</v>
      </c>
      <c r="G1209" s="510">
        <v>2</v>
      </c>
      <c r="H1209" s="511">
        <v>2778</v>
      </c>
      <c r="I1209" s="511">
        <v>5556</v>
      </c>
      <c r="J1209" s="511">
        <v>0</v>
      </c>
      <c r="K1209" s="511">
        <v>5556</v>
      </c>
      <c r="L1209" s="511">
        <v>444</v>
      </c>
      <c r="M1209" s="511">
        <v>6000</v>
      </c>
      <c r="N1209" s="512">
        <v>1.1999999999999999E-3</v>
      </c>
      <c r="O1209" s="509" t="s">
        <v>1086</v>
      </c>
    </row>
    <row r="1210" spans="1:15" x14ac:dyDescent="0.25">
      <c r="A1210" s="508">
        <v>16</v>
      </c>
      <c r="B1210" s="508" t="s">
        <v>121</v>
      </c>
      <c r="C1210" s="508">
        <v>42</v>
      </c>
      <c r="D1210" s="509" t="s">
        <v>87</v>
      </c>
      <c r="E1210" s="509" t="s">
        <v>359</v>
      </c>
      <c r="F1210" s="508" t="s">
        <v>1085</v>
      </c>
      <c r="G1210" s="510">
        <v>1</v>
      </c>
      <c r="H1210" s="511">
        <v>32407</v>
      </c>
      <c r="I1210" s="511">
        <v>32407</v>
      </c>
      <c r="J1210" s="511">
        <v>0</v>
      </c>
      <c r="K1210" s="511">
        <v>32407</v>
      </c>
      <c r="L1210" s="511">
        <v>2593</v>
      </c>
      <c r="M1210" s="511">
        <v>35000</v>
      </c>
      <c r="N1210" s="512">
        <v>6.9999999999999993E-3</v>
      </c>
      <c r="O1210" s="509" t="s">
        <v>1086</v>
      </c>
    </row>
    <row r="1211" spans="1:15" x14ac:dyDescent="0.25">
      <c r="A1211" s="508">
        <v>16</v>
      </c>
      <c r="B1211" s="508" t="s">
        <v>121</v>
      </c>
      <c r="C1211" s="508">
        <v>44</v>
      </c>
      <c r="D1211" s="509" t="s">
        <v>87</v>
      </c>
      <c r="E1211" s="509" t="s">
        <v>138</v>
      </c>
      <c r="F1211" s="508" t="s">
        <v>1085</v>
      </c>
      <c r="G1211" s="510">
        <v>2</v>
      </c>
      <c r="H1211" s="511">
        <v>28241</v>
      </c>
      <c r="I1211" s="511">
        <v>56481</v>
      </c>
      <c r="J1211" s="511">
        <v>0</v>
      </c>
      <c r="K1211" s="511">
        <v>56481</v>
      </c>
      <c r="L1211" s="511">
        <v>4519</v>
      </c>
      <c r="M1211" s="511">
        <v>61000</v>
      </c>
      <c r="N1211" s="512">
        <v>1.21E-2</v>
      </c>
      <c r="O1211" s="509" t="s">
        <v>1086</v>
      </c>
    </row>
    <row r="1212" spans="1:15" x14ac:dyDescent="0.25">
      <c r="A1212" s="508">
        <v>16</v>
      </c>
      <c r="B1212" s="508" t="s">
        <v>121</v>
      </c>
      <c r="C1212" s="508">
        <v>110</v>
      </c>
      <c r="D1212" s="509" t="s">
        <v>99</v>
      </c>
      <c r="E1212" s="509" t="s">
        <v>1101</v>
      </c>
      <c r="F1212" s="508" t="s">
        <v>1085</v>
      </c>
      <c r="G1212" s="510">
        <v>13</v>
      </c>
      <c r="H1212" s="511">
        <v>926</v>
      </c>
      <c r="I1212" s="511">
        <v>12037</v>
      </c>
      <c r="J1212" s="511">
        <v>0</v>
      </c>
      <c r="K1212" s="511">
        <v>12037</v>
      </c>
      <c r="L1212" s="511">
        <v>963</v>
      </c>
      <c r="M1212" s="511">
        <v>13000</v>
      </c>
      <c r="N1212" s="512">
        <v>2.5999999999999999E-3</v>
      </c>
      <c r="O1212" s="509" t="s">
        <v>1086</v>
      </c>
    </row>
    <row r="1213" spans="1:15" x14ac:dyDescent="0.25">
      <c r="A1213" s="508">
        <v>16</v>
      </c>
      <c r="B1213" s="508" t="s">
        <v>121</v>
      </c>
      <c r="C1213" s="508">
        <v>102</v>
      </c>
      <c r="D1213" s="509" t="s">
        <v>87</v>
      </c>
      <c r="E1213" s="509" t="s">
        <v>1151</v>
      </c>
      <c r="F1213" s="508" t="s">
        <v>1085</v>
      </c>
      <c r="G1213" s="510">
        <v>2</v>
      </c>
      <c r="H1213" s="511">
        <v>6944</v>
      </c>
      <c r="I1213" s="511">
        <v>13889</v>
      </c>
      <c r="J1213" s="511">
        <v>0</v>
      </c>
      <c r="K1213" s="511">
        <v>13889</v>
      </c>
      <c r="L1213" s="511">
        <v>1111</v>
      </c>
      <c r="M1213" s="511">
        <v>15000</v>
      </c>
      <c r="N1213" s="512">
        <v>3.0000000000000001E-3</v>
      </c>
      <c r="O1213" s="509" t="s">
        <v>1086</v>
      </c>
    </row>
    <row r="1214" spans="1:15" x14ac:dyDescent="0.25">
      <c r="A1214" s="508">
        <v>16</v>
      </c>
      <c r="B1214" s="508" t="s">
        <v>121</v>
      </c>
      <c r="C1214" s="508">
        <v>26</v>
      </c>
      <c r="D1214" s="509" t="s">
        <v>87</v>
      </c>
      <c r="E1214" s="509" t="s">
        <v>1167</v>
      </c>
      <c r="F1214" s="508" t="s">
        <v>1085</v>
      </c>
      <c r="G1214" s="510">
        <v>18</v>
      </c>
      <c r="H1214" s="511">
        <v>18656</v>
      </c>
      <c r="I1214" s="511">
        <v>337037</v>
      </c>
      <c r="J1214" s="511">
        <v>1235</v>
      </c>
      <c r="K1214" s="511">
        <v>335802</v>
      </c>
      <c r="L1214" s="511">
        <v>26864</v>
      </c>
      <c r="M1214" s="511">
        <v>362667</v>
      </c>
      <c r="N1214" s="512">
        <v>7.22E-2</v>
      </c>
      <c r="O1214" s="509" t="s">
        <v>1086</v>
      </c>
    </row>
    <row r="1215" spans="1:15" x14ac:dyDescent="0.25">
      <c r="A1215" s="508">
        <v>16</v>
      </c>
      <c r="B1215" s="508" t="s">
        <v>121</v>
      </c>
      <c r="C1215" s="508">
        <v>45</v>
      </c>
      <c r="D1215" s="509" t="s">
        <v>87</v>
      </c>
      <c r="E1215" s="509" t="s">
        <v>1102</v>
      </c>
      <c r="F1215" s="508" t="s">
        <v>1085</v>
      </c>
      <c r="G1215" s="510">
        <v>3</v>
      </c>
      <c r="H1215" s="511">
        <v>35648</v>
      </c>
      <c r="I1215" s="511">
        <v>106944</v>
      </c>
      <c r="J1215" s="511">
        <v>0</v>
      </c>
      <c r="K1215" s="511">
        <v>106944</v>
      </c>
      <c r="L1215" s="511">
        <v>8556</v>
      </c>
      <c r="M1215" s="511">
        <v>115500</v>
      </c>
      <c r="N1215" s="512">
        <v>2.3E-2</v>
      </c>
      <c r="O1215" s="509" t="s">
        <v>1086</v>
      </c>
    </row>
    <row r="1216" spans="1:15" x14ac:dyDescent="0.25">
      <c r="A1216" s="508">
        <v>16</v>
      </c>
      <c r="B1216" s="508" t="s">
        <v>121</v>
      </c>
      <c r="C1216" s="508">
        <v>30</v>
      </c>
      <c r="D1216" s="509" t="s">
        <v>95</v>
      </c>
      <c r="E1216" s="509" t="s">
        <v>1103</v>
      </c>
      <c r="F1216" s="508" t="s">
        <v>1085</v>
      </c>
      <c r="G1216" s="510">
        <v>1</v>
      </c>
      <c r="H1216" s="511">
        <v>6481</v>
      </c>
      <c r="I1216" s="511">
        <v>6481</v>
      </c>
      <c r="J1216" s="511">
        <v>0</v>
      </c>
      <c r="K1216" s="511">
        <v>6481</v>
      </c>
      <c r="L1216" s="511">
        <v>519</v>
      </c>
      <c r="M1216" s="511">
        <v>7000</v>
      </c>
      <c r="N1216" s="512">
        <v>1.4E-3</v>
      </c>
      <c r="O1216" s="509" t="s">
        <v>1086</v>
      </c>
    </row>
    <row r="1217" spans="1:15" x14ac:dyDescent="0.25">
      <c r="A1217" s="508">
        <v>16</v>
      </c>
      <c r="B1217" s="508" t="s">
        <v>121</v>
      </c>
      <c r="C1217" s="508">
        <v>94</v>
      </c>
      <c r="D1217" s="509" t="s">
        <v>89</v>
      </c>
      <c r="E1217" s="509" t="s">
        <v>153</v>
      </c>
      <c r="F1217" s="508" t="s">
        <v>1085</v>
      </c>
      <c r="G1217" s="510">
        <v>11</v>
      </c>
      <c r="H1217" s="511">
        <v>18603</v>
      </c>
      <c r="I1217" s="511">
        <v>204630</v>
      </c>
      <c r="J1217" s="511">
        <v>0</v>
      </c>
      <c r="K1217" s="511">
        <v>204630</v>
      </c>
      <c r="L1217" s="511">
        <v>16370</v>
      </c>
      <c r="M1217" s="511">
        <v>221000</v>
      </c>
      <c r="N1217" s="512">
        <v>4.3999999999999997E-2</v>
      </c>
      <c r="O1217" s="509" t="s">
        <v>1086</v>
      </c>
    </row>
    <row r="1218" spans="1:15" x14ac:dyDescent="0.25">
      <c r="A1218" s="508">
        <v>16</v>
      </c>
      <c r="B1218" s="508" t="s">
        <v>121</v>
      </c>
      <c r="C1218" s="508">
        <v>233</v>
      </c>
      <c r="D1218" s="509" t="s">
        <v>89</v>
      </c>
      <c r="E1218" s="509" t="s">
        <v>117</v>
      </c>
      <c r="F1218" s="508" t="s">
        <v>1085</v>
      </c>
      <c r="G1218" s="510">
        <v>33</v>
      </c>
      <c r="H1218" s="511">
        <v>18589</v>
      </c>
      <c r="I1218" s="511">
        <v>618519</v>
      </c>
      <c r="J1218" s="511">
        <v>5075</v>
      </c>
      <c r="K1218" s="511">
        <v>613443</v>
      </c>
      <c r="L1218" s="511">
        <v>49075</v>
      </c>
      <c r="M1218" s="511">
        <v>662519</v>
      </c>
      <c r="N1218" s="512">
        <v>0.1318</v>
      </c>
      <c r="O1218" s="509" t="s">
        <v>1086</v>
      </c>
    </row>
    <row r="1219" spans="1:15" x14ac:dyDescent="0.25">
      <c r="A1219" s="508">
        <v>16</v>
      </c>
      <c r="B1219" s="508" t="s">
        <v>121</v>
      </c>
      <c r="C1219" s="508">
        <v>217</v>
      </c>
      <c r="D1219" s="509" t="s">
        <v>89</v>
      </c>
      <c r="E1219" s="509" t="s">
        <v>1105</v>
      </c>
      <c r="F1219" s="508" t="s">
        <v>1085</v>
      </c>
      <c r="G1219" s="510">
        <v>2</v>
      </c>
      <c r="H1219" s="511">
        <v>27315</v>
      </c>
      <c r="I1219" s="511">
        <v>55556</v>
      </c>
      <c r="J1219" s="511">
        <v>926</v>
      </c>
      <c r="K1219" s="511">
        <v>54630</v>
      </c>
      <c r="L1219" s="511">
        <v>4370</v>
      </c>
      <c r="M1219" s="511">
        <v>59000</v>
      </c>
      <c r="N1219" s="512">
        <v>1.17E-2</v>
      </c>
      <c r="O1219" s="509" t="s">
        <v>1086</v>
      </c>
    </row>
    <row r="1220" spans="1:15" x14ac:dyDescent="0.25">
      <c r="A1220" s="508">
        <v>16</v>
      </c>
      <c r="B1220" s="508" t="s">
        <v>121</v>
      </c>
      <c r="C1220" s="508">
        <v>218</v>
      </c>
      <c r="D1220" s="509" t="s">
        <v>89</v>
      </c>
      <c r="E1220" s="509" t="s">
        <v>1106</v>
      </c>
      <c r="F1220" s="508" t="s">
        <v>1085</v>
      </c>
      <c r="G1220" s="510">
        <v>6</v>
      </c>
      <c r="H1220" s="511">
        <v>18827</v>
      </c>
      <c r="I1220" s="511">
        <v>112963</v>
      </c>
      <c r="J1220" s="511">
        <v>0</v>
      </c>
      <c r="K1220" s="511">
        <v>112963</v>
      </c>
      <c r="L1220" s="511">
        <v>9037</v>
      </c>
      <c r="M1220" s="511">
        <v>122000</v>
      </c>
      <c r="N1220" s="512">
        <v>2.4299999999999999E-2</v>
      </c>
      <c r="O1220" s="509" t="s">
        <v>1086</v>
      </c>
    </row>
    <row r="1221" spans="1:15" x14ac:dyDescent="0.25">
      <c r="A1221" s="508">
        <v>16</v>
      </c>
      <c r="B1221" s="508" t="s">
        <v>121</v>
      </c>
      <c r="C1221" s="508">
        <v>34</v>
      </c>
      <c r="D1221" s="509" t="s">
        <v>91</v>
      </c>
      <c r="E1221" s="509" t="s">
        <v>1107</v>
      </c>
      <c r="F1221" s="508" t="s">
        <v>1085</v>
      </c>
      <c r="G1221" s="510">
        <v>1</v>
      </c>
      <c r="H1221" s="511">
        <v>6481</v>
      </c>
      <c r="I1221" s="511">
        <v>6481</v>
      </c>
      <c r="J1221" s="511">
        <v>0</v>
      </c>
      <c r="K1221" s="511">
        <v>6481</v>
      </c>
      <c r="L1221" s="511">
        <v>519</v>
      </c>
      <c r="M1221" s="511">
        <v>7000</v>
      </c>
      <c r="N1221" s="512">
        <v>1.4E-3</v>
      </c>
      <c r="O1221" s="509" t="s">
        <v>1086</v>
      </c>
    </row>
    <row r="1222" spans="1:15" x14ac:dyDescent="0.25">
      <c r="A1222" s="508">
        <v>16</v>
      </c>
      <c r="B1222" s="508" t="s">
        <v>121</v>
      </c>
      <c r="C1222" s="508">
        <v>121</v>
      </c>
      <c r="D1222" s="509" t="s">
        <v>91</v>
      </c>
      <c r="E1222" s="509" t="s">
        <v>1108</v>
      </c>
      <c r="F1222" s="508" t="s">
        <v>1085</v>
      </c>
      <c r="G1222" s="510">
        <v>3</v>
      </c>
      <c r="H1222" s="511">
        <v>2778</v>
      </c>
      <c r="I1222" s="511">
        <v>8333</v>
      </c>
      <c r="J1222" s="511">
        <v>0</v>
      </c>
      <c r="K1222" s="511">
        <v>8333</v>
      </c>
      <c r="L1222" s="511">
        <v>667</v>
      </c>
      <c r="M1222" s="511">
        <v>9000</v>
      </c>
      <c r="N1222" s="512">
        <v>1.8E-3</v>
      </c>
      <c r="O1222" s="509" t="s">
        <v>1086</v>
      </c>
    </row>
    <row r="1223" spans="1:15" x14ac:dyDescent="0.25">
      <c r="A1223" s="508">
        <v>16</v>
      </c>
      <c r="B1223" s="508" t="s">
        <v>121</v>
      </c>
      <c r="C1223" s="508">
        <v>208</v>
      </c>
      <c r="D1223" s="509" t="s">
        <v>91</v>
      </c>
      <c r="E1223" s="509" t="s">
        <v>1109</v>
      </c>
      <c r="F1223" s="508" t="s">
        <v>1085</v>
      </c>
      <c r="G1223" s="510">
        <v>14</v>
      </c>
      <c r="H1223" s="511">
        <v>3704</v>
      </c>
      <c r="I1223" s="511">
        <v>51852</v>
      </c>
      <c r="J1223" s="511">
        <v>0</v>
      </c>
      <c r="K1223" s="511">
        <v>51852</v>
      </c>
      <c r="L1223" s="511">
        <v>4148</v>
      </c>
      <c r="M1223" s="511">
        <v>56000</v>
      </c>
      <c r="N1223" s="512">
        <v>1.11E-2</v>
      </c>
      <c r="O1223" s="509" t="s">
        <v>1086</v>
      </c>
    </row>
    <row r="1224" spans="1:15" x14ac:dyDescent="0.25">
      <c r="A1224" s="508">
        <v>16</v>
      </c>
      <c r="B1224" s="508" t="s">
        <v>121</v>
      </c>
      <c r="C1224" s="508">
        <v>90</v>
      </c>
      <c r="D1224" s="509" t="s">
        <v>91</v>
      </c>
      <c r="E1224" s="509" t="s">
        <v>572</v>
      </c>
      <c r="F1224" s="508" t="s">
        <v>1085</v>
      </c>
      <c r="G1224" s="510">
        <v>1</v>
      </c>
      <c r="H1224" s="511">
        <v>4259</v>
      </c>
      <c r="I1224" s="511">
        <v>4259</v>
      </c>
      <c r="J1224" s="511">
        <v>0</v>
      </c>
      <c r="K1224" s="511">
        <v>4259</v>
      </c>
      <c r="L1224" s="511">
        <v>341</v>
      </c>
      <c r="M1224" s="511">
        <v>4600</v>
      </c>
      <c r="N1224" s="512">
        <v>8.9999999999999998E-4</v>
      </c>
      <c r="O1224" s="509" t="s">
        <v>1086</v>
      </c>
    </row>
    <row r="1225" spans="1:15" x14ac:dyDescent="0.25">
      <c r="A1225" s="508">
        <v>16</v>
      </c>
      <c r="B1225" s="508" t="s">
        <v>121</v>
      </c>
      <c r="C1225" s="508">
        <v>123</v>
      </c>
      <c r="D1225" s="509" t="s">
        <v>91</v>
      </c>
      <c r="E1225" s="509" t="s">
        <v>1110</v>
      </c>
      <c r="F1225" s="508" t="s">
        <v>1085</v>
      </c>
      <c r="G1225" s="510">
        <v>5</v>
      </c>
      <c r="H1225" s="511">
        <v>2778</v>
      </c>
      <c r="I1225" s="511">
        <v>13889</v>
      </c>
      <c r="J1225" s="511">
        <v>0</v>
      </c>
      <c r="K1225" s="511">
        <v>13889</v>
      </c>
      <c r="L1225" s="511">
        <v>1111</v>
      </c>
      <c r="M1225" s="511">
        <v>15000</v>
      </c>
      <c r="N1225" s="512">
        <v>3.0000000000000001E-3</v>
      </c>
      <c r="O1225" s="509" t="s">
        <v>1086</v>
      </c>
    </row>
    <row r="1226" spans="1:15" x14ac:dyDescent="0.25">
      <c r="A1226" s="508">
        <v>16</v>
      </c>
      <c r="B1226" s="508" t="s">
        <v>121</v>
      </c>
      <c r="C1226" s="508">
        <v>314</v>
      </c>
      <c r="D1226" s="509" t="s">
        <v>87</v>
      </c>
      <c r="E1226" s="509" t="s">
        <v>1152</v>
      </c>
      <c r="F1226" s="508" t="s">
        <v>1085</v>
      </c>
      <c r="G1226" s="510">
        <v>1</v>
      </c>
      <c r="H1226" s="511">
        <v>2874</v>
      </c>
      <c r="I1226" s="511">
        <v>4167</v>
      </c>
      <c r="J1226" s="511">
        <v>1293</v>
      </c>
      <c r="K1226" s="511">
        <v>2874</v>
      </c>
      <c r="L1226" s="511">
        <v>230</v>
      </c>
      <c r="M1226" s="511">
        <v>3103</v>
      </c>
      <c r="N1226" s="512">
        <v>5.9999999999999995E-4</v>
      </c>
      <c r="O1226" s="509" t="s">
        <v>1086</v>
      </c>
    </row>
    <row r="1227" spans="1:15" x14ac:dyDescent="0.25">
      <c r="A1227" s="508">
        <v>16</v>
      </c>
      <c r="B1227" s="508" t="s">
        <v>121</v>
      </c>
      <c r="C1227" s="508">
        <v>31</v>
      </c>
      <c r="D1227" s="509" t="s">
        <v>95</v>
      </c>
      <c r="E1227" s="509" t="s">
        <v>1111</v>
      </c>
      <c r="F1227" s="508" t="s">
        <v>1085</v>
      </c>
      <c r="G1227" s="510">
        <v>14</v>
      </c>
      <c r="H1227" s="511">
        <v>1204</v>
      </c>
      <c r="I1227" s="511">
        <v>16852</v>
      </c>
      <c r="J1227" s="511">
        <v>0</v>
      </c>
      <c r="K1227" s="511">
        <v>16852</v>
      </c>
      <c r="L1227" s="511">
        <v>1348</v>
      </c>
      <c r="M1227" s="511">
        <v>18200</v>
      </c>
      <c r="N1227" s="512">
        <v>3.5999999999999999E-3</v>
      </c>
      <c r="O1227" s="509" t="s">
        <v>1086</v>
      </c>
    </row>
    <row r="1228" spans="1:15" x14ac:dyDescent="0.25">
      <c r="A1228" s="508">
        <v>16</v>
      </c>
      <c r="B1228" s="508" t="s">
        <v>121</v>
      </c>
      <c r="C1228" s="508">
        <v>212</v>
      </c>
      <c r="D1228" s="509" t="s">
        <v>91</v>
      </c>
      <c r="E1228" s="509" t="s">
        <v>162</v>
      </c>
      <c r="F1228" s="508" t="s">
        <v>1085</v>
      </c>
      <c r="G1228" s="510">
        <v>1</v>
      </c>
      <c r="H1228" s="511">
        <v>22222</v>
      </c>
      <c r="I1228" s="511">
        <v>22222</v>
      </c>
      <c r="J1228" s="511">
        <v>0</v>
      </c>
      <c r="K1228" s="511">
        <v>22222</v>
      </c>
      <c r="L1228" s="511">
        <v>1778</v>
      </c>
      <c r="M1228" s="511">
        <v>24000</v>
      </c>
      <c r="N1228" s="512">
        <v>4.7999999999999996E-3</v>
      </c>
      <c r="O1228" s="509" t="s">
        <v>1086</v>
      </c>
    </row>
    <row r="1229" spans="1:15" x14ac:dyDescent="0.25">
      <c r="A1229" s="508">
        <v>16</v>
      </c>
      <c r="B1229" s="508" t="s">
        <v>121</v>
      </c>
      <c r="C1229" s="508">
        <v>74</v>
      </c>
      <c r="D1229" s="509" t="s">
        <v>91</v>
      </c>
      <c r="E1229" s="509" t="s">
        <v>1153</v>
      </c>
      <c r="F1229" s="508" t="s">
        <v>1085</v>
      </c>
      <c r="G1229" s="510">
        <v>1</v>
      </c>
      <c r="H1229" s="511">
        <v>6481</v>
      </c>
      <c r="I1229" s="511">
        <v>6481</v>
      </c>
      <c r="J1229" s="511">
        <v>0</v>
      </c>
      <c r="K1229" s="511">
        <v>6481</v>
      </c>
      <c r="L1229" s="511">
        <v>519</v>
      </c>
      <c r="M1229" s="511">
        <v>7000</v>
      </c>
      <c r="N1229" s="512">
        <v>1.4E-3</v>
      </c>
      <c r="O1229" s="509" t="s">
        <v>1086</v>
      </c>
    </row>
    <row r="1230" spans="1:15" x14ac:dyDescent="0.25">
      <c r="A1230" s="508">
        <v>16</v>
      </c>
      <c r="B1230" s="508" t="s">
        <v>121</v>
      </c>
      <c r="C1230" s="508">
        <v>306</v>
      </c>
      <c r="D1230" s="509" t="s">
        <v>91</v>
      </c>
      <c r="E1230" s="509" t="s">
        <v>1176</v>
      </c>
      <c r="F1230" s="508" t="s">
        <v>1085</v>
      </c>
      <c r="G1230" s="510">
        <v>2</v>
      </c>
      <c r="H1230" s="511">
        <v>2315</v>
      </c>
      <c r="I1230" s="511">
        <v>4630</v>
      </c>
      <c r="J1230" s="511">
        <v>0</v>
      </c>
      <c r="K1230" s="511">
        <v>4630</v>
      </c>
      <c r="L1230" s="511">
        <v>370</v>
      </c>
      <c r="M1230" s="511">
        <v>5000</v>
      </c>
      <c r="N1230" s="512">
        <v>1E-3</v>
      </c>
      <c r="O1230" s="509" t="s">
        <v>1086</v>
      </c>
    </row>
    <row r="1231" spans="1:15" x14ac:dyDescent="0.25">
      <c r="A1231" s="508">
        <v>16</v>
      </c>
      <c r="B1231" s="508" t="s">
        <v>121</v>
      </c>
      <c r="C1231" s="508">
        <v>75</v>
      </c>
      <c r="D1231" s="509" t="s">
        <v>91</v>
      </c>
      <c r="E1231" s="509" t="s">
        <v>1113</v>
      </c>
      <c r="F1231" s="508" t="s">
        <v>1085</v>
      </c>
      <c r="G1231" s="510">
        <v>2</v>
      </c>
      <c r="H1231" s="511">
        <v>9259</v>
      </c>
      <c r="I1231" s="511">
        <v>18519</v>
      </c>
      <c r="J1231" s="511">
        <v>0</v>
      </c>
      <c r="K1231" s="511">
        <v>18519</v>
      </c>
      <c r="L1231" s="511">
        <v>1481</v>
      </c>
      <c r="M1231" s="511">
        <v>20000</v>
      </c>
      <c r="N1231" s="512">
        <v>4.0000000000000001E-3</v>
      </c>
      <c r="O1231" s="509" t="s">
        <v>1086</v>
      </c>
    </row>
    <row r="1232" spans="1:15" x14ac:dyDescent="0.25">
      <c r="A1232" s="508">
        <v>16</v>
      </c>
      <c r="B1232" s="508" t="s">
        <v>121</v>
      </c>
      <c r="C1232" s="508">
        <v>118</v>
      </c>
      <c r="D1232" s="509" t="s">
        <v>87</v>
      </c>
      <c r="E1232" s="509" t="s">
        <v>126</v>
      </c>
      <c r="F1232" s="508" t="s">
        <v>1085</v>
      </c>
      <c r="G1232" s="510">
        <v>1</v>
      </c>
      <c r="H1232" s="511">
        <v>41667</v>
      </c>
      <c r="I1232" s="511">
        <v>41667</v>
      </c>
      <c r="J1232" s="511">
        <v>0</v>
      </c>
      <c r="K1232" s="511">
        <v>41667</v>
      </c>
      <c r="L1232" s="511">
        <v>3333</v>
      </c>
      <c r="M1232" s="511">
        <v>45000</v>
      </c>
      <c r="N1232" s="512">
        <v>9.0000000000000011E-3</v>
      </c>
      <c r="O1232" s="509" t="s">
        <v>1086</v>
      </c>
    </row>
    <row r="1233" spans="1:15" x14ac:dyDescent="0.25">
      <c r="A1233" s="508">
        <v>16</v>
      </c>
      <c r="B1233" s="508" t="s">
        <v>121</v>
      </c>
      <c r="C1233" s="508">
        <v>109</v>
      </c>
      <c r="D1233" s="509" t="s">
        <v>91</v>
      </c>
      <c r="E1233" s="509" t="s">
        <v>144</v>
      </c>
      <c r="F1233" s="508" t="s">
        <v>1085</v>
      </c>
      <c r="G1233" s="510">
        <v>6</v>
      </c>
      <c r="H1233" s="511">
        <v>12963</v>
      </c>
      <c r="I1233" s="511">
        <v>77778</v>
      </c>
      <c r="J1233" s="511">
        <v>0</v>
      </c>
      <c r="K1233" s="511">
        <v>77778</v>
      </c>
      <c r="L1233" s="511">
        <v>6222</v>
      </c>
      <c r="M1233" s="511">
        <v>84000</v>
      </c>
      <c r="N1233" s="512">
        <v>1.67E-2</v>
      </c>
      <c r="O1233" s="509" t="s">
        <v>1086</v>
      </c>
    </row>
    <row r="1234" spans="1:15" x14ac:dyDescent="0.25">
      <c r="A1234" s="508">
        <v>16</v>
      </c>
      <c r="B1234" s="508" t="s">
        <v>121</v>
      </c>
      <c r="C1234" s="508">
        <v>147</v>
      </c>
      <c r="D1234" s="509" t="s">
        <v>91</v>
      </c>
      <c r="E1234" s="509" t="s">
        <v>1115</v>
      </c>
      <c r="F1234" s="508" t="s">
        <v>1085</v>
      </c>
      <c r="G1234" s="510">
        <v>1</v>
      </c>
      <c r="H1234" s="511">
        <v>6481</v>
      </c>
      <c r="I1234" s="511">
        <v>6481</v>
      </c>
      <c r="J1234" s="511">
        <v>0</v>
      </c>
      <c r="K1234" s="511">
        <v>6481</v>
      </c>
      <c r="L1234" s="511">
        <v>519</v>
      </c>
      <c r="M1234" s="511">
        <v>7000</v>
      </c>
      <c r="N1234" s="512">
        <v>1.4E-3</v>
      </c>
      <c r="O1234" s="509" t="s">
        <v>1086</v>
      </c>
    </row>
    <row r="1235" spans="1:15" x14ac:dyDescent="0.25">
      <c r="A1235" s="508">
        <v>16</v>
      </c>
      <c r="B1235" s="508" t="s">
        <v>121</v>
      </c>
      <c r="C1235" s="508">
        <v>72</v>
      </c>
      <c r="D1235" s="509" t="s">
        <v>97</v>
      </c>
      <c r="E1235" s="509" t="s">
        <v>1117</v>
      </c>
      <c r="F1235" s="508" t="s">
        <v>1085</v>
      </c>
      <c r="G1235" s="510">
        <v>6</v>
      </c>
      <c r="H1235" s="511">
        <v>3704</v>
      </c>
      <c r="I1235" s="511">
        <v>22222</v>
      </c>
      <c r="J1235" s="511">
        <v>0</v>
      </c>
      <c r="K1235" s="511">
        <v>22222</v>
      </c>
      <c r="L1235" s="511">
        <v>1778</v>
      </c>
      <c r="M1235" s="511">
        <v>24000</v>
      </c>
      <c r="N1235" s="512">
        <v>4.7999999999999996E-3</v>
      </c>
      <c r="O1235" s="509" t="s">
        <v>1086</v>
      </c>
    </row>
    <row r="1236" spans="1:15" x14ac:dyDescent="0.25">
      <c r="A1236" s="508">
        <v>16</v>
      </c>
      <c r="B1236" s="508" t="s">
        <v>121</v>
      </c>
      <c r="C1236" s="508">
        <v>227</v>
      </c>
      <c r="D1236" s="509" t="s">
        <v>87</v>
      </c>
      <c r="E1236" s="509" t="s">
        <v>1169</v>
      </c>
      <c r="F1236" s="508" t="s">
        <v>1085</v>
      </c>
      <c r="G1236" s="510">
        <v>4</v>
      </c>
      <c r="H1236" s="511">
        <v>1389</v>
      </c>
      <c r="I1236" s="511">
        <v>5556</v>
      </c>
      <c r="J1236" s="511">
        <v>0</v>
      </c>
      <c r="K1236" s="511">
        <v>5556</v>
      </c>
      <c r="L1236" s="511">
        <v>444</v>
      </c>
      <c r="M1236" s="511">
        <v>6000</v>
      </c>
      <c r="N1236" s="512">
        <v>1.1999999999999999E-3</v>
      </c>
      <c r="O1236" s="509" t="s">
        <v>1086</v>
      </c>
    </row>
    <row r="1237" spans="1:15" x14ac:dyDescent="0.25">
      <c r="A1237" s="508">
        <v>16</v>
      </c>
      <c r="B1237" s="508" t="s">
        <v>121</v>
      </c>
      <c r="C1237" s="508">
        <v>35</v>
      </c>
      <c r="D1237" s="509" t="s">
        <v>87</v>
      </c>
      <c r="E1237" s="509" t="s">
        <v>1156</v>
      </c>
      <c r="F1237" s="508" t="s">
        <v>1085</v>
      </c>
      <c r="G1237" s="510">
        <v>1</v>
      </c>
      <c r="H1237" s="511">
        <v>7407</v>
      </c>
      <c r="I1237" s="511">
        <v>7407</v>
      </c>
      <c r="J1237" s="511">
        <v>0</v>
      </c>
      <c r="K1237" s="511">
        <v>7407</v>
      </c>
      <c r="L1237" s="511">
        <v>593</v>
      </c>
      <c r="M1237" s="511">
        <v>8000</v>
      </c>
      <c r="N1237" s="512">
        <v>1.6000000000000001E-3</v>
      </c>
      <c r="O1237" s="509" t="s">
        <v>1086</v>
      </c>
    </row>
    <row r="1238" spans="1:15" x14ac:dyDescent="0.25">
      <c r="A1238" s="508">
        <v>16</v>
      </c>
      <c r="B1238" s="508" t="s">
        <v>121</v>
      </c>
      <c r="C1238" s="508">
        <v>18</v>
      </c>
      <c r="D1238" s="509" t="s">
        <v>87</v>
      </c>
      <c r="E1238" s="509" t="s">
        <v>301</v>
      </c>
      <c r="F1238" s="508" t="s">
        <v>1085</v>
      </c>
      <c r="G1238" s="510">
        <v>33</v>
      </c>
      <c r="H1238" s="511">
        <v>18715</v>
      </c>
      <c r="I1238" s="511">
        <v>617593</v>
      </c>
      <c r="J1238" s="511">
        <v>0</v>
      </c>
      <c r="K1238" s="511">
        <v>617593</v>
      </c>
      <c r="L1238" s="511">
        <v>49407</v>
      </c>
      <c r="M1238" s="511">
        <v>667000</v>
      </c>
      <c r="N1238" s="512">
        <v>0.13270000000000001</v>
      </c>
      <c r="O1238" s="509" t="s">
        <v>1086</v>
      </c>
    </row>
    <row r="1239" spans="1:15" x14ac:dyDescent="0.25">
      <c r="A1239" s="508">
        <v>16</v>
      </c>
      <c r="B1239" s="508" t="s">
        <v>121</v>
      </c>
      <c r="C1239" s="508">
        <v>93</v>
      </c>
      <c r="D1239" s="509" t="s">
        <v>89</v>
      </c>
      <c r="E1239" s="509" t="s">
        <v>123</v>
      </c>
      <c r="F1239" s="508" t="s">
        <v>1085</v>
      </c>
      <c r="G1239" s="510">
        <v>3</v>
      </c>
      <c r="H1239" s="511">
        <v>20370</v>
      </c>
      <c r="I1239" s="511">
        <v>61111</v>
      </c>
      <c r="J1239" s="511">
        <v>0</v>
      </c>
      <c r="K1239" s="511">
        <v>61111</v>
      </c>
      <c r="L1239" s="511">
        <v>4889</v>
      </c>
      <c r="M1239" s="511">
        <v>66000</v>
      </c>
      <c r="N1239" s="512">
        <v>1.3100000000000001E-2</v>
      </c>
      <c r="O1239" s="509" t="s">
        <v>1086</v>
      </c>
    </row>
    <row r="1240" spans="1:15" x14ac:dyDescent="0.25">
      <c r="A1240" s="508">
        <v>16</v>
      </c>
      <c r="B1240" s="508" t="s">
        <v>121</v>
      </c>
      <c r="C1240" s="508">
        <v>119</v>
      </c>
      <c r="D1240" s="509" t="s">
        <v>89</v>
      </c>
      <c r="E1240" s="509" t="s">
        <v>114</v>
      </c>
      <c r="F1240" s="508" t="s">
        <v>1085</v>
      </c>
      <c r="G1240" s="510">
        <v>6</v>
      </c>
      <c r="H1240" s="511">
        <v>44444</v>
      </c>
      <c r="I1240" s="511">
        <v>266667</v>
      </c>
      <c r="J1240" s="511">
        <v>0</v>
      </c>
      <c r="K1240" s="511">
        <v>266667</v>
      </c>
      <c r="L1240" s="511">
        <v>21333</v>
      </c>
      <c r="M1240" s="511">
        <v>288000</v>
      </c>
      <c r="N1240" s="512">
        <v>5.7299999999999997E-2</v>
      </c>
      <c r="O1240" s="509" t="s">
        <v>1086</v>
      </c>
    </row>
    <row r="1241" spans="1:15" x14ac:dyDescent="0.25">
      <c r="A1241" s="508">
        <v>16</v>
      </c>
      <c r="B1241" s="508" t="s">
        <v>121</v>
      </c>
      <c r="C1241" s="508">
        <v>21</v>
      </c>
      <c r="D1241" s="509" t="s">
        <v>95</v>
      </c>
      <c r="E1241" s="509" t="s">
        <v>1202</v>
      </c>
      <c r="F1241" s="508" t="s">
        <v>1085</v>
      </c>
      <c r="G1241" s="510">
        <v>2</v>
      </c>
      <c r="H1241" s="511">
        <v>7407</v>
      </c>
      <c r="I1241" s="511">
        <v>14815</v>
      </c>
      <c r="J1241" s="511">
        <v>0</v>
      </c>
      <c r="K1241" s="511">
        <v>14815</v>
      </c>
      <c r="L1241" s="511">
        <v>1185</v>
      </c>
      <c r="M1241" s="511">
        <v>16000</v>
      </c>
      <c r="N1241" s="512">
        <v>3.2000000000000002E-3</v>
      </c>
      <c r="O1241" s="509" t="s">
        <v>1086</v>
      </c>
    </row>
    <row r="1242" spans="1:15" x14ac:dyDescent="0.25">
      <c r="A1242" s="508">
        <v>16</v>
      </c>
      <c r="B1242" s="508" t="s">
        <v>121</v>
      </c>
      <c r="C1242" s="508">
        <v>19</v>
      </c>
      <c r="D1242" s="509" t="s">
        <v>87</v>
      </c>
      <c r="E1242" s="509" t="s">
        <v>1120</v>
      </c>
      <c r="F1242" s="508" t="s">
        <v>1085</v>
      </c>
      <c r="G1242" s="510">
        <v>4</v>
      </c>
      <c r="H1242" s="511">
        <v>9259</v>
      </c>
      <c r="I1242" s="511">
        <v>37037</v>
      </c>
      <c r="J1242" s="511">
        <v>0</v>
      </c>
      <c r="K1242" s="511">
        <v>37037</v>
      </c>
      <c r="L1242" s="511">
        <v>2963</v>
      </c>
      <c r="M1242" s="511">
        <v>40000</v>
      </c>
      <c r="N1242" s="512">
        <v>8.0000000000000002E-3</v>
      </c>
      <c r="O1242" s="509" t="s">
        <v>1086</v>
      </c>
    </row>
    <row r="1243" spans="1:15" x14ac:dyDescent="0.25">
      <c r="A1243" s="508">
        <v>16</v>
      </c>
      <c r="B1243" s="508" t="s">
        <v>121</v>
      </c>
      <c r="C1243" s="508">
        <v>77</v>
      </c>
      <c r="D1243" s="509" t="s">
        <v>87</v>
      </c>
      <c r="E1243" s="509" t="s">
        <v>1121</v>
      </c>
      <c r="F1243" s="508" t="s">
        <v>1085</v>
      </c>
      <c r="G1243" s="510">
        <v>1</v>
      </c>
      <c r="H1243" s="511">
        <v>1916</v>
      </c>
      <c r="I1243" s="511">
        <v>2778</v>
      </c>
      <c r="J1243" s="511">
        <v>862</v>
      </c>
      <c r="K1243" s="511">
        <v>1916</v>
      </c>
      <c r="L1243" s="511">
        <v>153</v>
      </c>
      <c r="M1243" s="511">
        <v>2069</v>
      </c>
      <c r="N1243" s="512">
        <v>4.0000000000000002E-4</v>
      </c>
      <c r="O1243" s="509" t="s">
        <v>1086</v>
      </c>
    </row>
    <row r="1244" spans="1:15" x14ac:dyDescent="0.25">
      <c r="A1244" s="508">
        <v>16</v>
      </c>
      <c r="B1244" s="508" t="s">
        <v>121</v>
      </c>
      <c r="C1244" s="508">
        <v>111</v>
      </c>
      <c r="D1244" s="509" t="s">
        <v>87</v>
      </c>
      <c r="E1244" s="509" t="s">
        <v>1192</v>
      </c>
      <c r="F1244" s="508" t="s">
        <v>1085</v>
      </c>
      <c r="G1244" s="510">
        <v>1</v>
      </c>
      <c r="H1244" s="511">
        <v>6481</v>
      </c>
      <c r="I1244" s="511">
        <v>6481</v>
      </c>
      <c r="J1244" s="511">
        <v>0</v>
      </c>
      <c r="K1244" s="511">
        <v>6481</v>
      </c>
      <c r="L1244" s="511">
        <v>519</v>
      </c>
      <c r="M1244" s="511">
        <v>7000</v>
      </c>
      <c r="N1244" s="512">
        <v>1.4E-3</v>
      </c>
      <c r="O1244" s="509" t="s">
        <v>1086</v>
      </c>
    </row>
    <row r="1245" spans="1:15" x14ac:dyDescent="0.25">
      <c r="A1245" s="508">
        <v>16</v>
      </c>
      <c r="B1245" s="508" t="s">
        <v>121</v>
      </c>
      <c r="C1245" s="508">
        <v>86</v>
      </c>
      <c r="D1245" s="509" t="s">
        <v>95</v>
      </c>
      <c r="E1245" s="509" t="s">
        <v>1124</v>
      </c>
      <c r="F1245" s="508" t="s">
        <v>1085</v>
      </c>
      <c r="G1245" s="510">
        <v>21</v>
      </c>
      <c r="H1245" s="511">
        <v>3241</v>
      </c>
      <c r="I1245" s="511">
        <v>68056</v>
      </c>
      <c r="J1245" s="511">
        <v>0</v>
      </c>
      <c r="K1245" s="511">
        <v>68056</v>
      </c>
      <c r="L1245" s="511">
        <v>5444</v>
      </c>
      <c r="M1245" s="511">
        <v>73500</v>
      </c>
      <c r="N1245" s="512">
        <v>1.46E-2</v>
      </c>
      <c r="O1245" s="509" t="s">
        <v>1086</v>
      </c>
    </row>
    <row r="1246" spans="1:15" x14ac:dyDescent="0.25">
      <c r="A1246" s="508">
        <v>16</v>
      </c>
      <c r="B1246" s="508" t="s">
        <v>121</v>
      </c>
      <c r="C1246" s="508">
        <v>63</v>
      </c>
      <c r="D1246" s="509" t="s">
        <v>95</v>
      </c>
      <c r="E1246" s="509" t="s">
        <v>1182</v>
      </c>
      <c r="F1246" s="508" t="s">
        <v>1085</v>
      </c>
      <c r="G1246" s="510">
        <v>1</v>
      </c>
      <c r="H1246" s="511">
        <v>3704</v>
      </c>
      <c r="I1246" s="511">
        <v>3704</v>
      </c>
      <c r="J1246" s="511">
        <v>0</v>
      </c>
      <c r="K1246" s="511">
        <v>3704</v>
      </c>
      <c r="L1246" s="511">
        <v>296</v>
      </c>
      <c r="M1246" s="511">
        <v>4000</v>
      </c>
      <c r="N1246" s="512">
        <v>8.0000000000000004E-4</v>
      </c>
      <c r="O1246" s="509" t="s">
        <v>1086</v>
      </c>
    </row>
    <row r="1247" spans="1:15" x14ac:dyDescent="0.25">
      <c r="A1247" s="508">
        <v>16</v>
      </c>
      <c r="B1247" s="508" t="s">
        <v>121</v>
      </c>
      <c r="C1247" s="508">
        <v>79</v>
      </c>
      <c r="D1247" s="509" t="s">
        <v>95</v>
      </c>
      <c r="E1247" s="509" t="s">
        <v>1127</v>
      </c>
      <c r="F1247" s="508" t="s">
        <v>1085</v>
      </c>
      <c r="G1247" s="510">
        <v>6</v>
      </c>
      <c r="H1247" s="511">
        <v>6481</v>
      </c>
      <c r="I1247" s="511">
        <v>38889</v>
      </c>
      <c r="J1247" s="511">
        <v>0</v>
      </c>
      <c r="K1247" s="511">
        <v>38889</v>
      </c>
      <c r="L1247" s="511">
        <v>3111</v>
      </c>
      <c r="M1247" s="511">
        <v>42000</v>
      </c>
      <c r="N1247" s="512">
        <v>8.3999999999999995E-3</v>
      </c>
      <c r="O1247" s="509" t="s">
        <v>1086</v>
      </c>
    </row>
    <row r="1248" spans="1:15" x14ac:dyDescent="0.25">
      <c r="A1248" s="508">
        <v>16</v>
      </c>
      <c r="B1248" s="508" t="s">
        <v>121</v>
      </c>
      <c r="C1248" s="508">
        <v>82</v>
      </c>
      <c r="D1248" s="509" t="s">
        <v>95</v>
      </c>
      <c r="E1248" s="509" t="s">
        <v>1158</v>
      </c>
      <c r="F1248" s="508" t="s">
        <v>1085</v>
      </c>
      <c r="G1248" s="510">
        <v>13</v>
      </c>
      <c r="H1248" s="511">
        <v>6481</v>
      </c>
      <c r="I1248" s="511">
        <v>84259</v>
      </c>
      <c r="J1248" s="511">
        <v>0</v>
      </c>
      <c r="K1248" s="511">
        <v>84259</v>
      </c>
      <c r="L1248" s="511">
        <v>6741</v>
      </c>
      <c r="M1248" s="511">
        <v>91000</v>
      </c>
      <c r="N1248" s="512">
        <v>1.8100000000000002E-2</v>
      </c>
      <c r="O1248" s="509" t="s">
        <v>1086</v>
      </c>
    </row>
    <row r="1249" spans="1:15" x14ac:dyDescent="0.25">
      <c r="A1249" s="508">
        <v>16</v>
      </c>
      <c r="B1249" s="508" t="s">
        <v>121</v>
      </c>
      <c r="C1249" s="508">
        <v>62</v>
      </c>
      <c r="D1249" s="509" t="s">
        <v>95</v>
      </c>
      <c r="E1249" s="509" t="s">
        <v>1128</v>
      </c>
      <c r="F1249" s="508" t="s">
        <v>1085</v>
      </c>
      <c r="G1249" s="510">
        <v>6</v>
      </c>
      <c r="H1249" s="511">
        <v>6944</v>
      </c>
      <c r="I1249" s="511">
        <v>41667</v>
      </c>
      <c r="J1249" s="511">
        <v>0</v>
      </c>
      <c r="K1249" s="511">
        <v>41667</v>
      </c>
      <c r="L1249" s="511">
        <v>3333</v>
      </c>
      <c r="M1249" s="511">
        <v>45000</v>
      </c>
      <c r="N1249" s="512">
        <v>9.0000000000000011E-3</v>
      </c>
      <c r="O1249" s="509" t="s">
        <v>1086</v>
      </c>
    </row>
    <row r="1250" spans="1:15" x14ac:dyDescent="0.25">
      <c r="A1250" s="508">
        <v>16</v>
      </c>
      <c r="B1250" s="508" t="s">
        <v>121</v>
      </c>
      <c r="C1250" s="508">
        <v>137</v>
      </c>
      <c r="D1250" s="509" t="s">
        <v>95</v>
      </c>
      <c r="E1250" s="509" t="s">
        <v>1159</v>
      </c>
      <c r="F1250" s="508" t="s">
        <v>1085</v>
      </c>
      <c r="G1250" s="510">
        <v>12</v>
      </c>
      <c r="H1250" s="511">
        <v>6274</v>
      </c>
      <c r="I1250" s="511">
        <v>77778</v>
      </c>
      <c r="J1250" s="511">
        <v>2492</v>
      </c>
      <c r="K1250" s="511">
        <v>75286</v>
      </c>
      <c r="L1250" s="511">
        <v>6023</v>
      </c>
      <c r="M1250" s="511">
        <v>81309</v>
      </c>
      <c r="N1250" s="512">
        <v>1.6199999999999999E-2</v>
      </c>
      <c r="O1250" s="509" t="s">
        <v>1086</v>
      </c>
    </row>
    <row r="1251" spans="1:15" x14ac:dyDescent="0.25">
      <c r="A1251" s="508">
        <v>16</v>
      </c>
      <c r="B1251" s="508" t="s">
        <v>121</v>
      </c>
      <c r="C1251" s="508">
        <v>219</v>
      </c>
      <c r="D1251" s="509" t="s">
        <v>87</v>
      </c>
      <c r="E1251" s="509" t="s">
        <v>150</v>
      </c>
      <c r="F1251" s="508" t="s">
        <v>1085</v>
      </c>
      <c r="G1251" s="510">
        <v>1</v>
      </c>
      <c r="H1251" s="511">
        <v>69444</v>
      </c>
      <c r="I1251" s="511">
        <v>69444</v>
      </c>
      <c r="J1251" s="511">
        <v>0</v>
      </c>
      <c r="K1251" s="511">
        <v>69444</v>
      </c>
      <c r="L1251" s="511">
        <v>5556</v>
      </c>
      <c r="M1251" s="511">
        <v>75000</v>
      </c>
      <c r="N1251" s="512">
        <v>1.49E-2</v>
      </c>
      <c r="O1251" s="509" t="s">
        <v>1086</v>
      </c>
    </row>
    <row r="1252" spans="1:15" x14ac:dyDescent="0.25">
      <c r="A1252" s="508">
        <v>16</v>
      </c>
      <c r="B1252" s="508" t="s">
        <v>121</v>
      </c>
      <c r="C1252" s="508">
        <v>220</v>
      </c>
      <c r="D1252" s="509" t="s">
        <v>87</v>
      </c>
      <c r="E1252" s="509" t="s">
        <v>1195</v>
      </c>
      <c r="F1252" s="508" t="s">
        <v>1085</v>
      </c>
      <c r="G1252" s="510">
        <v>1</v>
      </c>
      <c r="H1252" s="511">
        <v>69444</v>
      </c>
      <c r="I1252" s="511">
        <v>69444</v>
      </c>
      <c r="J1252" s="511">
        <v>0</v>
      </c>
      <c r="K1252" s="511">
        <v>69444</v>
      </c>
      <c r="L1252" s="511">
        <v>5556</v>
      </c>
      <c r="M1252" s="511">
        <v>75000</v>
      </c>
      <c r="N1252" s="512">
        <v>1.49E-2</v>
      </c>
      <c r="O1252" s="509" t="s">
        <v>1086</v>
      </c>
    </row>
    <row r="1253" spans="1:15" x14ac:dyDescent="0.25">
      <c r="A1253" s="508">
        <v>16</v>
      </c>
      <c r="B1253" s="508" t="s">
        <v>121</v>
      </c>
      <c r="C1253" s="508">
        <v>140</v>
      </c>
      <c r="D1253" s="509" t="s">
        <v>87</v>
      </c>
      <c r="E1253" s="509" t="s">
        <v>1131</v>
      </c>
      <c r="F1253" s="508" t="s">
        <v>1085</v>
      </c>
      <c r="G1253" s="510">
        <v>1</v>
      </c>
      <c r="H1253" s="511">
        <v>90741</v>
      </c>
      <c r="I1253" s="511">
        <v>90741</v>
      </c>
      <c r="J1253" s="511">
        <v>0</v>
      </c>
      <c r="K1253" s="511">
        <v>90741</v>
      </c>
      <c r="L1253" s="511">
        <v>7259</v>
      </c>
      <c r="M1253" s="511">
        <v>98000</v>
      </c>
      <c r="N1253" s="512">
        <v>1.95E-2</v>
      </c>
      <c r="O1253" s="509" t="s">
        <v>1086</v>
      </c>
    </row>
    <row r="1254" spans="1:15" x14ac:dyDescent="0.25">
      <c r="A1254" s="508">
        <v>16</v>
      </c>
      <c r="B1254" s="508" t="s">
        <v>121</v>
      </c>
      <c r="C1254" s="508">
        <v>223</v>
      </c>
      <c r="D1254" s="509" t="s">
        <v>87</v>
      </c>
      <c r="E1254" s="509" t="s">
        <v>141</v>
      </c>
      <c r="F1254" s="508" t="s">
        <v>1085</v>
      </c>
      <c r="G1254" s="510">
        <v>2</v>
      </c>
      <c r="H1254" s="511">
        <v>69444</v>
      </c>
      <c r="I1254" s="511">
        <v>138889</v>
      </c>
      <c r="J1254" s="511">
        <v>0</v>
      </c>
      <c r="K1254" s="511">
        <v>138889</v>
      </c>
      <c r="L1254" s="511">
        <v>11111</v>
      </c>
      <c r="M1254" s="511">
        <v>150000</v>
      </c>
      <c r="N1254" s="512">
        <v>2.9899999999999999E-2</v>
      </c>
      <c r="O1254" s="509" t="s">
        <v>1086</v>
      </c>
    </row>
    <row r="1255" spans="1:15" x14ac:dyDescent="0.25">
      <c r="A1255" s="508">
        <v>16</v>
      </c>
      <c r="B1255" s="508" t="s">
        <v>121</v>
      </c>
      <c r="C1255" s="508">
        <v>50</v>
      </c>
      <c r="D1255" s="509" t="s">
        <v>87</v>
      </c>
      <c r="E1255" s="509" t="s">
        <v>159</v>
      </c>
      <c r="F1255" s="508" t="s">
        <v>1085</v>
      </c>
      <c r="G1255" s="510">
        <v>1</v>
      </c>
      <c r="H1255" s="511">
        <v>49074</v>
      </c>
      <c r="I1255" s="511">
        <v>49074</v>
      </c>
      <c r="J1255" s="511">
        <v>0</v>
      </c>
      <c r="K1255" s="511">
        <v>49074</v>
      </c>
      <c r="L1255" s="511">
        <v>3926</v>
      </c>
      <c r="M1255" s="511">
        <v>53000</v>
      </c>
      <c r="N1255" s="512">
        <v>1.0500000000000001E-2</v>
      </c>
      <c r="O1255" s="509" t="s">
        <v>1086</v>
      </c>
    </row>
    <row r="1256" spans="1:15" x14ac:dyDescent="0.25">
      <c r="A1256" s="508">
        <v>16</v>
      </c>
      <c r="B1256" s="508" t="s">
        <v>121</v>
      </c>
      <c r="C1256" s="508">
        <v>117</v>
      </c>
      <c r="D1256" s="509" t="s">
        <v>87</v>
      </c>
      <c r="E1256" s="509" t="s">
        <v>120</v>
      </c>
      <c r="F1256" s="508" t="s">
        <v>1085</v>
      </c>
      <c r="G1256" s="510">
        <v>1</v>
      </c>
      <c r="H1256" s="511">
        <v>41667</v>
      </c>
      <c r="I1256" s="511">
        <v>41667</v>
      </c>
      <c r="J1256" s="511">
        <v>0</v>
      </c>
      <c r="K1256" s="511">
        <v>41667</v>
      </c>
      <c r="L1256" s="511">
        <v>3333</v>
      </c>
      <c r="M1256" s="511">
        <v>45000</v>
      </c>
      <c r="N1256" s="512">
        <v>9.0000000000000011E-3</v>
      </c>
      <c r="O1256" s="509" t="s">
        <v>1086</v>
      </c>
    </row>
    <row r="1257" spans="1:15" x14ac:dyDescent="0.25">
      <c r="A1257" s="508">
        <v>16</v>
      </c>
      <c r="B1257" s="508" t="s">
        <v>121</v>
      </c>
      <c r="C1257" s="508">
        <v>36</v>
      </c>
      <c r="D1257" s="509" t="s">
        <v>91</v>
      </c>
      <c r="E1257" s="509" t="s">
        <v>1136</v>
      </c>
      <c r="F1257" s="508" t="s">
        <v>1085</v>
      </c>
      <c r="G1257" s="510">
        <v>7</v>
      </c>
      <c r="H1257" s="511">
        <v>3704</v>
      </c>
      <c r="I1257" s="511">
        <v>25926</v>
      </c>
      <c r="J1257" s="511">
        <v>0</v>
      </c>
      <c r="K1257" s="511">
        <v>25926</v>
      </c>
      <c r="L1257" s="511">
        <v>2074</v>
      </c>
      <c r="M1257" s="511">
        <v>28000</v>
      </c>
      <c r="N1257" s="512">
        <v>5.6000000000000008E-3</v>
      </c>
      <c r="O1257" s="509" t="s">
        <v>1086</v>
      </c>
    </row>
    <row r="1258" spans="1:15" x14ac:dyDescent="0.25">
      <c r="A1258" s="508">
        <v>16</v>
      </c>
      <c r="B1258" s="508" t="s">
        <v>121</v>
      </c>
      <c r="C1258" s="508">
        <v>61</v>
      </c>
      <c r="D1258" s="509" t="s">
        <v>97</v>
      </c>
      <c r="E1258" s="509" t="s">
        <v>1137</v>
      </c>
      <c r="F1258" s="508" t="s">
        <v>1085</v>
      </c>
      <c r="G1258" s="510">
        <v>10</v>
      </c>
      <c r="H1258" s="511">
        <v>4630</v>
      </c>
      <c r="I1258" s="511">
        <v>46296</v>
      </c>
      <c r="J1258" s="511">
        <v>0</v>
      </c>
      <c r="K1258" s="511">
        <v>46296</v>
      </c>
      <c r="L1258" s="511">
        <v>3704</v>
      </c>
      <c r="M1258" s="511">
        <v>50000</v>
      </c>
      <c r="N1258" s="512">
        <v>0.01</v>
      </c>
      <c r="O1258" s="509" t="s">
        <v>1086</v>
      </c>
    </row>
    <row r="1259" spans="1:15" x14ac:dyDescent="0.25">
      <c r="A1259" s="508">
        <v>16</v>
      </c>
      <c r="B1259" s="508" t="s">
        <v>121</v>
      </c>
      <c r="C1259" s="508">
        <v>215</v>
      </c>
      <c r="D1259" s="509" t="s">
        <v>87</v>
      </c>
      <c r="E1259" s="509" t="s">
        <v>135</v>
      </c>
      <c r="F1259" s="508" t="s">
        <v>1085</v>
      </c>
      <c r="G1259" s="510">
        <v>3</v>
      </c>
      <c r="H1259" s="511">
        <v>37500</v>
      </c>
      <c r="I1259" s="511">
        <v>112500</v>
      </c>
      <c r="J1259" s="511">
        <v>0</v>
      </c>
      <c r="K1259" s="511">
        <v>112500</v>
      </c>
      <c r="L1259" s="511">
        <v>9000</v>
      </c>
      <c r="M1259" s="511">
        <v>121500</v>
      </c>
      <c r="N1259" s="512">
        <v>2.4199999999999999E-2</v>
      </c>
      <c r="O1259" s="509" t="s">
        <v>1086</v>
      </c>
    </row>
    <row r="1260" spans="1:15" x14ac:dyDescent="0.25">
      <c r="A1260" s="508">
        <v>16</v>
      </c>
      <c r="B1260" s="508" t="s">
        <v>121</v>
      </c>
      <c r="C1260" s="508">
        <v>214</v>
      </c>
      <c r="D1260" s="509" t="s">
        <v>87</v>
      </c>
      <c r="E1260" s="509" t="s">
        <v>170</v>
      </c>
      <c r="F1260" s="508" t="s">
        <v>1085</v>
      </c>
      <c r="G1260" s="510">
        <v>1</v>
      </c>
      <c r="H1260" s="511">
        <v>37500</v>
      </c>
      <c r="I1260" s="511">
        <v>37500</v>
      </c>
      <c r="J1260" s="511">
        <v>0</v>
      </c>
      <c r="K1260" s="511">
        <v>37500</v>
      </c>
      <c r="L1260" s="511">
        <v>3000</v>
      </c>
      <c r="M1260" s="511">
        <v>40500</v>
      </c>
      <c r="N1260" s="512">
        <v>8.1000000000000013E-3</v>
      </c>
      <c r="O1260" s="509" t="s">
        <v>1086</v>
      </c>
    </row>
    <row r="1261" spans="1:15" x14ac:dyDescent="0.25">
      <c r="A1261" s="508">
        <v>16</v>
      </c>
      <c r="B1261" s="508" t="s">
        <v>121</v>
      </c>
      <c r="C1261" s="508">
        <v>113</v>
      </c>
      <c r="D1261" s="509" t="s">
        <v>89</v>
      </c>
      <c r="E1261" s="509" t="s">
        <v>129</v>
      </c>
      <c r="F1261" s="508" t="s">
        <v>1085</v>
      </c>
      <c r="G1261" s="510">
        <v>3</v>
      </c>
      <c r="H1261" s="511">
        <v>22222</v>
      </c>
      <c r="I1261" s="511">
        <v>66667</v>
      </c>
      <c r="J1261" s="511">
        <v>0</v>
      </c>
      <c r="K1261" s="511">
        <v>66667</v>
      </c>
      <c r="L1261" s="511">
        <v>5333</v>
      </c>
      <c r="M1261" s="511">
        <v>72000</v>
      </c>
      <c r="N1261" s="512">
        <v>1.43E-2</v>
      </c>
      <c r="O1261" s="509" t="s">
        <v>1086</v>
      </c>
    </row>
    <row r="1262" spans="1:15" x14ac:dyDescent="0.25">
      <c r="A1262" s="508">
        <v>16</v>
      </c>
      <c r="B1262" s="508" t="s">
        <v>121</v>
      </c>
      <c r="C1262" s="508">
        <v>315</v>
      </c>
      <c r="D1262" s="509" t="s">
        <v>87</v>
      </c>
      <c r="E1262" s="509" t="s">
        <v>1160</v>
      </c>
      <c r="F1262" s="508" t="s">
        <v>1085</v>
      </c>
      <c r="G1262" s="510">
        <v>1</v>
      </c>
      <c r="H1262" s="511">
        <v>1852</v>
      </c>
      <c r="I1262" s="511">
        <v>1852</v>
      </c>
      <c r="J1262" s="511">
        <v>0</v>
      </c>
      <c r="K1262" s="511">
        <v>1852</v>
      </c>
      <c r="L1262" s="511">
        <v>148</v>
      </c>
      <c r="M1262" s="511">
        <v>2000</v>
      </c>
      <c r="N1262" s="512">
        <v>4.0000000000000002E-4</v>
      </c>
      <c r="O1262" s="509" t="s">
        <v>1086</v>
      </c>
    </row>
    <row r="1263" spans="1:15" x14ac:dyDescent="0.25">
      <c r="A1263" s="508">
        <v>17</v>
      </c>
      <c r="B1263" s="508" t="s">
        <v>124</v>
      </c>
      <c r="C1263" s="508">
        <v>319</v>
      </c>
      <c r="D1263" s="509" t="s">
        <v>91</v>
      </c>
      <c r="E1263" s="509" t="s">
        <v>1217</v>
      </c>
      <c r="F1263" s="508" t="s">
        <v>1085</v>
      </c>
      <c r="G1263" s="510">
        <v>1</v>
      </c>
      <c r="H1263" s="511">
        <v>3519</v>
      </c>
      <c r="I1263" s="511">
        <v>3519</v>
      </c>
      <c r="J1263" s="511">
        <v>0</v>
      </c>
      <c r="K1263" s="511">
        <v>3519</v>
      </c>
      <c r="L1263" s="511">
        <v>281</v>
      </c>
      <c r="M1263" s="511">
        <v>3800</v>
      </c>
      <c r="N1263" s="512">
        <v>5.9999999999999995E-4</v>
      </c>
      <c r="O1263" s="509" t="s">
        <v>1086</v>
      </c>
    </row>
    <row r="1264" spans="1:15" x14ac:dyDescent="0.25">
      <c r="A1264" s="508">
        <v>17</v>
      </c>
      <c r="B1264" s="508" t="s">
        <v>124</v>
      </c>
      <c r="C1264" s="508">
        <v>73</v>
      </c>
      <c r="D1264" s="509" t="s">
        <v>91</v>
      </c>
      <c r="E1264" s="509" t="s">
        <v>1084</v>
      </c>
      <c r="F1264" s="508" t="s">
        <v>1085</v>
      </c>
      <c r="G1264" s="510">
        <v>15</v>
      </c>
      <c r="H1264" s="511">
        <v>2593</v>
      </c>
      <c r="I1264" s="511">
        <v>38889</v>
      </c>
      <c r="J1264" s="511">
        <v>0</v>
      </c>
      <c r="K1264" s="511">
        <v>38889</v>
      </c>
      <c r="L1264" s="511">
        <v>3111</v>
      </c>
      <c r="M1264" s="511">
        <v>42000</v>
      </c>
      <c r="N1264" s="512">
        <v>6.6E-3</v>
      </c>
      <c r="O1264" s="509" t="s">
        <v>1086</v>
      </c>
    </row>
    <row r="1265" spans="1:15" x14ac:dyDescent="0.25">
      <c r="A1265" s="508">
        <v>17</v>
      </c>
      <c r="B1265" s="508" t="s">
        <v>124</v>
      </c>
      <c r="C1265" s="508">
        <v>131</v>
      </c>
      <c r="D1265" s="509" t="s">
        <v>87</v>
      </c>
      <c r="E1265" s="509" t="s">
        <v>1144</v>
      </c>
      <c r="F1265" s="508" t="s">
        <v>1085</v>
      </c>
      <c r="G1265" s="510">
        <v>1</v>
      </c>
      <c r="H1265" s="511">
        <v>278</v>
      </c>
      <c r="I1265" s="511">
        <v>278</v>
      </c>
      <c r="J1265" s="511">
        <v>0</v>
      </c>
      <c r="K1265" s="511">
        <v>278</v>
      </c>
      <c r="L1265" s="511">
        <v>22</v>
      </c>
      <c r="M1265" s="511">
        <v>300</v>
      </c>
      <c r="N1265" s="512">
        <v>0</v>
      </c>
      <c r="O1265" s="509" t="s">
        <v>1086</v>
      </c>
    </row>
    <row r="1266" spans="1:15" x14ac:dyDescent="0.25">
      <c r="A1266" s="508">
        <v>17</v>
      </c>
      <c r="B1266" s="508" t="s">
        <v>124</v>
      </c>
      <c r="C1266" s="508">
        <v>104</v>
      </c>
      <c r="D1266" s="509" t="s">
        <v>89</v>
      </c>
      <c r="E1266" s="509" t="s">
        <v>165</v>
      </c>
      <c r="F1266" s="508" t="s">
        <v>1085</v>
      </c>
      <c r="G1266" s="510">
        <v>5</v>
      </c>
      <c r="H1266" s="511">
        <v>16019</v>
      </c>
      <c r="I1266" s="511">
        <v>80093</v>
      </c>
      <c r="J1266" s="511">
        <v>0</v>
      </c>
      <c r="K1266" s="511">
        <v>80093</v>
      </c>
      <c r="L1266" s="511">
        <v>6407</v>
      </c>
      <c r="M1266" s="511">
        <v>86500</v>
      </c>
      <c r="N1266" s="512">
        <v>1.35E-2</v>
      </c>
      <c r="O1266" s="509" t="s">
        <v>1086</v>
      </c>
    </row>
    <row r="1267" spans="1:15" x14ac:dyDescent="0.25">
      <c r="A1267" s="508">
        <v>17</v>
      </c>
      <c r="B1267" s="508" t="s">
        <v>124</v>
      </c>
      <c r="C1267" s="508">
        <v>95</v>
      </c>
      <c r="D1267" s="509" t="s">
        <v>87</v>
      </c>
      <c r="E1267" s="509" t="s">
        <v>1090</v>
      </c>
      <c r="F1267" s="508" t="s">
        <v>1085</v>
      </c>
      <c r="G1267" s="510">
        <v>2</v>
      </c>
      <c r="H1267" s="511">
        <v>926</v>
      </c>
      <c r="I1267" s="511">
        <v>1852</v>
      </c>
      <c r="J1267" s="511">
        <v>0</v>
      </c>
      <c r="K1267" s="511">
        <v>1852</v>
      </c>
      <c r="L1267" s="511">
        <v>148</v>
      </c>
      <c r="M1267" s="511">
        <v>2000</v>
      </c>
      <c r="N1267" s="512">
        <v>2.9999999999999997E-4</v>
      </c>
      <c r="O1267" s="509" t="s">
        <v>1086</v>
      </c>
    </row>
    <row r="1268" spans="1:15" x14ac:dyDescent="0.25">
      <c r="A1268" s="508">
        <v>17</v>
      </c>
      <c r="B1268" s="508" t="s">
        <v>124</v>
      </c>
      <c r="C1268" s="508">
        <v>2</v>
      </c>
      <c r="D1268" s="509" t="s">
        <v>87</v>
      </c>
      <c r="E1268" s="509" t="s">
        <v>1164</v>
      </c>
      <c r="F1268" s="508" t="s">
        <v>1085</v>
      </c>
      <c r="G1268" s="510">
        <v>22</v>
      </c>
      <c r="H1268" s="511">
        <v>18478</v>
      </c>
      <c r="I1268" s="511">
        <v>409259</v>
      </c>
      <c r="J1268" s="511">
        <v>2743</v>
      </c>
      <c r="K1268" s="511">
        <v>406516</v>
      </c>
      <c r="L1268" s="511">
        <v>32521</v>
      </c>
      <c r="M1268" s="511">
        <v>439037</v>
      </c>
      <c r="N1268" s="512">
        <v>6.8699999999999997E-2</v>
      </c>
      <c r="O1268" s="509" t="s">
        <v>1086</v>
      </c>
    </row>
    <row r="1269" spans="1:15" x14ac:dyDescent="0.25">
      <c r="A1269" s="508">
        <v>17</v>
      </c>
      <c r="B1269" s="508" t="s">
        <v>124</v>
      </c>
      <c r="C1269" s="508">
        <v>5</v>
      </c>
      <c r="D1269" s="509" t="s">
        <v>89</v>
      </c>
      <c r="E1269" s="509" t="s">
        <v>1146</v>
      </c>
      <c r="F1269" s="508" t="s">
        <v>1085</v>
      </c>
      <c r="G1269" s="510">
        <v>1</v>
      </c>
      <c r="H1269" s="511">
        <v>11111</v>
      </c>
      <c r="I1269" s="511">
        <v>11111</v>
      </c>
      <c r="J1269" s="511">
        <v>0</v>
      </c>
      <c r="K1269" s="511">
        <v>11111</v>
      </c>
      <c r="L1269" s="511">
        <v>889</v>
      </c>
      <c r="M1269" s="511">
        <v>12000</v>
      </c>
      <c r="N1269" s="512">
        <v>1.9E-3</v>
      </c>
      <c r="O1269" s="509" t="s">
        <v>1086</v>
      </c>
    </row>
    <row r="1270" spans="1:15" x14ac:dyDescent="0.25">
      <c r="A1270" s="508">
        <v>17</v>
      </c>
      <c r="B1270" s="508" t="s">
        <v>124</v>
      </c>
      <c r="C1270" s="508">
        <v>136</v>
      </c>
      <c r="D1270" s="509" t="s">
        <v>89</v>
      </c>
      <c r="E1270" s="509" t="s">
        <v>1091</v>
      </c>
      <c r="F1270" s="508" t="s">
        <v>1085</v>
      </c>
      <c r="G1270" s="510">
        <v>6</v>
      </c>
      <c r="H1270" s="511">
        <v>24074</v>
      </c>
      <c r="I1270" s="511">
        <v>144444</v>
      </c>
      <c r="J1270" s="511">
        <v>0</v>
      </c>
      <c r="K1270" s="511">
        <v>144444</v>
      </c>
      <c r="L1270" s="511">
        <v>11556</v>
      </c>
      <c r="M1270" s="511">
        <v>156000</v>
      </c>
      <c r="N1270" s="512">
        <v>2.4400000000000002E-2</v>
      </c>
      <c r="O1270" s="509" t="s">
        <v>1086</v>
      </c>
    </row>
    <row r="1271" spans="1:15" x14ac:dyDescent="0.25">
      <c r="A1271" s="508">
        <v>17</v>
      </c>
      <c r="B1271" s="508" t="s">
        <v>124</v>
      </c>
      <c r="C1271" s="508">
        <v>135</v>
      </c>
      <c r="D1271" s="509" t="s">
        <v>89</v>
      </c>
      <c r="E1271" s="509" t="s">
        <v>1175</v>
      </c>
      <c r="F1271" s="508" t="s">
        <v>1085</v>
      </c>
      <c r="G1271" s="510">
        <v>2</v>
      </c>
      <c r="H1271" s="511">
        <v>13889</v>
      </c>
      <c r="I1271" s="511">
        <v>27778</v>
      </c>
      <c r="J1271" s="511">
        <v>0</v>
      </c>
      <c r="K1271" s="511">
        <v>27778</v>
      </c>
      <c r="L1271" s="511">
        <v>2222</v>
      </c>
      <c r="M1271" s="511">
        <v>30000</v>
      </c>
      <c r="N1271" s="512">
        <v>4.6999999999999993E-3</v>
      </c>
      <c r="O1271" s="509" t="s">
        <v>1086</v>
      </c>
    </row>
    <row r="1272" spans="1:15" x14ac:dyDescent="0.25">
      <c r="A1272" s="508">
        <v>17</v>
      </c>
      <c r="B1272" s="508" t="s">
        <v>124</v>
      </c>
      <c r="C1272" s="508">
        <v>6</v>
      </c>
      <c r="D1272" s="509" t="s">
        <v>89</v>
      </c>
      <c r="E1272" s="509" t="s">
        <v>1147</v>
      </c>
      <c r="F1272" s="508" t="s">
        <v>1085</v>
      </c>
      <c r="G1272" s="510">
        <v>2</v>
      </c>
      <c r="H1272" s="511">
        <v>14815</v>
      </c>
      <c r="I1272" s="511">
        <v>29630</v>
      </c>
      <c r="J1272" s="511">
        <v>0</v>
      </c>
      <c r="K1272" s="511">
        <v>29630</v>
      </c>
      <c r="L1272" s="511">
        <v>2370</v>
      </c>
      <c r="M1272" s="511">
        <v>32000</v>
      </c>
      <c r="N1272" s="512">
        <v>5.0000000000000001E-3</v>
      </c>
      <c r="O1272" s="509" t="s">
        <v>1086</v>
      </c>
    </row>
    <row r="1273" spans="1:15" x14ac:dyDescent="0.25">
      <c r="A1273" s="508">
        <v>17</v>
      </c>
      <c r="B1273" s="508" t="s">
        <v>124</v>
      </c>
      <c r="C1273" s="508">
        <v>8</v>
      </c>
      <c r="D1273" s="509" t="s">
        <v>87</v>
      </c>
      <c r="E1273" s="509" t="s">
        <v>156</v>
      </c>
      <c r="F1273" s="508" t="s">
        <v>1085</v>
      </c>
      <c r="G1273" s="510">
        <v>8</v>
      </c>
      <c r="H1273" s="511">
        <v>18634</v>
      </c>
      <c r="I1273" s="511">
        <v>149074</v>
      </c>
      <c r="J1273" s="511">
        <v>0</v>
      </c>
      <c r="K1273" s="511">
        <v>149074</v>
      </c>
      <c r="L1273" s="511">
        <v>11926</v>
      </c>
      <c r="M1273" s="511">
        <v>161000</v>
      </c>
      <c r="N1273" s="512">
        <v>2.52E-2</v>
      </c>
      <c r="O1273" s="509" t="s">
        <v>1086</v>
      </c>
    </row>
    <row r="1274" spans="1:15" x14ac:dyDescent="0.25">
      <c r="A1274" s="508">
        <v>17</v>
      </c>
      <c r="B1274" s="508" t="s">
        <v>124</v>
      </c>
      <c r="C1274" s="508">
        <v>87</v>
      </c>
      <c r="D1274" s="509" t="s">
        <v>89</v>
      </c>
      <c r="E1274" s="509" t="s">
        <v>147</v>
      </c>
      <c r="F1274" s="508" t="s">
        <v>1085</v>
      </c>
      <c r="G1274" s="510">
        <v>2</v>
      </c>
      <c r="H1274" s="511">
        <v>37500</v>
      </c>
      <c r="I1274" s="511">
        <v>75000</v>
      </c>
      <c r="J1274" s="511">
        <v>0</v>
      </c>
      <c r="K1274" s="511">
        <v>75000</v>
      </c>
      <c r="L1274" s="511">
        <v>6000</v>
      </c>
      <c r="M1274" s="511">
        <v>81000</v>
      </c>
      <c r="N1274" s="512">
        <v>1.2699999999999999E-2</v>
      </c>
      <c r="O1274" s="509" t="s">
        <v>1086</v>
      </c>
    </row>
    <row r="1275" spans="1:15" x14ac:dyDescent="0.25">
      <c r="A1275" s="508">
        <v>17</v>
      </c>
      <c r="B1275" s="508" t="s">
        <v>124</v>
      </c>
      <c r="C1275" s="508">
        <v>13</v>
      </c>
      <c r="D1275" s="509" t="s">
        <v>87</v>
      </c>
      <c r="E1275" s="509" t="s">
        <v>1094</v>
      </c>
      <c r="F1275" s="508" t="s">
        <v>1085</v>
      </c>
      <c r="G1275" s="510">
        <v>1</v>
      </c>
      <c r="H1275" s="511">
        <v>18519</v>
      </c>
      <c r="I1275" s="511">
        <v>18519</v>
      </c>
      <c r="J1275" s="511">
        <v>0</v>
      </c>
      <c r="K1275" s="511">
        <v>18519</v>
      </c>
      <c r="L1275" s="511">
        <v>1481</v>
      </c>
      <c r="M1275" s="511">
        <v>20000</v>
      </c>
      <c r="N1275" s="512">
        <v>3.0999999999999999E-3</v>
      </c>
      <c r="O1275" s="509" t="s">
        <v>1086</v>
      </c>
    </row>
    <row r="1276" spans="1:15" x14ac:dyDescent="0.25">
      <c r="A1276" s="508">
        <v>17</v>
      </c>
      <c r="B1276" s="508" t="s">
        <v>124</v>
      </c>
      <c r="C1276" s="508">
        <v>246</v>
      </c>
      <c r="D1276" s="509" t="s">
        <v>91</v>
      </c>
      <c r="E1276" s="509" t="s">
        <v>1095</v>
      </c>
      <c r="F1276" s="508" t="s">
        <v>1085</v>
      </c>
      <c r="G1276" s="510">
        <v>3</v>
      </c>
      <c r="H1276" s="511">
        <v>6481</v>
      </c>
      <c r="I1276" s="511">
        <v>19444</v>
      </c>
      <c r="J1276" s="511">
        <v>0</v>
      </c>
      <c r="K1276" s="511">
        <v>19444</v>
      </c>
      <c r="L1276" s="511">
        <v>1556</v>
      </c>
      <c r="M1276" s="511">
        <v>21000</v>
      </c>
      <c r="N1276" s="512">
        <v>3.3E-3</v>
      </c>
      <c r="O1276" s="509" t="s">
        <v>1086</v>
      </c>
    </row>
    <row r="1277" spans="1:15" x14ac:dyDescent="0.25">
      <c r="A1277" s="508">
        <v>17</v>
      </c>
      <c r="B1277" s="508" t="s">
        <v>124</v>
      </c>
      <c r="C1277" s="508">
        <v>71</v>
      </c>
      <c r="D1277" s="509" t="s">
        <v>91</v>
      </c>
      <c r="E1277" s="509" t="s">
        <v>1097</v>
      </c>
      <c r="F1277" s="508" t="s">
        <v>1085</v>
      </c>
      <c r="G1277" s="510">
        <v>5</v>
      </c>
      <c r="H1277" s="511">
        <v>5556</v>
      </c>
      <c r="I1277" s="511">
        <v>27778</v>
      </c>
      <c r="J1277" s="511">
        <v>0</v>
      </c>
      <c r="K1277" s="511">
        <v>27778</v>
      </c>
      <c r="L1277" s="511">
        <v>2222</v>
      </c>
      <c r="M1277" s="511">
        <v>30000</v>
      </c>
      <c r="N1277" s="512">
        <v>4.6999999999999993E-3</v>
      </c>
      <c r="O1277" s="509" t="s">
        <v>1086</v>
      </c>
    </row>
    <row r="1278" spans="1:15" x14ac:dyDescent="0.25">
      <c r="A1278" s="508">
        <v>17</v>
      </c>
      <c r="B1278" s="508" t="s">
        <v>124</v>
      </c>
      <c r="C1278" s="508">
        <v>83</v>
      </c>
      <c r="D1278" s="509" t="s">
        <v>87</v>
      </c>
      <c r="E1278" s="509" t="s">
        <v>1098</v>
      </c>
      <c r="F1278" s="508" t="s">
        <v>1085</v>
      </c>
      <c r="G1278" s="510">
        <v>3</v>
      </c>
      <c r="H1278" s="511">
        <v>20833</v>
      </c>
      <c r="I1278" s="511">
        <v>62500</v>
      </c>
      <c r="J1278" s="511">
        <v>0</v>
      </c>
      <c r="K1278" s="511">
        <v>62500</v>
      </c>
      <c r="L1278" s="511">
        <v>5000</v>
      </c>
      <c r="M1278" s="511">
        <v>67500</v>
      </c>
      <c r="N1278" s="512">
        <v>1.06E-2</v>
      </c>
      <c r="O1278" s="509" t="s">
        <v>1086</v>
      </c>
    </row>
    <row r="1279" spans="1:15" x14ac:dyDescent="0.25">
      <c r="A1279" s="508">
        <v>17</v>
      </c>
      <c r="B1279" s="508" t="s">
        <v>124</v>
      </c>
      <c r="C1279" s="508">
        <v>43</v>
      </c>
      <c r="D1279" s="509" t="s">
        <v>87</v>
      </c>
      <c r="E1279" s="509" t="s">
        <v>1099</v>
      </c>
      <c r="F1279" s="508" t="s">
        <v>1085</v>
      </c>
      <c r="G1279" s="510">
        <v>2</v>
      </c>
      <c r="H1279" s="511">
        <v>8333</v>
      </c>
      <c r="I1279" s="511">
        <v>16667</v>
      </c>
      <c r="J1279" s="511">
        <v>0</v>
      </c>
      <c r="K1279" s="511">
        <v>16667</v>
      </c>
      <c r="L1279" s="511">
        <v>1333</v>
      </c>
      <c r="M1279" s="511">
        <v>18000</v>
      </c>
      <c r="N1279" s="512">
        <v>2.8E-3</v>
      </c>
      <c r="O1279" s="509" t="s">
        <v>1086</v>
      </c>
    </row>
    <row r="1280" spans="1:15" x14ac:dyDescent="0.25">
      <c r="A1280" s="508">
        <v>17</v>
      </c>
      <c r="B1280" s="508" t="s">
        <v>124</v>
      </c>
      <c r="C1280" s="508">
        <v>14</v>
      </c>
      <c r="D1280" s="509" t="s">
        <v>87</v>
      </c>
      <c r="E1280" s="509" t="s">
        <v>1214</v>
      </c>
      <c r="F1280" s="508" t="s">
        <v>1085</v>
      </c>
      <c r="G1280" s="510">
        <v>23</v>
      </c>
      <c r="H1280" s="511">
        <v>18639</v>
      </c>
      <c r="I1280" s="511">
        <v>428704</v>
      </c>
      <c r="J1280" s="511">
        <v>0</v>
      </c>
      <c r="K1280" s="511">
        <v>428704</v>
      </c>
      <c r="L1280" s="511">
        <v>34296</v>
      </c>
      <c r="M1280" s="511">
        <v>463000</v>
      </c>
      <c r="N1280" s="512">
        <v>7.2499999999999995E-2</v>
      </c>
      <c r="O1280" s="509" t="s">
        <v>1086</v>
      </c>
    </row>
    <row r="1281" spans="1:15" x14ac:dyDescent="0.25">
      <c r="A1281" s="508">
        <v>17</v>
      </c>
      <c r="B1281" s="508" t="s">
        <v>124</v>
      </c>
      <c r="C1281" s="508">
        <v>41</v>
      </c>
      <c r="D1281" s="509" t="s">
        <v>87</v>
      </c>
      <c r="E1281" s="509" t="s">
        <v>168</v>
      </c>
      <c r="F1281" s="508" t="s">
        <v>1085</v>
      </c>
      <c r="G1281" s="510">
        <v>1</v>
      </c>
      <c r="H1281" s="511">
        <v>49074</v>
      </c>
      <c r="I1281" s="511">
        <v>49074</v>
      </c>
      <c r="J1281" s="511">
        <v>0</v>
      </c>
      <c r="K1281" s="511">
        <v>49074</v>
      </c>
      <c r="L1281" s="511">
        <v>3926</v>
      </c>
      <c r="M1281" s="511">
        <v>53000</v>
      </c>
      <c r="N1281" s="512">
        <v>8.3000000000000001E-3</v>
      </c>
      <c r="O1281" s="509" t="s">
        <v>1086</v>
      </c>
    </row>
    <row r="1282" spans="1:15" x14ac:dyDescent="0.25">
      <c r="A1282" s="508">
        <v>17</v>
      </c>
      <c r="B1282" s="508" t="s">
        <v>124</v>
      </c>
      <c r="C1282" s="508">
        <v>122</v>
      </c>
      <c r="D1282" s="509" t="s">
        <v>91</v>
      </c>
      <c r="E1282" s="509" t="s">
        <v>1100</v>
      </c>
      <c r="F1282" s="508" t="s">
        <v>1085</v>
      </c>
      <c r="G1282" s="510">
        <v>5</v>
      </c>
      <c r="H1282" s="511">
        <v>2778</v>
      </c>
      <c r="I1282" s="511">
        <v>13889</v>
      </c>
      <c r="J1282" s="511">
        <v>0</v>
      </c>
      <c r="K1282" s="511">
        <v>13889</v>
      </c>
      <c r="L1282" s="511">
        <v>1111</v>
      </c>
      <c r="M1282" s="511">
        <v>15000</v>
      </c>
      <c r="N1282" s="512">
        <v>2.3E-3</v>
      </c>
      <c r="O1282" s="509" t="s">
        <v>1086</v>
      </c>
    </row>
    <row r="1283" spans="1:15" x14ac:dyDescent="0.25">
      <c r="A1283" s="508">
        <v>17</v>
      </c>
      <c r="B1283" s="508" t="s">
        <v>124</v>
      </c>
      <c r="C1283" s="508">
        <v>44</v>
      </c>
      <c r="D1283" s="509" t="s">
        <v>87</v>
      </c>
      <c r="E1283" s="509" t="s">
        <v>138</v>
      </c>
      <c r="F1283" s="508" t="s">
        <v>1085</v>
      </c>
      <c r="G1283" s="510">
        <v>1</v>
      </c>
      <c r="H1283" s="511">
        <v>28241</v>
      </c>
      <c r="I1283" s="511">
        <v>28241</v>
      </c>
      <c r="J1283" s="511">
        <v>0</v>
      </c>
      <c r="K1283" s="511">
        <v>28241</v>
      </c>
      <c r="L1283" s="511">
        <v>2259</v>
      </c>
      <c r="M1283" s="511">
        <v>30500</v>
      </c>
      <c r="N1283" s="512">
        <v>4.7999999999999996E-3</v>
      </c>
      <c r="O1283" s="509" t="s">
        <v>1086</v>
      </c>
    </row>
    <row r="1284" spans="1:15" x14ac:dyDescent="0.25">
      <c r="A1284" s="508">
        <v>17</v>
      </c>
      <c r="B1284" s="508" t="s">
        <v>124</v>
      </c>
      <c r="C1284" s="508">
        <v>110</v>
      </c>
      <c r="D1284" s="509" t="s">
        <v>99</v>
      </c>
      <c r="E1284" s="509" t="s">
        <v>1101</v>
      </c>
      <c r="F1284" s="508" t="s">
        <v>1085</v>
      </c>
      <c r="G1284" s="510">
        <v>15</v>
      </c>
      <c r="H1284" s="511">
        <v>926</v>
      </c>
      <c r="I1284" s="511">
        <v>13889</v>
      </c>
      <c r="J1284" s="511">
        <v>0</v>
      </c>
      <c r="K1284" s="511">
        <v>13889</v>
      </c>
      <c r="L1284" s="511">
        <v>1111</v>
      </c>
      <c r="M1284" s="511">
        <v>15000</v>
      </c>
      <c r="N1284" s="512">
        <v>2.3E-3</v>
      </c>
      <c r="O1284" s="509" t="s">
        <v>1086</v>
      </c>
    </row>
    <row r="1285" spans="1:15" x14ac:dyDescent="0.25">
      <c r="A1285" s="508">
        <v>17</v>
      </c>
      <c r="B1285" s="508" t="s">
        <v>124</v>
      </c>
      <c r="C1285" s="508">
        <v>102</v>
      </c>
      <c r="D1285" s="509" t="s">
        <v>87</v>
      </c>
      <c r="E1285" s="509" t="s">
        <v>1151</v>
      </c>
      <c r="F1285" s="508" t="s">
        <v>1085</v>
      </c>
      <c r="G1285" s="510">
        <v>2</v>
      </c>
      <c r="H1285" s="511">
        <v>6944</v>
      </c>
      <c r="I1285" s="511">
        <v>13889</v>
      </c>
      <c r="J1285" s="511">
        <v>0</v>
      </c>
      <c r="K1285" s="511">
        <v>13889</v>
      </c>
      <c r="L1285" s="511">
        <v>1111</v>
      </c>
      <c r="M1285" s="511">
        <v>15000</v>
      </c>
      <c r="N1285" s="512">
        <v>2.3E-3</v>
      </c>
      <c r="O1285" s="509" t="s">
        <v>1086</v>
      </c>
    </row>
    <row r="1286" spans="1:15" x14ac:dyDescent="0.25">
      <c r="A1286" s="508">
        <v>17</v>
      </c>
      <c r="B1286" s="508" t="s">
        <v>124</v>
      </c>
      <c r="C1286" s="508">
        <v>26</v>
      </c>
      <c r="D1286" s="509" t="s">
        <v>87</v>
      </c>
      <c r="E1286" s="509" t="s">
        <v>1167</v>
      </c>
      <c r="F1286" s="508" t="s">
        <v>1085</v>
      </c>
      <c r="G1286" s="510">
        <v>1</v>
      </c>
      <c r="H1286" s="511">
        <v>18519</v>
      </c>
      <c r="I1286" s="511">
        <v>18519</v>
      </c>
      <c r="J1286" s="511">
        <v>0</v>
      </c>
      <c r="K1286" s="511">
        <v>18519</v>
      </c>
      <c r="L1286" s="511">
        <v>1481</v>
      </c>
      <c r="M1286" s="511">
        <v>20000</v>
      </c>
      <c r="N1286" s="512">
        <v>3.0999999999999999E-3</v>
      </c>
      <c r="O1286" s="509" t="s">
        <v>1086</v>
      </c>
    </row>
    <row r="1287" spans="1:15" x14ac:dyDescent="0.25">
      <c r="A1287" s="508">
        <v>17</v>
      </c>
      <c r="B1287" s="508" t="s">
        <v>124</v>
      </c>
      <c r="C1287" s="508">
        <v>45</v>
      </c>
      <c r="D1287" s="509" t="s">
        <v>87</v>
      </c>
      <c r="E1287" s="509" t="s">
        <v>1102</v>
      </c>
      <c r="F1287" s="508" t="s">
        <v>1085</v>
      </c>
      <c r="G1287" s="510">
        <v>3</v>
      </c>
      <c r="H1287" s="511">
        <v>35648</v>
      </c>
      <c r="I1287" s="511">
        <v>106944</v>
      </c>
      <c r="J1287" s="511">
        <v>0</v>
      </c>
      <c r="K1287" s="511">
        <v>106944</v>
      </c>
      <c r="L1287" s="511">
        <v>8556</v>
      </c>
      <c r="M1287" s="511">
        <v>115500</v>
      </c>
      <c r="N1287" s="512">
        <v>1.8100000000000002E-2</v>
      </c>
      <c r="O1287" s="509" t="s">
        <v>1086</v>
      </c>
    </row>
    <row r="1288" spans="1:15" x14ac:dyDescent="0.25">
      <c r="A1288" s="508">
        <v>17</v>
      </c>
      <c r="B1288" s="508" t="s">
        <v>124</v>
      </c>
      <c r="C1288" s="508">
        <v>305</v>
      </c>
      <c r="D1288" s="509" t="s">
        <v>91</v>
      </c>
      <c r="E1288" s="509" t="s">
        <v>1104</v>
      </c>
      <c r="F1288" s="508" t="s">
        <v>1085</v>
      </c>
      <c r="G1288" s="510">
        <v>2</v>
      </c>
      <c r="H1288" s="511">
        <v>8916</v>
      </c>
      <c r="I1288" s="511">
        <v>18519</v>
      </c>
      <c r="J1288" s="511">
        <v>686</v>
      </c>
      <c r="K1288" s="511">
        <v>17833</v>
      </c>
      <c r="L1288" s="511">
        <v>1427</v>
      </c>
      <c r="M1288" s="511">
        <v>19259</v>
      </c>
      <c r="N1288" s="512">
        <v>3.0000000000000001E-3</v>
      </c>
      <c r="O1288" s="509" t="s">
        <v>1086</v>
      </c>
    </row>
    <row r="1289" spans="1:15" x14ac:dyDescent="0.25">
      <c r="A1289" s="508">
        <v>17</v>
      </c>
      <c r="B1289" s="508" t="s">
        <v>124</v>
      </c>
      <c r="C1289" s="508">
        <v>94</v>
      </c>
      <c r="D1289" s="509" t="s">
        <v>89</v>
      </c>
      <c r="E1289" s="509" t="s">
        <v>153</v>
      </c>
      <c r="F1289" s="508" t="s">
        <v>1085</v>
      </c>
      <c r="G1289" s="510">
        <v>4</v>
      </c>
      <c r="H1289" s="511">
        <v>18519</v>
      </c>
      <c r="I1289" s="511">
        <v>74074</v>
      </c>
      <c r="J1289" s="511">
        <v>0</v>
      </c>
      <c r="K1289" s="511">
        <v>74074</v>
      </c>
      <c r="L1289" s="511">
        <v>5926</v>
      </c>
      <c r="M1289" s="511">
        <v>80000</v>
      </c>
      <c r="N1289" s="512">
        <v>1.2500000000000001E-2</v>
      </c>
      <c r="O1289" s="509" t="s">
        <v>1086</v>
      </c>
    </row>
    <row r="1290" spans="1:15" x14ac:dyDescent="0.25">
      <c r="A1290" s="508">
        <v>17</v>
      </c>
      <c r="B1290" s="508" t="s">
        <v>124</v>
      </c>
      <c r="C1290" s="508">
        <v>233</v>
      </c>
      <c r="D1290" s="509" t="s">
        <v>89</v>
      </c>
      <c r="E1290" s="509" t="s">
        <v>117</v>
      </c>
      <c r="F1290" s="508" t="s">
        <v>1085</v>
      </c>
      <c r="G1290" s="510">
        <v>22</v>
      </c>
      <c r="H1290" s="511">
        <v>18603</v>
      </c>
      <c r="I1290" s="511">
        <v>409259</v>
      </c>
      <c r="J1290" s="511">
        <v>0</v>
      </c>
      <c r="K1290" s="511">
        <v>409259</v>
      </c>
      <c r="L1290" s="511">
        <v>32741</v>
      </c>
      <c r="M1290" s="511">
        <v>442000</v>
      </c>
      <c r="N1290" s="512">
        <v>6.9199999999999998E-2</v>
      </c>
      <c r="O1290" s="509" t="s">
        <v>1086</v>
      </c>
    </row>
    <row r="1291" spans="1:15" x14ac:dyDescent="0.25">
      <c r="A1291" s="508">
        <v>17</v>
      </c>
      <c r="B1291" s="508" t="s">
        <v>124</v>
      </c>
      <c r="C1291" s="508">
        <v>218</v>
      </c>
      <c r="D1291" s="509" t="s">
        <v>89</v>
      </c>
      <c r="E1291" s="509" t="s">
        <v>1106</v>
      </c>
      <c r="F1291" s="508" t="s">
        <v>1085</v>
      </c>
      <c r="G1291" s="510">
        <v>2</v>
      </c>
      <c r="H1291" s="511">
        <v>18519</v>
      </c>
      <c r="I1291" s="511">
        <v>37037</v>
      </c>
      <c r="J1291" s="511">
        <v>0</v>
      </c>
      <c r="K1291" s="511">
        <v>37037</v>
      </c>
      <c r="L1291" s="511">
        <v>2963</v>
      </c>
      <c r="M1291" s="511">
        <v>40000</v>
      </c>
      <c r="N1291" s="512">
        <v>6.3E-3</v>
      </c>
      <c r="O1291" s="509" t="s">
        <v>1086</v>
      </c>
    </row>
    <row r="1292" spans="1:15" x14ac:dyDescent="0.25">
      <c r="A1292" s="508">
        <v>17</v>
      </c>
      <c r="B1292" s="508" t="s">
        <v>124</v>
      </c>
      <c r="C1292" s="508">
        <v>121</v>
      </c>
      <c r="D1292" s="509" t="s">
        <v>91</v>
      </c>
      <c r="E1292" s="509" t="s">
        <v>1108</v>
      </c>
      <c r="F1292" s="508" t="s">
        <v>1085</v>
      </c>
      <c r="G1292" s="510">
        <v>3</v>
      </c>
      <c r="H1292" s="511">
        <v>2778</v>
      </c>
      <c r="I1292" s="511">
        <v>8333</v>
      </c>
      <c r="J1292" s="511">
        <v>0</v>
      </c>
      <c r="K1292" s="511">
        <v>8333</v>
      </c>
      <c r="L1292" s="511">
        <v>667</v>
      </c>
      <c r="M1292" s="511">
        <v>9000</v>
      </c>
      <c r="N1292" s="512">
        <v>1.4E-3</v>
      </c>
      <c r="O1292" s="509" t="s">
        <v>1086</v>
      </c>
    </row>
    <row r="1293" spans="1:15" x14ac:dyDescent="0.25">
      <c r="A1293" s="508">
        <v>17</v>
      </c>
      <c r="B1293" s="508" t="s">
        <v>124</v>
      </c>
      <c r="C1293" s="508">
        <v>208</v>
      </c>
      <c r="D1293" s="509" t="s">
        <v>91</v>
      </c>
      <c r="E1293" s="509" t="s">
        <v>1109</v>
      </c>
      <c r="F1293" s="508" t="s">
        <v>1085</v>
      </c>
      <c r="G1293" s="510">
        <v>8</v>
      </c>
      <c r="H1293" s="511">
        <v>3704</v>
      </c>
      <c r="I1293" s="511">
        <v>29630</v>
      </c>
      <c r="J1293" s="511">
        <v>0</v>
      </c>
      <c r="K1293" s="511">
        <v>29630</v>
      </c>
      <c r="L1293" s="511">
        <v>2370</v>
      </c>
      <c r="M1293" s="511">
        <v>32000</v>
      </c>
      <c r="N1293" s="512">
        <v>5.0000000000000001E-3</v>
      </c>
      <c r="O1293" s="509" t="s">
        <v>1086</v>
      </c>
    </row>
    <row r="1294" spans="1:15" x14ac:dyDescent="0.25">
      <c r="A1294" s="508">
        <v>17</v>
      </c>
      <c r="B1294" s="508" t="s">
        <v>124</v>
      </c>
      <c r="C1294" s="508">
        <v>318</v>
      </c>
      <c r="D1294" s="509" t="s">
        <v>91</v>
      </c>
      <c r="E1294" s="509" t="s">
        <v>1218</v>
      </c>
      <c r="F1294" s="508" t="s">
        <v>1085</v>
      </c>
      <c r="G1294" s="510">
        <v>1</v>
      </c>
      <c r="H1294" s="511">
        <v>4630</v>
      </c>
      <c r="I1294" s="511">
        <v>4630</v>
      </c>
      <c r="J1294" s="511">
        <v>0</v>
      </c>
      <c r="K1294" s="511">
        <v>4630</v>
      </c>
      <c r="L1294" s="511">
        <v>370</v>
      </c>
      <c r="M1294" s="511">
        <v>5000</v>
      </c>
      <c r="N1294" s="512">
        <v>8.0000000000000004E-4</v>
      </c>
      <c r="O1294" s="509" t="s">
        <v>1086</v>
      </c>
    </row>
    <row r="1295" spans="1:15" x14ac:dyDescent="0.25">
      <c r="A1295" s="508">
        <v>17</v>
      </c>
      <c r="B1295" s="508" t="s">
        <v>124</v>
      </c>
      <c r="C1295" s="508">
        <v>90</v>
      </c>
      <c r="D1295" s="509" t="s">
        <v>91</v>
      </c>
      <c r="E1295" s="509" t="s">
        <v>572</v>
      </c>
      <c r="F1295" s="508" t="s">
        <v>1085</v>
      </c>
      <c r="G1295" s="510">
        <v>1</v>
      </c>
      <c r="H1295" s="511">
        <v>4259</v>
      </c>
      <c r="I1295" s="511">
        <v>4259</v>
      </c>
      <c r="J1295" s="511">
        <v>0</v>
      </c>
      <c r="K1295" s="511">
        <v>4259</v>
      </c>
      <c r="L1295" s="511">
        <v>341</v>
      </c>
      <c r="M1295" s="511">
        <v>4600</v>
      </c>
      <c r="N1295" s="512">
        <v>7.000000000000001E-4</v>
      </c>
      <c r="O1295" s="509" t="s">
        <v>1086</v>
      </c>
    </row>
    <row r="1296" spans="1:15" x14ac:dyDescent="0.25">
      <c r="A1296" s="508">
        <v>17</v>
      </c>
      <c r="B1296" s="508" t="s">
        <v>124</v>
      </c>
      <c r="C1296" s="508">
        <v>123</v>
      </c>
      <c r="D1296" s="509" t="s">
        <v>91</v>
      </c>
      <c r="E1296" s="509" t="s">
        <v>1110</v>
      </c>
      <c r="F1296" s="508" t="s">
        <v>1085</v>
      </c>
      <c r="G1296" s="510">
        <v>4</v>
      </c>
      <c r="H1296" s="511">
        <v>2778</v>
      </c>
      <c r="I1296" s="511">
        <v>11111</v>
      </c>
      <c r="J1296" s="511">
        <v>0</v>
      </c>
      <c r="K1296" s="511">
        <v>11111</v>
      </c>
      <c r="L1296" s="511">
        <v>889</v>
      </c>
      <c r="M1296" s="511">
        <v>12000</v>
      </c>
      <c r="N1296" s="512">
        <v>1.9E-3</v>
      </c>
      <c r="O1296" s="509" t="s">
        <v>1086</v>
      </c>
    </row>
    <row r="1297" spans="1:15" x14ac:dyDescent="0.25">
      <c r="A1297" s="508">
        <v>17</v>
      </c>
      <c r="B1297" s="508" t="s">
        <v>124</v>
      </c>
      <c r="C1297" s="508">
        <v>314</v>
      </c>
      <c r="D1297" s="509" t="s">
        <v>87</v>
      </c>
      <c r="E1297" s="509" t="s">
        <v>1152</v>
      </c>
      <c r="F1297" s="508" t="s">
        <v>1085</v>
      </c>
      <c r="G1297" s="510">
        <v>1</v>
      </c>
      <c r="H1297" s="511">
        <v>4167</v>
      </c>
      <c r="I1297" s="511">
        <v>4167</v>
      </c>
      <c r="J1297" s="511">
        <v>0</v>
      </c>
      <c r="K1297" s="511">
        <v>4167</v>
      </c>
      <c r="L1297" s="511">
        <v>333</v>
      </c>
      <c r="M1297" s="511">
        <v>4500</v>
      </c>
      <c r="N1297" s="512">
        <v>7.000000000000001E-4</v>
      </c>
      <c r="O1297" s="509" t="s">
        <v>1086</v>
      </c>
    </row>
    <row r="1298" spans="1:15" x14ac:dyDescent="0.25">
      <c r="A1298" s="508">
        <v>17</v>
      </c>
      <c r="B1298" s="508" t="s">
        <v>124</v>
      </c>
      <c r="C1298" s="508">
        <v>31</v>
      </c>
      <c r="D1298" s="509" t="s">
        <v>95</v>
      </c>
      <c r="E1298" s="509" t="s">
        <v>1111</v>
      </c>
      <c r="F1298" s="508" t="s">
        <v>1085</v>
      </c>
      <c r="G1298" s="510">
        <v>9</v>
      </c>
      <c r="H1298" s="511">
        <v>1204</v>
      </c>
      <c r="I1298" s="511">
        <v>10833</v>
      </c>
      <c r="J1298" s="511">
        <v>0</v>
      </c>
      <c r="K1298" s="511">
        <v>10833</v>
      </c>
      <c r="L1298" s="511">
        <v>867</v>
      </c>
      <c r="M1298" s="511">
        <v>11700</v>
      </c>
      <c r="N1298" s="512">
        <v>1.8E-3</v>
      </c>
      <c r="O1298" s="509" t="s">
        <v>1086</v>
      </c>
    </row>
    <row r="1299" spans="1:15" x14ac:dyDescent="0.25">
      <c r="A1299" s="508">
        <v>17</v>
      </c>
      <c r="B1299" s="508" t="s">
        <v>124</v>
      </c>
      <c r="C1299" s="508">
        <v>74</v>
      </c>
      <c r="D1299" s="509" t="s">
        <v>91</v>
      </c>
      <c r="E1299" s="509" t="s">
        <v>1153</v>
      </c>
      <c r="F1299" s="508" t="s">
        <v>1085</v>
      </c>
      <c r="G1299" s="510">
        <v>2</v>
      </c>
      <c r="H1299" s="511">
        <v>6481</v>
      </c>
      <c r="I1299" s="511">
        <v>12963</v>
      </c>
      <c r="J1299" s="511">
        <v>0</v>
      </c>
      <c r="K1299" s="511">
        <v>12963</v>
      </c>
      <c r="L1299" s="511">
        <v>1037</v>
      </c>
      <c r="M1299" s="511">
        <v>14000</v>
      </c>
      <c r="N1299" s="512">
        <v>2.2000000000000001E-3</v>
      </c>
      <c r="O1299" s="509" t="s">
        <v>1086</v>
      </c>
    </row>
    <row r="1300" spans="1:15" x14ac:dyDescent="0.25">
      <c r="A1300" s="508">
        <v>17</v>
      </c>
      <c r="B1300" s="508" t="s">
        <v>124</v>
      </c>
      <c r="C1300" s="508">
        <v>306</v>
      </c>
      <c r="D1300" s="509" t="s">
        <v>91</v>
      </c>
      <c r="E1300" s="509" t="s">
        <v>1176</v>
      </c>
      <c r="F1300" s="508" t="s">
        <v>1085</v>
      </c>
      <c r="G1300" s="510">
        <v>1</v>
      </c>
      <c r="H1300" s="511">
        <v>2315</v>
      </c>
      <c r="I1300" s="511">
        <v>2315</v>
      </c>
      <c r="J1300" s="511">
        <v>0</v>
      </c>
      <c r="K1300" s="511">
        <v>2315</v>
      </c>
      <c r="L1300" s="511">
        <v>185</v>
      </c>
      <c r="M1300" s="511">
        <v>2500</v>
      </c>
      <c r="N1300" s="512">
        <v>4.0000000000000002E-4</v>
      </c>
      <c r="O1300" s="509" t="s">
        <v>1086</v>
      </c>
    </row>
    <row r="1301" spans="1:15" x14ac:dyDescent="0.25">
      <c r="A1301" s="508">
        <v>17</v>
      </c>
      <c r="B1301" s="508" t="s">
        <v>124</v>
      </c>
      <c r="C1301" s="508">
        <v>75</v>
      </c>
      <c r="D1301" s="509" t="s">
        <v>91</v>
      </c>
      <c r="E1301" s="509" t="s">
        <v>1113</v>
      </c>
      <c r="F1301" s="508" t="s">
        <v>1085</v>
      </c>
      <c r="G1301" s="510">
        <v>1</v>
      </c>
      <c r="H1301" s="511">
        <v>9259</v>
      </c>
      <c r="I1301" s="511">
        <v>9259</v>
      </c>
      <c r="J1301" s="511">
        <v>0</v>
      </c>
      <c r="K1301" s="511">
        <v>9259</v>
      </c>
      <c r="L1301" s="511">
        <v>741</v>
      </c>
      <c r="M1301" s="511">
        <v>10000</v>
      </c>
      <c r="N1301" s="512">
        <v>1.6000000000000001E-3</v>
      </c>
      <c r="O1301" s="509" t="s">
        <v>1086</v>
      </c>
    </row>
    <row r="1302" spans="1:15" x14ac:dyDescent="0.25">
      <c r="A1302" s="508">
        <v>17</v>
      </c>
      <c r="B1302" s="508" t="s">
        <v>124</v>
      </c>
      <c r="C1302" s="508">
        <v>118</v>
      </c>
      <c r="D1302" s="509" t="s">
        <v>87</v>
      </c>
      <c r="E1302" s="509" t="s">
        <v>126</v>
      </c>
      <c r="F1302" s="508" t="s">
        <v>1085</v>
      </c>
      <c r="G1302" s="510">
        <v>1</v>
      </c>
      <c r="H1302" s="511">
        <v>41667</v>
      </c>
      <c r="I1302" s="511">
        <v>41667</v>
      </c>
      <c r="J1302" s="511">
        <v>0</v>
      </c>
      <c r="K1302" s="511">
        <v>41667</v>
      </c>
      <c r="L1302" s="511">
        <v>3333</v>
      </c>
      <c r="M1302" s="511">
        <v>45000</v>
      </c>
      <c r="N1302" s="512">
        <v>6.9999999999999993E-3</v>
      </c>
      <c r="O1302" s="509" t="s">
        <v>1086</v>
      </c>
    </row>
    <row r="1303" spans="1:15" x14ac:dyDescent="0.25">
      <c r="A1303" s="508">
        <v>17</v>
      </c>
      <c r="B1303" s="508" t="s">
        <v>124</v>
      </c>
      <c r="C1303" s="508">
        <v>109</v>
      </c>
      <c r="D1303" s="509" t="s">
        <v>91</v>
      </c>
      <c r="E1303" s="509" t="s">
        <v>144</v>
      </c>
      <c r="F1303" s="508" t="s">
        <v>1085</v>
      </c>
      <c r="G1303" s="510">
        <v>7</v>
      </c>
      <c r="H1303" s="511">
        <v>12963</v>
      </c>
      <c r="I1303" s="511">
        <v>90741</v>
      </c>
      <c r="J1303" s="511">
        <v>0</v>
      </c>
      <c r="K1303" s="511">
        <v>90741</v>
      </c>
      <c r="L1303" s="511">
        <v>7259</v>
      </c>
      <c r="M1303" s="511">
        <v>98000</v>
      </c>
      <c r="N1303" s="512">
        <v>1.5299999999999999E-2</v>
      </c>
      <c r="O1303" s="509" t="s">
        <v>1086</v>
      </c>
    </row>
    <row r="1304" spans="1:15" x14ac:dyDescent="0.25">
      <c r="A1304" s="508">
        <v>17</v>
      </c>
      <c r="B1304" s="508" t="s">
        <v>124</v>
      </c>
      <c r="C1304" s="508">
        <v>147</v>
      </c>
      <c r="D1304" s="509" t="s">
        <v>91</v>
      </c>
      <c r="E1304" s="509" t="s">
        <v>1115</v>
      </c>
      <c r="F1304" s="508" t="s">
        <v>1085</v>
      </c>
      <c r="G1304" s="510">
        <v>7</v>
      </c>
      <c r="H1304" s="511">
        <v>6481</v>
      </c>
      <c r="I1304" s="511">
        <v>45370</v>
      </c>
      <c r="J1304" s="511">
        <v>0</v>
      </c>
      <c r="K1304" s="511">
        <v>45370</v>
      </c>
      <c r="L1304" s="511">
        <v>3630</v>
      </c>
      <c r="M1304" s="511">
        <v>49000</v>
      </c>
      <c r="N1304" s="512">
        <v>7.7000000000000002E-3</v>
      </c>
      <c r="O1304" s="509" t="s">
        <v>1086</v>
      </c>
    </row>
    <row r="1305" spans="1:15" x14ac:dyDescent="0.25">
      <c r="A1305" s="508">
        <v>17</v>
      </c>
      <c r="B1305" s="508" t="s">
        <v>124</v>
      </c>
      <c r="C1305" s="508">
        <v>72</v>
      </c>
      <c r="D1305" s="509" t="s">
        <v>97</v>
      </c>
      <c r="E1305" s="509" t="s">
        <v>1117</v>
      </c>
      <c r="F1305" s="508" t="s">
        <v>1085</v>
      </c>
      <c r="G1305" s="510">
        <v>16</v>
      </c>
      <c r="H1305" s="511">
        <v>3687</v>
      </c>
      <c r="I1305" s="511">
        <v>59259</v>
      </c>
      <c r="J1305" s="511">
        <v>274</v>
      </c>
      <c r="K1305" s="511">
        <v>58985</v>
      </c>
      <c r="L1305" s="511">
        <v>4719</v>
      </c>
      <c r="M1305" s="511">
        <v>63704</v>
      </c>
      <c r="N1305" s="512">
        <v>0.01</v>
      </c>
      <c r="O1305" s="509" t="s">
        <v>1086</v>
      </c>
    </row>
    <row r="1306" spans="1:15" x14ac:dyDescent="0.25">
      <c r="A1306" s="508">
        <v>17</v>
      </c>
      <c r="B1306" s="508" t="s">
        <v>124</v>
      </c>
      <c r="C1306" s="508">
        <v>112</v>
      </c>
      <c r="D1306" s="509" t="s">
        <v>87</v>
      </c>
      <c r="E1306" s="509" t="s">
        <v>1118</v>
      </c>
      <c r="F1306" s="508" t="s">
        <v>1085</v>
      </c>
      <c r="G1306" s="510">
        <v>1</v>
      </c>
      <c r="H1306" s="511">
        <v>41667</v>
      </c>
      <c r="I1306" s="511">
        <v>41667</v>
      </c>
      <c r="J1306" s="511">
        <v>0</v>
      </c>
      <c r="K1306" s="511">
        <v>41667</v>
      </c>
      <c r="L1306" s="511">
        <v>3333</v>
      </c>
      <c r="M1306" s="511">
        <v>45000</v>
      </c>
      <c r="N1306" s="512">
        <v>6.9999999999999993E-3</v>
      </c>
      <c r="O1306" s="509" t="s">
        <v>1086</v>
      </c>
    </row>
    <row r="1307" spans="1:15" x14ac:dyDescent="0.25">
      <c r="A1307" s="508">
        <v>17</v>
      </c>
      <c r="B1307" s="508" t="s">
        <v>124</v>
      </c>
      <c r="C1307" s="508">
        <v>227</v>
      </c>
      <c r="D1307" s="509" t="s">
        <v>87</v>
      </c>
      <c r="E1307" s="509" t="s">
        <v>1169</v>
      </c>
      <c r="F1307" s="508" t="s">
        <v>1085</v>
      </c>
      <c r="G1307" s="510">
        <v>1</v>
      </c>
      <c r="H1307" s="511">
        <v>1389</v>
      </c>
      <c r="I1307" s="511">
        <v>1389</v>
      </c>
      <c r="J1307" s="511">
        <v>0</v>
      </c>
      <c r="K1307" s="511">
        <v>1389</v>
      </c>
      <c r="L1307" s="511">
        <v>111</v>
      </c>
      <c r="M1307" s="511">
        <v>1500</v>
      </c>
      <c r="N1307" s="512">
        <v>2.0000000000000001E-4</v>
      </c>
      <c r="O1307" s="509" t="s">
        <v>1086</v>
      </c>
    </row>
    <row r="1308" spans="1:15" x14ac:dyDescent="0.25">
      <c r="A1308" s="508">
        <v>17</v>
      </c>
      <c r="B1308" s="508" t="s">
        <v>124</v>
      </c>
      <c r="C1308" s="508">
        <v>93</v>
      </c>
      <c r="D1308" s="509" t="s">
        <v>89</v>
      </c>
      <c r="E1308" s="509" t="s">
        <v>123</v>
      </c>
      <c r="F1308" s="508" t="s">
        <v>1085</v>
      </c>
      <c r="G1308" s="510">
        <v>80</v>
      </c>
      <c r="H1308" s="511">
        <v>20358</v>
      </c>
      <c r="I1308" s="511">
        <v>1629630</v>
      </c>
      <c r="J1308" s="511">
        <v>1019</v>
      </c>
      <c r="K1308" s="511">
        <v>1628611</v>
      </c>
      <c r="L1308" s="511">
        <v>130289</v>
      </c>
      <c r="M1308" s="511">
        <v>1758900</v>
      </c>
      <c r="N1308" s="512">
        <v>0.27529999999999999</v>
      </c>
      <c r="O1308" s="509" t="s">
        <v>1086</v>
      </c>
    </row>
    <row r="1309" spans="1:15" x14ac:dyDescent="0.25">
      <c r="A1309" s="508">
        <v>17</v>
      </c>
      <c r="B1309" s="508" t="s">
        <v>124</v>
      </c>
      <c r="C1309" s="508">
        <v>119</v>
      </c>
      <c r="D1309" s="509" t="s">
        <v>89</v>
      </c>
      <c r="E1309" s="509" t="s">
        <v>114</v>
      </c>
      <c r="F1309" s="508" t="s">
        <v>1085</v>
      </c>
      <c r="G1309" s="510">
        <v>4</v>
      </c>
      <c r="H1309" s="511">
        <v>44444</v>
      </c>
      <c r="I1309" s="511">
        <v>177778</v>
      </c>
      <c r="J1309" s="511">
        <v>0</v>
      </c>
      <c r="K1309" s="511">
        <v>177778</v>
      </c>
      <c r="L1309" s="511">
        <v>14222</v>
      </c>
      <c r="M1309" s="511">
        <v>192000</v>
      </c>
      <c r="N1309" s="512">
        <v>0.03</v>
      </c>
      <c r="O1309" s="509" t="s">
        <v>1086</v>
      </c>
    </row>
    <row r="1310" spans="1:15" x14ac:dyDescent="0.25">
      <c r="A1310" s="508">
        <v>17</v>
      </c>
      <c r="B1310" s="508" t="s">
        <v>124</v>
      </c>
      <c r="C1310" s="508">
        <v>20</v>
      </c>
      <c r="D1310" s="509" t="s">
        <v>87</v>
      </c>
      <c r="E1310" s="509" t="s">
        <v>1170</v>
      </c>
      <c r="F1310" s="508" t="s">
        <v>1085</v>
      </c>
      <c r="G1310" s="510">
        <v>1</v>
      </c>
      <c r="H1310" s="511">
        <v>6481</v>
      </c>
      <c r="I1310" s="511">
        <v>6481</v>
      </c>
      <c r="J1310" s="511">
        <v>0</v>
      </c>
      <c r="K1310" s="511">
        <v>6481</v>
      </c>
      <c r="L1310" s="511">
        <v>519</v>
      </c>
      <c r="M1310" s="511">
        <v>7000</v>
      </c>
      <c r="N1310" s="512">
        <v>1.1000000000000001E-3</v>
      </c>
      <c r="O1310" s="509" t="s">
        <v>1086</v>
      </c>
    </row>
    <row r="1311" spans="1:15" x14ac:dyDescent="0.25">
      <c r="A1311" s="508">
        <v>17</v>
      </c>
      <c r="B1311" s="508" t="s">
        <v>124</v>
      </c>
      <c r="C1311" s="508">
        <v>47</v>
      </c>
      <c r="D1311" s="509" t="s">
        <v>87</v>
      </c>
      <c r="E1311" s="509" t="s">
        <v>1191</v>
      </c>
      <c r="F1311" s="508" t="s">
        <v>1085</v>
      </c>
      <c r="G1311" s="510">
        <v>1</v>
      </c>
      <c r="H1311" s="511">
        <v>64815</v>
      </c>
      <c r="I1311" s="511">
        <v>64815</v>
      </c>
      <c r="J1311" s="511">
        <v>0</v>
      </c>
      <c r="K1311" s="511">
        <v>64815</v>
      </c>
      <c r="L1311" s="511">
        <v>5185</v>
      </c>
      <c r="M1311" s="511">
        <v>70000</v>
      </c>
      <c r="N1311" s="512">
        <v>1.0999999999999999E-2</v>
      </c>
      <c r="O1311" s="509" t="s">
        <v>1086</v>
      </c>
    </row>
    <row r="1312" spans="1:15" x14ac:dyDescent="0.25">
      <c r="A1312" s="508">
        <v>17</v>
      </c>
      <c r="B1312" s="508" t="s">
        <v>124</v>
      </c>
      <c r="C1312" s="508">
        <v>111</v>
      </c>
      <c r="D1312" s="509" t="s">
        <v>87</v>
      </c>
      <c r="E1312" s="509" t="s">
        <v>1192</v>
      </c>
      <c r="F1312" s="508" t="s">
        <v>1085</v>
      </c>
      <c r="G1312" s="510">
        <v>0</v>
      </c>
      <c r="H1312" s="511">
        <v>0</v>
      </c>
      <c r="I1312" s="511">
        <v>0</v>
      </c>
      <c r="J1312" s="511">
        <v>0</v>
      </c>
      <c r="K1312" s="511">
        <v>0</v>
      </c>
      <c r="L1312" s="511">
        <v>0</v>
      </c>
      <c r="M1312" s="511">
        <v>0</v>
      </c>
      <c r="N1312" s="512">
        <v>0</v>
      </c>
      <c r="O1312" s="509" t="s">
        <v>1086</v>
      </c>
    </row>
    <row r="1313" spans="1:15" x14ac:dyDescent="0.25">
      <c r="A1313" s="508">
        <v>17</v>
      </c>
      <c r="B1313" s="508" t="s">
        <v>124</v>
      </c>
      <c r="C1313" s="508">
        <v>168</v>
      </c>
      <c r="D1313" s="509" t="s">
        <v>87</v>
      </c>
      <c r="E1313" s="509" t="s">
        <v>1208</v>
      </c>
      <c r="F1313" s="508" t="s">
        <v>1085</v>
      </c>
      <c r="G1313" s="510">
        <v>1</v>
      </c>
      <c r="H1313" s="511">
        <v>6157</v>
      </c>
      <c r="I1313" s="511">
        <v>6481</v>
      </c>
      <c r="J1313" s="511">
        <v>324</v>
      </c>
      <c r="K1313" s="511">
        <v>6157</v>
      </c>
      <c r="L1313" s="511">
        <v>493</v>
      </c>
      <c r="M1313" s="511">
        <v>6650</v>
      </c>
      <c r="N1313" s="512">
        <v>1E-3</v>
      </c>
      <c r="O1313" s="509" t="s">
        <v>1086</v>
      </c>
    </row>
    <row r="1314" spans="1:15" x14ac:dyDescent="0.25">
      <c r="A1314" s="508">
        <v>17</v>
      </c>
      <c r="B1314" s="508" t="s">
        <v>124</v>
      </c>
      <c r="C1314" s="508">
        <v>99</v>
      </c>
      <c r="D1314" s="509" t="s">
        <v>87</v>
      </c>
      <c r="E1314" s="509" t="s">
        <v>1209</v>
      </c>
      <c r="F1314" s="508" t="s">
        <v>1210</v>
      </c>
      <c r="G1314" s="510">
        <v>1</v>
      </c>
      <c r="H1314" s="511">
        <v>3241</v>
      </c>
      <c r="I1314" s="511">
        <v>3241</v>
      </c>
      <c r="J1314" s="511">
        <v>0</v>
      </c>
      <c r="K1314" s="511">
        <v>3241</v>
      </c>
      <c r="L1314" s="511">
        <v>259</v>
      </c>
      <c r="M1314" s="511">
        <v>3500</v>
      </c>
      <c r="N1314" s="512">
        <v>5.0000000000000001E-4</v>
      </c>
      <c r="O1314" s="509" t="s">
        <v>1086</v>
      </c>
    </row>
    <row r="1315" spans="1:15" x14ac:dyDescent="0.25">
      <c r="A1315" s="508">
        <v>17</v>
      </c>
      <c r="B1315" s="508" t="s">
        <v>124</v>
      </c>
      <c r="C1315" s="508">
        <v>86</v>
      </c>
      <c r="D1315" s="509" t="s">
        <v>95</v>
      </c>
      <c r="E1315" s="509" t="s">
        <v>1124</v>
      </c>
      <c r="F1315" s="508" t="s">
        <v>1085</v>
      </c>
      <c r="G1315" s="510">
        <v>18</v>
      </c>
      <c r="H1315" s="511">
        <v>3241</v>
      </c>
      <c r="I1315" s="511">
        <v>58333</v>
      </c>
      <c r="J1315" s="511">
        <v>0</v>
      </c>
      <c r="K1315" s="511">
        <v>58333</v>
      </c>
      <c r="L1315" s="511">
        <v>4667</v>
      </c>
      <c r="M1315" s="511">
        <v>63000</v>
      </c>
      <c r="N1315" s="512">
        <v>9.8999999999999991E-3</v>
      </c>
      <c r="O1315" s="509" t="s">
        <v>1086</v>
      </c>
    </row>
    <row r="1316" spans="1:15" x14ac:dyDescent="0.25">
      <c r="A1316" s="508">
        <v>17</v>
      </c>
      <c r="B1316" s="508" t="s">
        <v>124</v>
      </c>
      <c r="C1316" s="508">
        <v>80</v>
      </c>
      <c r="D1316" s="509" t="s">
        <v>95</v>
      </c>
      <c r="E1316" s="509" t="s">
        <v>1125</v>
      </c>
      <c r="F1316" s="508" t="s">
        <v>1085</v>
      </c>
      <c r="G1316" s="510">
        <v>16</v>
      </c>
      <c r="H1316" s="511">
        <v>6461</v>
      </c>
      <c r="I1316" s="511">
        <v>103704</v>
      </c>
      <c r="J1316" s="511">
        <v>324</v>
      </c>
      <c r="K1316" s="511">
        <v>103380</v>
      </c>
      <c r="L1316" s="511">
        <v>8270</v>
      </c>
      <c r="M1316" s="511">
        <v>111650</v>
      </c>
      <c r="N1316" s="512">
        <v>1.7500000000000002E-2</v>
      </c>
      <c r="O1316" s="509" t="s">
        <v>1086</v>
      </c>
    </row>
    <row r="1317" spans="1:15" x14ac:dyDescent="0.25">
      <c r="A1317" s="508">
        <v>17</v>
      </c>
      <c r="B1317" s="508" t="s">
        <v>124</v>
      </c>
      <c r="C1317" s="508">
        <v>85</v>
      </c>
      <c r="D1317" s="509" t="s">
        <v>95</v>
      </c>
      <c r="E1317" s="509" t="s">
        <v>1157</v>
      </c>
      <c r="F1317" s="508" t="s">
        <v>1085</v>
      </c>
      <c r="G1317" s="510">
        <v>1</v>
      </c>
      <c r="H1317" s="511">
        <v>2315</v>
      </c>
      <c r="I1317" s="511">
        <v>2315</v>
      </c>
      <c r="J1317" s="511">
        <v>0</v>
      </c>
      <c r="K1317" s="511">
        <v>2315</v>
      </c>
      <c r="L1317" s="511">
        <v>185</v>
      </c>
      <c r="M1317" s="511">
        <v>2500</v>
      </c>
      <c r="N1317" s="512">
        <v>4.0000000000000002E-4</v>
      </c>
      <c r="O1317" s="509" t="s">
        <v>1086</v>
      </c>
    </row>
    <row r="1318" spans="1:15" x14ac:dyDescent="0.25">
      <c r="A1318" s="508">
        <v>17</v>
      </c>
      <c r="B1318" s="508" t="s">
        <v>124</v>
      </c>
      <c r="C1318" s="508">
        <v>79</v>
      </c>
      <c r="D1318" s="509" t="s">
        <v>95</v>
      </c>
      <c r="E1318" s="509" t="s">
        <v>1127</v>
      </c>
      <c r="F1318" s="508" t="s">
        <v>1085</v>
      </c>
      <c r="G1318" s="510">
        <v>9</v>
      </c>
      <c r="H1318" s="511">
        <v>6481</v>
      </c>
      <c r="I1318" s="511">
        <v>58333</v>
      </c>
      <c r="J1318" s="511">
        <v>0</v>
      </c>
      <c r="K1318" s="511">
        <v>58333</v>
      </c>
      <c r="L1318" s="511">
        <v>4667</v>
      </c>
      <c r="M1318" s="511">
        <v>63000</v>
      </c>
      <c r="N1318" s="512">
        <v>9.8999999999999991E-3</v>
      </c>
      <c r="O1318" s="509" t="s">
        <v>1086</v>
      </c>
    </row>
    <row r="1319" spans="1:15" x14ac:dyDescent="0.25">
      <c r="A1319" s="508">
        <v>17</v>
      </c>
      <c r="B1319" s="508" t="s">
        <v>124</v>
      </c>
      <c r="C1319" s="508">
        <v>62</v>
      </c>
      <c r="D1319" s="509" t="s">
        <v>95</v>
      </c>
      <c r="E1319" s="509" t="s">
        <v>1128</v>
      </c>
      <c r="F1319" s="508" t="s">
        <v>1085</v>
      </c>
      <c r="G1319" s="510">
        <v>1</v>
      </c>
      <c r="H1319" s="511">
        <v>6944</v>
      </c>
      <c r="I1319" s="511">
        <v>6944</v>
      </c>
      <c r="J1319" s="511">
        <v>0</v>
      </c>
      <c r="K1319" s="511">
        <v>6944</v>
      </c>
      <c r="L1319" s="511">
        <v>556</v>
      </c>
      <c r="M1319" s="511">
        <v>7500</v>
      </c>
      <c r="N1319" s="512">
        <v>1.1999999999999999E-3</v>
      </c>
      <c r="O1319" s="509" t="s">
        <v>1086</v>
      </c>
    </row>
    <row r="1320" spans="1:15" x14ac:dyDescent="0.25">
      <c r="A1320" s="508">
        <v>17</v>
      </c>
      <c r="B1320" s="508" t="s">
        <v>124</v>
      </c>
      <c r="C1320" s="508">
        <v>170</v>
      </c>
      <c r="D1320" s="509" t="s">
        <v>95</v>
      </c>
      <c r="E1320" s="509" t="s">
        <v>1171</v>
      </c>
      <c r="F1320" s="508" t="s">
        <v>1085</v>
      </c>
      <c r="G1320" s="510">
        <v>8</v>
      </c>
      <c r="H1320" s="511">
        <v>6481</v>
      </c>
      <c r="I1320" s="511">
        <v>51852</v>
      </c>
      <c r="J1320" s="511">
        <v>0</v>
      </c>
      <c r="K1320" s="511">
        <v>51852</v>
      </c>
      <c r="L1320" s="511">
        <v>4148</v>
      </c>
      <c r="M1320" s="511">
        <v>56000</v>
      </c>
      <c r="N1320" s="512">
        <v>8.8000000000000005E-3</v>
      </c>
      <c r="O1320" s="509" t="s">
        <v>1086</v>
      </c>
    </row>
    <row r="1321" spans="1:15" x14ac:dyDescent="0.25">
      <c r="A1321" s="508">
        <v>17</v>
      </c>
      <c r="B1321" s="508" t="s">
        <v>124</v>
      </c>
      <c r="C1321" s="508">
        <v>137</v>
      </c>
      <c r="D1321" s="509" t="s">
        <v>95</v>
      </c>
      <c r="E1321" s="509" t="s">
        <v>1159</v>
      </c>
      <c r="F1321" s="508" t="s">
        <v>1085</v>
      </c>
      <c r="G1321" s="510">
        <v>1</v>
      </c>
      <c r="H1321" s="511">
        <v>6481</v>
      </c>
      <c r="I1321" s="511">
        <v>6481</v>
      </c>
      <c r="J1321" s="511">
        <v>0</v>
      </c>
      <c r="K1321" s="511">
        <v>6481</v>
      </c>
      <c r="L1321" s="511">
        <v>519</v>
      </c>
      <c r="M1321" s="511">
        <v>7000</v>
      </c>
      <c r="N1321" s="512">
        <v>1.1000000000000001E-3</v>
      </c>
      <c r="O1321" s="509" t="s">
        <v>1086</v>
      </c>
    </row>
    <row r="1322" spans="1:15" x14ac:dyDescent="0.25">
      <c r="A1322" s="508">
        <v>17</v>
      </c>
      <c r="B1322" s="508" t="s">
        <v>124</v>
      </c>
      <c r="C1322" s="508">
        <v>219</v>
      </c>
      <c r="D1322" s="509" t="s">
        <v>87</v>
      </c>
      <c r="E1322" s="509" t="s">
        <v>150</v>
      </c>
      <c r="F1322" s="508" t="s">
        <v>1085</v>
      </c>
      <c r="G1322" s="510">
        <v>1</v>
      </c>
      <c r="H1322" s="511">
        <v>69444</v>
      </c>
      <c r="I1322" s="511">
        <v>69444</v>
      </c>
      <c r="J1322" s="511">
        <v>0</v>
      </c>
      <c r="K1322" s="511">
        <v>69444</v>
      </c>
      <c r="L1322" s="511">
        <v>5556</v>
      </c>
      <c r="M1322" s="511">
        <v>75000</v>
      </c>
      <c r="N1322" s="512">
        <v>1.17E-2</v>
      </c>
      <c r="O1322" s="509" t="s">
        <v>1086</v>
      </c>
    </row>
    <row r="1323" spans="1:15" x14ac:dyDescent="0.25">
      <c r="A1323" s="508">
        <v>17</v>
      </c>
      <c r="B1323" s="508" t="s">
        <v>124</v>
      </c>
      <c r="C1323" s="508">
        <v>140</v>
      </c>
      <c r="D1323" s="509" t="s">
        <v>87</v>
      </c>
      <c r="E1323" s="509" t="s">
        <v>1131</v>
      </c>
      <c r="F1323" s="508" t="s">
        <v>1085</v>
      </c>
      <c r="G1323" s="510">
        <v>4</v>
      </c>
      <c r="H1323" s="511">
        <v>90741</v>
      </c>
      <c r="I1323" s="511">
        <v>362963</v>
      </c>
      <c r="J1323" s="511">
        <v>0</v>
      </c>
      <c r="K1323" s="511">
        <v>362963</v>
      </c>
      <c r="L1323" s="511">
        <v>29037</v>
      </c>
      <c r="M1323" s="511">
        <v>392000</v>
      </c>
      <c r="N1323" s="512">
        <v>6.1400000000000003E-2</v>
      </c>
      <c r="O1323" s="509" t="s">
        <v>1086</v>
      </c>
    </row>
    <row r="1324" spans="1:15" x14ac:dyDescent="0.25">
      <c r="A1324" s="508">
        <v>17</v>
      </c>
      <c r="B1324" s="508" t="s">
        <v>124</v>
      </c>
      <c r="C1324" s="508">
        <v>224</v>
      </c>
      <c r="D1324" s="509" t="s">
        <v>87</v>
      </c>
      <c r="E1324" s="509" t="s">
        <v>1172</v>
      </c>
      <c r="F1324" s="508" t="s">
        <v>1085</v>
      </c>
      <c r="G1324" s="510">
        <v>2</v>
      </c>
      <c r="H1324" s="511">
        <v>62500</v>
      </c>
      <c r="I1324" s="511">
        <v>125000</v>
      </c>
      <c r="J1324" s="511">
        <v>0</v>
      </c>
      <c r="K1324" s="511">
        <v>125000</v>
      </c>
      <c r="L1324" s="511">
        <v>10000</v>
      </c>
      <c r="M1324" s="511">
        <v>135000</v>
      </c>
      <c r="N1324" s="512">
        <v>2.1100000000000001E-2</v>
      </c>
      <c r="O1324" s="509" t="s">
        <v>1086</v>
      </c>
    </row>
    <row r="1325" spans="1:15" x14ac:dyDescent="0.25">
      <c r="A1325" s="508">
        <v>17</v>
      </c>
      <c r="B1325" s="508" t="s">
        <v>124</v>
      </c>
      <c r="C1325" s="508">
        <v>229</v>
      </c>
      <c r="D1325" s="509" t="s">
        <v>87</v>
      </c>
      <c r="E1325" s="509" t="s">
        <v>1197</v>
      </c>
      <c r="F1325" s="508" t="s">
        <v>1085</v>
      </c>
      <c r="G1325" s="510">
        <v>2</v>
      </c>
      <c r="H1325" s="511">
        <v>66204</v>
      </c>
      <c r="I1325" s="511">
        <v>132407</v>
      </c>
      <c r="J1325" s="511">
        <v>0</v>
      </c>
      <c r="K1325" s="511">
        <v>132407</v>
      </c>
      <c r="L1325" s="511">
        <v>10593</v>
      </c>
      <c r="M1325" s="511">
        <v>143000</v>
      </c>
      <c r="N1325" s="512">
        <v>2.24E-2</v>
      </c>
      <c r="O1325" s="509" t="s">
        <v>1086</v>
      </c>
    </row>
    <row r="1326" spans="1:15" x14ac:dyDescent="0.25">
      <c r="A1326" s="508">
        <v>17</v>
      </c>
      <c r="B1326" s="508" t="s">
        <v>124</v>
      </c>
      <c r="C1326" s="508">
        <v>120</v>
      </c>
      <c r="D1326" s="509" t="s">
        <v>93</v>
      </c>
      <c r="E1326" s="509" t="s">
        <v>1134</v>
      </c>
      <c r="F1326" s="508" t="s">
        <v>1085</v>
      </c>
      <c r="G1326" s="510">
        <v>3</v>
      </c>
      <c r="H1326" s="511">
        <v>41667</v>
      </c>
      <c r="I1326" s="511">
        <v>125000</v>
      </c>
      <c r="J1326" s="511">
        <v>0</v>
      </c>
      <c r="K1326" s="511">
        <v>125000</v>
      </c>
      <c r="L1326" s="511">
        <v>10000</v>
      </c>
      <c r="M1326" s="511">
        <v>135000</v>
      </c>
      <c r="N1326" s="512">
        <v>2.1100000000000001E-2</v>
      </c>
      <c r="O1326" s="509" t="s">
        <v>1086</v>
      </c>
    </row>
    <row r="1327" spans="1:15" x14ac:dyDescent="0.25">
      <c r="A1327" s="508">
        <v>17</v>
      </c>
      <c r="B1327" s="508" t="s">
        <v>124</v>
      </c>
      <c r="C1327" s="508">
        <v>116</v>
      </c>
      <c r="D1327" s="509" t="s">
        <v>89</v>
      </c>
      <c r="E1327" s="509" t="s">
        <v>1198</v>
      </c>
      <c r="F1327" s="508" t="s">
        <v>1085</v>
      </c>
      <c r="G1327" s="510">
        <v>1</v>
      </c>
      <c r="H1327" s="511">
        <v>5556</v>
      </c>
      <c r="I1327" s="511">
        <v>5556</v>
      </c>
      <c r="J1327" s="511">
        <v>0</v>
      </c>
      <c r="K1327" s="511">
        <v>5556</v>
      </c>
      <c r="L1327" s="511">
        <v>444</v>
      </c>
      <c r="M1327" s="511">
        <v>6000</v>
      </c>
      <c r="N1327" s="512">
        <v>8.9999999999999998E-4</v>
      </c>
      <c r="O1327" s="509" t="s">
        <v>1086</v>
      </c>
    </row>
    <row r="1328" spans="1:15" x14ac:dyDescent="0.25">
      <c r="A1328" s="508">
        <v>17</v>
      </c>
      <c r="B1328" s="508" t="s">
        <v>124</v>
      </c>
      <c r="C1328" s="508">
        <v>117</v>
      </c>
      <c r="D1328" s="509" t="s">
        <v>87</v>
      </c>
      <c r="E1328" s="509" t="s">
        <v>120</v>
      </c>
      <c r="F1328" s="508" t="s">
        <v>1085</v>
      </c>
      <c r="G1328" s="510">
        <v>2</v>
      </c>
      <c r="H1328" s="511">
        <v>41667</v>
      </c>
      <c r="I1328" s="511">
        <v>83333</v>
      </c>
      <c r="J1328" s="511">
        <v>0</v>
      </c>
      <c r="K1328" s="511">
        <v>83333</v>
      </c>
      <c r="L1328" s="511">
        <v>6667</v>
      </c>
      <c r="M1328" s="511">
        <v>90000</v>
      </c>
      <c r="N1328" s="512">
        <v>1.41E-2</v>
      </c>
      <c r="O1328" s="509" t="s">
        <v>1086</v>
      </c>
    </row>
    <row r="1329" spans="1:15" x14ac:dyDescent="0.25">
      <c r="A1329" s="508">
        <v>17</v>
      </c>
      <c r="B1329" s="508" t="s">
        <v>124</v>
      </c>
      <c r="C1329" s="508">
        <v>36</v>
      </c>
      <c r="D1329" s="509" t="s">
        <v>91</v>
      </c>
      <c r="E1329" s="509" t="s">
        <v>1136</v>
      </c>
      <c r="F1329" s="508" t="s">
        <v>1085</v>
      </c>
      <c r="G1329" s="510">
        <v>1</v>
      </c>
      <c r="H1329" s="511">
        <v>3704</v>
      </c>
      <c r="I1329" s="511">
        <v>3704</v>
      </c>
      <c r="J1329" s="511">
        <v>0</v>
      </c>
      <c r="K1329" s="511">
        <v>3704</v>
      </c>
      <c r="L1329" s="511">
        <v>296</v>
      </c>
      <c r="M1329" s="511">
        <v>4000</v>
      </c>
      <c r="N1329" s="512">
        <v>5.9999999999999995E-4</v>
      </c>
      <c r="O1329" s="509" t="s">
        <v>1086</v>
      </c>
    </row>
    <row r="1330" spans="1:15" x14ac:dyDescent="0.25">
      <c r="A1330" s="508">
        <v>17</v>
      </c>
      <c r="B1330" s="508" t="s">
        <v>124</v>
      </c>
      <c r="C1330" s="508">
        <v>61</v>
      </c>
      <c r="D1330" s="509" t="s">
        <v>97</v>
      </c>
      <c r="E1330" s="509" t="s">
        <v>1137</v>
      </c>
      <c r="F1330" s="508" t="s">
        <v>1085</v>
      </c>
      <c r="G1330" s="510">
        <v>15</v>
      </c>
      <c r="H1330" s="511">
        <v>4614</v>
      </c>
      <c r="I1330" s="511">
        <v>69444</v>
      </c>
      <c r="J1330" s="511">
        <v>231</v>
      </c>
      <c r="K1330" s="511">
        <v>69213</v>
      </c>
      <c r="L1330" s="511">
        <v>5537</v>
      </c>
      <c r="M1330" s="511">
        <v>74750</v>
      </c>
      <c r="N1330" s="512">
        <v>1.17E-2</v>
      </c>
      <c r="O1330" s="509" t="s">
        <v>1086</v>
      </c>
    </row>
    <row r="1331" spans="1:15" x14ac:dyDescent="0.25">
      <c r="A1331" s="508">
        <v>17</v>
      </c>
      <c r="B1331" s="508" t="s">
        <v>124</v>
      </c>
      <c r="C1331" s="508">
        <v>113</v>
      </c>
      <c r="D1331" s="509" t="s">
        <v>89</v>
      </c>
      <c r="E1331" s="509" t="s">
        <v>129</v>
      </c>
      <c r="F1331" s="508" t="s">
        <v>1085</v>
      </c>
      <c r="G1331" s="510">
        <v>1</v>
      </c>
      <c r="H1331" s="511">
        <v>22222</v>
      </c>
      <c r="I1331" s="511">
        <v>22222</v>
      </c>
      <c r="J1331" s="511">
        <v>0</v>
      </c>
      <c r="K1331" s="511">
        <v>22222</v>
      </c>
      <c r="L1331" s="511">
        <v>1778</v>
      </c>
      <c r="M1331" s="511">
        <v>24000</v>
      </c>
      <c r="N1331" s="512">
        <v>3.8E-3</v>
      </c>
      <c r="O1331" s="509" t="s">
        <v>1086</v>
      </c>
    </row>
    <row r="1332" spans="1:15" x14ac:dyDescent="0.25">
      <c r="A1332" s="508">
        <v>17</v>
      </c>
      <c r="B1332" s="508" t="s">
        <v>124</v>
      </c>
      <c r="C1332" s="508">
        <v>96</v>
      </c>
      <c r="D1332" s="509" t="s">
        <v>93</v>
      </c>
      <c r="E1332" s="509" t="s">
        <v>1161</v>
      </c>
      <c r="F1332" s="508" t="s">
        <v>1085</v>
      </c>
      <c r="G1332" s="510">
        <v>1</v>
      </c>
      <c r="H1332" s="511">
        <v>35648</v>
      </c>
      <c r="I1332" s="511">
        <v>35648</v>
      </c>
      <c r="J1332" s="511">
        <v>0</v>
      </c>
      <c r="K1332" s="511">
        <v>35648</v>
      </c>
      <c r="L1332" s="511">
        <v>2852</v>
      </c>
      <c r="M1332" s="511">
        <v>38500</v>
      </c>
      <c r="N1332" s="512">
        <v>6.0000000000000001E-3</v>
      </c>
      <c r="O1332" s="509" t="s">
        <v>1086</v>
      </c>
    </row>
    <row r="1333" spans="1:15" x14ac:dyDescent="0.25">
      <c r="A1333" s="508">
        <v>17</v>
      </c>
      <c r="B1333" s="508" t="s">
        <v>124</v>
      </c>
      <c r="C1333" s="508">
        <v>33</v>
      </c>
      <c r="D1333" s="509" t="s">
        <v>91</v>
      </c>
      <c r="E1333" s="509" t="s">
        <v>1139</v>
      </c>
      <c r="F1333" s="508" t="s">
        <v>1085</v>
      </c>
      <c r="G1333" s="510">
        <v>1</v>
      </c>
      <c r="H1333" s="511">
        <v>1852</v>
      </c>
      <c r="I1333" s="511">
        <v>1852</v>
      </c>
      <c r="J1333" s="511">
        <v>0</v>
      </c>
      <c r="K1333" s="511">
        <v>1852</v>
      </c>
      <c r="L1333" s="511">
        <v>148</v>
      </c>
      <c r="M1333" s="511">
        <v>2000</v>
      </c>
      <c r="N1333" s="512">
        <v>2.9999999999999997E-4</v>
      </c>
      <c r="O1333" s="509" t="s">
        <v>1086</v>
      </c>
    </row>
    <row r="1334" spans="1:15" x14ac:dyDescent="0.25">
      <c r="A1334" s="508">
        <v>17</v>
      </c>
      <c r="B1334" s="508" t="s">
        <v>124</v>
      </c>
      <c r="C1334" s="508">
        <v>39</v>
      </c>
      <c r="D1334" s="509" t="s">
        <v>91</v>
      </c>
      <c r="E1334" s="509" t="s">
        <v>1162</v>
      </c>
      <c r="F1334" s="508" t="s">
        <v>1085</v>
      </c>
      <c r="G1334" s="510">
        <v>1</v>
      </c>
      <c r="H1334" s="511">
        <v>3333</v>
      </c>
      <c r="I1334" s="511">
        <v>3333</v>
      </c>
      <c r="J1334" s="511">
        <v>0</v>
      </c>
      <c r="K1334" s="511">
        <v>3333</v>
      </c>
      <c r="L1334" s="511">
        <v>267</v>
      </c>
      <c r="M1334" s="511">
        <v>3600</v>
      </c>
      <c r="N1334" s="512">
        <v>5.9999999999999995E-4</v>
      </c>
      <c r="O1334" s="509" t="s">
        <v>1086</v>
      </c>
    </row>
    <row r="1335" spans="1:15" x14ac:dyDescent="0.25">
      <c r="A1335" s="508">
        <v>18</v>
      </c>
      <c r="B1335" s="508" t="s">
        <v>127</v>
      </c>
      <c r="C1335" s="508">
        <v>319</v>
      </c>
      <c r="D1335" s="509" t="s">
        <v>91</v>
      </c>
      <c r="E1335" s="509" t="s">
        <v>1217</v>
      </c>
      <c r="F1335" s="508" t="s">
        <v>1085</v>
      </c>
      <c r="G1335" s="510">
        <v>1</v>
      </c>
      <c r="H1335" s="511">
        <v>3519</v>
      </c>
      <c r="I1335" s="511">
        <v>3519</v>
      </c>
      <c r="J1335" s="511">
        <v>0</v>
      </c>
      <c r="K1335" s="511">
        <v>3519</v>
      </c>
      <c r="L1335" s="511">
        <v>281</v>
      </c>
      <c r="M1335" s="511">
        <v>3800</v>
      </c>
      <c r="N1335" s="512">
        <v>5.9999999999999995E-4</v>
      </c>
      <c r="O1335" s="509" t="s">
        <v>1086</v>
      </c>
    </row>
    <row r="1336" spans="1:15" x14ac:dyDescent="0.25">
      <c r="A1336" s="508">
        <v>18</v>
      </c>
      <c r="B1336" s="508" t="s">
        <v>127</v>
      </c>
      <c r="C1336" s="508">
        <v>73</v>
      </c>
      <c r="D1336" s="509" t="s">
        <v>91</v>
      </c>
      <c r="E1336" s="509" t="s">
        <v>1084</v>
      </c>
      <c r="F1336" s="508" t="s">
        <v>1085</v>
      </c>
      <c r="G1336" s="510">
        <v>12</v>
      </c>
      <c r="H1336" s="511">
        <v>2593</v>
      </c>
      <c r="I1336" s="511">
        <v>31111</v>
      </c>
      <c r="J1336" s="511">
        <v>0</v>
      </c>
      <c r="K1336" s="511">
        <v>31111</v>
      </c>
      <c r="L1336" s="511">
        <v>2489</v>
      </c>
      <c r="M1336" s="511">
        <v>33600</v>
      </c>
      <c r="N1336" s="512">
        <v>5.5000000000000014E-3</v>
      </c>
      <c r="O1336" s="509" t="s">
        <v>1086</v>
      </c>
    </row>
    <row r="1337" spans="1:15" x14ac:dyDescent="0.25">
      <c r="A1337" s="508">
        <v>18</v>
      </c>
      <c r="B1337" s="508" t="s">
        <v>127</v>
      </c>
      <c r="C1337" s="508">
        <v>3</v>
      </c>
      <c r="D1337" s="509" t="s">
        <v>87</v>
      </c>
      <c r="E1337" s="509" t="s">
        <v>1163</v>
      </c>
      <c r="F1337" s="508" t="s">
        <v>1085</v>
      </c>
      <c r="G1337" s="510">
        <v>17</v>
      </c>
      <c r="H1337" s="511">
        <v>18954</v>
      </c>
      <c r="I1337" s="511">
        <v>322222</v>
      </c>
      <c r="J1337" s="511">
        <v>0</v>
      </c>
      <c r="K1337" s="511">
        <v>322222</v>
      </c>
      <c r="L1337" s="511">
        <v>25778</v>
      </c>
      <c r="M1337" s="511">
        <v>348000</v>
      </c>
      <c r="N1337" s="512">
        <v>5.6900000000000013E-2</v>
      </c>
      <c r="O1337" s="509" t="s">
        <v>1086</v>
      </c>
    </row>
    <row r="1338" spans="1:15" x14ac:dyDescent="0.25">
      <c r="A1338" s="508">
        <v>18</v>
      </c>
      <c r="B1338" s="508" t="s">
        <v>127</v>
      </c>
      <c r="C1338" s="508">
        <v>131</v>
      </c>
      <c r="D1338" s="509" t="s">
        <v>87</v>
      </c>
      <c r="E1338" s="509" t="s">
        <v>1144</v>
      </c>
      <c r="F1338" s="508" t="s">
        <v>1085</v>
      </c>
      <c r="G1338" s="510">
        <v>1</v>
      </c>
      <c r="H1338" s="511">
        <v>278</v>
      </c>
      <c r="I1338" s="511">
        <v>278</v>
      </c>
      <c r="J1338" s="511">
        <v>0</v>
      </c>
      <c r="K1338" s="511">
        <v>278</v>
      </c>
      <c r="L1338" s="511">
        <v>22</v>
      </c>
      <c r="M1338" s="511">
        <v>300</v>
      </c>
      <c r="N1338" s="512">
        <v>0</v>
      </c>
      <c r="O1338" s="509" t="s">
        <v>1086</v>
      </c>
    </row>
    <row r="1339" spans="1:15" x14ac:dyDescent="0.25">
      <c r="A1339" s="508">
        <v>18</v>
      </c>
      <c r="B1339" s="508" t="s">
        <v>127</v>
      </c>
      <c r="C1339" s="508">
        <v>104</v>
      </c>
      <c r="D1339" s="509" t="s">
        <v>89</v>
      </c>
      <c r="E1339" s="509" t="s">
        <v>165</v>
      </c>
      <c r="F1339" s="508" t="s">
        <v>1085</v>
      </c>
      <c r="G1339" s="510">
        <v>17</v>
      </c>
      <c r="H1339" s="511">
        <v>16149</v>
      </c>
      <c r="I1339" s="511">
        <v>274537</v>
      </c>
      <c r="J1339" s="511">
        <v>0</v>
      </c>
      <c r="K1339" s="511">
        <v>274537</v>
      </c>
      <c r="L1339" s="511">
        <v>21963</v>
      </c>
      <c r="M1339" s="511">
        <v>296500</v>
      </c>
      <c r="N1339" s="512">
        <v>4.8499999999999988E-2</v>
      </c>
      <c r="O1339" s="509" t="s">
        <v>1086</v>
      </c>
    </row>
    <row r="1340" spans="1:15" x14ac:dyDescent="0.25">
      <c r="A1340" s="508">
        <v>18</v>
      </c>
      <c r="B1340" s="508" t="s">
        <v>127</v>
      </c>
      <c r="C1340" s="508">
        <v>95</v>
      </c>
      <c r="D1340" s="509" t="s">
        <v>87</v>
      </c>
      <c r="E1340" s="509" t="s">
        <v>1090</v>
      </c>
      <c r="F1340" s="508" t="s">
        <v>1085</v>
      </c>
      <c r="G1340" s="510">
        <v>4</v>
      </c>
      <c r="H1340" s="511">
        <v>926</v>
      </c>
      <c r="I1340" s="511">
        <v>3704</v>
      </c>
      <c r="J1340" s="511">
        <v>0</v>
      </c>
      <c r="K1340" s="511">
        <v>3704</v>
      </c>
      <c r="L1340" s="511">
        <v>296</v>
      </c>
      <c r="M1340" s="511">
        <v>4000</v>
      </c>
      <c r="N1340" s="512">
        <v>7.000000000000001E-4</v>
      </c>
      <c r="O1340" s="509" t="s">
        <v>1086</v>
      </c>
    </row>
    <row r="1341" spans="1:15" x14ac:dyDescent="0.25">
      <c r="A1341" s="508">
        <v>18</v>
      </c>
      <c r="B1341" s="508" t="s">
        <v>127</v>
      </c>
      <c r="C1341" s="508">
        <v>136</v>
      </c>
      <c r="D1341" s="509" t="s">
        <v>89</v>
      </c>
      <c r="E1341" s="509" t="s">
        <v>1091</v>
      </c>
      <c r="F1341" s="508" t="s">
        <v>1085</v>
      </c>
      <c r="G1341" s="510">
        <v>1</v>
      </c>
      <c r="H1341" s="511">
        <v>24074</v>
      </c>
      <c r="I1341" s="511">
        <v>24074</v>
      </c>
      <c r="J1341" s="511">
        <v>0</v>
      </c>
      <c r="K1341" s="511">
        <v>24074</v>
      </c>
      <c r="L1341" s="511">
        <v>1926</v>
      </c>
      <c r="M1341" s="511">
        <v>26000</v>
      </c>
      <c r="N1341" s="512">
        <v>4.3E-3</v>
      </c>
      <c r="O1341" s="509" t="s">
        <v>1086</v>
      </c>
    </row>
    <row r="1342" spans="1:15" x14ac:dyDescent="0.25">
      <c r="A1342" s="508">
        <v>18</v>
      </c>
      <c r="B1342" s="508" t="s">
        <v>127</v>
      </c>
      <c r="C1342" s="508">
        <v>6</v>
      </c>
      <c r="D1342" s="509" t="s">
        <v>89</v>
      </c>
      <c r="E1342" s="509" t="s">
        <v>1147</v>
      </c>
      <c r="F1342" s="508" t="s">
        <v>1085</v>
      </c>
      <c r="G1342" s="510">
        <v>1</v>
      </c>
      <c r="H1342" s="511">
        <v>14815</v>
      </c>
      <c r="I1342" s="511">
        <v>14815</v>
      </c>
      <c r="J1342" s="511">
        <v>0</v>
      </c>
      <c r="K1342" s="511">
        <v>14815</v>
      </c>
      <c r="L1342" s="511">
        <v>1185</v>
      </c>
      <c r="M1342" s="511">
        <v>16000</v>
      </c>
      <c r="N1342" s="512">
        <v>2.5999999999999999E-3</v>
      </c>
      <c r="O1342" s="509" t="s">
        <v>1086</v>
      </c>
    </row>
    <row r="1343" spans="1:15" x14ac:dyDescent="0.25">
      <c r="A1343" s="508">
        <v>18</v>
      </c>
      <c r="B1343" s="508" t="s">
        <v>127</v>
      </c>
      <c r="C1343" s="508">
        <v>8</v>
      </c>
      <c r="D1343" s="509" t="s">
        <v>87</v>
      </c>
      <c r="E1343" s="509" t="s">
        <v>156</v>
      </c>
      <c r="F1343" s="508" t="s">
        <v>1085</v>
      </c>
      <c r="G1343" s="510">
        <v>6</v>
      </c>
      <c r="H1343" s="511">
        <v>19136</v>
      </c>
      <c r="I1343" s="511">
        <v>114815</v>
      </c>
      <c r="J1343" s="511">
        <v>0</v>
      </c>
      <c r="K1343" s="511">
        <v>114815</v>
      </c>
      <c r="L1343" s="511">
        <v>9185</v>
      </c>
      <c r="M1343" s="511">
        <v>124000</v>
      </c>
      <c r="N1343" s="512">
        <v>2.0299999999999999E-2</v>
      </c>
      <c r="O1343" s="509" t="s">
        <v>1086</v>
      </c>
    </row>
    <row r="1344" spans="1:15" x14ac:dyDescent="0.25">
      <c r="A1344" s="508">
        <v>18</v>
      </c>
      <c r="B1344" s="508" t="s">
        <v>127</v>
      </c>
      <c r="C1344" s="508">
        <v>311</v>
      </c>
      <c r="D1344" s="509" t="s">
        <v>93</v>
      </c>
      <c r="E1344" s="509" t="s">
        <v>1092</v>
      </c>
      <c r="F1344" s="508" t="s">
        <v>1085</v>
      </c>
      <c r="G1344" s="510">
        <v>3</v>
      </c>
      <c r="H1344" s="511">
        <v>44907</v>
      </c>
      <c r="I1344" s="511">
        <v>134722</v>
      </c>
      <c r="J1344" s="511">
        <v>0</v>
      </c>
      <c r="K1344" s="511">
        <v>134722</v>
      </c>
      <c r="L1344" s="511">
        <v>10778</v>
      </c>
      <c r="M1344" s="511">
        <v>145500</v>
      </c>
      <c r="N1344" s="512">
        <v>2.3800000000000002E-2</v>
      </c>
      <c r="O1344" s="509" t="s">
        <v>1086</v>
      </c>
    </row>
    <row r="1345" spans="1:15" x14ac:dyDescent="0.25">
      <c r="A1345" s="508">
        <v>18</v>
      </c>
      <c r="B1345" s="508" t="s">
        <v>127</v>
      </c>
      <c r="C1345" s="508">
        <v>206</v>
      </c>
      <c r="D1345" s="509" t="s">
        <v>93</v>
      </c>
      <c r="E1345" s="509" t="s">
        <v>1093</v>
      </c>
      <c r="F1345" s="508" t="s">
        <v>1085</v>
      </c>
      <c r="G1345" s="510">
        <v>4</v>
      </c>
      <c r="H1345" s="511">
        <v>44907</v>
      </c>
      <c r="I1345" s="511">
        <v>179630</v>
      </c>
      <c r="J1345" s="511">
        <v>0</v>
      </c>
      <c r="K1345" s="511">
        <v>179630</v>
      </c>
      <c r="L1345" s="511">
        <v>14370</v>
      </c>
      <c r="M1345" s="511">
        <v>194000</v>
      </c>
      <c r="N1345" s="512">
        <v>3.1699999999999999E-2</v>
      </c>
      <c r="O1345" s="509" t="s">
        <v>1086</v>
      </c>
    </row>
    <row r="1346" spans="1:15" x14ac:dyDescent="0.25">
      <c r="A1346" s="508">
        <v>18</v>
      </c>
      <c r="B1346" s="508" t="s">
        <v>127</v>
      </c>
      <c r="C1346" s="508">
        <v>246</v>
      </c>
      <c r="D1346" s="509" t="s">
        <v>91</v>
      </c>
      <c r="E1346" s="509" t="s">
        <v>1095</v>
      </c>
      <c r="F1346" s="508" t="s">
        <v>1085</v>
      </c>
      <c r="G1346" s="510">
        <v>2</v>
      </c>
      <c r="H1346" s="511">
        <v>6481</v>
      </c>
      <c r="I1346" s="511">
        <v>12963</v>
      </c>
      <c r="J1346" s="511">
        <v>0</v>
      </c>
      <c r="K1346" s="511">
        <v>12963</v>
      </c>
      <c r="L1346" s="511">
        <v>1037</v>
      </c>
      <c r="M1346" s="511">
        <v>14000</v>
      </c>
      <c r="N1346" s="512">
        <v>2.3E-3</v>
      </c>
      <c r="O1346" s="509" t="s">
        <v>1086</v>
      </c>
    </row>
    <row r="1347" spans="1:15" x14ac:dyDescent="0.25">
      <c r="A1347" s="508">
        <v>18</v>
      </c>
      <c r="B1347" s="508" t="s">
        <v>127</v>
      </c>
      <c r="C1347" s="508">
        <v>70</v>
      </c>
      <c r="D1347" s="509" t="s">
        <v>91</v>
      </c>
      <c r="E1347" s="509" t="s">
        <v>1096</v>
      </c>
      <c r="F1347" s="508" t="s">
        <v>1085</v>
      </c>
      <c r="G1347" s="510">
        <v>2</v>
      </c>
      <c r="H1347" s="511">
        <v>4630</v>
      </c>
      <c r="I1347" s="511">
        <v>9259</v>
      </c>
      <c r="J1347" s="511">
        <v>0</v>
      </c>
      <c r="K1347" s="511">
        <v>9259</v>
      </c>
      <c r="L1347" s="511">
        <v>741</v>
      </c>
      <c r="M1347" s="511">
        <v>10000</v>
      </c>
      <c r="N1347" s="512">
        <v>1.6000000000000001E-3</v>
      </c>
      <c r="O1347" s="509" t="s">
        <v>1086</v>
      </c>
    </row>
    <row r="1348" spans="1:15" x14ac:dyDescent="0.25">
      <c r="A1348" s="508">
        <v>18</v>
      </c>
      <c r="B1348" s="508" t="s">
        <v>127</v>
      </c>
      <c r="C1348" s="508">
        <v>71</v>
      </c>
      <c r="D1348" s="509" t="s">
        <v>91</v>
      </c>
      <c r="E1348" s="509" t="s">
        <v>1097</v>
      </c>
      <c r="F1348" s="508" t="s">
        <v>1085</v>
      </c>
      <c r="G1348" s="510">
        <v>2</v>
      </c>
      <c r="H1348" s="511">
        <v>5556</v>
      </c>
      <c r="I1348" s="511">
        <v>11111</v>
      </c>
      <c r="J1348" s="511">
        <v>0</v>
      </c>
      <c r="K1348" s="511">
        <v>11111</v>
      </c>
      <c r="L1348" s="511">
        <v>889</v>
      </c>
      <c r="M1348" s="511">
        <v>12000</v>
      </c>
      <c r="N1348" s="512">
        <v>2E-3</v>
      </c>
      <c r="O1348" s="509" t="s">
        <v>1086</v>
      </c>
    </row>
    <row r="1349" spans="1:15" x14ac:dyDescent="0.25">
      <c r="A1349" s="508">
        <v>18</v>
      </c>
      <c r="B1349" s="508" t="s">
        <v>127</v>
      </c>
      <c r="C1349" s="508">
        <v>52</v>
      </c>
      <c r="D1349" s="509" t="s">
        <v>87</v>
      </c>
      <c r="E1349" s="509" t="s">
        <v>1149</v>
      </c>
      <c r="F1349" s="508" t="s">
        <v>1085</v>
      </c>
      <c r="G1349" s="510">
        <v>1</v>
      </c>
      <c r="H1349" s="511">
        <v>5556</v>
      </c>
      <c r="I1349" s="511">
        <v>5556</v>
      </c>
      <c r="J1349" s="511">
        <v>0</v>
      </c>
      <c r="K1349" s="511">
        <v>5556</v>
      </c>
      <c r="L1349" s="511">
        <v>444</v>
      </c>
      <c r="M1349" s="511">
        <v>6000</v>
      </c>
      <c r="N1349" s="512">
        <v>1E-3</v>
      </c>
      <c r="O1349" s="509" t="s">
        <v>1086</v>
      </c>
    </row>
    <row r="1350" spans="1:15" x14ac:dyDescent="0.25">
      <c r="A1350" s="508">
        <v>18</v>
      </c>
      <c r="B1350" s="508" t="s">
        <v>127</v>
      </c>
      <c r="C1350" s="508">
        <v>43</v>
      </c>
      <c r="D1350" s="509" t="s">
        <v>87</v>
      </c>
      <c r="E1350" s="509" t="s">
        <v>1099</v>
      </c>
      <c r="F1350" s="508" t="s">
        <v>1085</v>
      </c>
      <c r="G1350" s="510">
        <v>6</v>
      </c>
      <c r="H1350" s="511">
        <v>8333</v>
      </c>
      <c r="I1350" s="511">
        <v>50000</v>
      </c>
      <c r="J1350" s="511">
        <v>0</v>
      </c>
      <c r="K1350" s="511">
        <v>50000</v>
      </c>
      <c r="L1350" s="511">
        <v>4000</v>
      </c>
      <c r="M1350" s="511">
        <v>54000</v>
      </c>
      <c r="N1350" s="512">
        <v>8.8000000000000005E-3</v>
      </c>
      <c r="O1350" s="509" t="s">
        <v>1086</v>
      </c>
    </row>
    <row r="1351" spans="1:15" x14ac:dyDescent="0.25">
      <c r="A1351" s="508">
        <v>18</v>
      </c>
      <c r="B1351" s="508" t="s">
        <v>127</v>
      </c>
      <c r="C1351" s="508">
        <v>41</v>
      </c>
      <c r="D1351" s="509" t="s">
        <v>87</v>
      </c>
      <c r="E1351" s="509" t="s">
        <v>168</v>
      </c>
      <c r="F1351" s="508" t="s">
        <v>1085</v>
      </c>
      <c r="G1351" s="510">
        <v>2</v>
      </c>
      <c r="H1351" s="511">
        <v>49074</v>
      </c>
      <c r="I1351" s="511">
        <v>98148</v>
      </c>
      <c r="J1351" s="511">
        <v>0</v>
      </c>
      <c r="K1351" s="511">
        <v>98148</v>
      </c>
      <c r="L1351" s="511">
        <v>7852</v>
      </c>
      <c r="M1351" s="511">
        <v>106000</v>
      </c>
      <c r="N1351" s="512">
        <v>1.7299999999999999E-2</v>
      </c>
      <c r="O1351" s="509" t="s">
        <v>1086</v>
      </c>
    </row>
    <row r="1352" spans="1:15" x14ac:dyDescent="0.25">
      <c r="A1352" s="508">
        <v>18</v>
      </c>
      <c r="B1352" s="508" t="s">
        <v>127</v>
      </c>
      <c r="C1352" s="508">
        <v>122</v>
      </c>
      <c r="D1352" s="509" t="s">
        <v>91</v>
      </c>
      <c r="E1352" s="509" t="s">
        <v>1100</v>
      </c>
      <c r="F1352" s="508" t="s">
        <v>1085</v>
      </c>
      <c r="G1352" s="510">
        <v>4</v>
      </c>
      <c r="H1352" s="511">
        <v>2778</v>
      </c>
      <c r="I1352" s="511">
        <v>11111</v>
      </c>
      <c r="J1352" s="511">
        <v>0</v>
      </c>
      <c r="K1352" s="511">
        <v>11111</v>
      </c>
      <c r="L1352" s="511">
        <v>889</v>
      </c>
      <c r="M1352" s="511">
        <v>12000</v>
      </c>
      <c r="N1352" s="512">
        <v>2E-3</v>
      </c>
      <c r="O1352" s="509" t="s">
        <v>1086</v>
      </c>
    </row>
    <row r="1353" spans="1:15" x14ac:dyDescent="0.25">
      <c r="A1353" s="508">
        <v>18</v>
      </c>
      <c r="B1353" s="508" t="s">
        <v>127</v>
      </c>
      <c r="C1353" s="508">
        <v>44</v>
      </c>
      <c r="D1353" s="509" t="s">
        <v>87</v>
      </c>
      <c r="E1353" s="509" t="s">
        <v>138</v>
      </c>
      <c r="F1353" s="508" t="s">
        <v>1085</v>
      </c>
      <c r="G1353" s="510">
        <v>3</v>
      </c>
      <c r="H1353" s="511">
        <v>28241</v>
      </c>
      <c r="I1353" s="511">
        <v>84722</v>
      </c>
      <c r="J1353" s="511">
        <v>0</v>
      </c>
      <c r="K1353" s="511">
        <v>84722</v>
      </c>
      <c r="L1353" s="511">
        <v>6778</v>
      </c>
      <c r="M1353" s="511">
        <v>91500</v>
      </c>
      <c r="N1353" s="512">
        <v>1.4999999999999999E-2</v>
      </c>
      <c r="O1353" s="509" t="s">
        <v>1086</v>
      </c>
    </row>
    <row r="1354" spans="1:15" x14ac:dyDescent="0.25">
      <c r="A1354" s="508">
        <v>18</v>
      </c>
      <c r="B1354" s="508" t="s">
        <v>127</v>
      </c>
      <c r="C1354" s="508">
        <v>110</v>
      </c>
      <c r="D1354" s="509" t="s">
        <v>99</v>
      </c>
      <c r="E1354" s="509" t="s">
        <v>1101</v>
      </c>
      <c r="F1354" s="508" t="s">
        <v>1085</v>
      </c>
      <c r="G1354" s="510">
        <v>12</v>
      </c>
      <c r="H1354" s="511">
        <v>926</v>
      </c>
      <c r="I1354" s="511">
        <v>11111</v>
      </c>
      <c r="J1354" s="511">
        <v>0</v>
      </c>
      <c r="K1354" s="511">
        <v>11111</v>
      </c>
      <c r="L1354" s="511">
        <v>889</v>
      </c>
      <c r="M1354" s="511">
        <v>12000</v>
      </c>
      <c r="N1354" s="512">
        <v>2E-3</v>
      </c>
      <c r="O1354" s="509" t="s">
        <v>1086</v>
      </c>
    </row>
    <row r="1355" spans="1:15" x14ac:dyDescent="0.25">
      <c r="A1355" s="508">
        <v>18</v>
      </c>
      <c r="B1355" s="508" t="s">
        <v>127</v>
      </c>
      <c r="C1355" s="508">
        <v>102</v>
      </c>
      <c r="D1355" s="509" t="s">
        <v>87</v>
      </c>
      <c r="E1355" s="509" t="s">
        <v>1151</v>
      </c>
      <c r="F1355" s="508" t="s">
        <v>1085</v>
      </c>
      <c r="G1355" s="510">
        <v>3</v>
      </c>
      <c r="H1355" s="511">
        <v>6944</v>
      </c>
      <c r="I1355" s="511">
        <v>20833</v>
      </c>
      <c r="J1355" s="511">
        <v>0</v>
      </c>
      <c r="K1355" s="511">
        <v>20833</v>
      </c>
      <c r="L1355" s="511">
        <v>1667</v>
      </c>
      <c r="M1355" s="511">
        <v>22500</v>
      </c>
      <c r="N1355" s="512">
        <v>3.7000000000000002E-3</v>
      </c>
      <c r="O1355" s="509" t="s">
        <v>1086</v>
      </c>
    </row>
    <row r="1356" spans="1:15" x14ac:dyDescent="0.25">
      <c r="A1356" s="508">
        <v>18</v>
      </c>
      <c r="B1356" s="508" t="s">
        <v>127</v>
      </c>
      <c r="C1356" s="508">
        <v>45</v>
      </c>
      <c r="D1356" s="509" t="s">
        <v>87</v>
      </c>
      <c r="E1356" s="509" t="s">
        <v>1102</v>
      </c>
      <c r="F1356" s="508" t="s">
        <v>1085</v>
      </c>
      <c r="G1356" s="510">
        <v>2</v>
      </c>
      <c r="H1356" s="511">
        <v>35648</v>
      </c>
      <c r="I1356" s="511">
        <v>71296</v>
      </c>
      <c r="J1356" s="511">
        <v>0</v>
      </c>
      <c r="K1356" s="511">
        <v>71296</v>
      </c>
      <c r="L1356" s="511">
        <v>5704</v>
      </c>
      <c r="M1356" s="511">
        <v>77000</v>
      </c>
      <c r="N1356" s="512">
        <v>1.26E-2</v>
      </c>
      <c r="O1356" s="509" t="s">
        <v>1086</v>
      </c>
    </row>
    <row r="1357" spans="1:15" x14ac:dyDescent="0.25">
      <c r="A1357" s="508">
        <v>18</v>
      </c>
      <c r="B1357" s="508" t="s">
        <v>127</v>
      </c>
      <c r="C1357" s="508">
        <v>30</v>
      </c>
      <c r="D1357" s="509" t="s">
        <v>95</v>
      </c>
      <c r="E1357" s="509" t="s">
        <v>1103</v>
      </c>
      <c r="F1357" s="508" t="s">
        <v>1085</v>
      </c>
      <c r="G1357" s="510">
        <v>3</v>
      </c>
      <c r="H1357" s="511">
        <v>6481</v>
      </c>
      <c r="I1357" s="511">
        <v>19444</v>
      </c>
      <c r="J1357" s="511">
        <v>0</v>
      </c>
      <c r="K1357" s="511">
        <v>19444</v>
      </c>
      <c r="L1357" s="511">
        <v>1556</v>
      </c>
      <c r="M1357" s="511">
        <v>21000</v>
      </c>
      <c r="N1357" s="512">
        <v>3.3999999999999998E-3</v>
      </c>
      <c r="O1357" s="509" t="s">
        <v>1086</v>
      </c>
    </row>
    <row r="1358" spans="1:15" x14ac:dyDescent="0.25">
      <c r="A1358" s="508">
        <v>18</v>
      </c>
      <c r="B1358" s="508" t="s">
        <v>127</v>
      </c>
      <c r="C1358" s="508">
        <v>305</v>
      </c>
      <c r="D1358" s="509" t="s">
        <v>91</v>
      </c>
      <c r="E1358" s="509" t="s">
        <v>1104</v>
      </c>
      <c r="F1358" s="508" t="s">
        <v>1085</v>
      </c>
      <c r="G1358" s="510">
        <v>1</v>
      </c>
      <c r="H1358" s="511">
        <v>9259</v>
      </c>
      <c r="I1358" s="511">
        <v>9259</v>
      </c>
      <c r="J1358" s="511">
        <v>0</v>
      </c>
      <c r="K1358" s="511">
        <v>9259</v>
      </c>
      <c r="L1358" s="511">
        <v>741</v>
      </c>
      <c r="M1358" s="511">
        <v>10000</v>
      </c>
      <c r="N1358" s="512">
        <v>1.6000000000000001E-3</v>
      </c>
      <c r="O1358" s="509" t="s">
        <v>1086</v>
      </c>
    </row>
    <row r="1359" spans="1:15" x14ac:dyDescent="0.25">
      <c r="A1359" s="508">
        <v>18</v>
      </c>
      <c r="B1359" s="508" t="s">
        <v>127</v>
      </c>
      <c r="C1359" s="508">
        <v>94</v>
      </c>
      <c r="D1359" s="509" t="s">
        <v>89</v>
      </c>
      <c r="E1359" s="509" t="s">
        <v>153</v>
      </c>
      <c r="F1359" s="508" t="s">
        <v>1085</v>
      </c>
      <c r="G1359" s="510">
        <v>12</v>
      </c>
      <c r="H1359" s="511">
        <v>18653</v>
      </c>
      <c r="I1359" s="511">
        <v>225000</v>
      </c>
      <c r="J1359" s="511">
        <v>1165</v>
      </c>
      <c r="K1359" s="511">
        <v>223835</v>
      </c>
      <c r="L1359" s="511">
        <v>17907</v>
      </c>
      <c r="M1359" s="511">
        <v>241742</v>
      </c>
      <c r="N1359" s="512">
        <v>3.95E-2</v>
      </c>
      <c r="O1359" s="509" t="s">
        <v>1086</v>
      </c>
    </row>
    <row r="1360" spans="1:15" x14ac:dyDescent="0.25">
      <c r="A1360" s="508">
        <v>18</v>
      </c>
      <c r="B1360" s="508" t="s">
        <v>127</v>
      </c>
      <c r="C1360" s="508">
        <v>233</v>
      </c>
      <c r="D1360" s="509" t="s">
        <v>89</v>
      </c>
      <c r="E1360" s="509" t="s">
        <v>117</v>
      </c>
      <c r="F1360" s="508" t="s">
        <v>1085</v>
      </c>
      <c r="G1360" s="510">
        <v>59</v>
      </c>
      <c r="H1360" s="511">
        <v>18596</v>
      </c>
      <c r="I1360" s="511">
        <v>1098148</v>
      </c>
      <c r="J1360" s="511">
        <v>988</v>
      </c>
      <c r="K1360" s="511">
        <v>1097161</v>
      </c>
      <c r="L1360" s="511">
        <v>87773</v>
      </c>
      <c r="M1360" s="511">
        <v>1184933</v>
      </c>
      <c r="N1360" s="512">
        <v>0.1938</v>
      </c>
      <c r="O1360" s="509" t="s">
        <v>1086</v>
      </c>
    </row>
    <row r="1361" spans="1:15" x14ac:dyDescent="0.25">
      <c r="A1361" s="508">
        <v>18</v>
      </c>
      <c r="B1361" s="508" t="s">
        <v>127</v>
      </c>
      <c r="C1361" s="508">
        <v>217</v>
      </c>
      <c r="D1361" s="509" t="s">
        <v>89</v>
      </c>
      <c r="E1361" s="509" t="s">
        <v>1105</v>
      </c>
      <c r="F1361" s="508" t="s">
        <v>1085</v>
      </c>
      <c r="G1361" s="510">
        <v>4</v>
      </c>
      <c r="H1361" s="511">
        <v>27778</v>
      </c>
      <c r="I1361" s="511">
        <v>111111</v>
      </c>
      <c r="J1361" s="511">
        <v>0</v>
      </c>
      <c r="K1361" s="511">
        <v>111111</v>
      </c>
      <c r="L1361" s="511">
        <v>8889</v>
      </c>
      <c r="M1361" s="511">
        <v>120000</v>
      </c>
      <c r="N1361" s="512">
        <v>1.9599999999999999E-2</v>
      </c>
      <c r="O1361" s="509" t="s">
        <v>1086</v>
      </c>
    </row>
    <row r="1362" spans="1:15" x14ac:dyDescent="0.25">
      <c r="A1362" s="508">
        <v>18</v>
      </c>
      <c r="B1362" s="508" t="s">
        <v>127</v>
      </c>
      <c r="C1362" s="508">
        <v>218</v>
      </c>
      <c r="D1362" s="509" t="s">
        <v>89</v>
      </c>
      <c r="E1362" s="509" t="s">
        <v>1106</v>
      </c>
      <c r="F1362" s="508" t="s">
        <v>1085</v>
      </c>
      <c r="G1362" s="510">
        <v>14</v>
      </c>
      <c r="H1362" s="511">
        <v>18717</v>
      </c>
      <c r="I1362" s="511">
        <v>262037</v>
      </c>
      <c r="J1362" s="511">
        <v>0</v>
      </c>
      <c r="K1362" s="511">
        <v>262037</v>
      </c>
      <c r="L1362" s="511">
        <v>20963</v>
      </c>
      <c r="M1362" s="511">
        <v>283000</v>
      </c>
      <c r="N1362" s="512">
        <v>4.6300000000000001E-2</v>
      </c>
      <c r="O1362" s="509" t="s">
        <v>1086</v>
      </c>
    </row>
    <row r="1363" spans="1:15" x14ac:dyDescent="0.25">
      <c r="A1363" s="508">
        <v>18</v>
      </c>
      <c r="B1363" s="508" t="s">
        <v>127</v>
      </c>
      <c r="C1363" s="508">
        <v>34</v>
      </c>
      <c r="D1363" s="509" t="s">
        <v>91</v>
      </c>
      <c r="E1363" s="509" t="s">
        <v>1107</v>
      </c>
      <c r="F1363" s="508" t="s">
        <v>1085</v>
      </c>
      <c r="G1363" s="510">
        <v>1</v>
      </c>
      <c r="H1363" s="511">
        <v>6481</v>
      </c>
      <c r="I1363" s="511">
        <v>6481</v>
      </c>
      <c r="J1363" s="511">
        <v>0</v>
      </c>
      <c r="K1363" s="511">
        <v>6481</v>
      </c>
      <c r="L1363" s="511">
        <v>519</v>
      </c>
      <c r="M1363" s="511">
        <v>7000</v>
      </c>
      <c r="N1363" s="512">
        <v>1.1000000000000001E-3</v>
      </c>
      <c r="O1363" s="509" t="s">
        <v>1086</v>
      </c>
    </row>
    <row r="1364" spans="1:15" x14ac:dyDescent="0.25">
      <c r="A1364" s="508">
        <v>18</v>
      </c>
      <c r="B1364" s="508" t="s">
        <v>127</v>
      </c>
      <c r="C1364" s="508">
        <v>121</v>
      </c>
      <c r="D1364" s="509" t="s">
        <v>91</v>
      </c>
      <c r="E1364" s="509" t="s">
        <v>1108</v>
      </c>
      <c r="F1364" s="508" t="s">
        <v>1085</v>
      </c>
      <c r="G1364" s="510">
        <v>6</v>
      </c>
      <c r="H1364" s="511">
        <v>2778</v>
      </c>
      <c r="I1364" s="511">
        <v>16667</v>
      </c>
      <c r="J1364" s="511">
        <v>0</v>
      </c>
      <c r="K1364" s="511">
        <v>16667</v>
      </c>
      <c r="L1364" s="511">
        <v>1333</v>
      </c>
      <c r="M1364" s="511">
        <v>18000</v>
      </c>
      <c r="N1364" s="512">
        <v>2.8999999999999998E-3</v>
      </c>
      <c r="O1364" s="509" t="s">
        <v>1086</v>
      </c>
    </row>
    <row r="1365" spans="1:15" x14ac:dyDescent="0.25">
      <c r="A1365" s="508">
        <v>18</v>
      </c>
      <c r="B1365" s="508" t="s">
        <v>127</v>
      </c>
      <c r="C1365" s="508">
        <v>208</v>
      </c>
      <c r="D1365" s="509" t="s">
        <v>91</v>
      </c>
      <c r="E1365" s="509" t="s">
        <v>1109</v>
      </c>
      <c r="F1365" s="508" t="s">
        <v>1085</v>
      </c>
      <c r="G1365" s="510">
        <v>3</v>
      </c>
      <c r="H1365" s="511">
        <v>3704</v>
      </c>
      <c r="I1365" s="511">
        <v>11111</v>
      </c>
      <c r="J1365" s="511">
        <v>0</v>
      </c>
      <c r="K1365" s="511">
        <v>11111</v>
      </c>
      <c r="L1365" s="511">
        <v>889</v>
      </c>
      <c r="M1365" s="511">
        <v>12000</v>
      </c>
      <c r="N1365" s="512">
        <v>2E-3</v>
      </c>
      <c r="O1365" s="509" t="s">
        <v>1086</v>
      </c>
    </row>
    <row r="1366" spans="1:15" x14ac:dyDescent="0.25">
      <c r="A1366" s="508">
        <v>18</v>
      </c>
      <c r="B1366" s="508" t="s">
        <v>127</v>
      </c>
      <c r="C1366" s="508">
        <v>318</v>
      </c>
      <c r="D1366" s="509" t="s">
        <v>91</v>
      </c>
      <c r="E1366" s="509" t="s">
        <v>1218</v>
      </c>
      <c r="F1366" s="508" t="s">
        <v>1085</v>
      </c>
      <c r="G1366" s="510">
        <v>1</v>
      </c>
      <c r="H1366" s="511">
        <v>4630</v>
      </c>
      <c r="I1366" s="511">
        <v>4630</v>
      </c>
      <c r="J1366" s="511">
        <v>0</v>
      </c>
      <c r="K1366" s="511">
        <v>4630</v>
      </c>
      <c r="L1366" s="511">
        <v>370</v>
      </c>
      <c r="M1366" s="511">
        <v>5000</v>
      </c>
      <c r="N1366" s="512">
        <v>8.0000000000000004E-4</v>
      </c>
      <c r="O1366" s="509" t="s">
        <v>1086</v>
      </c>
    </row>
    <row r="1367" spans="1:15" x14ac:dyDescent="0.25">
      <c r="A1367" s="508">
        <v>18</v>
      </c>
      <c r="B1367" s="508" t="s">
        <v>127</v>
      </c>
      <c r="C1367" s="508">
        <v>90</v>
      </c>
      <c r="D1367" s="509" t="s">
        <v>91</v>
      </c>
      <c r="E1367" s="509" t="s">
        <v>572</v>
      </c>
      <c r="F1367" s="508" t="s">
        <v>1085</v>
      </c>
      <c r="G1367" s="510">
        <v>2</v>
      </c>
      <c r="H1367" s="511">
        <v>4259</v>
      </c>
      <c r="I1367" s="511">
        <v>8519</v>
      </c>
      <c r="J1367" s="511">
        <v>0</v>
      </c>
      <c r="K1367" s="511">
        <v>8519</v>
      </c>
      <c r="L1367" s="511">
        <v>681</v>
      </c>
      <c r="M1367" s="511">
        <v>9200</v>
      </c>
      <c r="N1367" s="512">
        <v>1.5E-3</v>
      </c>
      <c r="O1367" s="509" t="s">
        <v>1086</v>
      </c>
    </row>
    <row r="1368" spans="1:15" x14ac:dyDescent="0.25">
      <c r="A1368" s="508">
        <v>18</v>
      </c>
      <c r="B1368" s="508" t="s">
        <v>127</v>
      </c>
      <c r="C1368" s="508">
        <v>123</v>
      </c>
      <c r="D1368" s="509" t="s">
        <v>91</v>
      </c>
      <c r="E1368" s="509" t="s">
        <v>1110</v>
      </c>
      <c r="F1368" s="508" t="s">
        <v>1085</v>
      </c>
      <c r="G1368" s="510">
        <v>1</v>
      </c>
      <c r="H1368" s="511">
        <v>2778</v>
      </c>
      <c r="I1368" s="511">
        <v>2778</v>
      </c>
      <c r="J1368" s="511">
        <v>0</v>
      </c>
      <c r="K1368" s="511">
        <v>2778</v>
      </c>
      <c r="L1368" s="511">
        <v>222</v>
      </c>
      <c r="M1368" s="511">
        <v>3000</v>
      </c>
      <c r="N1368" s="512">
        <v>5.0000000000000001E-4</v>
      </c>
      <c r="O1368" s="509" t="s">
        <v>1086</v>
      </c>
    </row>
    <row r="1369" spans="1:15" x14ac:dyDescent="0.25">
      <c r="A1369" s="508">
        <v>18</v>
      </c>
      <c r="B1369" s="508" t="s">
        <v>127</v>
      </c>
      <c r="C1369" s="508">
        <v>31</v>
      </c>
      <c r="D1369" s="509" t="s">
        <v>95</v>
      </c>
      <c r="E1369" s="509" t="s">
        <v>1111</v>
      </c>
      <c r="F1369" s="508" t="s">
        <v>1085</v>
      </c>
      <c r="G1369" s="510">
        <v>11</v>
      </c>
      <c r="H1369" s="511">
        <v>1197</v>
      </c>
      <c r="I1369" s="511">
        <v>13241</v>
      </c>
      <c r="J1369" s="511">
        <v>76</v>
      </c>
      <c r="K1369" s="511">
        <v>13165</v>
      </c>
      <c r="L1369" s="511">
        <v>1053</v>
      </c>
      <c r="M1369" s="511">
        <v>14218</v>
      </c>
      <c r="N1369" s="512">
        <v>2.3E-3</v>
      </c>
      <c r="O1369" s="509" t="s">
        <v>1086</v>
      </c>
    </row>
    <row r="1370" spans="1:15" x14ac:dyDescent="0.25">
      <c r="A1370" s="508">
        <v>18</v>
      </c>
      <c r="B1370" s="508" t="s">
        <v>127</v>
      </c>
      <c r="C1370" s="508">
        <v>201</v>
      </c>
      <c r="D1370" s="509" t="s">
        <v>91</v>
      </c>
      <c r="E1370" s="509" t="s">
        <v>1187</v>
      </c>
      <c r="F1370" s="508" t="s">
        <v>1085</v>
      </c>
      <c r="G1370" s="510">
        <v>1</v>
      </c>
      <c r="H1370" s="511">
        <v>18519</v>
      </c>
      <c r="I1370" s="511">
        <v>18519</v>
      </c>
      <c r="J1370" s="511">
        <v>0</v>
      </c>
      <c r="K1370" s="511">
        <v>18519</v>
      </c>
      <c r="L1370" s="511">
        <v>1481</v>
      </c>
      <c r="M1370" s="511">
        <v>20000</v>
      </c>
      <c r="N1370" s="512">
        <v>3.3E-3</v>
      </c>
      <c r="O1370" s="509" t="s">
        <v>1086</v>
      </c>
    </row>
    <row r="1371" spans="1:15" x14ac:dyDescent="0.25">
      <c r="A1371" s="508">
        <v>18</v>
      </c>
      <c r="B1371" s="508" t="s">
        <v>127</v>
      </c>
      <c r="C1371" s="508">
        <v>212</v>
      </c>
      <c r="D1371" s="509" t="s">
        <v>91</v>
      </c>
      <c r="E1371" s="509" t="s">
        <v>162</v>
      </c>
      <c r="F1371" s="508" t="s">
        <v>1085</v>
      </c>
      <c r="G1371" s="510">
        <v>2</v>
      </c>
      <c r="H1371" s="511">
        <v>22222</v>
      </c>
      <c r="I1371" s="511">
        <v>44444</v>
      </c>
      <c r="J1371" s="511">
        <v>0</v>
      </c>
      <c r="K1371" s="511">
        <v>44444</v>
      </c>
      <c r="L1371" s="511">
        <v>3556</v>
      </c>
      <c r="M1371" s="511">
        <v>48000</v>
      </c>
      <c r="N1371" s="512">
        <v>7.8000000000000014E-3</v>
      </c>
      <c r="O1371" s="509" t="s">
        <v>1086</v>
      </c>
    </row>
    <row r="1372" spans="1:15" x14ac:dyDescent="0.25">
      <c r="A1372" s="508">
        <v>18</v>
      </c>
      <c r="B1372" s="508" t="s">
        <v>127</v>
      </c>
      <c r="C1372" s="508">
        <v>306</v>
      </c>
      <c r="D1372" s="509" t="s">
        <v>91</v>
      </c>
      <c r="E1372" s="509" t="s">
        <v>1176</v>
      </c>
      <c r="F1372" s="508" t="s">
        <v>1085</v>
      </c>
      <c r="G1372" s="510">
        <v>4</v>
      </c>
      <c r="H1372" s="511">
        <v>2315</v>
      </c>
      <c r="I1372" s="511">
        <v>9259</v>
      </c>
      <c r="J1372" s="511">
        <v>0</v>
      </c>
      <c r="K1372" s="511">
        <v>9259</v>
      </c>
      <c r="L1372" s="511">
        <v>741</v>
      </c>
      <c r="M1372" s="511">
        <v>10000</v>
      </c>
      <c r="N1372" s="512">
        <v>1.6000000000000001E-3</v>
      </c>
      <c r="O1372" s="509" t="s">
        <v>1086</v>
      </c>
    </row>
    <row r="1373" spans="1:15" x14ac:dyDescent="0.25">
      <c r="A1373" s="508">
        <v>18</v>
      </c>
      <c r="B1373" s="508" t="s">
        <v>127</v>
      </c>
      <c r="C1373" s="508">
        <v>235</v>
      </c>
      <c r="D1373" s="509" t="s">
        <v>91</v>
      </c>
      <c r="E1373" s="509" t="s">
        <v>1154</v>
      </c>
      <c r="F1373" s="508" t="s">
        <v>1085</v>
      </c>
      <c r="G1373" s="510">
        <v>1</v>
      </c>
      <c r="H1373" s="511">
        <v>3426</v>
      </c>
      <c r="I1373" s="511">
        <v>3426</v>
      </c>
      <c r="J1373" s="511">
        <v>0</v>
      </c>
      <c r="K1373" s="511">
        <v>3426</v>
      </c>
      <c r="L1373" s="511">
        <v>274</v>
      </c>
      <c r="M1373" s="511">
        <v>3700</v>
      </c>
      <c r="N1373" s="512">
        <v>5.9999999999999995E-4</v>
      </c>
      <c r="O1373" s="509" t="s">
        <v>1086</v>
      </c>
    </row>
    <row r="1374" spans="1:15" x14ac:dyDescent="0.25">
      <c r="A1374" s="508">
        <v>18</v>
      </c>
      <c r="B1374" s="508" t="s">
        <v>127</v>
      </c>
      <c r="C1374" s="508">
        <v>134</v>
      </c>
      <c r="D1374" s="509" t="s">
        <v>91</v>
      </c>
      <c r="E1374" s="509" t="s">
        <v>1168</v>
      </c>
      <c r="F1374" s="508" t="s">
        <v>1085</v>
      </c>
      <c r="G1374" s="510">
        <v>1</v>
      </c>
      <c r="H1374" s="511">
        <v>12963</v>
      </c>
      <c r="I1374" s="511">
        <v>12963</v>
      </c>
      <c r="J1374" s="511">
        <v>0</v>
      </c>
      <c r="K1374" s="511">
        <v>12963</v>
      </c>
      <c r="L1374" s="511">
        <v>1037</v>
      </c>
      <c r="M1374" s="511">
        <v>14000</v>
      </c>
      <c r="N1374" s="512">
        <v>2.3E-3</v>
      </c>
      <c r="O1374" s="509" t="s">
        <v>1086</v>
      </c>
    </row>
    <row r="1375" spans="1:15" x14ac:dyDescent="0.25">
      <c r="A1375" s="508">
        <v>18</v>
      </c>
      <c r="B1375" s="508" t="s">
        <v>127</v>
      </c>
      <c r="C1375" s="508">
        <v>501</v>
      </c>
      <c r="D1375" s="509" t="s">
        <v>91</v>
      </c>
      <c r="E1375" s="509" t="s">
        <v>1112</v>
      </c>
      <c r="F1375" s="508" t="s">
        <v>1085</v>
      </c>
      <c r="G1375" s="510">
        <v>1</v>
      </c>
      <c r="H1375" s="511">
        <v>22222</v>
      </c>
      <c r="I1375" s="511">
        <v>22222</v>
      </c>
      <c r="J1375" s="511">
        <v>0</v>
      </c>
      <c r="K1375" s="511">
        <v>22222</v>
      </c>
      <c r="L1375" s="511">
        <v>1778</v>
      </c>
      <c r="M1375" s="511">
        <v>24000</v>
      </c>
      <c r="N1375" s="512">
        <v>3.8999999999999998E-3</v>
      </c>
      <c r="O1375" s="509" t="s">
        <v>1086</v>
      </c>
    </row>
    <row r="1376" spans="1:15" x14ac:dyDescent="0.25">
      <c r="A1376" s="508">
        <v>18</v>
      </c>
      <c r="B1376" s="508" t="s">
        <v>127</v>
      </c>
      <c r="C1376" s="508">
        <v>75</v>
      </c>
      <c r="D1376" s="509" t="s">
        <v>91</v>
      </c>
      <c r="E1376" s="509" t="s">
        <v>1113</v>
      </c>
      <c r="F1376" s="508" t="s">
        <v>1085</v>
      </c>
      <c r="G1376" s="510">
        <v>1</v>
      </c>
      <c r="H1376" s="511">
        <v>9259</v>
      </c>
      <c r="I1376" s="511">
        <v>9259</v>
      </c>
      <c r="J1376" s="511">
        <v>0</v>
      </c>
      <c r="K1376" s="511">
        <v>9259</v>
      </c>
      <c r="L1376" s="511">
        <v>741</v>
      </c>
      <c r="M1376" s="511">
        <v>10000</v>
      </c>
      <c r="N1376" s="512">
        <v>1.6000000000000001E-3</v>
      </c>
      <c r="O1376" s="509" t="s">
        <v>1086</v>
      </c>
    </row>
    <row r="1377" spans="1:15" x14ac:dyDescent="0.25">
      <c r="A1377" s="508">
        <v>18</v>
      </c>
      <c r="B1377" s="508" t="s">
        <v>127</v>
      </c>
      <c r="C1377" s="508">
        <v>118</v>
      </c>
      <c r="D1377" s="509" t="s">
        <v>87</v>
      </c>
      <c r="E1377" s="509" t="s">
        <v>126</v>
      </c>
      <c r="F1377" s="508" t="s">
        <v>1085</v>
      </c>
      <c r="G1377" s="510">
        <v>3</v>
      </c>
      <c r="H1377" s="511">
        <v>41667</v>
      </c>
      <c r="I1377" s="511">
        <v>125000</v>
      </c>
      <c r="J1377" s="511">
        <v>0</v>
      </c>
      <c r="K1377" s="511">
        <v>125000</v>
      </c>
      <c r="L1377" s="511">
        <v>10000</v>
      </c>
      <c r="M1377" s="511">
        <v>135000</v>
      </c>
      <c r="N1377" s="512">
        <v>2.2100000000000002E-2</v>
      </c>
      <c r="O1377" s="509" t="s">
        <v>1086</v>
      </c>
    </row>
    <row r="1378" spans="1:15" x14ac:dyDescent="0.25">
      <c r="A1378" s="508">
        <v>18</v>
      </c>
      <c r="B1378" s="508" t="s">
        <v>127</v>
      </c>
      <c r="C1378" s="508">
        <v>204</v>
      </c>
      <c r="D1378" s="509" t="s">
        <v>91</v>
      </c>
      <c r="E1378" s="509" t="s">
        <v>1114</v>
      </c>
      <c r="F1378" s="508" t="s">
        <v>1085</v>
      </c>
      <c r="G1378" s="510">
        <v>2</v>
      </c>
      <c r="H1378" s="511">
        <v>12037</v>
      </c>
      <c r="I1378" s="511">
        <v>24074</v>
      </c>
      <c r="J1378" s="511">
        <v>0</v>
      </c>
      <c r="K1378" s="511">
        <v>24074</v>
      </c>
      <c r="L1378" s="511">
        <v>1926</v>
      </c>
      <c r="M1378" s="511">
        <v>26000</v>
      </c>
      <c r="N1378" s="512">
        <v>4.3E-3</v>
      </c>
      <c r="O1378" s="509" t="s">
        <v>1086</v>
      </c>
    </row>
    <row r="1379" spans="1:15" x14ac:dyDescent="0.25">
      <c r="A1379" s="508">
        <v>18</v>
      </c>
      <c r="B1379" s="508" t="s">
        <v>127</v>
      </c>
      <c r="C1379" s="508">
        <v>109</v>
      </c>
      <c r="D1379" s="509" t="s">
        <v>91</v>
      </c>
      <c r="E1379" s="509" t="s">
        <v>144</v>
      </c>
      <c r="F1379" s="508" t="s">
        <v>1085</v>
      </c>
      <c r="G1379" s="510">
        <v>2</v>
      </c>
      <c r="H1379" s="511">
        <v>12963</v>
      </c>
      <c r="I1379" s="511">
        <v>25926</v>
      </c>
      <c r="J1379" s="511">
        <v>0</v>
      </c>
      <c r="K1379" s="511">
        <v>25926</v>
      </c>
      <c r="L1379" s="511">
        <v>2074</v>
      </c>
      <c r="M1379" s="511">
        <v>28000</v>
      </c>
      <c r="N1379" s="512">
        <v>4.5999999999999999E-3</v>
      </c>
      <c r="O1379" s="509" t="s">
        <v>1086</v>
      </c>
    </row>
    <row r="1380" spans="1:15" x14ac:dyDescent="0.25">
      <c r="A1380" s="508">
        <v>18</v>
      </c>
      <c r="B1380" s="508" t="s">
        <v>127</v>
      </c>
      <c r="C1380" s="508">
        <v>147</v>
      </c>
      <c r="D1380" s="509" t="s">
        <v>91</v>
      </c>
      <c r="E1380" s="509" t="s">
        <v>1115</v>
      </c>
      <c r="F1380" s="508" t="s">
        <v>1085</v>
      </c>
      <c r="G1380" s="510">
        <v>1</v>
      </c>
      <c r="H1380" s="511">
        <v>6481</v>
      </c>
      <c r="I1380" s="511">
        <v>6481</v>
      </c>
      <c r="J1380" s="511">
        <v>0</v>
      </c>
      <c r="K1380" s="511">
        <v>6481</v>
      </c>
      <c r="L1380" s="511">
        <v>519</v>
      </c>
      <c r="M1380" s="511">
        <v>7000</v>
      </c>
      <c r="N1380" s="512">
        <v>1.1000000000000001E-3</v>
      </c>
      <c r="O1380" s="509" t="s">
        <v>1086</v>
      </c>
    </row>
    <row r="1381" spans="1:15" x14ac:dyDescent="0.25">
      <c r="A1381" s="508">
        <v>18</v>
      </c>
      <c r="B1381" s="508" t="s">
        <v>127</v>
      </c>
      <c r="C1381" s="508">
        <v>46</v>
      </c>
      <c r="D1381" s="509" t="s">
        <v>87</v>
      </c>
      <c r="E1381" s="509" t="s">
        <v>1116</v>
      </c>
      <c r="F1381" s="508" t="s">
        <v>1085</v>
      </c>
      <c r="G1381" s="510">
        <v>1</v>
      </c>
      <c r="H1381" s="511">
        <v>35648</v>
      </c>
      <c r="I1381" s="511">
        <v>35648</v>
      </c>
      <c r="J1381" s="511">
        <v>0</v>
      </c>
      <c r="K1381" s="511">
        <v>35648</v>
      </c>
      <c r="L1381" s="511">
        <v>2852</v>
      </c>
      <c r="M1381" s="511">
        <v>38500</v>
      </c>
      <c r="N1381" s="512">
        <v>6.3E-3</v>
      </c>
      <c r="O1381" s="509" t="s">
        <v>1086</v>
      </c>
    </row>
    <row r="1382" spans="1:15" x14ac:dyDescent="0.25">
      <c r="A1382" s="508">
        <v>18</v>
      </c>
      <c r="B1382" s="508" t="s">
        <v>127</v>
      </c>
      <c r="C1382" s="508">
        <v>227</v>
      </c>
      <c r="D1382" s="509" t="s">
        <v>87</v>
      </c>
      <c r="E1382" s="509" t="s">
        <v>1169</v>
      </c>
      <c r="F1382" s="508" t="s">
        <v>1085</v>
      </c>
      <c r="G1382" s="510">
        <v>3</v>
      </c>
      <c r="H1382" s="511">
        <v>1389</v>
      </c>
      <c r="I1382" s="511">
        <v>4167</v>
      </c>
      <c r="J1382" s="511">
        <v>0</v>
      </c>
      <c r="K1382" s="511">
        <v>4167</v>
      </c>
      <c r="L1382" s="511">
        <v>333</v>
      </c>
      <c r="M1382" s="511">
        <v>4500</v>
      </c>
      <c r="N1382" s="512">
        <v>7.000000000000001E-4</v>
      </c>
      <c r="O1382" s="509" t="s">
        <v>1086</v>
      </c>
    </row>
    <row r="1383" spans="1:15" x14ac:dyDescent="0.25">
      <c r="A1383" s="508">
        <v>18</v>
      </c>
      <c r="B1383" s="508" t="s">
        <v>127</v>
      </c>
      <c r="C1383" s="508">
        <v>93</v>
      </c>
      <c r="D1383" s="509" t="s">
        <v>89</v>
      </c>
      <c r="E1383" s="509" t="s">
        <v>123</v>
      </c>
      <c r="F1383" s="508" t="s">
        <v>1085</v>
      </c>
      <c r="G1383" s="510">
        <v>3</v>
      </c>
      <c r="H1383" s="511">
        <v>20370</v>
      </c>
      <c r="I1383" s="511">
        <v>61111</v>
      </c>
      <c r="J1383" s="511">
        <v>0</v>
      </c>
      <c r="K1383" s="511">
        <v>61111</v>
      </c>
      <c r="L1383" s="511">
        <v>4889</v>
      </c>
      <c r="M1383" s="511">
        <v>66000</v>
      </c>
      <c r="N1383" s="512">
        <v>1.0800000000000001E-2</v>
      </c>
      <c r="O1383" s="509" t="s">
        <v>1086</v>
      </c>
    </row>
    <row r="1384" spans="1:15" x14ac:dyDescent="0.25">
      <c r="A1384" s="508">
        <v>18</v>
      </c>
      <c r="B1384" s="508" t="s">
        <v>127</v>
      </c>
      <c r="C1384" s="508">
        <v>119</v>
      </c>
      <c r="D1384" s="509" t="s">
        <v>89</v>
      </c>
      <c r="E1384" s="509" t="s">
        <v>114</v>
      </c>
      <c r="F1384" s="508" t="s">
        <v>1085</v>
      </c>
      <c r="G1384" s="510">
        <v>8</v>
      </c>
      <c r="H1384" s="511">
        <v>44444</v>
      </c>
      <c r="I1384" s="511">
        <v>355556</v>
      </c>
      <c r="J1384" s="511">
        <v>0</v>
      </c>
      <c r="K1384" s="511">
        <v>355556</v>
      </c>
      <c r="L1384" s="511">
        <v>28444</v>
      </c>
      <c r="M1384" s="511">
        <v>384000</v>
      </c>
      <c r="N1384" s="512">
        <v>6.2800000000000009E-2</v>
      </c>
      <c r="O1384" s="509" t="s">
        <v>1086</v>
      </c>
    </row>
    <row r="1385" spans="1:15" x14ac:dyDescent="0.25">
      <c r="A1385" s="508">
        <v>18</v>
      </c>
      <c r="B1385" s="508" t="s">
        <v>127</v>
      </c>
      <c r="C1385" s="508">
        <v>19</v>
      </c>
      <c r="D1385" s="509" t="s">
        <v>87</v>
      </c>
      <c r="E1385" s="509" t="s">
        <v>1120</v>
      </c>
      <c r="F1385" s="508" t="s">
        <v>1085</v>
      </c>
      <c r="G1385" s="510">
        <v>3</v>
      </c>
      <c r="H1385" s="511">
        <v>9259</v>
      </c>
      <c r="I1385" s="511">
        <v>27778</v>
      </c>
      <c r="J1385" s="511">
        <v>0</v>
      </c>
      <c r="K1385" s="511">
        <v>27778</v>
      </c>
      <c r="L1385" s="511">
        <v>2222</v>
      </c>
      <c r="M1385" s="511">
        <v>30000</v>
      </c>
      <c r="N1385" s="512">
        <v>4.8999999999999998E-3</v>
      </c>
      <c r="O1385" s="509" t="s">
        <v>1086</v>
      </c>
    </row>
    <row r="1386" spans="1:15" x14ac:dyDescent="0.25">
      <c r="A1386" s="508">
        <v>18</v>
      </c>
      <c r="B1386" s="508" t="s">
        <v>127</v>
      </c>
      <c r="C1386" s="508">
        <v>20</v>
      </c>
      <c r="D1386" s="509" t="s">
        <v>87</v>
      </c>
      <c r="E1386" s="509" t="s">
        <v>1170</v>
      </c>
      <c r="F1386" s="508" t="s">
        <v>1085</v>
      </c>
      <c r="G1386" s="510">
        <v>1</v>
      </c>
      <c r="H1386" s="511">
        <v>6481</v>
      </c>
      <c r="I1386" s="511">
        <v>6481</v>
      </c>
      <c r="J1386" s="511">
        <v>0</v>
      </c>
      <c r="K1386" s="511">
        <v>6481</v>
      </c>
      <c r="L1386" s="511">
        <v>519</v>
      </c>
      <c r="M1386" s="511">
        <v>7000</v>
      </c>
      <c r="N1386" s="512">
        <v>1.1000000000000001E-3</v>
      </c>
      <c r="O1386" s="509" t="s">
        <v>1086</v>
      </c>
    </row>
    <row r="1387" spans="1:15" x14ac:dyDescent="0.25">
      <c r="A1387" s="508">
        <v>18</v>
      </c>
      <c r="B1387" s="508" t="s">
        <v>127</v>
      </c>
      <c r="C1387" s="508">
        <v>22</v>
      </c>
      <c r="D1387" s="509" t="s">
        <v>93</v>
      </c>
      <c r="E1387" s="509" t="s">
        <v>1177</v>
      </c>
      <c r="F1387" s="508" t="s">
        <v>1085</v>
      </c>
      <c r="G1387" s="510">
        <v>17</v>
      </c>
      <c r="H1387" s="511">
        <v>18627</v>
      </c>
      <c r="I1387" s="511">
        <v>316667</v>
      </c>
      <c r="J1387" s="511">
        <v>0</v>
      </c>
      <c r="K1387" s="511">
        <v>316667</v>
      </c>
      <c r="L1387" s="511">
        <v>25333</v>
      </c>
      <c r="M1387" s="511">
        <v>342000</v>
      </c>
      <c r="N1387" s="512">
        <v>5.5899999999999998E-2</v>
      </c>
      <c r="O1387" s="509" t="s">
        <v>1086</v>
      </c>
    </row>
    <row r="1388" spans="1:15" x14ac:dyDescent="0.25">
      <c r="A1388" s="508">
        <v>18</v>
      </c>
      <c r="B1388" s="508" t="s">
        <v>127</v>
      </c>
      <c r="C1388" s="508">
        <v>239</v>
      </c>
      <c r="D1388" s="509" t="s">
        <v>87</v>
      </c>
      <c r="E1388" s="509" t="s">
        <v>1178</v>
      </c>
      <c r="F1388" s="508" t="s">
        <v>1085</v>
      </c>
      <c r="G1388" s="510">
        <v>10</v>
      </c>
      <c r="H1388" s="511">
        <v>19074</v>
      </c>
      <c r="I1388" s="511">
        <v>190741</v>
      </c>
      <c r="J1388" s="511">
        <v>0</v>
      </c>
      <c r="K1388" s="511">
        <v>190741</v>
      </c>
      <c r="L1388" s="511">
        <v>15259</v>
      </c>
      <c r="M1388" s="511">
        <v>206000</v>
      </c>
      <c r="N1388" s="512">
        <v>3.3700000000000001E-2</v>
      </c>
      <c r="O1388" s="509" t="s">
        <v>1086</v>
      </c>
    </row>
    <row r="1389" spans="1:15" x14ac:dyDescent="0.25">
      <c r="A1389" s="508">
        <v>18</v>
      </c>
      <c r="B1389" s="508" t="s">
        <v>127</v>
      </c>
      <c r="C1389" s="508">
        <v>145</v>
      </c>
      <c r="D1389" s="509" t="s">
        <v>87</v>
      </c>
      <c r="E1389" s="509" t="s">
        <v>1179</v>
      </c>
      <c r="F1389" s="508" t="s">
        <v>1085</v>
      </c>
      <c r="G1389" s="510">
        <v>4</v>
      </c>
      <c r="H1389" s="511">
        <v>18519</v>
      </c>
      <c r="I1389" s="511">
        <v>74074</v>
      </c>
      <c r="J1389" s="511">
        <v>0</v>
      </c>
      <c r="K1389" s="511">
        <v>74074</v>
      </c>
      <c r="L1389" s="511">
        <v>5926</v>
      </c>
      <c r="M1389" s="511">
        <v>80000</v>
      </c>
      <c r="N1389" s="512">
        <v>1.3100000000000001E-2</v>
      </c>
      <c r="O1389" s="509" t="s">
        <v>1086</v>
      </c>
    </row>
    <row r="1390" spans="1:15" x14ac:dyDescent="0.25">
      <c r="A1390" s="508">
        <v>18</v>
      </c>
      <c r="B1390" s="508" t="s">
        <v>127</v>
      </c>
      <c r="C1390" s="508">
        <v>111</v>
      </c>
      <c r="D1390" s="509" t="s">
        <v>87</v>
      </c>
      <c r="E1390" s="509" t="s">
        <v>1192</v>
      </c>
      <c r="F1390" s="508" t="s">
        <v>1085</v>
      </c>
      <c r="G1390" s="510">
        <v>2</v>
      </c>
      <c r="H1390" s="511">
        <v>6481</v>
      </c>
      <c r="I1390" s="511">
        <v>12963</v>
      </c>
      <c r="J1390" s="511">
        <v>0</v>
      </c>
      <c r="K1390" s="511">
        <v>12963</v>
      </c>
      <c r="L1390" s="511">
        <v>1037</v>
      </c>
      <c r="M1390" s="511">
        <v>14000</v>
      </c>
      <c r="N1390" s="512">
        <v>2.3E-3</v>
      </c>
      <c r="O1390" s="509" t="s">
        <v>1086</v>
      </c>
    </row>
    <row r="1391" spans="1:15" x14ac:dyDescent="0.25">
      <c r="A1391" s="508">
        <v>18</v>
      </c>
      <c r="B1391" s="508" t="s">
        <v>127</v>
      </c>
      <c r="C1391" s="508">
        <v>240</v>
      </c>
      <c r="D1391" s="509" t="s">
        <v>87</v>
      </c>
      <c r="E1391" s="509" t="s">
        <v>1180</v>
      </c>
      <c r="F1391" s="508" t="s">
        <v>1085</v>
      </c>
      <c r="G1391" s="510">
        <v>4</v>
      </c>
      <c r="H1391" s="511">
        <v>6481</v>
      </c>
      <c r="I1391" s="511">
        <v>25926</v>
      </c>
      <c r="J1391" s="511">
        <v>0</v>
      </c>
      <c r="K1391" s="511">
        <v>25926</v>
      </c>
      <c r="L1391" s="511">
        <v>2074</v>
      </c>
      <c r="M1391" s="511">
        <v>28000</v>
      </c>
      <c r="N1391" s="512">
        <v>4.5999999999999999E-3</v>
      </c>
      <c r="O1391" s="509" t="s">
        <v>1086</v>
      </c>
    </row>
    <row r="1392" spans="1:15" x14ac:dyDescent="0.25">
      <c r="A1392" s="508">
        <v>18</v>
      </c>
      <c r="B1392" s="508" t="s">
        <v>127</v>
      </c>
      <c r="C1392" s="508">
        <v>156</v>
      </c>
      <c r="D1392" s="509" t="s">
        <v>93</v>
      </c>
      <c r="E1392" s="509" t="s">
        <v>1181</v>
      </c>
      <c r="F1392" s="508" t="s">
        <v>1085</v>
      </c>
      <c r="G1392" s="510">
        <v>6</v>
      </c>
      <c r="H1392" s="511">
        <v>6414</v>
      </c>
      <c r="I1392" s="511">
        <v>38889</v>
      </c>
      <c r="J1392" s="511">
        <v>408</v>
      </c>
      <c r="K1392" s="511">
        <v>38481</v>
      </c>
      <c r="L1392" s="511">
        <v>3079</v>
      </c>
      <c r="M1392" s="511">
        <v>41560</v>
      </c>
      <c r="N1392" s="512">
        <v>6.7999999999999996E-3</v>
      </c>
      <c r="O1392" s="509" t="s">
        <v>1086</v>
      </c>
    </row>
    <row r="1393" spans="1:15" x14ac:dyDescent="0.25">
      <c r="A1393" s="508">
        <v>18</v>
      </c>
      <c r="B1393" s="508" t="s">
        <v>127</v>
      </c>
      <c r="C1393" s="508">
        <v>86</v>
      </c>
      <c r="D1393" s="509" t="s">
        <v>95</v>
      </c>
      <c r="E1393" s="509" t="s">
        <v>1124</v>
      </c>
      <c r="F1393" s="508" t="s">
        <v>1085</v>
      </c>
      <c r="G1393" s="510">
        <v>15</v>
      </c>
      <c r="H1393" s="511">
        <v>3216</v>
      </c>
      <c r="I1393" s="511">
        <v>48611</v>
      </c>
      <c r="J1393" s="511">
        <v>377</v>
      </c>
      <c r="K1393" s="511">
        <v>48234</v>
      </c>
      <c r="L1393" s="511">
        <v>3859</v>
      </c>
      <c r="M1393" s="511">
        <v>52093</v>
      </c>
      <c r="N1393" s="512">
        <v>8.5000000000000006E-3</v>
      </c>
      <c r="O1393" s="509" t="s">
        <v>1086</v>
      </c>
    </row>
    <row r="1394" spans="1:15" x14ac:dyDescent="0.25">
      <c r="A1394" s="508">
        <v>18</v>
      </c>
      <c r="B1394" s="508" t="s">
        <v>127</v>
      </c>
      <c r="C1394" s="508">
        <v>85</v>
      </c>
      <c r="D1394" s="509" t="s">
        <v>95</v>
      </c>
      <c r="E1394" s="509" t="s">
        <v>1157</v>
      </c>
      <c r="F1394" s="508" t="s">
        <v>1085</v>
      </c>
      <c r="G1394" s="510">
        <v>2</v>
      </c>
      <c r="H1394" s="511">
        <v>2315</v>
      </c>
      <c r="I1394" s="511">
        <v>4630</v>
      </c>
      <c r="J1394" s="511">
        <v>0</v>
      </c>
      <c r="K1394" s="511">
        <v>4630</v>
      </c>
      <c r="L1394" s="511">
        <v>370</v>
      </c>
      <c r="M1394" s="511">
        <v>5000</v>
      </c>
      <c r="N1394" s="512">
        <v>8.0000000000000004E-4</v>
      </c>
      <c r="O1394" s="509" t="s">
        <v>1086</v>
      </c>
    </row>
    <row r="1395" spans="1:15" x14ac:dyDescent="0.25">
      <c r="A1395" s="508">
        <v>18</v>
      </c>
      <c r="B1395" s="508" t="s">
        <v>127</v>
      </c>
      <c r="C1395" s="508">
        <v>79</v>
      </c>
      <c r="D1395" s="509" t="s">
        <v>95</v>
      </c>
      <c r="E1395" s="509" t="s">
        <v>1127</v>
      </c>
      <c r="F1395" s="508" t="s">
        <v>1085</v>
      </c>
      <c r="G1395" s="510">
        <v>6</v>
      </c>
      <c r="H1395" s="511">
        <v>6481</v>
      </c>
      <c r="I1395" s="511">
        <v>38889</v>
      </c>
      <c r="J1395" s="511">
        <v>0</v>
      </c>
      <c r="K1395" s="511">
        <v>38889</v>
      </c>
      <c r="L1395" s="511">
        <v>3111</v>
      </c>
      <c r="M1395" s="511">
        <v>42000</v>
      </c>
      <c r="N1395" s="512">
        <v>6.8999999999999999E-3</v>
      </c>
      <c r="O1395" s="509" t="s">
        <v>1086</v>
      </c>
    </row>
    <row r="1396" spans="1:15" x14ac:dyDescent="0.25">
      <c r="A1396" s="508">
        <v>18</v>
      </c>
      <c r="B1396" s="508" t="s">
        <v>127</v>
      </c>
      <c r="C1396" s="508">
        <v>62</v>
      </c>
      <c r="D1396" s="509" t="s">
        <v>95</v>
      </c>
      <c r="E1396" s="509" t="s">
        <v>1128</v>
      </c>
      <c r="F1396" s="508" t="s">
        <v>1085</v>
      </c>
      <c r="G1396" s="510">
        <v>6</v>
      </c>
      <c r="H1396" s="511">
        <v>6944</v>
      </c>
      <c r="I1396" s="511">
        <v>41667</v>
      </c>
      <c r="J1396" s="511">
        <v>0</v>
      </c>
      <c r="K1396" s="511">
        <v>41667</v>
      </c>
      <c r="L1396" s="511">
        <v>3333</v>
      </c>
      <c r="M1396" s="511">
        <v>45000</v>
      </c>
      <c r="N1396" s="512">
        <v>7.4000000000000003E-3</v>
      </c>
      <c r="O1396" s="509" t="s">
        <v>1086</v>
      </c>
    </row>
    <row r="1397" spans="1:15" x14ac:dyDescent="0.25">
      <c r="A1397" s="508">
        <v>18</v>
      </c>
      <c r="B1397" s="508" t="s">
        <v>127</v>
      </c>
      <c r="C1397" s="508">
        <v>78</v>
      </c>
      <c r="D1397" s="509" t="s">
        <v>95</v>
      </c>
      <c r="E1397" s="509" t="s">
        <v>1129</v>
      </c>
      <c r="F1397" s="508" t="s">
        <v>1085</v>
      </c>
      <c r="G1397" s="510">
        <v>9</v>
      </c>
      <c r="H1397" s="511">
        <v>6405</v>
      </c>
      <c r="I1397" s="511">
        <v>58333</v>
      </c>
      <c r="J1397" s="511">
        <v>691</v>
      </c>
      <c r="K1397" s="511">
        <v>57642</v>
      </c>
      <c r="L1397" s="511">
        <v>4611</v>
      </c>
      <c r="M1397" s="511">
        <v>62253</v>
      </c>
      <c r="N1397" s="512">
        <v>1.0200000000000001E-2</v>
      </c>
      <c r="O1397" s="509" t="s">
        <v>1086</v>
      </c>
    </row>
    <row r="1398" spans="1:15" x14ac:dyDescent="0.25">
      <c r="A1398" s="508">
        <v>18</v>
      </c>
      <c r="B1398" s="508" t="s">
        <v>127</v>
      </c>
      <c r="C1398" s="508">
        <v>137</v>
      </c>
      <c r="D1398" s="509" t="s">
        <v>95</v>
      </c>
      <c r="E1398" s="509" t="s">
        <v>1159</v>
      </c>
      <c r="F1398" s="508" t="s">
        <v>1085</v>
      </c>
      <c r="G1398" s="510">
        <v>5</v>
      </c>
      <c r="H1398" s="511">
        <v>6481</v>
      </c>
      <c r="I1398" s="511">
        <v>32407</v>
      </c>
      <c r="J1398" s="511">
        <v>0</v>
      </c>
      <c r="K1398" s="511">
        <v>32407</v>
      </c>
      <c r="L1398" s="511">
        <v>2593</v>
      </c>
      <c r="M1398" s="511">
        <v>35000</v>
      </c>
      <c r="N1398" s="512">
        <v>5.6999999999999993E-3</v>
      </c>
      <c r="O1398" s="509" t="s">
        <v>1086</v>
      </c>
    </row>
    <row r="1399" spans="1:15" x14ac:dyDescent="0.25">
      <c r="A1399" s="508">
        <v>18</v>
      </c>
      <c r="B1399" s="508" t="s">
        <v>127</v>
      </c>
      <c r="C1399" s="508">
        <v>219</v>
      </c>
      <c r="D1399" s="509" t="s">
        <v>87</v>
      </c>
      <c r="E1399" s="509" t="s">
        <v>150</v>
      </c>
      <c r="F1399" s="508" t="s">
        <v>1085</v>
      </c>
      <c r="G1399" s="510">
        <v>3</v>
      </c>
      <c r="H1399" s="511">
        <v>69444</v>
      </c>
      <c r="I1399" s="511">
        <v>208333</v>
      </c>
      <c r="J1399" s="511">
        <v>0</v>
      </c>
      <c r="K1399" s="511">
        <v>208333</v>
      </c>
      <c r="L1399" s="511">
        <v>16667</v>
      </c>
      <c r="M1399" s="511">
        <v>225000</v>
      </c>
      <c r="N1399" s="512">
        <v>3.6799999999999999E-2</v>
      </c>
      <c r="O1399" s="509" t="s">
        <v>1086</v>
      </c>
    </row>
    <row r="1400" spans="1:15" x14ac:dyDescent="0.25">
      <c r="A1400" s="508">
        <v>18</v>
      </c>
      <c r="B1400" s="508" t="s">
        <v>127</v>
      </c>
      <c r="C1400" s="508">
        <v>220</v>
      </c>
      <c r="D1400" s="509" t="s">
        <v>87</v>
      </c>
      <c r="E1400" s="509" t="s">
        <v>1195</v>
      </c>
      <c r="F1400" s="508" t="s">
        <v>1085</v>
      </c>
      <c r="G1400" s="510">
        <v>1</v>
      </c>
      <c r="H1400" s="511">
        <v>69444</v>
      </c>
      <c r="I1400" s="511">
        <v>69444</v>
      </c>
      <c r="J1400" s="511">
        <v>0</v>
      </c>
      <c r="K1400" s="511">
        <v>69444</v>
      </c>
      <c r="L1400" s="511">
        <v>5556</v>
      </c>
      <c r="M1400" s="511">
        <v>75000</v>
      </c>
      <c r="N1400" s="512">
        <v>1.23E-2</v>
      </c>
      <c r="O1400" s="509" t="s">
        <v>1086</v>
      </c>
    </row>
    <row r="1401" spans="1:15" x14ac:dyDescent="0.25">
      <c r="A1401" s="508">
        <v>18</v>
      </c>
      <c r="B1401" s="508" t="s">
        <v>127</v>
      </c>
      <c r="C1401" s="508">
        <v>221</v>
      </c>
      <c r="D1401" s="509" t="s">
        <v>87</v>
      </c>
      <c r="E1401" s="509" t="s">
        <v>1132</v>
      </c>
      <c r="F1401" s="508" t="s">
        <v>1085</v>
      </c>
      <c r="G1401" s="510">
        <v>2</v>
      </c>
      <c r="H1401" s="511">
        <v>54167</v>
      </c>
      <c r="I1401" s="511">
        <v>108333</v>
      </c>
      <c r="J1401" s="511">
        <v>0</v>
      </c>
      <c r="K1401" s="511">
        <v>108333</v>
      </c>
      <c r="L1401" s="511">
        <v>8667</v>
      </c>
      <c r="M1401" s="511">
        <v>117000</v>
      </c>
      <c r="N1401" s="512">
        <v>1.9099999999999999E-2</v>
      </c>
      <c r="O1401" s="509" t="s">
        <v>1086</v>
      </c>
    </row>
    <row r="1402" spans="1:15" x14ac:dyDescent="0.25">
      <c r="A1402" s="508">
        <v>18</v>
      </c>
      <c r="B1402" s="508" t="s">
        <v>127</v>
      </c>
      <c r="C1402" s="508">
        <v>50</v>
      </c>
      <c r="D1402" s="509" t="s">
        <v>87</v>
      </c>
      <c r="E1402" s="509" t="s">
        <v>159</v>
      </c>
      <c r="F1402" s="508" t="s">
        <v>1085</v>
      </c>
      <c r="G1402" s="510">
        <v>1</v>
      </c>
      <c r="H1402" s="511">
        <v>49074</v>
      </c>
      <c r="I1402" s="511">
        <v>49074</v>
      </c>
      <c r="J1402" s="511">
        <v>0</v>
      </c>
      <c r="K1402" s="511">
        <v>49074</v>
      </c>
      <c r="L1402" s="511">
        <v>3926</v>
      </c>
      <c r="M1402" s="511">
        <v>53000</v>
      </c>
      <c r="N1402" s="512">
        <v>8.6999999999999994E-3</v>
      </c>
      <c r="O1402" s="509" t="s">
        <v>1086</v>
      </c>
    </row>
    <row r="1403" spans="1:15" x14ac:dyDescent="0.25">
      <c r="A1403" s="508">
        <v>18</v>
      </c>
      <c r="B1403" s="508" t="s">
        <v>127</v>
      </c>
      <c r="C1403" s="508">
        <v>120</v>
      </c>
      <c r="D1403" s="509" t="s">
        <v>93</v>
      </c>
      <c r="E1403" s="509" t="s">
        <v>1134</v>
      </c>
      <c r="F1403" s="508" t="s">
        <v>1085</v>
      </c>
      <c r="G1403" s="510">
        <v>3</v>
      </c>
      <c r="H1403" s="511">
        <v>41667</v>
      </c>
      <c r="I1403" s="511">
        <v>125000</v>
      </c>
      <c r="J1403" s="511">
        <v>0</v>
      </c>
      <c r="K1403" s="511">
        <v>125000</v>
      </c>
      <c r="L1403" s="511">
        <v>10000</v>
      </c>
      <c r="M1403" s="511">
        <v>135000</v>
      </c>
      <c r="N1403" s="512">
        <v>2.2100000000000002E-2</v>
      </c>
      <c r="O1403" s="509" t="s">
        <v>1086</v>
      </c>
    </row>
    <row r="1404" spans="1:15" x14ac:dyDescent="0.25">
      <c r="A1404" s="508">
        <v>18</v>
      </c>
      <c r="B1404" s="508" t="s">
        <v>127</v>
      </c>
      <c r="C1404" s="508">
        <v>36</v>
      </c>
      <c r="D1404" s="509" t="s">
        <v>91</v>
      </c>
      <c r="E1404" s="509" t="s">
        <v>1136</v>
      </c>
      <c r="F1404" s="508" t="s">
        <v>1085</v>
      </c>
      <c r="G1404" s="510">
        <v>1</v>
      </c>
      <c r="H1404" s="511">
        <v>3704</v>
      </c>
      <c r="I1404" s="511">
        <v>3704</v>
      </c>
      <c r="J1404" s="511">
        <v>0</v>
      </c>
      <c r="K1404" s="511">
        <v>3704</v>
      </c>
      <c r="L1404" s="511">
        <v>296</v>
      </c>
      <c r="M1404" s="511">
        <v>4000</v>
      </c>
      <c r="N1404" s="512">
        <v>7.000000000000001E-4</v>
      </c>
      <c r="O1404" s="509" t="s">
        <v>1086</v>
      </c>
    </row>
    <row r="1405" spans="1:15" x14ac:dyDescent="0.25">
      <c r="A1405" s="508">
        <v>18</v>
      </c>
      <c r="B1405" s="508" t="s">
        <v>127</v>
      </c>
      <c r="C1405" s="508">
        <v>61</v>
      </c>
      <c r="D1405" s="509" t="s">
        <v>97</v>
      </c>
      <c r="E1405" s="509" t="s">
        <v>1137</v>
      </c>
      <c r="F1405" s="508" t="s">
        <v>1085</v>
      </c>
      <c r="G1405" s="510">
        <v>12</v>
      </c>
      <c r="H1405" s="511">
        <v>4630</v>
      </c>
      <c r="I1405" s="511">
        <v>55556</v>
      </c>
      <c r="J1405" s="511">
        <v>0</v>
      </c>
      <c r="K1405" s="511">
        <v>55556</v>
      </c>
      <c r="L1405" s="511">
        <v>4444</v>
      </c>
      <c r="M1405" s="511">
        <v>60000</v>
      </c>
      <c r="N1405" s="512">
        <v>9.7999999999999997E-3</v>
      </c>
      <c r="O1405" s="509" t="s">
        <v>1086</v>
      </c>
    </row>
    <row r="1406" spans="1:15" x14ac:dyDescent="0.25">
      <c r="A1406" s="508">
        <v>18</v>
      </c>
      <c r="B1406" s="508" t="s">
        <v>127</v>
      </c>
      <c r="C1406" s="508">
        <v>215</v>
      </c>
      <c r="D1406" s="509" t="s">
        <v>87</v>
      </c>
      <c r="E1406" s="509" t="s">
        <v>135</v>
      </c>
      <c r="F1406" s="508" t="s">
        <v>1085</v>
      </c>
      <c r="G1406" s="510">
        <v>1</v>
      </c>
      <c r="H1406" s="511">
        <v>37500</v>
      </c>
      <c r="I1406" s="511">
        <v>37500</v>
      </c>
      <c r="J1406" s="511">
        <v>0</v>
      </c>
      <c r="K1406" s="511">
        <v>37500</v>
      </c>
      <c r="L1406" s="511">
        <v>3000</v>
      </c>
      <c r="M1406" s="511">
        <v>40500</v>
      </c>
      <c r="N1406" s="512">
        <v>6.6E-3</v>
      </c>
      <c r="O1406" s="509" t="s">
        <v>1086</v>
      </c>
    </row>
    <row r="1407" spans="1:15" x14ac:dyDescent="0.25">
      <c r="A1407" s="508">
        <v>18</v>
      </c>
      <c r="B1407" s="508" t="s">
        <v>127</v>
      </c>
      <c r="C1407" s="508">
        <v>315</v>
      </c>
      <c r="D1407" s="509" t="s">
        <v>87</v>
      </c>
      <c r="E1407" s="509" t="s">
        <v>1160</v>
      </c>
      <c r="F1407" s="508" t="s">
        <v>1085</v>
      </c>
      <c r="G1407" s="510">
        <v>1</v>
      </c>
      <c r="H1407" s="511">
        <v>1852</v>
      </c>
      <c r="I1407" s="511">
        <v>1852</v>
      </c>
      <c r="J1407" s="511">
        <v>0</v>
      </c>
      <c r="K1407" s="511">
        <v>1852</v>
      </c>
      <c r="L1407" s="511">
        <v>148</v>
      </c>
      <c r="M1407" s="511">
        <v>2000</v>
      </c>
      <c r="N1407" s="512">
        <v>2.9999999999999997E-4</v>
      </c>
      <c r="O1407" s="509" t="s">
        <v>1086</v>
      </c>
    </row>
    <row r="1408" spans="1:15" x14ac:dyDescent="0.25">
      <c r="A1408" s="508">
        <v>18</v>
      </c>
      <c r="B1408" s="508" t="s">
        <v>127</v>
      </c>
      <c r="C1408" s="508">
        <v>68</v>
      </c>
      <c r="D1408" s="509" t="s">
        <v>93</v>
      </c>
      <c r="E1408" s="509" t="s">
        <v>1138</v>
      </c>
      <c r="F1408" s="508" t="s">
        <v>1085</v>
      </c>
      <c r="G1408" s="510">
        <v>1</v>
      </c>
      <c r="H1408" s="511">
        <v>41667</v>
      </c>
      <c r="I1408" s="511">
        <v>41667</v>
      </c>
      <c r="J1408" s="511">
        <v>0</v>
      </c>
      <c r="K1408" s="511">
        <v>41667</v>
      </c>
      <c r="L1408" s="511">
        <v>3333</v>
      </c>
      <c r="M1408" s="511">
        <v>45000</v>
      </c>
      <c r="N1408" s="512">
        <v>7.4000000000000003E-3</v>
      </c>
      <c r="O1408" s="509" t="s">
        <v>1086</v>
      </c>
    </row>
    <row r="1409" spans="1:15" x14ac:dyDescent="0.25">
      <c r="A1409" s="508">
        <v>18</v>
      </c>
      <c r="B1409" s="508" t="s">
        <v>127</v>
      </c>
      <c r="C1409" s="508">
        <v>33</v>
      </c>
      <c r="D1409" s="509" t="s">
        <v>91</v>
      </c>
      <c r="E1409" s="509" t="s">
        <v>1139</v>
      </c>
      <c r="F1409" s="508" t="s">
        <v>1085</v>
      </c>
      <c r="G1409" s="510">
        <v>6</v>
      </c>
      <c r="H1409" s="511">
        <v>1852</v>
      </c>
      <c r="I1409" s="511">
        <v>11111</v>
      </c>
      <c r="J1409" s="511">
        <v>0</v>
      </c>
      <c r="K1409" s="511">
        <v>11111</v>
      </c>
      <c r="L1409" s="511">
        <v>889</v>
      </c>
      <c r="M1409" s="511">
        <v>12000</v>
      </c>
      <c r="N1409" s="512">
        <v>2E-3</v>
      </c>
      <c r="O1409" s="509" t="s">
        <v>1086</v>
      </c>
    </row>
    <row r="1410" spans="1:15" x14ac:dyDescent="0.25">
      <c r="A1410" s="508">
        <v>19</v>
      </c>
      <c r="B1410" s="508" t="s">
        <v>130</v>
      </c>
      <c r="C1410" s="508">
        <v>319</v>
      </c>
      <c r="D1410" s="509" t="s">
        <v>91</v>
      </c>
      <c r="E1410" s="509" t="s">
        <v>1217</v>
      </c>
      <c r="F1410" s="508" t="s">
        <v>1085</v>
      </c>
      <c r="G1410" s="510">
        <v>1</v>
      </c>
      <c r="H1410" s="511">
        <v>3519</v>
      </c>
      <c r="I1410" s="511">
        <v>3519</v>
      </c>
      <c r="J1410" s="511">
        <v>0</v>
      </c>
      <c r="K1410" s="511">
        <v>3519</v>
      </c>
      <c r="L1410" s="511">
        <v>281</v>
      </c>
      <c r="M1410" s="511">
        <v>3800</v>
      </c>
      <c r="N1410" s="512">
        <v>2.9999999999999997E-4</v>
      </c>
      <c r="O1410" s="509" t="s">
        <v>1086</v>
      </c>
    </row>
    <row r="1411" spans="1:15" x14ac:dyDescent="0.25">
      <c r="A1411" s="508">
        <v>19</v>
      </c>
      <c r="B1411" s="508" t="s">
        <v>130</v>
      </c>
      <c r="C1411" s="508">
        <v>73</v>
      </c>
      <c r="D1411" s="509" t="s">
        <v>91</v>
      </c>
      <c r="E1411" s="509" t="s">
        <v>1084</v>
      </c>
      <c r="F1411" s="508" t="s">
        <v>1085</v>
      </c>
      <c r="G1411" s="510">
        <v>14</v>
      </c>
      <c r="H1411" s="511">
        <v>2593</v>
      </c>
      <c r="I1411" s="511">
        <v>36296</v>
      </c>
      <c r="J1411" s="511">
        <v>0</v>
      </c>
      <c r="K1411" s="511">
        <v>36296</v>
      </c>
      <c r="L1411" s="511">
        <v>2904</v>
      </c>
      <c r="M1411" s="511">
        <v>39200</v>
      </c>
      <c r="N1411" s="512">
        <v>3.3999999999999998E-3</v>
      </c>
      <c r="O1411" s="509" t="s">
        <v>1086</v>
      </c>
    </row>
    <row r="1412" spans="1:15" x14ac:dyDescent="0.25">
      <c r="A1412" s="508">
        <v>19</v>
      </c>
      <c r="B1412" s="508" t="s">
        <v>130</v>
      </c>
      <c r="C1412" s="508">
        <v>65</v>
      </c>
      <c r="D1412" s="509" t="s">
        <v>91</v>
      </c>
      <c r="E1412" s="509" t="s">
        <v>1087</v>
      </c>
      <c r="F1412" s="508" t="s">
        <v>1085</v>
      </c>
      <c r="G1412" s="510">
        <v>1</v>
      </c>
      <c r="H1412" s="511">
        <v>2778</v>
      </c>
      <c r="I1412" s="511">
        <v>2778</v>
      </c>
      <c r="J1412" s="511">
        <v>0</v>
      </c>
      <c r="K1412" s="511">
        <v>2778</v>
      </c>
      <c r="L1412" s="511">
        <v>222</v>
      </c>
      <c r="M1412" s="511">
        <v>3000</v>
      </c>
      <c r="N1412" s="512">
        <v>2.9999999999999997E-4</v>
      </c>
      <c r="O1412" s="509" t="s">
        <v>1086</v>
      </c>
    </row>
    <row r="1413" spans="1:15" x14ac:dyDescent="0.25">
      <c r="A1413" s="508">
        <v>19</v>
      </c>
      <c r="B1413" s="508" t="s">
        <v>130</v>
      </c>
      <c r="C1413" s="508">
        <v>12</v>
      </c>
      <c r="D1413" s="509" t="s">
        <v>93</v>
      </c>
      <c r="E1413" s="509" t="s">
        <v>1089</v>
      </c>
      <c r="F1413" s="508" t="s">
        <v>1085</v>
      </c>
      <c r="G1413" s="510">
        <v>7</v>
      </c>
      <c r="H1413" s="511">
        <v>41667</v>
      </c>
      <c r="I1413" s="511">
        <v>291667</v>
      </c>
      <c r="J1413" s="511">
        <v>0</v>
      </c>
      <c r="K1413" s="511">
        <v>291667</v>
      </c>
      <c r="L1413" s="511">
        <v>23333</v>
      </c>
      <c r="M1413" s="511">
        <v>315000</v>
      </c>
      <c r="N1413" s="512">
        <v>2.75E-2</v>
      </c>
      <c r="O1413" s="509" t="s">
        <v>1086</v>
      </c>
    </row>
    <row r="1414" spans="1:15" x14ac:dyDescent="0.25">
      <c r="A1414" s="508">
        <v>19</v>
      </c>
      <c r="B1414" s="508" t="s">
        <v>130</v>
      </c>
      <c r="C1414" s="508">
        <v>313</v>
      </c>
      <c r="D1414" s="509" t="s">
        <v>87</v>
      </c>
      <c r="E1414" s="509" t="s">
        <v>1199</v>
      </c>
      <c r="F1414" s="508" t="s">
        <v>1085</v>
      </c>
      <c r="G1414" s="510">
        <v>1</v>
      </c>
      <c r="H1414" s="511">
        <v>4167</v>
      </c>
      <c r="I1414" s="511">
        <v>4167</v>
      </c>
      <c r="J1414" s="511">
        <v>0</v>
      </c>
      <c r="K1414" s="511">
        <v>4167</v>
      </c>
      <c r="L1414" s="511">
        <v>333</v>
      </c>
      <c r="M1414" s="511">
        <v>4500</v>
      </c>
      <c r="N1414" s="512">
        <v>4.0000000000000002E-4</v>
      </c>
      <c r="O1414" s="509" t="s">
        <v>1086</v>
      </c>
    </row>
    <row r="1415" spans="1:15" x14ac:dyDescent="0.25">
      <c r="A1415" s="508">
        <v>19</v>
      </c>
      <c r="B1415" s="508" t="s">
        <v>130</v>
      </c>
      <c r="C1415" s="508">
        <v>40</v>
      </c>
      <c r="D1415" s="509" t="s">
        <v>87</v>
      </c>
      <c r="E1415" s="509" t="s">
        <v>1143</v>
      </c>
      <c r="F1415" s="508" t="s">
        <v>1085</v>
      </c>
      <c r="G1415" s="510">
        <v>4</v>
      </c>
      <c r="H1415" s="511">
        <v>55093</v>
      </c>
      <c r="I1415" s="511">
        <v>220370</v>
      </c>
      <c r="J1415" s="511">
        <v>0</v>
      </c>
      <c r="K1415" s="511">
        <v>220370</v>
      </c>
      <c r="L1415" s="511">
        <v>17630</v>
      </c>
      <c r="M1415" s="511">
        <v>238000</v>
      </c>
      <c r="N1415" s="512">
        <v>2.0799999999999999E-2</v>
      </c>
      <c r="O1415" s="509" t="s">
        <v>1086</v>
      </c>
    </row>
    <row r="1416" spans="1:15" x14ac:dyDescent="0.25">
      <c r="A1416" s="508">
        <v>19</v>
      </c>
      <c r="B1416" s="508" t="s">
        <v>130</v>
      </c>
      <c r="C1416" s="508">
        <v>131</v>
      </c>
      <c r="D1416" s="509" t="s">
        <v>87</v>
      </c>
      <c r="E1416" s="509" t="s">
        <v>1144</v>
      </c>
      <c r="F1416" s="508" t="s">
        <v>1085</v>
      </c>
      <c r="G1416" s="510">
        <v>2</v>
      </c>
      <c r="H1416" s="511">
        <v>278</v>
      </c>
      <c r="I1416" s="511">
        <v>556</v>
      </c>
      <c r="J1416" s="511">
        <v>0</v>
      </c>
      <c r="K1416" s="511">
        <v>556</v>
      </c>
      <c r="L1416" s="511">
        <v>44</v>
      </c>
      <c r="M1416" s="511">
        <v>600</v>
      </c>
      <c r="N1416" s="512">
        <v>1E-4</v>
      </c>
      <c r="O1416" s="509" t="s">
        <v>1086</v>
      </c>
    </row>
    <row r="1417" spans="1:15" x14ac:dyDescent="0.25">
      <c r="A1417" s="508">
        <v>19</v>
      </c>
      <c r="B1417" s="508" t="s">
        <v>130</v>
      </c>
      <c r="C1417" s="508">
        <v>95</v>
      </c>
      <c r="D1417" s="509" t="s">
        <v>87</v>
      </c>
      <c r="E1417" s="509" t="s">
        <v>1090</v>
      </c>
      <c r="F1417" s="508" t="s">
        <v>1085</v>
      </c>
      <c r="G1417" s="510">
        <v>2</v>
      </c>
      <c r="H1417" s="511">
        <v>926</v>
      </c>
      <c r="I1417" s="511">
        <v>1852</v>
      </c>
      <c r="J1417" s="511">
        <v>0</v>
      </c>
      <c r="K1417" s="511">
        <v>1852</v>
      </c>
      <c r="L1417" s="511">
        <v>148</v>
      </c>
      <c r="M1417" s="511">
        <v>2000</v>
      </c>
      <c r="N1417" s="512">
        <v>2.0000000000000001E-4</v>
      </c>
      <c r="O1417" s="509" t="s">
        <v>1086</v>
      </c>
    </row>
    <row r="1418" spans="1:15" x14ac:dyDescent="0.25">
      <c r="A1418" s="508">
        <v>19</v>
      </c>
      <c r="B1418" s="508" t="s">
        <v>130</v>
      </c>
      <c r="C1418" s="508">
        <v>136</v>
      </c>
      <c r="D1418" s="509" t="s">
        <v>89</v>
      </c>
      <c r="E1418" s="509" t="s">
        <v>1091</v>
      </c>
      <c r="F1418" s="508" t="s">
        <v>1085</v>
      </c>
      <c r="G1418" s="510">
        <v>1</v>
      </c>
      <c r="H1418" s="511">
        <v>24074</v>
      </c>
      <c r="I1418" s="511">
        <v>24074</v>
      </c>
      <c r="J1418" s="511">
        <v>0</v>
      </c>
      <c r="K1418" s="511">
        <v>24074</v>
      </c>
      <c r="L1418" s="511">
        <v>1926</v>
      </c>
      <c r="M1418" s="511">
        <v>26000</v>
      </c>
      <c r="N1418" s="512">
        <v>2.3E-3</v>
      </c>
      <c r="O1418" s="509" t="s">
        <v>1086</v>
      </c>
    </row>
    <row r="1419" spans="1:15" x14ac:dyDescent="0.25">
      <c r="A1419" s="508">
        <v>19</v>
      </c>
      <c r="B1419" s="508" t="s">
        <v>130</v>
      </c>
      <c r="C1419" s="508">
        <v>6</v>
      </c>
      <c r="D1419" s="509" t="s">
        <v>89</v>
      </c>
      <c r="E1419" s="509" t="s">
        <v>1147</v>
      </c>
      <c r="F1419" s="508" t="s">
        <v>1085</v>
      </c>
      <c r="G1419" s="510">
        <v>1</v>
      </c>
      <c r="H1419" s="511">
        <v>14815</v>
      </c>
      <c r="I1419" s="511">
        <v>14815</v>
      </c>
      <c r="J1419" s="511">
        <v>0</v>
      </c>
      <c r="K1419" s="511">
        <v>14815</v>
      </c>
      <c r="L1419" s="511">
        <v>1185</v>
      </c>
      <c r="M1419" s="511">
        <v>16000</v>
      </c>
      <c r="N1419" s="512">
        <v>1.4E-3</v>
      </c>
      <c r="O1419" s="509" t="s">
        <v>1086</v>
      </c>
    </row>
    <row r="1420" spans="1:15" x14ac:dyDescent="0.25">
      <c r="A1420" s="508">
        <v>19</v>
      </c>
      <c r="B1420" s="508" t="s">
        <v>130</v>
      </c>
      <c r="C1420" s="508">
        <v>311</v>
      </c>
      <c r="D1420" s="509" t="s">
        <v>93</v>
      </c>
      <c r="E1420" s="509" t="s">
        <v>1092</v>
      </c>
      <c r="F1420" s="508" t="s">
        <v>1085</v>
      </c>
      <c r="G1420" s="510">
        <v>2</v>
      </c>
      <c r="H1420" s="511">
        <v>44907</v>
      </c>
      <c r="I1420" s="511">
        <v>89815</v>
      </c>
      <c r="J1420" s="511">
        <v>0</v>
      </c>
      <c r="K1420" s="511">
        <v>89815</v>
      </c>
      <c r="L1420" s="511">
        <v>7185</v>
      </c>
      <c r="M1420" s="511">
        <v>97000</v>
      </c>
      <c r="N1420" s="512">
        <v>8.5000000000000006E-3</v>
      </c>
      <c r="O1420" s="509" t="s">
        <v>1086</v>
      </c>
    </row>
    <row r="1421" spans="1:15" x14ac:dyDescent="0.25">
      <c r="A1421" s="508">
        <v>19</v>
      </c>
      <c r="B1421" s="508" t="s">
        <v>130</v>
      </c>
      <c r="C1421" s="508">
        <v>87</v>
      </c>
      <c r="D1421" s="509" t="s">
        <v>89</v>
      </c>
      <c r="E1421" s="509" t="s">
        <v>147</v>
      </c>
      <c r="F1421" s="508" t="s">
        <v>1085</v>
      </c>
      <c r="G1421" s="510">
        <v>9</v>
      </c>
      <c r="H1421" s="511">
        <v>37500</v>
      </c>
      <c r="I1421" s="511">
        <v>337500</v>
      </c>
      <c r="J1421" s="511">
        <v>0</v>
      </c>
      <c r="K1421" s="511">
        <v>337500</v>
      </c>
      <c r="L1421" s="511">
        <v>27000</v>
      </c>
      <c r="M1421" s="511">
        <v>364500</v>
      </c>
      <c r="N1421" s="512">
        <v>3.1800000000000002E-2</v>
      </c>
      <c r="O1421" s="509" t="s">
        <v>1086</v>
      </c>
    </row>
    <row r="1422" spans="1:15" x14ac:dyDescent="0.25">
      <c r="A1422" s="508">
        <v>19</v>
      </c>
      <c r="B1422" s="508" t="s">
        <v>130</v>
      </c>
      <c r="C1422" s="508">
        <v>246</v>
      </c>
      <c r="D1422" s="509" t="s">
        <v>91</v>
      </c>
      <c r="E1422" s="509" t="s">
        <v>1095</v>
      </c>
      <c r="F1422" s="508" t="s">
        <v>1085</v>
      </c>
      <c r="G1422" s="510">
        <v>4</v>
      </c>
      <c r="H1422" s="511">
        <v>6481</v>
      </c>
      <c r="I1422" s="511">
        <v>25926</v>
      </c>
      <c r="J1422" s="511">
        <v>0</v>
      </c>
      <c r="K1422" s="511">
        <v>25926</v>
      </c>
      <c r="L1422" s="511">
        <v>2074</v>
      </c>
      <c r="M1422" s="511">
        <v>28000</v>
      </c>
      <c r="N1422" s="512">
        <v>2.3999999999999998E-3</v>
      </c>
      <c r="O1422" s="509" t="s">
        <v>1086</v>
      </c>
    </row>
    <row r="1423" spans="1:15" x14ac:dyDescent="0.25">
      <c r="A1423" s="508">
        <v>19</v>
      </c>
      <c r="B1423" s="508" t="s">
        <v>130</v>
      </c>
      <c r="C1423" s="508">
        <v>70</v>
      </c>
      <c r="D1423" s="509" t="s">
        <v>91</v>
      </c>
      <c r="E1423" s="509" t="s">
        <v>1096</v>
      </c>
      <c r="F1423" s="508" t="s">
        <v>1085</v>
      </c>
      <c r="G1423" s="510">
        <v>7</v>
      </c>
      <c r="H1423" s="511">
        <v>4630</v>
      </c>
      <c r="I1423" s="511">
        <v>32407</v>
      </c>
      <c r="J1423" s="511">
        <v>0</v>
      </c>
      <c r="K1423" s="511">
        <v>32407</v>
      </c>
      <c r="L1423" s="511">
        <v>2593</v>
      </c>
      <c r="M1423" s="511">
        <v>35000</v>
      </c>
      <c r="N1423" s="512">
        <v>3.0999999999999999E-3</v>
      </c>
      <c r="O1423" s="509" t="s">
        <v>1086</v>
      </c>
    </row>
    <row r="1424" spans="1:15" x14ac:dyDescent="0.25">
      <c r="A1424" s="508">
        <v>19</v>
      </c>
      <c r="B1424" s="508" t="s">
        <v>130</v>
      </c>
      <c r="C1424" s="508">
        <v>71</v>
      </c>
      <c r="D1424" s="509" t="s">
        <v>91</v>
      </c>
      <c r="E1424" s="509" t="s">
        <v>1097</v>
      </c>
      <c r="F1424" s="508" t="s">
        <v>1085</v>
      </c>
      <c r="G1424" s="510">
        <v>3</v>
      </c>
      <c r="H1424" s="511">
        <v>5556</v>
      </c>
      <c r="I1424" s="511">
        <v>16667</v>
      </c>
      <c r="J1424" s="511">
        <v>0</v>
      </c>
      <c r="K1424" s="511">
        <v>16667</v>
      </c>
      <c r="L1424" s="511">
        <v>1333</v>
      </c>
      <c r="M1424" s="511">
        <v>18000</v>
      </c>
      <c r="N1424" s="512">
        <v>1.6000000000000001E-3</v>
      </c>
      <c r="O1424" s="509" t="s">
        <v>1086</v>
      </c>
    </row>
    <row r="1425" spans="1:15" x14ac:dyDescent="0.25">
      <c r="A1425" s="508">
        <v>19</v>
      </c>
      <c r="B1425" s="508" t="s">
        <v>130</v>
      </c>
      <c r="C1425" s="508">
        <v>83</v>
      </c>
      <c r="D1425" s="509" t="s">
        <v>87</v>
      </c>
      <c r="E1425" s="509" t="s">
        <v>1098</v>
      </c>
      <c r="F1425" s="508" t="s">
        <v>1085</v>
      </c>
      <c r="G1425" s="510">
        <v>10</v>
      </c>
      <c r="H1425" s="511">
        <v>20833</v>
      </c>
      <c r="I1425" s="511">
        <v>208333</v>
      </c>
      <c r="J1425" s="511">
        <v>0</v>
      </c>
      <c r="K1425" s="511">
        <v>208333</v>
      </c>
      <c r="L1425" s="511">
        <v>16667</v>
      </c>
      <c r="M1425" s="511">
        <v>225000</v>
      </c>
      <c r="N1425" s="512">
        <v>1.9699999999999999E-2</v>
      </c>
      <c r="O1425" s="509" t="s">
        <v>1086</v>
      </c>
    </row>
    <row r="1426" spans="1:15" x14ac:dyDescent="0.25">
      <c r="A1426" s="508">
        <v>19</v>
      </c>
      <c r="B1426" s="508" t="s">
        <v>130</v>
      </c>
      <c r="C1426" s="508">
        <v>43</v>
      </c>
      <c r="D1426" s="509" t="s">
        <v>87</v>
      </c>
      <c r="E1426" s="509" t="s">
        <v>1099</v>
      </c>
      <c r="F1426" s="508" t="s">
        <v>1085</v>
      </c>
      <c r="G1426" s="510">
        <v>1</v>
      </c>
      <c r="H1426" s="511">
        <v>8333</v>
      </c>
      <c r="I1426" s="511">
        <v>8333</v>
      </c>
      <c r="J1426" s="511">
        <v>0</v>
      </c>
      <c r="K1426" s="511">
        <v>8333</v>
      </c>
      <c r="L1426" s="511">
        <v>667</v>
      </c>
      <c r="M1426" s="511">
        <v>9000</v>
      </c>
      <c r="N1426" s="512">
        <v>8.0000000000000004E-4</v>
      </c>
      <c r="O1426" s="509" t="s">
        <v>1086</v>
      </c>
    </row>
    <row r="1427" spans="1:15" x14ac:dyDescent="0.25">
      <c r="A1427" s="508">
        <v>19</v>
      </c>
      <c r="B1427" s="508" t="s">
        <v>130</v>
      </c>
      <c r="C1427" s="508">
        <v>37</v>
      </c>
      <c r="D1427" s="509" t="s">
        <v>87</v>
      </c>
      <c r="E1427" s="509" t="s">
        <v>1185</v>
      </c>
      <c r="F1427" s="508" t="s">
        <v>1085</v>
      </c>
      <c r="G1427" s="510">
        <v>1</v>
      </c>
      <c r="H1427" s="511">
        <v>8333</v>
      </c>
      <c r="I1427" s="511">
        <v>8333</v>
      </c>
      <c r="J1427" s="511">
        <v>0</v>
      </c>
      <c r="K1427" s="511">
        <v>8333</v>
      </c>
      <c r="L1427" s="511">
        <v>667</v>
      </c>
      <c r="M1427" s="511">
        <v>9000</v>
      </c>
      <c r="N1427" s="512">
        <v>8.0000000000000004E-4</v>
      </c>
      <c r="O1427" s="509" t="s">
        <v>1086</v>
      </c>
    </row>
    <row r="1428" spans="1:15" x14ac:dyDescent="0.25">
      <c r="A1428" s="508">
        <v>19</v>
      </c>
      <c r="B1428" s="508" t="s">
        <v>130</v>
      </c>
      <c r="C1428" s="508">
        <v>27</v>
      </c>
      <c r="D1428" s="509" t="s">
        <v>87</v>
      </c>
      <c r="E1428" s="509" t="s">
        <v>1215</v>
      </c>
      <c r="F1428" s="508" t="s">
        <v>1085</v>
      </c>
      <c r="G1428" s="510">
        <v>1</v>
      </c>
      <c r="H1428" s="511">
        <v>18519</v>
      </c>
      <c r="I1428" s="511">
        <v>18519</v>
      </c>
      <c r="J1428" s="511">
        <v>0</v>
      </c>
      <c r="K1428" s="511">
        <v>18519</v>
      </c>
      <c r="L1428" s="511">
        <v>1481</v>
      </c>
      <c r="M1428" s="511">
        <v>20000</v>
      </c>
      <c r="N1428" s="512">
        <v>1.6999999999999999E-3</v>
      </c>
      <c r="O1428" s="509" t="s">
        <v>1086</v>
      </c>
    </row>
    <row r="1429" spans="1:15" x14ac:dyDescent="0.25">
      <c r="A1429" s="508">
        <v>19</v>
      </c>
      <c r="B1429" s="508" t="s">
        <v>130</v>
      </c>
      <c r="C1429" s="508">
        <v>41</v>
      </c>
      <c r="D1429" s="509" t="s">
        <v>87</v>
      </c>
      <c r="E1429" s="509" t="s">
        <v>168</v>
      </c>
      <c r="F1429" s="508" t="s">
        <v>1085</v>
      </c>
      <c r="G1429" s="510">
        <v>2</v>
      </c>
      <c r="H1429" s="511">
        <v>49074</v>
      </c>
      <c r="I1429" s="511">
        <v>98148</v>
      </c>
      <c r="J1429" s="511">
        <v>0</v>
      </c>
      <c r="K1429" s="511">
        <v>98148</v>
      </c>
      <c r="L1429" s="511">
        <v>7852</v>
      </c>
      <c r="M1429" s="511">
        <v>106000</v>
      </c>
      <c r="N1429" s="512">
        <v>9.300000000000001E-3</v>
      </c>
      <c r="O1429" s="509" t="s">
        <v>1086</v>
      </c>
    </row>
    <row r="1430" spans="1:15" x14ac:dyDescent="0.25">
      <c r="A1430" s="508">
        <v>19</v>
      </c>
      <c r="B1430" s="508" t="s">
        <v>130</v>
      </c>
      <c r="C1430" s="508">
        <v>247</v>
      </c>
      <c r="D1430" s="509" t="s">
        <v>87</v>
      </c>
      <c r="E1430" s="509" t="s">
        <v>1165</v>
      </c>
      <c r="F1430" s="508" t="s">
        <v>1085</v>
      </c>
      <c r="G1430" s="510">
        <v>2</v>
      </c>
      <c r="H1430" s="511">
        <v>3056</v>
      </c>
      <c r="I1430" s="511">
        <v>6111</v>
      </c>
      <c r="J1430" s="511">
        <v>0</v>
      </c>
      <c r="K1430" s="511">
        <v>6111</v>
      </c>
      <c r="L1430" s="511">
        <v>489</v>
      </c>
      <c r="M1430" s="511">
        <v>6600</v>
      </c>
      <c r="N1430" s="512">
        <v>5.9999999999999995E-4</v>
      </c>
      <c r="O1430" s="509" t="s">
        <v>1086</v>
      </c>
    </row>
    <row r="1431" spans="1:15" x14ac:dyDescent="0.25">
      <c r="A1431" s="508">
        <v>19</v>
      </c>
      <c r="B1431" s="508" t="s">
        <v>130</v>
      </c>
      <c r="C1431" s="508">
        <v>42</v>
      </c>
      <c r="D1431" s="509" t="s">
        <v>87</v>
      </c>
      <c r="E1431" s="509" t="s">
        <v>359</v>
      </c>
      <c r="F1431" s="508" t="s">
        <v>1085</v>
      </c>
      <c r="G1431" s="510">
        <v>7</v>
      </c>
      <c r="H1431" s="511">
        <v>32407</v>
      </c>
      <c r="I1431" s="511">
        <v>226852</v>
      </c>
      <c r="J1431" s="511">
        <v>0</v>
      </c>
      <c r="K1431" s="511">
        <v>226852</v>
      </c>
      <c r="L1431" s="511">
        <v>18148</v>
      </c>
      <c r="M1431" s="511">
        <v>245000</v>
      </c>
      <c r="N1431" s="512">
        <v>2.1399999999999999E-2</v>
      </c>
      <c r="O1431" s="509" t="s">
        <v>1086</v>
      </c>
    </row>
    <row r="1432" spans="1:15" x14ac:dyDescent="0.25">
      <c r="A1432" s="508">
        <v>19</v>
      </c>
      <c r="B1432" s="508" t="s">
        <v>130</v>
      </c>
      <c r="C1432" s="508">
        <v>44</v>
      </c>
      <c r="D1432" s="509" t="s">
        <v>87</v>
      </c>
      <c r="E1432" s="509" t="s">
        <v>138</v>
      </c>
      <c r="F1432" s="508" t="s">
        <v>1085</v>
      </c>
      <c r="G1432" s="510">
        <v>17</v>
      </c>
      <c r="H1432" s="511">
        <v>28241</v>
      </c>
      <c r="I1432" s="511">
        <v>480093</v>
      </c>
      <c r="J1432" s="511">
        <v>0</v>
      </c>
      <c r="K1432" s="511">
        <v>480093</v>
      </c>
      <c r="L1432" s="511">
        <v>38407</v>
      </c>
      <c r="M1432" s="511">
        <v>518500</v>
      </c>
      <c r="N1432" s="512">
        <v>4.53E-2</v>
      </c>
      <c r="O1432" s="509" t="s">
        <v>1086</v>
      </c>
    </row>
    <row r="1433" spans="1:15" x14ac:dyDescent="0.25">
      <c r="A1433" s="508">
        <v>19</v>
      </c>
      <c r="B1433" s="508" t="s">
        <v>130</v>
      </c>
      <c r="C1433" s="508">
        <v>110</v>
      </c>
      <c r="D1433" s="509" t="s">
        <v>99</v>
      </c>
      <c r="E1433" s="509" t="s">
        <v>1101</v>
      </c>
      <c r="F1433" s="508" t="s">
        <v>1085</v>
      </c>
      <c r="G1433" s="510">
        <v>24</v>
      </c>
      <c r="H1433" s="511">
        <v>926</v>
      </c>
      <c r="I1433" s="511">
        <v>22222</v>
      </c>
      <c r="J1433" s="511">
        <v>0</v>
      </c>
      <c r="K1433" s="511">
        <v>22222</v>
      </c>
      <c r="L1433" s="511">
        <v>1778</v>
      </c>
      <c r="M1433" s="511">
        <v>24000</v>
      </c>
      <c r="N1433" s="512">
        <v>2.0999999999999999E-3</v>
      </c>
      <c r="O1433" s="509" t="s">
        <v>1086</v>
      </c>
    </row>
    <row r="1434" spans="1:15" x14ac:dyDescent="0.25">
      <c r="A1434" s="508">
        <v>19</v>
      </c>
      <c r="B1434" s="508" t="s">
        <v>130</v>
      </c>
      <c r="C1434" s="508">
        <v>102</v>
      </c>
      <c r="D1434" s="509" t="s">
        <v>87</v>
      </c>
      <c r="E1434" s="509" t="s">
        <v>1151</v>
      </c>
      <c r="F1434" s="508" t="s">
        <v>1085</v>
      </c>
      <c r="G1434" s="510">
        <v>2</v>
      </c>
      <c r="H1434" s="511">
        <v>6944</v>
      </c>
      <c r="I1434" s="511">
        <v>13889</v>
      </c>
      <c r="J1434" s="511">
        <v>0</v>
      </c>
      <c r="K1434" s="511">
        <v>13889</v>
      </c>
      <c r="L1434" s="511">
        <v>1111</v>
      </c>
      <c r="M1434" s="511">
        <v>15000</v>
      </c>
      <c r="N1434" s="512">
        <v>1.2999999999999999E-3</v>
      </c>
      <c r="O1434" s="509" t="s">
        <v>1086</v>
      </c>
    </row>
    <row r="1435" spans="1:15" x14ac:dyDescent="0.25">
      <c r="A1435" s="508">
        <v>19</v>
      </c>
      <c r="B1435" s="508" t="s">
        <v>130</v>
      </c>
      <c r="C1435" s="508">
        <v>45</v>
      </c>
      <c r="D1435" s="509" t="s">
        <v>87</v>
      </c>
      <c r="E1435" s="509" t="s">
        <v>1102</v>
      </c>
      <c r="F1435" s="508" t="s">
        <v>1085</v>
      </c>
      <c r="G1435" s="510">
        <v>3</v>
      </c>
      <c r="H1435" s="511">
        <v>35648</v>
      </c>
      <c r="I1435" s="511">
        <v>106944</v>
      </c>
      <c r="J1435" s="511">
        <v>0</v>
      </c>
      <c r="K1435" s="511">
        <v>106944</v>
      </c>
      <c r="L1435" s="511">
        <v>8556</v>
      </c>
      <c r="M1435" s="511">
        <v>115500</v>
      </c>
      <c r="N1435" s="512">
        <v>1.01E-2</v>
      </c>
      <c r="O1435" s="509" t="s">
        <v>1086</v>
      </c>
    </row>
    <row r="1436" spans="1:15" x14ac:dyDescent="0.25">
      <c r="A1436" s="508">
        <v>19</v>
      </c>
      <c r="B1436" s="508" t="s">
        <v>130</v>
      </c>
      <c r="C1436" s="508">
        <v>30</v>
      </c>
      <c r="D1436" s="509" t="s">
        <v>95</v>
      </c>
      <c r="E1436" s="509" t="s">
        <v>1103</v>
      </c>
      <c r="F1436" s="508" t="s">
        <v>1085</v>
      </c>
      <c r="G1436" s="510">
        <v>3</v>
      </c>
      <c r="H1436" s="511">
        <v>6481</v>
      </c>
      <c r="I1436" s="511">
        <v>19444</v>
      </c>
      <c r="J1436" s="511">
        <v>0</v>
      </c>
      <c r="K1436" s="511">
        <v>19444</v>
      </c>
      <c r="L1436" s="511">
        <v>1556</v>
      </c>
      <c r="M1436" s="511">
        <v>21000</v>
      </c>
      <c r="N1436" s="512">
        <v>1.8E-3</v>
      </c>
      <c r="O1436" s="509" t="s">
        <v>1086</v>
      </c>
    </row>
    <row r="1437" spans="1:15" x14ac:dyDescent="0.25">
      <c r="A1437" s="508">
        <v>19</v>
      </c>
      <c r="B1437" s="508" t="s">
        <v>130</v>
      </c>
      <c r="C1437" s="508">
        <v>305</v>
      </c>
      <c r="D1437" s="509" t="s">
        <v>91</v>
      </c>
      <c r="E1437" s="509" t="s">
        <v>1104</v>
      </c>
      <c r="F1437" s="508" t="s">
        <v>1085</v>
      </c>
      <c r="G1437" s="510">
        <v>2</v>
      </c>
      <c r="H1437" s="511">
        <v>9259</v>
      </c>
      <c r="I1437" s="511">
        <v>18519</v>
      </c>
      <c r="J1437" s="511">
        <v>0</v>
      </c>
      <c r="K1437" s="511">
        <v>18519</v>
      </c>
      <c r="L1437" s="511">
        <v>1481</v>
      </c>
      <c r="M1437" s="511">
        <v>20000</v>
      </c>
      <c r="N1437" s="512">
        <v>1.6999999999999999E-3</v>
      </c>
      <c r="O1437" s="509" t="s">
        <v>1086</v>
      </c>
    </row>
    <row r="1438" spans="1:15" x14ac:dyDescent="0.25">
      <c r="A1438" s="508">
        <v>19</v>
      </c>
      <c r="B1438" s="508" t="s">
        <v>130</v>
      </c>
      <c r="C1438" s="508">
        <v>233</v>
      </c>
      <c r="D1438" s="509" t="s">
        <v>89</v>
      </c>
      <c r="E1438" s="509" t="s">
        <v>117</v>
      </c>
      <c r="F1438" s="508" t="s">
        <v>1085</v>
      </c>
      <c r="G1438" s="510">
        <v>1</v>
      </c>
      <c r="H1438" s="511">
        <v>18519</v>
      </c>
      <c r="I1438" s="511">
        <v>18519</v>
      </c>
      <c r="J1438" s="511">
        <v>0</v>
      </c>
      <c r="K1438" s="511">
        <v>18519</v>
      </c>
      <c r="L1438" s="511">
        <v>1481</v>
      </c>
      <c r="M1438" s="511">
        <v>20000</v>
      </c>
      <c r="N1438" s="512">
        <v>1.6999999999999999E-3</v>
      </c>
      <c r="O1438" s="509" t="s">
        <v>1086</v>
      </c>
    </row>
    <row r="1439" spans="1:15" x14ac:dyDescent="0.25">
      <c r="A1439" s="508">
        <v>19</v>
      </c>
      <c r="B1439" s="508" t="s">
        <v>130</v>
      </c>
      <c r="C1439" s="508">
        <v>217</v>
      </c>
      <c r="D1439" s="509" t="s">
        <v>89</v>
      </c>
      <c r="E1439" s="509" t="s">
        <v>1105</v>
      </c>
      <c r="F1439" s="508" t="s">
        <v>1085</v>
      </c>
      <c r="G1439" s="510">
        <v>3</v>
      </c>
      <c r="H1439" s="511">
        <v>28395</v>
      </c>
      <c r="I1439" s="511">
        <v>85185</v>
      </c>
      <c r="J1439" s="511">
        <v>0</v>
      </c>
      <c r="K1439" s="511">
        <v>85185</v>
      </c>
      <c r="L1439" s="511">
        <v>6815</v>
      </c>
      <c r="M1439" s="511">
        <v>92000</v>
      </c>
      <c r="N1439" s="512">
        <v>8.0000000000000002E-3</v>
      </c>
      <c r="O1439" s="509" t="s">
        <v>1086</v>
      </c>
    </row>
    <row r="1440" spans="1:15" x14ac:dyDescent="0.25">
      <c r="A1440" s="508">
        <v>19</v>
      </c>
      <c r="B1440" s="508" t="s">
        <v>130</v>
      </c>
      <c r="C1440" s="508">
        <v>218</v>
      </c>
      <c r="D1440" s="509" t="s">
        <v>89</v>
      </c>
      <c r="E1440" s="509" t="s">
        <v>1106</v>
      </c>
      <c r="F1440" s="508" t="s">
        <v>1085</v>
      </c>
      <c r="G1440" s="510">
        <v>2</v>
      </c>
      <c r="H1440" s="511">
        <v>18519</v>
      </c>
      <c r="I1440" s="511">
        <v>37037</v>
      </c>
      <c r="J1440" s="511">
        <v>0</v>
      </c>
      <c r="K1440" s="511">
        <v>37037</v>
      </c>
      <c r="L1440" s="511">
        <v>2963</v>
      </c>
      <c r="M1440" s="511">
        <v>40000</v>
      </c>
      <c r="N1440" s="512">
        <v>3.5000000000000001E-3</v>
      </c>
      <c r="O1440" s="509" t="s">
        <v>1086</v>
      </c>
    </row>
    <row r="1441" spans="1:15" x14ac:dyDescent="0.25">
      <c r="A1441" s="508">
        <v>19</v>
      </c>
      <c r="B1441" s="508" t="s">
        <v>130</v>
      </c>
      <c r="C1441" s="508">
        <v>34</v>
      </c>
      <c r="D1441" s="509" t="s">
        <v>91</v>
      </c>
      <c r="E1441" s="509" t="s">
        <v>1107</v>
      </c>
      <c r="F1441" s="508" t="s">
        <v>1085</v>
      </c>
      <c r="G1441" s="510">
        <v>11</v>
      </c>
      <c r="H1441" s="511">
        <v>6481</v>
      </c>
      <c r="I1441" s="511">
        <v>71296</v>
      </c>
      <c r="J1441" s="511">
        <v>0</v>
      </c>
      <c r="K1441" s="511">
        <v>71296</v>
      </c>
      <c r="L1441" s="511">
        <v>5704</v>
      </c>
      <c r="M1441" s="511">
        <v>77000</v>
      </c>
      <c r="N1441" s="512">
        <v>6.7000000000000002E-3</v>
      </c>
      <c r="O1441" s="509" t="s">
        <v>1086</v>
      </c>
    </row>
    <row r="1442" spans="1:15" x14ac:dyDescent="0.25">
      <c r="A1442" s="508">
        <v>19</v>
      </c>
      <c r="B1442" s="508" t="s">
        <v>130</v>
      </c>
      <c r="C1442" s="508">
        <v>121</v>
      </c>
      <c r="D1442" s="509" t="s">
        <v>91</v>
      </c>
      <c r="E1442" s="509" t="s">
        <v>1108</v>
      </c>
      <c r="F1442" s="508" t="s">
        <v>1085</v>
      </c>
      <c r="G1442" s="510">
        <v>5</v>
      </c>
      <c r="H1442" s="511">
        <v>2778</v>
      </c>
      <c r="I1442" s="511">
        <v>13889</v>
      </c>
      <c r="J1442" s="511">
        <v>0</v>
      </c>
      <c r="K1442" s="511">
        <v>13889</v>
      </c>
      <c r="L1442" s="511">
        <v>1111</v>
      </c>
      <c r="M1442" s="511">
        <v>15000</v>
      </c>
      <c r="N1442" s="512">
        <v>1.2999999999999999E-3</v>
      </c>
      <c r="O1442" s="509" t="s">
        <v>1086</v>
      </c>
    </row>
    <row r="1443" spans="1:15" x14ac:dyDescent="0.25">
      <c r="A1443" s="508">
        <v>19</v>
      </c>
      <c r="B1443" s="508" t="s">
        <v>130</v>
      </c>
      <c r="C1443" s="508">
        <v>208</v>
      </c>
      <c r="D1443" s="509" t="s">
        <v>91</v>
      </c>
      <c r="E1443" s="509" t="s">
        <v>1109</v>
      </c>
      <c r="F1443" s="508" t="s">
        <v>1085</v>
      </c>
      <c r="G1443" s="510">
        <v>15</v>
      </c>
      <c r="H1443" s="511">
        <v>3704</v>
      </c>
      <c r="I1443" s="511">
        <v>55556</v>
      </c>
      <c r="J1443" s="511">
        <v>0</v>
      </c>
      <c r="K1443" s="511">
        <v>55556</v>
      </c>
      <c r="L1443" s="511">
        <v>4444</v>
      </c>
      <c r="M1443" s="511">
        <v>60000</v>
      </c>
      <c r="N1443" s="512">
        <v>5.1999999999999998E-3</v>
      </c>
      <c r="O1443" s="509" t="s">
        <v>1086</v>
      </c>
    </row>
    <row r="1444" spans="1:15" x14ac:dyDescent="0.25">
      <c r="A1444" s="508">
        <v>19</v>
      </c>
      <c r="B1444" s="508" t="s">
        <v>130</v>
      </c>
      <c r="C1444" s="508">
        <v>318</v>
      </c>
      <c r="D1444" s="509" t="s">
        <v>91</v>
      </c>
      <c r="E1444" s="509" t="s">
        <v>1218</v>
      </c>
      <c r="F1444" s="508" t="s">
        <v>1085</v>
      </c>
      <c r="G1444" s="510">
        <v>1</v>
      </c>
      <c r="H1444" s="511">
        <v>4630</v>
      </c>
      <c r="I1444" s="511">
        <v>4630</v>
      </c>
      <c r="J1444" s="511">
        <v>0</v>
      </c>
      <c r="K1444" s="511">
        <v>4630</v>
      </c>
      <c r="L1444" s="511">
        <v>370</v>
      </c>
      <c r="M1444" s="511">
        <v>5000</v>
      </c>
      <c r="N1444" s="512">
        <v>4.0000000000000002E-4</v>
      </c>
      <c r="O1444" s="509" t="s">
        <v>1086</v>
      </c>
    </row>
    <row r="1445" spans="1:15" x14ac:dyDescent="0.25">
      <c r="A1445" s="508">
        <v>19</v>
      </c>
      <c r="B1445" s="508" t="s">
        <v>130</v>
      </c>
      <c r="C1445" s="508">
        <v>90</v>
      </c>
      <c r="D1445" s="509" t="s">
        <v>91</v>
      </c>
      <c r="E1445" s="509" t="s">
        <v>572</v>
      </c>
      <c r="F1445" s="508" t="s">
        <v>1085</v>
      </c>
      <c r="G1445" s="510">
        <v>1</v>
      </c>
      <c r="H1445" s="511">
        <v>4259</v>
      </c>
      <c r="I1445" s="511">
        <v>4259</v>
      </c>
      <c r="J1445" s="511">
        <v>0</v>
      </c>
      <c r="K1445" s="511">
        <v>4259</v>
      </c>
      <c r="L1445" s="511">
        <v>341</v>
      </c>
      <c r="M1445" s="511">
        <v>4600</v>
      </c>
      <c r="N1445" s="512">
        <v>4.0000000000000002E-4</v>
      </c>
      <c r="O1445" s="509" t="s">
        <v>1086</v>
      </c>
    </row>
    <row r="1446" spans="1:15" x14ac:dyDescent="0.25">
      <c r="A1446" s="508">
        <v>19</v>
      </c>
      <c r="B1446" s="508" t="s">
        <v>130</v>
      </c>
      <c r="C1446" s="508">
        <v>123</v>
      </c>
      <c r="D1446" s="509" t="s">
        <v>91</v>
      </c>
      <c r="E1446" s="509" t="s">
        <v>1110</v>
      </c>
      <c r="F1446" s="508" t="s">
        <v>1085</v>
      </c>
      <c r="G1446" s="510">
        <v>3</v>
      </c>
      <c r="H1446" s="511">
        <v>2778</v>
      </c>
      <c r="I1446" s="511">
        <v>8333</v>
      </c>
      <c r="J1446" s="511">
        <v>0</v>
      </c>
      <c r="K1446" s="511">
        <v>8333</v>
      </c>
      <c r="L1446" s="511">
        <v>667</v>
      </c>
      <c r="M1446" s="511">
        <v>9000</v>
      </c>
      <c r="N1446" s="512">
        <v>8.0000000000000004E-4</v>
      </c>
      <c r="O1446" s="509" t="s">
        <v>1086</v>
      </c>
    </row>
    <row r="1447" spans="1:15" x14ac:dyDescent="0.25">
      <c r="A1447" s="508">
        <v>19</v>
      </c>
      <c r="B1447" s="508" t="s">
        <v>130</v>
      </c>
      <c r="C1447" s="508">
        <v>31</v>
      </c>
      <c r="D1447" s="509" t="s">
        <v>95</v>
      </c>
      <c r="E1447" s="509" t="s">
        <v>1111</v>
      </c>
      <c r="F1447" s="508" t="s">
        <v>1085</v>
      </c>
      <c r="G1447" s="510">
        <v>13</v>
      </c>
      <c r="H1447" s="511">
        <v>1204</v>
      </c>
      <c r="I1447" s="511">
        <v>15648</v>
      </c>
      <c r="J1447" s="511">
        <v>0</v>
      </c>
      <c r="K1447" s="511">
        <v>15648</v>
      </c>
      <c r="L1447" s="511">
        <v>1252</v>
      </c>
      <c r="M1447" s="511">
        <v>16900</v>
      </c>
      <c r="N1447" s="512">
        <v>1.5E-3</v>
      </c>
      <c r="O1447" s="509" t="s">
        <v>1086</v>
      </c>
    </row>
    <row r="1448" spans="1:15" x14ac:dyDescent="0.25">
      <c r="A1448" s="508">
        <v>19</v>
      </c>
      <c r="B1448" s="508" t="s">
        <v>130</v>
      </c>
      <c r="C1448" s="508">
        <v>212</v>
      </c>
      <c r="D1448" s="509" t="s">
        <v>91</v>
      </c>
      <c r="E1448" s="509" t="s">
        <v>162</v>
      </c>
      <c r="F1448" s="508" t="s">
        <v>1085</v>
      </c>
      <c r="G1448" s="510">
        <v>6</v>
      </c>
      <c r="H1448" s="511">
        <v>22222</v>
      </c>
      <c r="I1448" s="511">
        <v>133333</v>
      </c>
      <c r="J1448" s="511">
        <v>0</v>
      </c>
      <c r="K1448" s="511">
        <v>133333</v>
      </c>
      <c r="L1448" s="511">
        <v>10667</v>
      </c>
      <c r="M1448" s="511">
        <v>144000</v>
      </c>
      <c r="N1448" s="512">
        <v>1.26E-2</v>
      </c>
      <c r="O1448" s="509" t="s">
        <v>1086</v>
      </c>
    </row>
    <row r="1449" spans="1:15" x14ac:dyDescent="0.25">
      <c r="A1449" s="508">
        <v>19</v>
      </c>
      <c r="B1449" s="508" t="s">
        <v>130</v>
      </c>
      <c r="C1449" s="508">
        <v>74</v>
      </c>
      <c r="D1449" s="509" t="s">
        <v>91</v>
      </c>
      <c r="E1449" s="509" t="s">
        <v>1153</v>
      </c>
      <c r="F1449" s="508" t="s">
        <v>1085</v>
      </c>
      <c r="G1449" s="510">
        <v>9</v>
      </c>
      <c r="H1449" s="511">
        <v>6481</v>
      </c>
      <c r="I1449" s="511">
        <v>58333</v>
      </c>
      <c r="J1449" s="511">
        <v>0</v>
      </c>
      <c r="K1449" s="511">
        <v>58333</v>
      </c>
      <c r="L1449" s="511">
        <v>4667</v>
      </c>
      <c r="M1449" s="511">
        <v>63000</v>
      </c>
      <c r="N1449" s="512">
        <v>5.5000000000000014E-3</v>
      </c>
      <c r="O1449" s="509" t="s">
        <v>1086</v>
      </c>
    </row>
    <row r="1450" spans="1:15" x14ac:dyDescent="0.25">
      <c r="A1450" s="508">
        <v>19</v>
      </c>
      <c r="B1450" s="508" t="s">
        <v>130</v>
      </c>
      <c r="C1450" s="508">
        <v>306</v>
      </c>
      <c r="D1450" s="509" t="s">
        <v>91</v>
      </c>
      <c r="E1450" s="509" t="s">
        <v>1176</v>
      </c>
      <c r="F1450" s="508" t="s">
        <v>1085</v>
      </c>
      <c r="G1450" s="510">
        <v>1</v>
      </c>
      <c r="H1450" s="511">
        <v>2315</v>
      </c>
      <c r="I1450" s="511">
        <v>2315</v>
      </c>
      <c r="J1450" s="511">
        <v>0</v>
      </c>
      <c r="K1450" s="511">
        <v>2315</v>
      </c>
      <c r="L1450" s="511">
        <v>185</v>
      </c>
      <c r="M1450" s="511">
        <v>2500</v>
      </c>
      <c r="N1450" s="512">
        <v>2.0000000000000001E-4</v>
      </c>
      <c r="O1450" s="509" t="s">
        <v>1086</v>
      </c>
    </row>
    <row r="1451" spans="1:15" x14ac:dyDescent="0.25">
      <c r="A1451" s="508">
        <v>19</v>
      </c>
      <c r="B1451" s="508" t="s">
        <v>130</v>
      </c>
      <c r="C1451" s="508">
        <v>134</v>
      </c>
      <c r="D1451" s="509" t="s">
        <v>91</v>
      </c>
      <c r="E1451" s="509" t="s">
        <v>1168</v>
      </c>
      <c r="F1451" s="508" t="s">
        <v>1085</v>
      </c>
      <c r="G1451" s="510">
        <v>4</v>
      </c>
      <c r="H1451" s="511">
        <v>12963</v>
      </c>
      <c r="I1451" s="511">
        <v>51852</v>
      </c>
      <c r="J1451" s="511">
        <v>0</v>
      </c>
      <c r="K1451" s="511">
        <v>51852</v>
      </c>
      <c r="L1451" s="511">
        <v>4148</v>
      </c>
      <c r="M1451" s="511">
        <v>56000</v>
      </c>
      <c r="N1451" s="512">
        <v>4.8999999999999998E-3</v>
      </c>
      <c r="O1451" s="509" t="s">
        <v>1086</v>
      </c>
    </row>
    <row r="1452" spans="1:15" x14ac:dyDescent="0.25">
      <c r="A1452" s="508">
        <v>19</v>
      </c>
      <c r="B1452" s="508" t="s">
        <v>130</v>
      </c>
      <c r="C1452" s="508">
        <v>501</v>
      </c>
      <c r="D1452" s="509" t="s">
        <v>91</v>
      </c>
      <c r="E1452" s="509" t="s">
        <v>1112</v>
      </c>
      <c r="F1452" s="508" t="s">
        <v>1085</v>
      </c>
      <c r="G1452" s="510">
        <v>1</v>
      </c>
      <c r="H1452" s="511">
        <v>22222</v>
      </c>
      <c r="I1452" s="511">
        <v>22222</v>
      </c>
      <c r="J1452" s="511">
        <v>0</v>
      </c>
      <c r="K1452" s="511">
        <v>22222</v>
      </c>
      <c r="L1452" s="511">
        <v>1778</v>
      </c>
      <c r="M1452" s="511">
        <v>24000</v>
      </c>
      <c r="N1452" s="512">
        <v>2.0999999999999999E-3</v>
      </c>
      <c r="O1452" s="509" t="s">
        <v>1086</v>
      </c>
    </row>
    <row r="1453" spans="1:15" x14ac:dyDescent="0.25">
      <c r="A1453" s="508">
        <v>19</v>
      </c>
      <c r="B1453" s="508" t="s">
        <v>130</v>
      </c>
      <c r="C1453" s="508">
        <v>75</v>
      </c>
      <c r="D1453" s="509" t="s">
        <v>91</v>
      </c>
      <c r="E1453" s="509" t="s">
        <v>1113</v>
      </c>
      <c r="F1453" s="508" t="s">
        <v>1085</v>
      </c>
      <c r="G1453" s="510">
        <v>5</v>
      </c>
      <c r="H1453" s="511">
        <v>9259</v>
      </c>
      <c r="I1453" s="511">
        <v>46296</v>
      </c>
      <c r="J1453" s="511">
        <v>0</v>
      </c>
      <c r="K1453" s="511">
        <v>46296</v>
      </c>
      <c r="L1453" s="511">
        <v>3704</v>
      </c>
      <c r="M1453" s="511">
        <v>50000</v>
      </c>
      <c r="N1453" s="512">
        <v>4.4000000000000003E-3</v>
      </c>
      <c r="O1453" s="509" t="s">
        <v>1086</v>
      </c>
    </row>
    <row r="1454" spans="1:15" x14ac:dyDescent="0.25">
      <c r="A1454" s="508">
        <v>19</v>
      </c>
      <c r="B1454" s="508" t="s">
        <v>130</v>
      </c>
      <c r="C1454" s="508">
        <v>51</v>
      </c>
      <c r="D1454" s="509" t="s">
        <v>87</v>
      </c>
      <c r="E1454" s="509" t="s">
        <v>1189</v>
      </c>
      <c r="F1454" s="508" t="s">
        <v>1085</v>
      </c>
      <c r="G1454" s="510">
        <v>8</v>
      </c>
      <c r="H1454" s="511">
        <v>29167</v>
      </c>
      <c r="I1454" s="511">
        <v>233333</v>
      </c>
      <c r="J1454" s="511">
        <v>0</v>
      </c>
      <c r="K1454" s="511">
        <v>233333</v>
      </c>
      <c r="L1454" s="511">
        <v>18667</v>
      </c>
      <c r="M1454" s="511">
        <v>252000</v>
      </c>
      <c r="N1454" s="512">
        <v>2.1999999999999999E-2</v>
      </c>
      <c r="O1454" s="509" t="s">
        <v>1086</v>
      </c>
    </row>
    <row r="1455" spans="1:15" x14ac:dyDescent="0.25">
      <c r="A1455" s="508">
        <v>19</v>
      </c>
      <c r="B1455" s="508" t="s">
        <v>130</v>
      </c>
      <c r="C1455" s="508">
        <v>88</v>
      </c>
      <c r="D1455" s="509" t="s">
        <v>87</v>
      </c>
      <c r="E1455" s="509" t="s">
        <v>132</v>
      </c>
      <c r="F1455" s="508" t="s">
        <v>1085</v>
      </c>
      <c r="G1455" s="510">
        <v>16</v>
      </c>
      <c r="H1455" s="511">
        <v>32870</v>
      </c>
      <c r="I1455" s="511">
        <v>525926</v>
      </c>
      <c r="J1455" s="511">
        <v>0</v>
      </c>
      <c r="K1455" s="511">
        <v>525926</v>
      </c>
      <c r="L1455" s="511">
        <v>42074</v>
      </c>
      <c r="M1455" s="511">
        <v>568000</v>
      </c>
      <c r="N1455" s="512">
        <v>4.9599999999999998E-2</v>
      </c>
      <c r="O1455" s="509" t="s">
        <v>1086</v>
      </c>
    </row>
    <row r="1456" spans="1:15" x14ac:dyDescent="0.25">
      <c r="A1456" s="508">
        <v>19</v>
      </c>
      <c r="B1456" s="508" t="s">
        <v>130</v>
      </c>
      <c r="C1456" s="508">
        <v>118</v>
      </c>
      <c r="D1456" s="509" t="s">
        <v>87</v>
      </c>
      <c r="E1456" s="509" t="s">
        <v>126</v>
      </c>
      <c r="F1456" s="508" t="s">
        <v>1085</v>
      </c>
      <c r="G1456" s="510">
        <v>18</v>
      </c>
      <c r="H1456" s="511">
        <v>41667</v>
      </c>
      <c r="I1456" s="511">
        <v>750000</v>
      </c>
      <c r="J1456" s="511">
        <v>0</v>
      </c>
      <c r="K1456" s="511">
        <v>750000</v>
      </c>
      <c r="L1456" s="511">
        <v>60000</v>
      </c>
      <c r="M1456" s="511">
        <v>810000</v>
      </c>
      <c r="N1456" s="512">
        <v>7.0800000000000002E-2</v>
      </c>
      <c r="O1456" s="509" t="s">
        <v>1086</v>
      </c>
    </row>
    <row r="1457" spans="1:15" x14ac:dyDescent="0.25">
      <c r="A1457" s="508">
        <v>19</v>
      </c>
      <c r="B1457" s="508" t="s">
        <v>130</v>
      </c>
      <c r="C1457" s="508">
        <v>204</v>
      </c>
      <c r="D1457" s="509" t="s">
        <v>91</v>
      </c>
      <c r="E1457" s="509" t="s">
        <v>1114</v>
      </c>
      <c r="F1457" s="508" t="s">
        <v>1085</v>
      </c>
      <c r="G1457" s="510">
        <v>8</v>
      </c>
      <c r="H1457" s="511">
        <v>12037</v>
      </c>
      <c r="I1457" s="511">
        <v>96296</v>
      </c>
      <c r="J1457" s="511">
        <v>0</v>
      </c>
      <c r="K1457" s="511">
        <v>96296</v>
      </c>
      <c r="L1457" s="511">
        <v>7704</v>
      </c>
      <c r="M1457" s="511">
        <v>104000</v>
      </c>
      <c r="N1457" s="512">
        <v>9.1000000000000004E-3</v>
      </c>
      <c r="O1457" s="509" t="s">
        <v>1086</v>
      </c>
    </row>
    <row r="1458" spans="1:15" x14ac:dyDescent="0.25">
      <c r="A1458" s="508">
        <v>19</v>
      </c>
      <c r="B1458" s="508" t="s">
        <v>130</v>
      </c>
      <c r="C1458" s="508">
        <v>109</v>
      </c>
      <c r="D1458" s="509" t="s">
        <v>91</v>
      </c>
      <c r="E1458" s="509" t="s">
        <v>144</v>
      </c>
      <c r="F1458" s="508" t="s">
        <v>1085</v>
      </c>
      <c r="G1458" s="510">
        <v>35</v>
      </c>
      <c r="H1458" s="511">
        <v>12963</v>
      </c>
      <c r="I1458" s="511">
        <v>453704</v>
      </c>
      <c r="J1458" s="511">
        <v>0</v>
      </c>
      <c r="K1458" s="511">
        <v>453704</v>
      </c>
      <c r="L1458" s="511">
        <v>36296</v>
      </c>
      <c r="M1458" s="511">
        <v>490000</v>
      </c>
      <c r="N1458" s="512">
        <v>4.2799999999999998E-2</v>
      </c>
      <c r="O1458" s="509" t="s">
        <v>1086</v>
      </c>
    </row>
    <row r="1459" spans="1:15" x14ac:dyDescent="0.25">
      <c r="A1459" s="508">
        <v>19</v>
      </c>
      <c r="B1459" s="508" t="s">
        <v>130</v>
      </c>
      <c r="C1459" s="508">
        <v>147</v>
      </c>
      <c r="D1459" s="509" t="s">
        <v>91</v>
      </c>
      <c r="E1459" s="509" t="s">
        <v>1115</v>
      </c>
      <c r="F1459" s="508" t="s">
        <v>1085</v>
      </c>
      <c r="G1459" s="510">
        <v>6</v>
      </c>
      <c r="H1459" s="511">
        <v>6481</v>
      </c>
      <c r="I1459" s="511">
        <v>38889</v>
      </c>
      <c r="J1459" s="511">
        <v>0</v>
      </c>
      <c r="K1459" s="511">
        <v>38889</v>
      </c>
      <c r="L1459" s="511">
        <v>3111</v>
      </c>
      <c r="M1459" s="511">
        <v>42000</v>
      </c>
      <c r="N1459" s="512">
        <v>3.7000000000000002E-3</v>
      </c>
      <c r="O1459" s="509" t="s">
        <v>1086</v>
      </c>
    </row>
    <row r="1460" spans="1:15" x14ac:dyDescent="0.25">
      <c r="A1460" s="508">
        <v>19</v>
      </c>
      <c r="B1460" s="508" t="s">
        <v>130</v>
      </c>
      <c r="C1460" s="508">
        <v>46</v>
      </c>
      <c r="D1460" s="509" t="s">
        <v>87</v>
      </c>
      <c r="E1460" s="509" t="s">
        <v>1116</v>
      </c>
      <c r="F1460" s="508" t="s">
        <v>1085</v>
      </c>
      <c r="G1460" s="510">
        <v>2</v>
      </c>
      <c r="H1460" s="511">
        <v>35648</v>
      </c>
      <c r="I1460" s="511">
        <v>71296</v>
      </c>
      <c r="J1460" s="511">
        <v>0</v>
      </c>
      <c r="K1460" s="511">
        <v>71296</v>
      </c>
      <c r="L1460" s="511">
        <v>5704</v>
      </c>
      <c r="M1460" s="511">
        <v>77000</v>
      </c>
      <c r="N1460" s="512">
        <v>6.7000000000000002E-3</v>
      </c>
      <c r="O1460" s="509" t="s">
        <v>1086</v>
      </c>
    </row>
    <row r="1461" spans="1:15" x14ac:dyDescent="0.25">
      <c r="A1461" s="508">
        <v>19</v>
      </c>
      <c r="B1461" s="508" t="s">
        <v>130</v>
      </c>
      <c r="C1461" s="508">
        <v>72</v>
      </c>
      <c r="D1461" s="509" t="s">
        <v>97</v>
      </c>
      <c r="E1461" s="509" t="s">
        <v>1117</v>
      </c>
      <c r="F1461" s="508" t="s">
        <v>1085</v>
      </c>
      <c r="G1461" s="510">
        <v>6</v>
      </c>
      <c r="H1461" s="511">
        <v>3704</v>
      </c>
      <c r="I1461" s="511">
        <v>22222</v>
      </c>
      <c r="J1461" s="511">
        <v>0</v>
      </c>
      <c r="K1461" s="511">
        <v>22222</v>
      </c>
      <c r="L1461" s="511">
        <v>1778</v>
      </c>
      <c r="M1461" s="511">
        <v>24000</v>
      </c>
      <c r="N1461" s="512">
        <v>2.0999999999999999E-3</v>
      </c>
      <c r="O1461" s="509" t="s">
        <v>1086</v>
      </c>
    </row>
    <row r="1462" spans="1:15" x14ac:dyDescent="0.25">
      <c r="A1462" s="508">
        <v>19</v>
      </c>
      <c r="B1462" s="508" t="s">
        <v>130</v>
      </c>
      <c r="C1462" s="508">
        <v>227</v>
      </c>
      <c r="D1462" s="509" t="s">
        <v>87</v>
      </c>
      <c r="E1462" s="509" t="s">
        <v>1169</v>
      </c>
      <c r="F1462" s="508" t="s">
        <v>1085</v>
      </c>
      <c r="G1462" s="510">
        <v>2</v>
      </c>
      <c r="H1462" s="511">
        <v>1389</v>
      </c>
      <c r="I1462" s="511">
        <v>2778</v>
      </c>
      <c r="J1462" s="511">
        <v>0</v>
      </c>
      <c r="K1462" s="511">
        <v>2778</v>
      </c>
      <c r="L1462" s="511">
        <v>222</v>
      </c>
      <c r="M1462" s="511">
        <v>3000</v>
      </c>
      <c r="N1462" s="512">
        <v>2.9999999999999997E-4</v>
      </c>
      <c r="O1462" s="509" t="s">
        <v>1086</v>
      </c>
    </row>
    <row r="1463" spans="1:15" x14ac:dyDescent="0.25">
      <c r="A1463" s="508">
        <v>19</v>
      </c>
      <c r="B1463" s="508" t="s">
        <v>130</v>
      </c>
      <c r="C1463" s="508">
        <v>93</v>
      </c>
      <c r="D1463" s="509" t="s">
        <v>89</v>
      </c>
      <c r="E1463" s="509" t="s">
        <v>123</v>
      </c>
      <c r="F1463" s="508" t="s">
        <v>1085</v>
      </c>
      <c r="G1463" s="510">
        <v>4</v>
      </c>
      <c r="H1463" s="511">
        <v>20370</v>
      </c>
      <c r="I1463" s="511">
        <v>81481</v>
      </c>
      <c r="J1463" s="511">
        <v>0</v>
      </c>
      <c r="K1463" s="511">
        <v>81481</v>
      </c>
      <c r="L1463" s="511">
        <v>6519</v>
      </c>
      <c r="M1463" s="511">
        <v>88000</v>
      </c>
      <c r="N1463" s="512">
        <v>7.7000000000000002E-3</v>
      </c>
      <c r="O1463" s="509" t="s">
        <v>1086</v>
      </c>
    </row>
    <row r="1464" spans="1:15" x14ac:dyDescent="0.25">
      <c r="A1464" s="508">
        <v>19</v>
      </c>
      <c r="B1464" s="508" t="s">
        <v>130</v>
      </c>
      <c r="C1464" s="508">
        <v>119</v>
      </c>
      <c r="D1464" s="509" t="s">
        <v>89</v>
      </c>
      <c r="E1464" s="509" t="s">
        <v>114</v>
      </c>
      <c r="F1464" s="508" t="s">
        <v>1085</v>
      </c>
      <c r="G1464" s="510">
        <v>17</v>
      </c>
      <c r="H1464" s="511">
        <v>44444</v>
      </c>
      <c r="I1464" s="511">
        <v>755556</v>
      </c>
      <c r="J1464" s="511">
        <v>0</v>
      </c>
      <c r="K1464" s="511">
        <v>755556</v>
      </c>
      <c r="L1464" s="511">
        <v>60444</v>
      </c>
      <c r="M1464" s="511">
        <v>816000</v>
      </c>
      <c r="N1464" s="512">
        <v>7.1300000000000002E-2</v>
      </c>
      <c r="O1464" s="509" t="s">
        <v>1086</v>
      </c>
    </row>
    <row r="1465" spans="1:15" x14ac:dyDescent="0.25">
      <c r="A1465" s="508">
        <v>19</v>
      </c>
      <c r="B1465" s="508" t="s">
        <v>130</v>
      </c>
      <c r="C1465" s="508">
        <v>21</v>
      </c>
      <c r="D1465" s="509" t="s">
        <v>95</v>
      </c>
      <c r="E1465" s="509" t="s">
        <v>1202</v>
      </c>
      <c r="F1465" s="508" t="s">
        <v>1085</v>
      </c>
      <c r="G1465" s="510">
        <v>5</v>
      </c>
      <c r="H1465" s="511">
        <v>7407</v>
      </c>
      <c r="I1465" s="511">
        <v>37037</v>
      </c>
      <c r="J1465" s="511">
        <v>0</v>
      </c>
      <c r="K1465" s="511">
        <v>37037</v>
      </c>
      <c r="L1465" s="511">
        <v>2963</v>
      </c>
      <c r="M1465" s="511">
        <v>40000</v>
      </c>
      <c r="N1465" s="512">
        <v>3.5000000000000001E-3</v>
      </c>
      <c r="O1465" s="509" t="s">
        <v>1086</v>
      </c>
    </row>
    <row r="1466" spans="1:15" x14ac:dyDescent="0.25">
      <c r="A1466" s="508">
        <v>19</v>
      </c>
      <c r="B1466" s="508" t="s">
        <v>130</v>
      </c>
      <c r="C1466" s="508">
        <v>19</v>
      </c>
      <c r="D1466" s="509" t="s">
        <v>87</v>
      </c>
      <c r="E1466" s="509" t="s">
        <v>1120</v>
      </c>
      <c r="F1466" s="508" t="s">
        <v>1085</v>
      </c>
      <c r="G1466" s="510">
        <v>1</v>
      </c>
      <c r="H1466" s="511">
        <v>9259</v>
      </c>
      <c r="I1466" s="511">
        <v>9259</v>
      </c>
      <c r="J1466" s="511">
        <v>0</v>
      </c>
      <c r="K1466" s="511">
        <v>9259</v>
      </c>
      <c r="L1466" s="511">
        <v>741</v>
      </c>
      <c r="M1466" s="511">
        <v>10000</v>
      </c>
      <c r="N1466" s="512">
        <v>8.9999999999999998E-4</v>
      </c>
      <c r="O1466" s="509" t="s">
        <v>1086</v>
      </c>
    </row>
    <row r="1467" spans="1:15" x14ac:dyDescent="0.25">
      <c r="A1467" s="508">
        <v>19</v>
      </c>
      <c r="B1467" s="508" t="s">
        <v>130</v>
      </c>
      <c r="C1467" s="508">
        <v>47</v>
      </c>
      <c r="D1467" s="509" t="s">
        <v>87</v>
      </c>
      <c r="E1467" s="509" t="s">
        <v>1191</v>
      </c>
      <c r="F1467" s="508" t="s">
        <v>1085</v>
      </c>
      <c r="G1467" s="510">
        <v>2</v>
      </c>
      <c r="H1467" s="511">
        <v>64815</v>
      </c>
      <c r="I1467" s="511">
        <v>129630</v>
      </c>
      <c r="J1467" s="511">
        <v>0</v>
      </c>
      <c r="K1467" s="511">
        <v>129630</v>
      </c>
      <c r="L1467" s="511">
        <v>10370</v>
      </c>
      <c r="M1467" s="511">
        <v>140000</v>
      </c>
      <c r="N1467" s="512">
        <v>1.2200000000000001E-2</v>
      </c>
      <c r="O1467" s="509" t="s">
        <v>1086</v>
      </c>
    </row>
    <row r="1468" spans="1:15" x14ac:dyDescent="0.25">
      <c r="A1468" s="508">
        <v>19</v>
      </c>
      <c r="B1468" s="508" t="s">
        <v>130</v>
      </c>
      <c r="C1468" s="508">
        <v>111</v>
      </c>
      <c r="D1468" s="509" t="s">
        <v>87</v>
      </c>
      <c r="E1468" s="509" t="s">
        <v>1192</v>
      </c>
      <c r="F1468" s="508" t="s">
        <v>1085</v>
      </c>
      <c r="G1468" s="510">
        <v>0</v>
      </c>
      <c r="H1468" s="511">
        <v>0</v>
      </c>
      <c r="I1468" s="511">
        <v>0</v>
      </c>
      <c r="J1468" s="511">
        <v>0</v>
      </c>
      <c r="K1468" s="511">
        <v>0</v>
      </c>
      <c r="L1468" s="511">
        <v>0</v>
      </c>
      <c r="M1468" s="511">
        <v>0</v>
      </c>
      <c r="N1468" s="512">
        <v>0</v>
      </c>
      <c r="O1468" s="509" t="s">
        <v>1086</v>
      </c>
    </row>
    <row r="1469" spans="1:15" x14ac:dyDescent="0.25">
      <c r="A1469" s="508">
        <v>19</v>
      </c>
      <c r="B1469" s="508" t="s">
        <v>130</v>
      </c>
      <c r="C1469" s="508">
        <v>99</v>
      </c>
      <c r="D1469" s="509" t="s">
        <v>87</v>
      </c>
      <c r="E1469" s="509" t="s">
        <v>1209</v>
      </c>
      <c r="F1469" s="508" t="s">
        <v>1210</v>
      </c>
      <c r="G1469" s="510">
        <v>1</v>
      </c>
      <c r="H1469" s="511">
        <v>3241</v>
      </c>
      <c r="I1469" s="511">
        <v>3241</v>
      </c>
      <c r="J1469" s="511">
        <v>0</v>
      </c>
      <c r="K1469" s="511">
        <v>3241</v>
      </c>
      <c r="L1469" s="511">
        <v>259</v>
      </c>
      <c r="M1469" s="511">
        <v>3500</v>
      </c>
      <c r="N1469" s="512">
        <v>2.9999999999999997E-4</v>
      </c>
      <c r="O1469" s="509" t="s">
        <v>1086</v>
      </c>
    </row>
    <row r="1470" spans="1:15" x14ac:dyDescent="0.25">
      <c r="A1470" s="508">
        <v>19</v>
      </c>
      <c r="B1470" s="508" t="s">
        <v>130</v>
      </c>
      <c r="C1470" s="508">
        <v>81</v>
      </c>
      <c r="D1470" s="509" t="s">
        <v>95</v>
      </c>
      <c r="E1470" s="509" t="s">
        <v>1123</v>
      </c>
      <c r="F1470" s="508" t="s">
        <v>1085</v>
      </c>
      <c r="G1470" s="510">
        <v>1</v>
      </c>
      <c r="H1470" s="511">
        <v>1389</v>
      </c>
      <c r="I1470" s="511">
        <v>1389</v>
      </c>
      <c r="J1470" s="511">
        <v>0</v>
      </c>
      <c r="K1470" s="511">
        <v>1389</v>
      </c>
      <c r="L1470" s="511">
        <v>111</v>
      </c>
      <c r="M1470" s="511">
        <v>1500</v>
      </c>
      <c r="N1470" s="512">
        <v>1E-4</v>
      </c>
      <c r="O1470" s="509" t="s">
        <v>1086</v>
      </c>
    </row>
    <row r="1471" spans="1:15" x14ac:dyDescent="0.25">
      <c r="A1471" s="508">
        <v>19</v>
      </c>
      <c r="B1471" s="508" t="s">
        <v>130</v>
      </c>
      <c r="C1471" s="508">
        <v>86</v>
      </c>
      <c r="D1471" s="509" t="s">
        <v>95</v>
      </c>
      <c r="E1471" s="509" t="s">
        <v>1124</v>
      </c>
      <c r="F1471" s="508" t="s">
        <v>1085</v>
      </c>
      <c r="G1471" s="510">
        <v>8</v>
      </c>
      <c r="H1471" s="511">
        <v>3241</v>
      </c>
      <c r="I1471" s="511">
        <v>25926</v>
      </c>
      <c r="J1471" s="511">
        <v>0</v>
      </c>
      <c r="K1471" s="511">
        <v>25926</v>
      </c>
      <c r="L1471" s="511">
        <v>2074</v>
      </c>
      <c r="M1471" s="511">
        <v>28000</v>
      </c>
      <c r="N1471" s="512">
        <v>2.3999999999999998E-3</v>
      </c>
      <c r="O1471" s="509" t="s">
        <v>1086</v>
      </c>
    </row>
    <row r="1472" spans="1:15" x14ac:dyDescent="0.25">
      <c r="A1472" s="508">
        <v>19</v>
      </c>
      <c r="B1472" s="508" t="s">
        <v>130</v>
      </c>
      <c r="C1472" s="508">
        <v>80</v>
      </c>
      <c r="D1472" s="509" t="s">
        <v>95</v>
      </c>
      <c r="E1472" s="509" t="s">
        <v>1125</v>
      </c>
      <c r="F1472" s="508" t="s">
        <v>1085</v>
      </c>
      <c r="G1472" s="510">
        <v>0</v>
      </c>
      <c r="H1472" s="511">
        <v>0</v>
      </c>
      <c r="I1472" s="511">
        <v>0</v>
      </c>
      <c r="J1472" s="511">
        <v>0</v>
      </c>
      <c r="K1472" s="511">
        <v>0</v>
      </c>
      <c r="L1472" s="511">
        <v>0</v>
      </c>
      <c r="M1472" s="511">
        <v>0</v>
      </c>
      <c r="N1472" s="512">
        <v>0</v>
      </c>
      <c r="O1472" s="509" t="s">
        <v>1086</v>
      </c>
    </row>
    <row r="1473" spans="1:15" x14ac:dyDescent="0.25">
      <c r="A1473" s="508">
        <v>19</v>
      </c>
      <c r="B1473" s="508" t="s">
        <v>130</v>
      </c>
      <c r="C1473" s="508">
        <v>85</v>
      </c>
      <c r="D1473" s="509" t="s">
        <v>95</v>
      </c>
      <c r="E1473" s="509" t="s">
        <v>1157</v>
      </c>
      <c r="F1473" s="508" t="s">
        <v>1085</v>
      </c>
      <c r="G1473" s="510">
        <v>1</v>
      </c>
      <c r="H1473" s="511">
        <v>2315</v>
      </c>
      <c r="I1473" s="511">
        <v>2315</v>
      </c>
      <c r="J1473" s="511">
        <v>0</v>
      </c>
      <c r="K1473" s="511">
        <v>2315</v>
      </c>
      <c r="L1473" s="511">
        <v>185</v>
      </c>
      <c r="M1473" s="511">
        <v>2500</v>
      </c>
      <c r="N1473" s="512">
        <v>2.0000000000000001E-4</v>
      </c>
      <c r="O1473" s="509" t="s">
        <v>1086</v>
      </c>
    </row>
    <row r="1474" spans="1:15" x14ac:dyDescent="0.25">
      <c r="A1474" s="508">
        <v>19</v>
      </c>
      <c r="B1474" s="508" t="s">
        <v>130</v>
      </c>
      <c r="C1474" s="508">
        <v>91</v>
      </c>
      <c r="D1474" s="509" t="s">
        <v>95</v>
      </c>
      <c r="E1474" s="509" t="s">
        <v>1193</v>
      </c>
      <c r="F1474" s="508" t="s">
        <v>1085</v>
      </c>
      <c r="G1474" s="510">
        <v>1</v>
      </c>
      <c r="H1474" s="511">
        <v>11111</v>
      </c>
      <c r="I1474" s="511">
        <v>11111</v>
      </c>
      <c r="J1474" s="511">
        <v>0</v>
      </c>
      <c r="K1474" s="511">
        <v>11111</v>
      </c>
      <c r="L1474" s="511">
        <v>889</v>
      </c>
      <c r="M1474" s="511">
        <v>12000</v>
      </c>
      <c r="N1474" s="512">
        <v>1E-3</v>
      </c>
      <c r="O1474" s="509" t="s">
        <v>1086</v>
      </c>
    </row>
    <row r="1475" spans="1:15" x14ac:dyDescent="0.25">
      <c r="A1475" s="508">
        <v>19</v>
      </c>
      <c r="B1475" s="508" t="s">
        <v>130</v>
      </c>
      <c r="C1475" s="508">
        <v>63</v>
      </c>
      <c r="D1475" s="509" t="s">
        <v>95</v>
      </c>
      <c r="E1475" s="509" t="s">
        <v>1182</v>
      </c>
      <c r="F1475" s="508" t="s">
        <v>1085</v>
      </c>
      <c r="G1475" s="510">
        <v>1</v>
      </c>
      <c r="H1475" s="511">
        <v>3704</v>
      </c>
      <c r="I1475" s="511">
        <v>3704</v>
      </c>
      <c r="J1475" s="511">
        <v>0</v>
      </c>
      <c r="K1475" s="511">
        <v>3704</v>
      </c>
      <c r="L1475" s="511">
        <v>296</v>
      </c>
      <c r="M1475" s="511">
        <v>4000</v>
      </c>
      <c r="N1475" s="512">
        <v>2.9999999999999997E-4</v>
      </c>
      <c r="O1475" s="509" t="s">
        <v>1086</v>
      </c>
    </row>
    <row r="1476" spans="1:15" x14ac:dyDescent="0.25">
      <c r="A1476" s="508">
        <v>19</v>
      </c>
      <c r="B1476" s="508" t="s">
        <v>130</v>
      </c>
      <c r="C1476" s="508">
        <v>79</v>
      </c>
      <c r="D1476" s="509" t="s">
        <v>95</v>
      </c>
      <c r="E1476" s="509" t="s">
        <v>1127</v>
      </c>
      <c r="F1476" s="508" t="s">
        <v>1085</v>
      </c>
      <c r="G1476" s="510">
        <v>4</v>
      </c>
      <c r="H1476" s="511">
        <v>6481</v>
      </c>
      <c r="I1476" s="511">
        <v>25926</v>
      </c>
      <c r="J1476" s="511">
        <v>0</v>
      </c>
      <c r="K1476" s="511">
        <v>25926</v>
      </c>
      <c r="L1476" s="511">
        <v>2074</v>
      </c>
      <c r="M1476" s="511">
        <v>28000</v>
      </c>
      <c r="N1476" s="512">
        <v>2.3999999999999998E-3</v>
      </c>
      <c r="O1476" s="509" t="s">
        <v>1086</v>
      </c>
    </row>
    <row r="1477" spans="1:15" x14ac:dyDescent="0.25">
      <c r="A1477" s="508">
        <v>19</v>
      </c>
      <c r="B1477" s="508" t="s">
        <v>130</v>
      </c>
      <c r="C1477" s="508">
        <v>62</v>
      </c>
      <c r="D1477" s="509" t="s">
        <v>95</v>
      </c>
      <c r="E1477" s="509" t="s">
        <v>1128</v>
      </c>
      <c r="F1477" s="508" t="s">
        <v>1085</v>
      </c>
      <c r="G1477" s="510">
        <v>13</v>
      </c>
      <c r="H1477" s="511">
        <v>6944</v>
      </c>
      <c r="I1477" s="511">
        <v>90278</v>
      </c>
      <c r="J1477" s="511">
        <v>0</v>
      </c>
      <c r="K1477" s="511">
        <v>90278</v>
      </c>
      <c r="L1477" s="511">
        <v>7222</v>
      </c>
      <c r="M1477" s="511">
        <v>97500</v>
      </c>
      <c r="N1477" s="512">
        <v>8.5000000000000006E-3</v>
      </c>
      <c r="O1477" s="509" t="s">
        <v>1086</v>
      </c>
    </row>
    <row r="1478" spans="1:15" x14ac:dyDescent="0.25">
      <c r="A1478" s="508">
        <v>19</v>
      </c>
      <c r="B1478" s="508" t="s">
        <v>130</v>
      </c>
      <c r="C1478" s="508">
        <v>219</v>
      </c>
      <c r="D1478" s="509" t="s">
        <v>87</v>
      </c>
      <c r="E1478" s="509" t="s">
        <v>150</v>
      </c>
      <c r="F1478" s="508" t="s">
        <v>1085</v>
      </c>
      <c r="G1478" s="510">
        <v>2</v>
      </c>
      <c r="H1478" s="511">
        <v>69444</v>
      </c>
      <c r="I1478" s="511">
        <v>138889</v>
      </c>
      <c r="J1478" s="511">
        <v>0</v>
      </c>
      <c r="K1478" s="511">
        <v>138889</v>
      </c>
      <c r="L1478" s="511">
        <v>11111</v>
      </c>
      <c r="M1478" s="511">
        <v>150000</v>
      </c>
      <c r="N1478" s="512">
        <v>1.3100000000000001E-2</v>
      </c>
      <c r="O1478" s="509" t="s">
        <v>1086</v>
      </c>
    </row>
    <row r="1479" spans="1:15" x14ac:dyDescent="0.25">
      <c r="A1479" s="508">
        <v>19</v>
      </c>
      <c r="B1479" s="508" t="s">
        <v>130</v>
      </c>
      <c r="C1479" s="508">
        <v>220</v>
      </c>
      <c r="D1479" s="509" t="s">
        <v>87</v>
      </c>
      <c r="E1479" s="509" t="s">
        <v>1195</v>
      </c>
      <c r="F1479" s="508" t="s">
        <v>1085</v>
      </c>
      <c r="G1479" s="510">
        <v>3</v>
      </c>
      <c r="H1479" s="511">
        <v>69444</v>
      </c>
      <c r="I1479" s="511">
        <v>208333</v>
      </c>
      <c r="J1479" s="511">
        <v>0</v>
      </c>
      <c r="K1479" s="511">
        <v>208333</v>
      </c>
      <c r="L1479" s="511">
        <v>16667</v>
      </c>
      <c r="M1479" s="511">
        <v>225000</v>
      </c>
      <c r="N1479" s="512">
        <v>1.9699999999999999E-2</v>
      </c>
      <c r="O1479" s="509" t="s">
        <v>1086</v>
      </c>
    </row>
    <row r="1480" spans="1:15" x14ac:dyDescent="0.25">
      <c r="A1480" s="508">
        <v>19</v>
      </c>
      <c r="B1480" s="508" t="s">
        <v>130</v>
      </c>
      <c r="C1480" s="508">
        <v>140</v>
      </c>
      <c r="D1480" s="509" t="s">
        <v>87</v>
      </c>
      <c r="E1480" s="509" t="s">
        <v>1131</v>
      </c>
      <c r="F1480" s="508" t="s">
        <v>1085</v>
      </c>
      <c r="G1480" s="510">
        <v>1</v>
      </c>
      <c r="H1480" s="511">
        <v>90741</v>
      </c>
      <c r="I1480" s="511">
        <v>90741</v>
      </c>
      <c r="J1480" s="511">
        <v>0</v>
      </c>
      <c r="K1480" s="511">
        <v>90741</v>
      </c>
      <c r="L1480" s="511">
        <v>7259</v>
      </c>
      <c r="M1480" s="511">
        <v>98000</v>
      </c>
      <c r="N1480" s="512">
        <v>8.6E-3</v>
      </c>
      <c r="O1480" s="509" t="s">
        <v>1086</v>
      </c>
    </row>
    <row r="1481" spans="1:15" x14ac:dyDescent="0.25">
      <c r="A1481" s="508">
        <v>19</v>
      </c>
      <c r="B1481" s="508" t="s">
        <v>130</v>
      </c>
      <c r="C1481" s="508">
        <v>221</v>
      </c>
      <c r="D1481" s="509" t="s">
        <v>87</v>
      </c>
      <c r="E1481" s="509" t="s">
        <v>1132</v>
      </c>
      <c r="F1481" s="508" t="s">
        <v>1085</v>
      </c>
      <c r="G1481" s="510">
        <v>2</v>
      </c>
      <c r="H1481" s="511">
        <v>54167</v>
      </c>
      <c r="I1481" s="511">
        <v>108333</v>
      </c>
      <c r="J1481" s="511">
        <v>0</v>
      </c>
      <c r="K1481" s="511">
        <v>108333</v>
      </c>
      <c r="L1481" s="511">
        <v>8667</v>
      </c>
      <c r="M1481" s="511">
        <v>117000</v>
      </c>
      <c r="N1481" s="512">
        <v>1.0200000000000001E-2</v>
      </c>
      <c r="O1481" s="509" t="s">
        <v>1086</v>
      </c>
    </row>
    <row r="1482" spans="1:15" x14ac:dyDescent="0.25">
      <c r="A1482" s="508">
        <v>19</v>
      </c>
      <c r="B1482" s="508" t="s">
        <v>130</v>
      </c>
      <c r="C1482" s="508">
        <v>226</v>
      </c>
      <c r="D1482" s="509" t="s">
        <v>87</v>
      </c>
      <c r="E1482" s="509" t="s">
        <v>1183</v>
      </c>
      <c r="F1482" s="508" t="s">
        <v>1085</v>
      </c>
      <c r="G1482" s="510">
        <v>4</v>
      </c>
      <c r="H1482" s="511">
        <v>90741</v>
      </c>
      <c r="I1482" s="511">
        <v>362963</v>
      </c>
      <c r="J1482" s="511">
        <v>0</v>
      </c>
      <c r="K1482" s="511">
        <v>362963</v>
      </c>
      <c r="L1482" s="511">
        <v>29037</v>
      </c>
      <c r="M1482" s="511">
        <v>392000</v>
      </c>
      <c r="N1482" s="512">
        <v>3.4200000000000001E-2</v>
      </c>
      <c r="O1482" s="509" t="s">
        <v>1086</v>
      </c>
    </row>
    <row r="1483" spans="1:15" x14ac:dyDescent="0.25">
      <c r="A1483" s="508">
        <v>19</v>
      </c>
      <c r="B1483" s="508" t="s">
        <v>130</v>
      </c>
      <c r="C1483" s="508">
        <v>222</v>
      </c>
      <c r="D1483" s="509" t="s">
        <v>93</v>
      </c>
      <c r="E1483" s="509" t="s">
        <v>1133</v>
      </c>
      <c r="F1483" s="508" t="s">
        <v>1085</v>
      </c>
      <c r="G1483" s="510">
        <v>1</v>
      </c>
      <c r="H1483" s="511">
        <v>63426</v>
      </c>
      <c r="I1483" s="511">
        <v>63426</v>
      </c>
      <c r="J1483" s="511">
        <v>0</v>
      </c>
      <c r="K1483" s="511">
        <v>63426</v>
      </c>
      <c r="L1483" s="511">
        <v>5074</v>
      </c>
      <c r="M1483" s="511">
        <v>68500</v>
      </c>
      <c r="N1483" s="512">
        <v>6.0000000000000001E-3</v>
      </c>
      <c r="O1483" s="509" t="s">
        <v>1086</v>
      </c>
    </row>
    <row r="1484" spans="1:15" x14ac:dyDescent="0.25">
      <c r="A1484" s="508">
        <v>19</v>
      </c>
      <c r="B1484" s="508" t="s">
        <v>130</v>
      </c>
      <c r="C1484" s="508">
        <v>223</v>
      </c>
      <c r="D1484" s="509" t="s">
        <v>87</v>
      </c>
      <c r="E1484" s="509" t="s">
        <v>141</v>
      </c>
      <c r="F1484" s="508" t="s">
        <v>1085</v>
      </c>
      <c r="G1484" s="510">
        <v>7</v>
      </c>
      <c r="H1484" s="511">
        <v>69444</v>
      </c>
      <c r="I1484" s="511">
        <v>486111</v>
      </c>
      <c r="J1484" s="511">
        <v>0</v>
      </c>
      <c r="K1484" s="511">
        <v>486111</v>
      </c>
      <c r="L1484" s="511">
        <v>38889</v>
      </c>
      <c r="M1484" s="511">
        <v>525000</v>
      </c>
      <c r="N1484" s="512">
        <v>4.5900000000000003E-2</v>
      </c>
      <c r="O1484" s="509" t="s">
        <v>1086</v>
      </c>
    </row>
    <row r="1485" spans="1:15" x14ac:dyDescent="0.25">
      <c r="A1485" s="508">
        <v>19</v>
      </c>
      <c r="B1485" s="508" t="s">
        <v>130</v>
      </c>
      <c r="C1485" s="508">
        <v>229</v>
      </c>
      <c r="D1485" s="509" t="s">
        <v>87</v>
      </c>
      <c r="E1485" s="509" t="s">
        <v>1197</v>
      </c>
      <c r="F1485" s="508" t="s">
        <v>1085</v>
      </c>
      <c r="G1485" s="510">
        <v>1</v>
      </c>
      <c r="H1485" s="511">
        <v>66204</v>
      </c>
      <c r="I1485" s="511">
        <v>66204</v>
      </c>
      <c r="J1485" s="511">
        <v>0</v>
      </c>
      <c r="K1485" s="511">
        <v>66204</v>
      </c>
      <c r="L1485" s="511">
        <v>5296</v>
      </c>
      <c r="M1485" s="511">
        <v>71500</v>
      </c>
      <c r="N1485" s="512">
        <v>6.1999999999999998E-3</v>
      </c>
      <c r="O1485" s="509" t="s">
        <v>1086</v>
      </c>
    </row>
    <row r="1486" spans="1:15" x14ac:dyDescent="0.25">
      <c r="A1486" s="508">
        <v>19</v>
      </c>
      <c r="B1486" s="508" t="s">
        <v>130</v>
      </c>
      <c r="C1486" s="508">
        <v>50</v>
      </c>
      <c r="D1486" s="509" t="s">
        <v>87</v>
      </c>
      <c r="E1486" s="509" t="s">
        <v>159</v>
      </c>
      <c r="F1486" s="508" t="s">
        <v>1085</v>
      </c>
      <c r="G1486" s="510">
        <v>2</v>
      </c>
      <c r="H1486" s="511">
        <v>49074</v>
      </c>
      <c r="I1486" s="511">
        <v>98148</v>
      </c>
      <c r="J1486" s="511">
        <v>0</v>
      </c>
      <c r="K1486" s="511">
        <v>98148</v>
      </c>
      <c r="L1486" s="511">
        <v>7852</v>
      </c>
      <c r="M1486" s="511">
        <v>106000</v>
      </c>
      <c r="N1486" s="512">
        <v>9.300000000000001E-3</v>
      </c>
      <c r="O1486" s="509" t="s">
        <v>1086</v>
      </c>
    </row>
    <row r="1487" spans="1:15" x14ac:dyDescent="0.25">
      <c r="A1487" s="508">
        <v>19</v>
      </c>
      <c r="B1487" s="508" t="s">
        <v>130</v>
      </c>
      <c r="C1487" s="508">
        <v>10</v>
      </c>
      <c r="D1487" s="509" t="s">
        <v>87</v>
      </c>
      <c r="E1487" s="509" t="s">
        <v>1184</v>
      </c>
      <c r="F1487" s="508" t="s">
        <v>1085</v>
      </c>
      <c r="G1487" s="510">
        <v>6</v>
      </c>
      <c r="H1487" s="511">
        <v>13889</v>
      </c>
      <c r="I1487" s="511">
        <v>83333</v>
      </c>
      <c r="J1487" s="511">
        <v>0</v>
      </c>
      <c r="K1487" s="511">
        <v>83333</v>
      </c>
      <c r="L1487" s="511">
        <v>6667</v>
      </c>
      <c r="M1487" s="511">
        <v>90000</v>
      </c>
      <c r="N1487" s="512">
        <v>7.9000000000000008E-3</v>
      </c>
      <c r="O1487" s="509" t="s">
        <v>1086</v>
      </c>
    </row>
    <row r="1488" spans="1:15" x14ac:dyDescent="0.25">
      <c r="A1488" s="508">
        <v>19</v>
      </c>
      <c r="B1488" s="508" t="s">
        <v>130</v>
      </c>
      <c r="C1488" s="508">
        <v>120</v>
      </c>
      <c r="D1488" s="509" t="s">
        <v>93</v>
      </c>
      <c r="E1488" s="509" t="s">
        <v>1134</v>
      </c>
      <c r="F1488" s="508" t="s">
        <v>1085</v>
      </c>
      <c r="G1488" s="510">
        <v>2</v>
      </c>
      <c r="H1488" s="511">
        <v>41667</v>
      </c>
      <c r="I1488" s="511">
        <v>83333</v>
      </c>
      <c r="J1488" s="511">
        <v>0</v>
      </c>
      <c r="K1488" s="511">
        <v>83333</v>
      </c>
      <c r="L1488" s="511">
        <v>6667</v>
      </c>
      <c r="M1488" s="511">
        <v>90000</v>
      </c>
      <c r="N1488" s="512">
        <v>7.9000000000000008E-3</v>
      </c>
      <c r="O1488" s="509" t="s">
        <v>1086</v>
      </c>
    </row>
    <row r="1489" spans="1:15" x14ac:dyDescent="0.25">
      <c r="A1489" s="508">
        <v>19</v>
      </c>
      <c r="B1489" s="508" t="s">
        <v>130</v>
      </c>
      <c r="C1489" s="508">
        <v>129</v>
      </c>
      <c r="D1489" s="509" t="s">
        <v>93</v>
      </c>
      <c r="E1489" s="509" t="s">
        <v>1135</v>
      </c>
      <c r="F1489" s="508" t="s">
        <v>1085</v>
      </c>
      <c r="G1489" s="510">
        <v>4</v>
      </c>
      <c r="H1489" s="511">
        <v>44444</v>
      </c>
      <c r="I1489" s="511">
        <v>177778</v>
      </c>
      <c r="J1489" s="511">
        <v>0</v>
      </c>
      <c r="K1489" s="511">
        <v>177778</v>
      </c>
      <c r="L1489" s="511">
        <v>14222</v>
      </c>
      <c r="M1489" s="511">
        <v>192000</v>
      </c>
      <c r="N1489" s="512">
        <v>1.6799999999999999E-2</v>
      </c>
      <c r="O1489" s="509" t="s">
        <v>1086</v>
      </c>
    </row>
    <row r="1490" spans="1:15" x14ac:dyDescent="0.25">
      <c r="A1490" s="508">
        <v>19</v>
      </c>
      <c r="B1490" s="508" t="s">
        <v>130</v>
      </c>
      <c r="C1490" s="508">
        <v>116</v>
      </c>
      <c r="D1490" s="509" t="s">
        <v>89</v>
      </c>
      <c r="E1490" s="509" t="s">
        <v>1198</v>
      </c>
      <c r="F1490" s="508" t="s">
        <v>1085</v>
      </c>
      <c r="G1490" s="510">
        <v>33</v>
      </c>
      <c r="H1490" s="511">
        <v>5556</v>
      </c>
      <c r="I1490" s="511">
        <v>183333</v>
      </c>
      <c r="J1490" s="511">
        <v>0</v>
      </c>
      <c r="K1490" s="511">
        <v>183333</v>
      </c>
      <c r="L1490" s="511">
        <v>14667</v>
      </c>
      <c r="M1490" s="511">
        <v>198000</v>
      </c>
      <c r="N1490" s="512">
        <v>1.7299999999999999E-2</v>
      </c>
      <c r="O1490" s="509" t="s">
        <v>1086</v>
      </c>
    </row>
    <row r="1491" spans="1:15" x14ac:dyDescent="0.25">
      <c r="A1491" s="508">
        <v>19</v>
      </c>
      <c r="B1491" s="508" t="s">
        <v>130</v>
      </c>
      <c r="C1491" s="508">
        <v>117</v>
      </c>
      <c r="D1491" s="509" t="s">
        <v>87</v>
      </c>
      <c r="E1491" s="509" t="s">
        <v>120</v>
      </c>
      <c r="F1491" s="508" t="s">
        <v>1085</v>
      </c>
      <c r="G1491" s="510">
        <v>10</v>
      </c>
      <c r="H1491" s="511">
        <v>41667</v>
      </c>
      <c r="I1491" s="511">
        <v>416667</v>
      </c>
      <c r="J1491" s="511">
        <v>0</v>
      </c>
      <c r="K1491" s="511">
        <v>416667</v>
      </c>
      <c r="L1491" s="511">
        <v>33333</v>
      </c>
      <c r="M1491" s="511">
        <v>450000</v>
      </c>
      <c r="N1491" s="512">
        <v>3.9300000000000002E-2</v>
      </c>
      <c r="O1491" s="509" t="s">
        <v>1086</v>
      </c>
    </row>
    <row r="1492" spans="1:15" x14ac:dyDescent="0.25">
      <c r="A1492" s="508">
        <v>19</v>
      </c>
      <c r="B1492" s="508" t="s">
        <v>130</v>
      </c>
      <c r="C1492" s="508">
        <v>36</v>
      </c>
      <c r="D1492" s="509" t="s">
        <v>91</v>
      </c>
      <c r="E1492" s="509" t="s">
        <v>1136</v>
      </c>
      <c r="F1492" s="508" t="s">
        <v>1085</v>
      </c>
      <c r="G1492" s="510">
        <v>1</v>
      </c>
      <c r="H1492" s="511">
        <v>3704</v>
      </c>
      <c r="I1492" s="511">
        <v>3704</v>
      </c>
      <c r="J1492" s="511">
        <v>0</v>
      </c>
      <c r="K1492" s="511">
        <v>3704</v>
      </c>
      <c r="L1492" s="511">
        <v>296</v>
      </c>
      <c r="M1492" s="511">
        <v>4000</v>
      </c>
      <c r="N1492" s="512">
        <v>2.9999999999999997E-4</v>
      </c>
      <c r="O1492" s="509" t="s">
        <v>1086</v>
      </c>
    </row>
    <row r="1493" spans="1:15" x14ac:dyDescent="0.25">
      <c r="A1493" s="508">
        <v>19</v>
      </c>
      <c r="B1493" s="508" t="s">
        <v>130</v>
      </c>
      <c r="C1493" s="508">
        <v>61</v>
      </c>
      <c r="D1493" s="509" t="s">
        <v>97</v>
      </c>
      <c r="E1493" s="509" t="s">
        <v>1137</v>
      </c>
      <c r="F1493" s="508" t="s">
        <v>1085</v>
      </c>
      <c r="G1493" s="510">
        <v>2</v>
      </c>
      <c r="H1493" s="511">
        <v>4630</v>
      </c>
      <c r="I1493" s="511">
        <v>9259</v>
      </c>
      <c r="J1493" s="511">
        <v>0</v>
      </c>
      <c r="K1493" s="511">
        <v>9259</v>
      </c>
      <c r="L1493" s="511">
        <v>741</v>
      </c>
      <c r="M1493" s="511">
        <v>10000</v>
      </c>
      <c r="N1493" s="512">
        <v>8.9999999999999998E-4</v>
      </c>
      <c r="O1493" s="509" t="s">
        <v>1086</v>
      </c>
    </row>
    <row r="1494" spans="1:15" x14ac:dyDescent="0.25">
      <c r="A1494" s="508">
        <v>19</v>
      </c>
      <c r="B1494" s="508" t="s">
        <v>130</v>
      </c>
      <c r="C1494" s="508">
        <v>215</v>
      </c>
      <c r="D1494" s="509" t="s">
        <v>87</v>
      </c>
      <c r="E1494" s="509" t="s">
        <v>135</v>
      </c>
      <c r="F1494" s="508" t="s">
        <v>1085</v>
      </c>
      <c r="G1494" s="510">
        <v>5</v>
      </c>
      <c r="H1494" s="511">
        <v>37500</v>
      </c>
      <c r="I1494" s="511">
        <v>187500</v>
      </c>
      <c r="J1494" s="511">
        <v>0</v>
      </c>
      <c r="K1494" s="511">
        <v>187500</v>
      </c>
      <c r="L1494" s="511">
        <v>15000</v>
      </c>
      <c r="M1494" s="511">
        <v>202500</v>
      </c>
      <c r="N1494" s="512">
        <v>1.77E-2</v>
      </c>
      <c r="O1494" s="509" t="s">
        <v>1086</v>
      </c>
    </row>
    <row r="1495" spans="1:15" x14ac:dyDescent="0.25">
      <c r="A1495" s="508">
        <v>19</v>
      </c>
      <c r="B1495" s="508" t="s">
        <v>130</v>
      </c>
      <c r="C1495" s="508">
        <v>214</v>
      </c>
      <c r="D1495" s="509" t="s">
        <v>87</v>
      </c>
      <c r="E1495" s="509" t="s">
        <v>170</v>
      </c>
      <c r="F1495" s="508" t="s">
        <v>1085</v>
      </c>
      <c r="G1495" s="510">
        <v>8</v>
      </c>
      <c r="H1495" s="511">
        <v>37500</v>
      </c>
      <c r="I1495" s="511">
        <v>300000</v>
      </c>
      <c r="J1495" s="511">
        <v>0</v>
      </c>
      <c r="K1495" s="511">
        <v>300000</v>
      </c>
      <c r="L1495" s="511">
        <v>24000</v>
      </c>
      <c r="M1495" s="511">
        <v>324000</v>
      </c>
      <c r="N1495" s="512">
        <v>2.8299999999999999E-2</v>
      </c>
      <c r="O1495" s="509" t="s">
        <v>1086</v>
      </c>
    </row>
    <row r="1496" spans="1:15" x14ac:dyDescent="0.25">
      <c r="A1496" s="508">
        <v>19</v>
      </c>
      <c r="B1496" s="508" t="s">
        <v>130</v>
      </c>
      <c r="C1496" s="508">
        <v>113</v>
      </c>
      <c r="D1496" s="509" t="s">
        <v>89</v>
      </c>
      <c r="E1496" s="509" t="s">
        <v>129</v>
      </c>
      <c r="F1496" s="508" t="s">
        <v>1085</v>
      </c>
      <c r="G1496" s="510">
        <v>33</v>
      </c>
      <c r="H1496" s="511">
        <v>22222</v>
      </c>
      <c r="I1496" s="511">
        <v>733333</v>
      </c>
      <c r="J1496" s="511">
        <v>0</v>
      </c>
      <c r="K1496" s="511">
        <v>733333</v>
      </c>
      <c r="L1496" s="511">
        <v>58667</v>
      </c>
      <c r="M1496" s="511">
        <v>792000</v>
      </c>
      <c r="N1496" s="512">
        <v>6.9199999999999998E-2</v>
      </c>
      <c r="O1496" s="509" t="s">
        <v>1086</v>
      </c>
    </row>
    <row r="1497" spans="1:15" x14ac:dyDescent="0.25">
      <c r="A1497" s="508">
        <v>19</v>
      </c>
      <c r="B1497" s="508" t="s">
        <v>130</v>
      </c>
      <c r="C1497" s="508">
        <v>256</v>
      </c>
      <c r="D1497" s="509" t="s">
        <v>89</v>
      </c>
      <c r="E1497" s="509" t="s">
        <v>1216</v>
      </c>
      <c r="F1497" s="508" t="s">
        <v>1085</v>
      </c>
      <c r="G1497" s="510">
        <v>0</v>
      </c>
      <c r="H1497" s="511">
        <v>0</v>
      </c>
      <c r="I1497" s="511">
        <v>0</v>
      </c>
      <c r="J1497" s="511">
        <v>0</v>
      </c>
      <c r="K1497" s="511">
        <v>0</v>
      </c>
      <c r="L1497" s="511">
        <v>0</v>
      </c>
      <c r="M1497" s="511">
        <v>0</v>
      </c>
      <c r="N1497" s="512">
        <v>0</v>
      </c>
      <c r="O1497" s="509" t="s">
        <v>1086</v>
      </c>
    </row>
    <row r="1498" spans="1:15" x14ac:dyDescent="0.25">
      <c r="A1498" s="508">
        <v>19</v>
      </c>
      <c r="B1498" s="508" t="s">
        <v>130</v>
      </c>
      <c r="C1498" s="508">
        <v>96</v>
      </c>
      <c r="D1498" s="509" t="s">
        <v>93</v>
      </c>
      <c r="E1498" s="509" t="s">
        <v>1161</v>
      </c>
      <c r="F1498" s="508" t="s">
        <v>1085</v>
      </c>
      <c r="G1498" s="510">
        <v>8</v>
      </c>
      <c r="H1498" s="511">
        <v>35648</v>
      </c>
      <c r="I1498" s="511">
        <v>285185</v>
      </c>
      <c r="J1498" s="511">
        <v>0</v>
      </c>
      <c r="K1498" s="511">
        <v>285185</v>
      </c>
      <c r="L1498" s="511">
        <v>22815</v>
      </c>
      <c r="M1498" s="511">
        <v>308000</v>
      </c>
      <c r="N1498" s="512">
        <v>2.69E-2</v>
      </c>
      <c r="O1498" s="509" t="s">
        <v>1086</v>
      </c>
    </row>
    <row r="1499" spans="1:15" x14ac:dyDescent="0.25">
      <c r="A1499" s="508">
        <v>19</v>
      </c>
      <c r="B1499" s="508" t="s">
        <v>130</v>
      </c>
      <c r="C1499" s="508">
        <v>68</v>
      </c>
      <c r="D1499" s="509" t="s">
        <v>93</v>
      </c>
      <c r="E1499" s="509" t="s">
        <v>1138</v>
      </c>
      <c r="F1499" s="508" t="s">
        <v>1085</v>
      </c>
      <c r="G1499" s="510">
        <v>1</v>
      </c>
      <c r="H1499" s="511">
        <v>41667</v>
      </c>
      <c r="I1499" s="511">
        <v>41667</v>
      </c>
      <c r="J1499" s="511">
        <v>0</v>
      </c>
      <c r="K1499" s="511">
        <v>41667</v>
      </c>
      <c r="L1499" s="511">
        <v>3333</v>
      </c>
      <c r="M1499" s="511">
        <v>45000</v>
      </c>
      <c r="N1499" s="512">
        <v>3.8999999999999998E-3</v>
      </c>
      <c r="O1499" s="509" t="s">
        <v>1086</v>
      </c>
    </row>
    <row r="1500" spans="1:15" x14ac:dyDescent="0.25">
      <c r="A1500" s="508">
        <v>19</v>
      </c>
      <c r="B1500" s="508" t="s">
        <v>130</v>
      </c>
      <c r="C1500" s="508">
        <v>33</v>
      </c>
      <c r="D1500" s="509" t="s">
        <v>91</v>
      </c>
      <c r="E1500" s="509" t="s">
        <v>1139</v>
      </c>
      <c r="F1500" s="508" t="s">
        <v>1085</v>
      </c>
      <c r="G1500" s="510">
        <v>6</v>
      </c>
      <c r="H1500" s="511">
        <v>1852</v>
      </c>
      <c r="I1500" s="511">
        <v>11111</v>
      </c>
      <c r="J1500" s="511">
        <v>0</v>
      </c>
      <c r="K1500" s="511">
        <v>11111</v>
      </c>
      <c r="L1500" s="511">
        <v>889</v>
      </c>
      <c r="M1500" s="511">
        <v>12000</v>
      </c>
      <c r="N1500" s="512">
        <v>1E-3</v>
      </c>
      <c r="O1500" s="509" t="s">
        <v>1086</v>
      </c>
    </row>
    <row r="1501" spans="1:15" x14ac:dyDescent="0.25">
      <c r="A1501" s="508">
        <v>19</v>
      </c>
      <c r="B1501" s="508" t="s">
        <v>130</v>
      </c>
      <c r="C1501" s="508">
        <v>255</v>
      </c>
      <c r="D1501" s="509" t="s">
        <v>93</v>
      </c>
      <c r="E1501" s="509" t="s">
        <v>482</v>
      </c>
      <c r="F1501" s="508" t="s">
        <v>1085</v>
      </c>
      <c r="G1501" s="510">
        <v>1</v>
      </c>
      <c r="H1501" s="511">
        <v>35648</v>
      </c>
      <c r="I1501" s="511">
        <v>35648</v>
      </c>
      <c r="J1501" s="511">
        <v>0</v>
      </c>
      <c r="K1501" s="511">
        <v>35648</v>
      </c>
      <c r="L1501" s="511">
        <v>2852</v>
      </c>
      <c r="M1501" s="511">
        <v>38500</v>
      </c>
      <c r="N1501" s="512">
        <v>3.3999999999999998E-3</v>
      </c>
      <c r="O1501" s="509" t="s">
        <v>1086</v>
      </c>
    </row>
    <row r="1502" spans="1:15" x14ac:dyDescent="0.25">
      <c r="A1502" s="508">
        <v>19</v>
      </c>
      <c r="B1502" s="508" t="s">
        <v>130</v>
      </c>
      <c r="C1502" s="508">
        <v>67</v>
      </c>
      <c r="D1502" s="509" t="s">
        <v>93</v>
      </c>
      <c r="E1502" s="509" t="s">
        <v>1140</v>
      </c>
      <c r="F1502" s="508" t="s">
        <v>1085</v>
      </c>
      <c r="G1502" s="510">
        <v>2</v>
      </c>
      <c r="H1502" s="511">
        <v>41667</v>
      </c>
      <c r="I1502" s="511">
        <v>83333</v>
      </c>
      <c r="J1502" s="511">
        <v>0</v>
      </c>
      <c r="K1502" s="511">
        <v>83333</v>
      </c>
      <c r="L1502" s="511">
        <v>6667</v>
      </c>
      <c r="M1502" s="511">
        <v>90000</v>
      </c>
      <c r="N1502" s="512">
        <v>7.9000000000000008E-3</v>
      </c>
      <c r="O1502" s="509" t="s">
        <v>1086</v>
      </c>
    </row>
    <row r="1503" spans="1:15" x14ac:dyDescent="0.25">
      <c r="A1503" s="508">
        <v>19</v>
      </c>
      <c r="B1503" s="508" t="s">
        <v>130</v>
      </c>
      <c r="C1503" s="508">
        <v>39</v>
      </c>
      <c r="D1503" s="509" t="s">
        <v>91</v>
      </c>
      <c r="E1503" s="509" t="s">
        <v>1162</v>
      </c>
      <c r="F1503" s="508" t="s">
        <v>1085</v>
      </c>
      <c r="G1503" s="510">
        <v>1</v>
      </c>
      <c r="H1503" s="511">
        <v>3333</v>
      </c>
      <c r="I1503" s="511">
        <v>3333</v>
      </c>
      <c r="J1503" s="511">
        <v>0</v>
      </c>
      <c r="K1503" s="511">
        <v>3333</v>
      </c>
      <c r="L1503" s="511">
        <v>267</v>
      </c>
      <c r="M1503" s="511">
        <v>3600</v>
      </c>
      <c r="N1503" s="512">
        <v>2.9999999999999997E-4</v>
      </c>
      <c r="O1503" s="509" t="s">
        <v>1086</v>
      </c>
    </row>
    <row r="1504" spans="1:15" x14ac:dyDescent="0.25">
      <c r="A1504" s="508">
        <v>20</v>
      </c>
      <c r="B1504" s="508" t="s">
        <v>133</v>
      </c>
      <c r="C1504" s="508">
        <v>73</v>
      </c>
      <c r="D1504" s="509" t="s">
        <v>91</v>
      </c>
      <c r="E1504" s="509" t="s">
        <v>1084</v>
      </c>
      <c r="F1504" s="508" t="s">
        <v>1085</v>
      </c>
      <c r="G1504" s="510">
        <v>34</v>
      </c>
      <c r="H1504" s="511">
        <v>2593</v>
      </c>
      <c r="I1504" s="511">
        <v>88148</v>
      </c>
      <c r="J1504" s="511">
        <v>0</v>
      </c>
      <c r="K1504" s="511">
        <v>88148</v>
      </c>
      <c r="L1504" s="511">
        <v>7052</v>
      </c>
      <c r="M1504" s="511">
        <v>95200</v>
      </c>
      <c r="N1504" s="512">
        <v>4.8999999999999998E-3</v>
      </c>
      <c r="O1504" s="509" t="s">
        <v>1086</v>
      </c>
    </row>
    <row r="1505" spans="1:15" x14ac:dyDescent="0.25">
      <c r="A1505" s="508">
        <v>20</v>
      </c>
      <c r="B1505" s="508" t="s">
        <v>133</v>
      </c>
      <c r="C1505" s="508">
        <v>12</v>
      </c>
      <c r="D1505" s="509" t="s">
        <v>93</v>
      </c>
      <c r="E1505" s="509" t="s">
        <v>1089</v>
      </c>
      <c r="F1505" s="508" t="s">
        <v>1085</v>
      </c>
      <c r="G1505" s="510">
        <v>4</v>
      </c>
      <c r="H1505" s="511">
        <v>41667</v>
      </c>
      <c r="I1505" s="511">
        <v>166667</v>
      </c>
      <c r="J1505" s="511">
        <v>0</v>
      </c>
      <c r="K1505" s="511">
        <v>166667</v>
      </c>
      <c r="L1505" s="511">
        <v>13333</v>
      </c>
      <c r="M1505" s="511">
        <v>180000</v>
      </c>
      <c r="N1505" s="512">
        <v>9.300000000000001E-3</v>
      </c>
      <c r="O1505" s="509" t="s">
        <v>1086</v>
      </c>
    </row>
    <row r="1506" spans="1:15" x14ac:dyDescent="0.25">
      <c r="A1506" s="508">
        <v>20</v>
      </c>
      <c r="B1506" s="508" t="s">
        <v>133</v>
      </c>
      <c r="C1506" s="508">
        <v>40</v>
      </c>
      <c r="D1506" s="509" t="s">
        <v>87</v>
      </c>
      <c r="E1506" s="509" t="s">
        <v>1143</v>
      </c>
      <c r="F1506" s="508" t="s">
        <v>1085</v>
      </c>
      <c r="G1506" s="510">
        <v>5</v>
      </c>
      <c r="H1506" s="511">
        <v>55093</v>
      </c>
      <c r="I1506" s="511">
        <v>275463</v>
      </c>
      <c r="J1506" s="511">
        <v>0</v>
      </c>
      <c r="K1506" s="511">
        <v>275463</v>
      </c>
      <c r="L1506" s="511">
        <v>22037</v>
      </c>
      <c r="M1506" s="511">
        <v>297500</v>
      </c>
      <c r="N1506" s="512">
        <v>1.54E-2</v>
      </c>
      <c r="O1506" s="509" t="s">
        <v>1086</v>
      </c>
    </row>
    <row r="1507" spans="1:15" x14ac:dyDescent="0.25">
      <c r="A1507" s="508">
        <v>20</v>
      </c>
      <c r="B1507" s="508" t="s">
        <v>133</v>
      </c>
      <c r="C1507" s="508">
        <v>131</v>
      </c>
      <c r="D1507" s="509" t="s">
        <v>87</v>
      </c>
      <c r="E1507" s="509" t="s">
        <v>1144</v>
      </c>
      <c r="F1507" s="508" t="s">
        <v>1085</v>
      </c>
      <c r="G1507" s="510">
        <v>1</v>
      </c>
      <c r="H1507" s="511">
        <v>278</v>
      </c>
      <c r="I1507" s="511">
        <v>278</v>
      </c>
      <c r="J1507" s="511">
        <v>0</v>
      </c>
      <c r="K1507" s="511">
        <v>278</v>
      </c>
      <c r="L1507" s="511">
        <v>22</v>
      </c>
      <c r="M1507" s="511">
        <v>300</v>
      </c>
      <c r="N1507" s="512">
        <v>0</v>
      </c>
      <c r="O1507" s="509" t="s">
        <v>1086</v>
      </c>
    </row>
    <row r="1508" spans="1:15" x14ac:dyDescent="0.25">
      <c r="A1508" s="508">
        <v>20</v>
      </c>
      <c r="B1508" s="508" t="s">
        <v>133</v>
      </c>
      <c r="C1508" s="508">
        <v>25</v>
      </c>
      <c r="D1508" s="509" t="s">
        <v>91</v>
      </c>
      <c r="E1508" s="509" t="s">
        <v>1223</v>
      </c>
      <c r="F1508" s="508" t="s">
        <v>1220</v>
      </c>
      <c r="G1508" s="510">
        <v>2</v>
      </c>
      <c r="H1508" s="511">
        <v>3796</v>
      </c>
      <c r="I1508" s="511">
        <v>8519</v>
      </c>
      <c r="J1508" s="511">
        <v>926</v>
      </c>
      <c r="K1508" s="511">
        <v>7593</v>
      </c>
      <c r="L1508" s="511">
        <v>607</v>
      </c>
      <c r="M1508" s="511">
        <v>8200</v>
      </c>
      <c r="N1508" s="512">
        <v>4.0000000000000002E-4</v>
      </c>
      <c r="O1508" s="509" t="s">
        <v>1086</v>
      </c>
    </row>
    <row r="1509" spans="1:15" x14ac:dyDescent="0.25">
      <c r="A1509" s="508">
        <v>20</v>
      </c>
      <c r="B1509" s="508" t="s">
        <v>133</v>
      </c>
      <c r="C1509" s="508">
        <v>5</v>
      </c>
      <c r="D1509" s="509" t="s">
        <v>89</v>
      </c>
      <c r="E1509" s="509" t="s">
        <v>1146</v>
      </c>
      <c r="F1509" s="508" t="s">
        <v>1085</v>
      </c>
      <c r="G1509" s="510">
        <v>3</v>
      </c>
      <c r="H1509" s="511">
        <v>11111</v>
      </c>
      <c r="I1509" s="511">
        <v>33333</v>
      </c>
      <c r="J1509" s="511">
        <v>0</v>
      </c>
      <c r="K1509" s="511">
        <v>33333</v>
      </c>
      <c r="L1509" s="511">
        <v>2667</v>
      </c>
      <c r="M1509" s="511">
        <v>36000</v>
      </c>
      <c r="N1509" s="512">
        <v>1.9E-3</v>
      </c>
      <c r="O1509" s="509" t="s">
        <v>1086</v>
      </c>
    </row>
    <row r="1510" spans="1:15" x14ac:dyDescent="0.25">
      <c r="A1510" s="508">
        <v>20</v>
      </c>
      <c r="B1510" s="508" t="s">
        <v>133</v>
      </c>
      <c r="C1510" s="508">
        <v>136</v>
      </c>
      <c r="D1510" s="509" t="s">
        <v>89</v>
      </c>
      <c r="E1510" s="509" t="s">
        <v>1091</v>
      </c>
      <c r="F1510" s="508" t="s">
        <v>1085</v>
      </c>
      <c r="G1510" s="510">
        <v>12</v>
      </c>
      <c r="H1510" s="511">
        <v>24074</v>
      </c>
      <c r="I1510" s="511">
        <v>288889</v>
      </c>
      <c r="J1510" s="511">
        <v>0</v>
      </c>
      <c r="K1510" s="511">
        <v>288889</v>
      </c>
      <c r="L1510" s="511">
        <v>23111</v>
      </c>
      <c r="M1510" s="511">
        <v>312000</v>
      </c>
      <c r="N1510" s="512">
        <v>1.6199999999999999E-2</v>
      </c>
      <c r="O1510" s="509" t="s">
        <v>1086</v>
      </c>
    </row>
    <row r="1511" spans="1:15" x14ac:dyDescent="0.25">
      <c r="A1511" s="508">
        <v>20</v>
      </c>
      <c r="B1511" s="508" t="s">
        <v>133</v>
      </c>
      <c r="C1511" s="508">
        <v>135</v>
      </c>
      <c r="D1511" s="509" t="s">
        <v>89</v>
      </c>
      <c r="E1511" s="509" t="s">
        <v>1175</v>
      </c>
      <c r="F1511" s="508" t="s">
        <v>1085</v>
      </c>
      <c r="G1511" s="510">
        <v>3</v>
      </c>
      <c r="H1511" s="511">
        <v>13889</v>
      </c>
      <c r="I1511" s="511">
        <v>41667</v>
      </c>
      <c r="J1511" s="511">
        <v>0</v>
      </c>
      <c r="K1511" s="511">
        <v>41667</v>
      </c>
      <c r="L1511" s="511">
        <v>3333</v>
      </c>
      <c r="M1511" s="511">
        <v>45000</v>
      </c>
      <c r="N1511" s="512">
        <v>2.3E-3</v>
      </c>
      <c r="O1511" s="509" t="s">
        <v>1086</v>
      </c>
    </row>
    <row r="1512" spans="1:15" x14ac:dyDescent="0.25">
      <c r="A1512" s="508">
        <v>20</v>
      </c>
      <c r="B1512" s="508" t="s">
        <v>133</v>
      </c>
      <c r="C1512" s="508">
        <v>6</v>
      </c>
      <c r="D1512" s="509" t="s">
        <v>89</v>
      </c>
      <c r="E1512" s="509" t="s">
        <v>1147</v>
      </c>
      <c r="F1512" s="508" t="s">
        <v>1085</v>
      </c>
      <c r="G1512" s="510">
        <v>9</v>
      </c>
      <c r="H1512" s="511">
        <v>14815</v>
      </c>
      <c r="I1512" s="511">
        <v>133333</v>
      </c>
      <c r="J1512" s="511">
        <v>0</v>
      </c>
      <c r="K1512" s="511">
        <v>133333</v>
      </c>
      <c r="L1512" s="511">
        <v>10667</v>
      </c>
      <c r="M1512" s="511">
        <v>144000</v>
      </c>
      <c r="N1512" s="512">
        <v>7.4999999999999997E-3</v>
      </c>
      <c r="O1512" s="509" t="s">
        <v>1086</v>
      </c>
    </row>
    <row r="1513" spans="1:15" x14ac:dyDescent="0.25">
      <c r="A1513" s="508">
        <v>20</v>
      </c>
      <c r="B1513" s="508" t="s">
        <v>133</v>
      </c>
      <c r="C1513" s="508">
        <v>8</v>
      </c>
      <c r="D1513" s="509" t="s">
        <v>87</v>
      </c>
      <c r="E1513" s="509" t="s">
        <v>156</v>
      </c>
      <c r="F1513" s="508" t="s">
        <v>1085</v>
      </c>
      <c r="G1513" s="510">
        <v>1</v>
      </c>
      <c r="H1513" s="511">
        <v>18519</v>
      </c>
      <c r="I1513" s="511">
        <v>18519</v>
      </c>
      <c r="J1513" s="511">
        <v>0</v>
      </c>
      <c r="K1513" s="511">
        <v>18519</v>
      </c>
      <c r="L1513" s="511">
        <v>1481</v>
      </c>
      <c r="M1513" s="511">
        <v>20000</v>
      </c>
      <c r="N1513" s="512">
        <v>1E-3</v>
      </c>
      <c r="O1513" s="509" t="s">
        <v>1086</v>
      </c>
    </row>
    <row r="1514" spans="1:15" x14ac:dyDescent="0.25">
      <c r="A1514" s="508">
        <v>20</v>
      </c>
      <c r="B1514" s="508" t="s">
        <v>133</v>
      </c>
      <c r="C1514" s="508">
        <v>311</v>
      </c>
      <c r="D1514" s="509" t="s">
        <v>93</v>
      </c>
      <c r="E1514" s="509" t="s">
        <v>1092</v>
      </c>
      <c r="F1514" s="508" t="s">
        <v>1085</v>
      </c>
      <c r="G1514" s="510">
        <v>6</v>
      </c>
      <c r="H1514" s="511">
        <v>44907</v>
      </c>
      <c r="I1514" s="511">
        <v>269444</v>
      </c>
      <c r="J1514" s="511">
        <v>0</v>
      </c>
      <c r="K1514" s="511">
        <v>269444</v>
      </c>
      <c r="L1514" s="511">
        <v>21556</v>
      </c>
      <c r="M1514" s="511">
        <v>291000</v>
      </c>
      <c r="N1514" s="512">
        <v>1.5100000000000001E-2</v>
      </c>
      <c r="O1514" s="509" t="s">
        <v>1086</v>
      </c>
    </row>
    <row r="1515" spans="1:15" x14ac:dyDescent="0.25">
      <c r="A1515" s="508">
        <v>20</v>
      </c>
      <c r="B1515" s="508" t="s">
        <v>133</v>
      </c>
      <c r="C1515" s="508">
        <v>87</v>
      </c>
      <c r="D1515" s="509" t="s">
        <v>89</v>
      </c>
      <c r="E1515" s="509" t="s">
        <v>147</v>
      </c>
      <c r="F1515" s="508" t="s">
        <v>1085</v>
      </c>
      <c r="G1515" s="510">
        <v>12</v>
      </c>
      <c r="H1515" s="511">
        <v>37500</v>
      </c>
      <c r="I1515" s="511">
        <v>450000</v>
      </c>
      <c r="J1515" s="511">
        <v>0</v>
      </c>
      <c r="K1515" s="511">
        <v>450000</v>
      </c>
      <c r="L1515" s="511">
        <v>36000</v>
      </c>
      <c r="M1515" s="511">
        <v>486000</v>
      </c>
      <c r="N1515" s="512">
        <v>2.52E-2</v>
      </c>
      <c r="O1515" s="509" t="s">
        <v>1086</v>
      </c>
    </row>
    <row r="1516" spans="1:15" x14ac:dyDescent="0.25">
      <c r="A1516" s="508">
        <v>20</v>
      </c>
      <c r="B1516" s="508" t="s">
        <v>133</v>
      </c>
      <c r="C1516" s="508">
        <v>206</v>
      </c>
      <c r="D1516" s="509" t="s">
        <v>93</v>
      </c>
      <c r="E1516" s="509" t="s">
        <v>1093</v>
      </c>
      <c r="F1516" s="508" t="s">
        <v>1085</v>
      </c>
      <c r="G1516" s="510">
        <v>9</v>
      </c>
      <c r="H1516" s="511">
        <v>44907</v>
      </c>
      <c r="I1516" s="511">
        <v>404167</v>
      </c>
      <c r="J1516" s="511">
        <v>0</v>
      </c>
      <c r="K1516" s="511">
        <v>404167</v>
      </c>
      <c r="L1516" s="511">
        <v>32333</v>
      </c>
      <c r="M1516" s="511">
        <v>436500</v>
      </c>
      <c r="N1516" s="512">
        <v>2.2599999999999999E-2</v>
      </c>
      <c r="O1516" s="509" t="s">
        <v>1086</v>
      </c>
    </row>
    <row r="1517" spans="1:15" x14ac:dyDescent="0.25">
      <c r="A1517" s="508">
        <v>20</v>
      </c>
      <c r="B1517" s="508" t="s">
        <v>133</v>
      </c>
      <c r="C1517" s="508">
        <v>246</v>
      </c>
      <c r="D1517" s="509" t="s">
        <v>91</v>
      </c>
      <c r="E1517" s="509" t="s">
        <v>1095</v>
      </c>
      <c r="F1517" s="508" t="s">
        <v>1085</v>
      </c>
      <c r="G1517" s="510">
        <v>6</v>
      </c>
      <c r="H1517" s="511">
        <v>6481</v>
      </c>
      <c r="I1517" s="511">
        <v>38889</v>
      </c>
      <c r="J1517" s="511">
        <v>0</v>
      </c>
      <c r="K1517" s="511">
        <v>38889</v>
      </c>
      <c r="L1517" s="511">
        <v>3111</v>
      </c>
      <c r="M1517" s="511">
        <v>42000</v>
      </c>
      <c r="N1517" s="512">
        <v>2.2000000000000001E-3</v>
      </c>
      <c r="O1517" s="509" t="s">
        <v>1086</v>
      </c>
    </row>
    <row r="1518" spans="1:15" x14ac:dyDescent="0.25">
      <c r="A1518" s="508">
        <v>20</v>
      </c>
      <c r="B1518" s="508" t="s">
        <v>133</v>
      </c>
      <c r="C1518" s="508">
        <v>70</v>
      </c>
      <c r="D1518" s="509" t="s">
        <v>91</v>
      </c>
      <c r="E1518" s="509" t="s">
        <v>1096</v>
      </c>
      <c r="F1518" s="508" t="s">
        <v>1085</v>
      </c>
      <c r="G1518" s="510">
        <v>10</v>
      </c>
      <c r="H1518" s="511">
        <v>4630</v>
      </c>
      <c r="I1518" s="511">
        <v>46296</v>
      </c>
      <c r="J1518" s="511">
        <v>0</v>
      </c>
      <c r="K1518" s="511">
        <v>46296</v>
      </c>
      <c r="L1518" s="511">
        <v>3704</v>
      </c>
      <c r="M1518" s="511">
        <v>50000</v>
      </c>
      <c r="N1518" s="512">
        <v>2.5999999999999999E-3</v>
      </c>
      <c r="O1518" s="509" t="s">
        <v>1086</v>
      </c>
    </row>
    <row r="1519" spans="1:15" x14ac:dyDescent="0.25">
      <c r="A1519" s="508">
        <v>20</v>
      </c>
      <c r="B1519" s="508" t="s">
        <v>133</v>
      </c>
      <c r="C1519" s="508">
        <v>71</v>
      </c>
      <c r="D1519" s="509" t="s">
        <v>91</v>
      </c>
      <c r="E1519" s="509" t="s">
        <v>1097</v>
      </c>
      <c r="F1519" s="508" t="s">
        <v>1085</v>
      </c>
      <c r="G1519" s="510">
        <v>14</v>
      </c>
      <c r="H1519" s="511">
        <v>5556</v>
      </c>
      <c r="I1519" s="511">
        <v>77778</v>
      </c>
      <c r="J1519" s="511">
        <v>0</v>
      </c>
      <c r="K1519" s="511">
        <v>77778</v>
      </c>
      <c r="L1519" s="511">
        <v>6222</v>
      </c>
      <c r="M1519" s="511">
        <v>84000</v>
      </c>
      <c r="N1519" s="512">
        <v>4.4000000000000003E-3</v>
      </c>
      <c r="O1519" s="509" t="s">
        <v>1086</v>
      </c>
    </row>
    <row r="1520" spans="1:15" x14ac:dyDescent="0.25">
      <c r="A1520" s="508">
        <v>20</v>
      </c>
      <c r="B1520" s="508" t="s">
        <v>133</v>
      </c>
      <c r="C1520" s="508">
        <v>83</v>
      </c>
      <c r="D1520" s="509" t="s">
        <v>87</v>
      </c>
      <c r="E1520" s="509" t="s">
        <v>1098</v>
      </c>
      <c r="F1520" s="508" t="s">
        <v>1085</v>
      </c>
      <c r="G1520" s="510">
        <v>11</v>
      </c>
      <c r="H1520" s="511">
        <v>20833</v>
      </c>
      <c r="I1520" s="511">
        <v>229167</v>
      </c>
      <c r="J1520" s="511">
        <v>0</v>
      </c>
      <c r="K1520" s="511">
        <v>229167</v>
      </c>
      <c r="L1520" s="511">
        <v>18333</v>
      </c>
      <c r="M1520" s="511">
        <v>247500</v>
      </c>
      <c r="N1520" s="512">
        <v>1.2800000000000001E-2</v>
      </c>
      <c r="O1520" s="509" t="s">
        <v>1086</v>
      </c>
    </row>
    <row r="1521" spans="1:15" x14ac:dyDescent="0.25">
      <c r="A1521" s="508">
        <v>20</v>
      </c>
      <c r="B1521" s="508" t="s">
        <v>133</v>
      </c>
      <c r="C1521" s="508">
        <v>52</v>
      </c>
      <c r="D1521" s="509" t="s">
        <v>87</v>
      </c>
      <c r="E1521" s="509" t="s">
        <v>1149</v>
      </c>
      <c r="F1521" s="508" t="s">
        <v>1085</v>
      </c>
      <c r="G1521" s="510">
        <v>1</v>
      </c>
      <c r="H1521" s="511">
        <v>5556</v>
      </c>
      <c r="I1521" s="511">
        <v>5556</v>
      </c>
      <c r="J1521" s="511">
        <v>0</v>
      </c>
      <c r="K1521" s="511">
        <v>5556</v>
      </c>
      <c r="L1521" s="511">
        <v>444</v>
      </c>
      <c r="M1521" s="511">
        <v>6000</v>
      </c>
      <c r="N1521" s="512">
        <v>2.9999999999999997E-4</v>
      </c>
      <c r="O1521" s="509" t="s">
        <v>1086</v>
      </c>
    </row>
    <row r="1522" spans="1:15" x14ac:dyDescent="0.25">
      <c r="A1522" s="508">
        <v>20</v>
      </c>
      <c r="B1522" s="508" t="s">
        <v>133</v>
      </c>
      <c r="C1522" s="508">
        <v>43</v>
      </c>
      <c r="D1522" s="509" t="s">
        <v>87</v>
      </c>
      <c r="E1522" s="509" t="s">
        <v>1099</v>
      </c>
      <c r="F1522" s="508" t="s">
        <v>1085</v>
      </c>
      <c r="G1522" s="510">
        <v>3</v>
      </c>
      <c r="H1522" s="511">
        <v>8333</v>
      </c>
      <c r="I1522" s="511">
        <v>25000</v>
      </c>
      <c r="J1522" s="511">
        <v>0</v>
      </c>
      <c r="K1522" s="511">
        <v>25000</v>
      </c>
      <c r="L1522" s="511">
        <v>2000</v>
      </c>
      <c r="M1522" s="511">
        <v>27000</v>
      </c>
      <c r="N1522" s="512">
        <v>1.4E-3</v>
      </c>
      <c r="O1522" s="509" t="s">
        <v>1086</v>
      </c>
    </row>
    <row r="1523" spans="1:15" x14ac:dyDescent="0.25">
      <c r="A1523" s="508">
        <v>20</v>
      </c>
      <c r="B1523" s="508" t="s">
        <v>133</v>
      </c>
      <c r="C1523" s="508">
        <v>37</v>
      </c>
      <c r="D1523" s="509" t="s">
        <v>87</v>
      </c>
      <c r="E1523" s="509" t="s">
        <v>1185</v>
      </c>
      <c r="F1523" s="508" t="s">
        <v>1085</v>
      </c>
      <c r="G1523" s="510">
        <v>2</v>
      </c>
      <c r="H1523" s="511">
        <v>8333</v>
      </c>
      <c r="I1523" s="511">
        <v>16667</v>
      </c>
      <c r="J1523" s="511">
        <v>0</v>
      </c>
      <c r="K1523" s="511">
        <v>16667</v>
      </c>
      <c r="L1523" s="511">
        <v>1333</v>
      </c>
      <c r="M1523" s="511">
        <v>18000</v>
      </c>
      <c r="N1523" s="512">
        <v>8.9999999999999998E-4</v>
      </c>
      <c r="O1523" s="509" t="s">
        <v>1086</v>
      </c>
    </row>
    <row r="1524" spans="1:15" x14ac:dyDescent="0.25">
      <c r="A1524" s="508">
        <v>20</v>
      </c>
      <c r="B1524" s="508" t="s">
        <v>133</v>
      </c>
      <c r="C1524" s="508">
        <v>41</v>
      </c>
      <c r="D1524" s="509" t="s">
        <v>87</v>
      </c>
      <c r="E1524" s="509" t="s">
        <v>168</v>
      </c>
      <c r="F1524" s="508" t="s">
        <v>1085</v>
      </c>
      <c r="G1524" s="510">
        <v>8</v>
      </c>
      <c r="H1524" s="511">
        <v>49074</v>
      </c>
      <c r="I1524" s="511">
        <v>392593</v>
      </c>
      <c r="J1524" s="511">
        <v>0</v>
      </c>
      <c r="K1524" s="511">
        <v>392593</v>
      </c>
      <c r="L1524" s="511">
        <v>31407</v>
      </c>
      <c r="M1524" s="511">
        <v>424000</v>
      </c>
      <c r="N1524" s="512">
        <v>2.1999999999999999E-2</v>
      </c>
      <c r="O1524" s="509" t="s">
        <v>1086</v>
      </c>
    </row>
    <row r="1525" spans="1:15" x14ac:dyDescent="0.25">
      <c r="A1525" s="508">
        <v>20</v>
      </c>
      <c r="B1525" s="508" t="s">
        <v>133</v>
      </c>
      <c r="C1525" s="508">
        <v>122</v>
      </c>
      <c r="D1525" s="509" t="s">
        <v>91</v>
      </c>
      <c r="E1525" s="509" t="s">
        <v>1100</v>
      </c>
      <c r="F1525" s="508" t="s">
        <v>1085</v>
      </c>
      <c r="G1525" s="510">
        <v>4</v>
      </c>
      <c r="H1525" s="511">
        <v>2778</v>
      </c>
      <c r="I1525" s="511">
        <v>11111</v>
      </c>
      <c r="J1525" s="511">
        <v>0</v>
      </c>
      <c r="K1525" s="511">
        <v>11111</v>
      </c>
      <c r="L1525" s="511">
        <v>889</v>
      </c>
      <c r="M1525" s="511">
        <v>12000</v>
      </c>
      <c r="N1525" s="512">
        <v>5.9999999999999995E-4</v>
      </c>
      <c r="O1525" s="509" t="s">
        <v>1086</v>
      </c>
    </row>
    <row r="1526" spans="1:15" x14ac:dyDescent="0.25">
      <c r="A1526" s="508">
        <v>20</v>
      </c>
      <c r="B1526" s="508" t="s">
        <v>133</v>
      </c>
      <c r="C1526" s="508">
        <v>42</v>
      </c>
      <c r="D1526" s="509" t="s">
        <v>87</v>
      </c>
      <c r="E1526" s="509" t="s">
        <v>359</v>
      </c>
      <c r="F1526" s="508" t="s">
        <v>1085</v>
      </c>
      <c r="G1526" s="510">
        <v>4</v>
      </c>
      <c r="H1526" s="511">
        <v>32407</v>
      </c>
      <c r="I1526" s="511">
        <v>129630</v>
      </c>
      <c r="J1526" s="511">
        <v>0</v>
      </c>
      <c r="K1526" s="511">
        <v>129630</v>
      </c>
      <c r="L1526" s="511">
        <v>10370</v>
      </c>
      <c r="M1526" s="511">
        <v>140000</v>
      </c>
      <c r="N1526" s="512">
        <v>7.3000000000000001E-3</v>
      </c>
      <c r="O1526" s="509" t="s">
        <v>1086</v>
      </c>
    </row>
    <row r="1527" spans="1:15" x14ac:dyDescent="0.25">
      <c r="A1527" s="508">
        <v>20</v>
      </c>
      <c r="B1527" s="508" t="s">
        <v>133</v>
      </c>
      <c r="C1527" s="508">
        <v>44</v>
      </c>
      <c r="D1527" s="509" t="s">
        <v>87</v>
      </c>
      <c r="E1527" s="509" t="s">
        <v>138</v>
      </c>
      <c r="F1527" s="508" t="s">
        <v>1085</v>
      </c>
      <c r="G1527" s="510">
        <v>31</v>
      </c>
      <c r="H1527" s="511">
        <v>28241</v>
      </c>
      <c r="I1527" s="511">
        <v>875463</v>
      </c>
      <c r="J1527" s="511">
        <v>0</v>
      </c>
      <c r="K1527" s="511">
        <v>875463</v>
      </c>
      <c r="L1527" s="511">
        <v>70037</v>
      </c>
      <c r="M1527" s="511">
        <v>945500</v>
      </c>
      <c r="N1527" s="512">
        <v>4.9000000000000002E-2</v>
      </c>
      <c r="O1527" s="509" t="s">
        <v>1086</v>
      </c>
    </row>
    <row r="1528" spans="1:15" x14ac:dyDescent="0.25">
      <c r="A1528" s="508">
        <v>20</v>
      </c>
      <c r="B1528" s="508" t="s">
        <v>133</v>
      </c>
      <c r="C1528" s="508">
        <v>110</v>
      </c>
      <c r="D1528" s="509" t="s">
        <v>99</v>
      </c>
      <c r="E1528" s="509" t="s">
        <v>1101</v>
      </c>
      <c r="F1528" s="508" t="s">
        <v>1085</v>
      </c>
      <c r="G1528" s="510">
        <v>30</v>
      </c>
      <c r="H1528" s="511">
        <v>926</v>
      </c>
      <c r="I1528" s="511">
        <v>27778</v>
      </c>
      <c r="J1528" s="511">
        <v>0</v>
      </c>
      <c r="K1528" s="511">
        <v>27778</v>
      </c>
      <c r="L1528" s="511">
        <v>2222</v>
      </c>
      <c r="M1528" s="511">
        <v>30000</v>
      </c>
      <c r="N1528" s="512">
        <v>1.6000000000000001E-3</v>
      </c>
      <c r="O1528" s="509" t="s">
        <v>1086</v>
      </c>
    </row>
    <row r="1529" spans="1:15" x14ac:dyDescent="0.25">
      <c r="A1529" s="508">
        <v>20</v>
      </c>
      <c r="B1529" s="508" t="s">
        <v>133</v>
      </c>
      <c r="C1529" s="508">
        <v>102</v>
      </c>
      <c r="D1529" s="509" t="s">
        <v>87</v>
      </c>
      <c r="E1529" s="509" t="s">
        <v>1151</v>
      </c>
      <c r="F1529" s="508" t="s">
        <v>1085</v>
      </c>
      <c r="G1529" s="510">
        <v>5</v>
      </c>
      <c r="H1529" s="511">
        <v>6944</v>
      </c>
      <c r="I1529" s="511">
        <v>34722</v>
      </c>
      <c r="J1529" s="511">
        <v>0</v>
      </c>
      <c r="K1529" s="511">
        <v>34722</v>
      </c>
      <c r="L1529" s="511">
        <v>2778</v>
      </c>
      <c r="M1529" s="511">
        <v>37500</v>
      </c>
      <c r="N1529" s="512">
        <v>1.9E-3</v>
      </c>
      <c r="O1529" s="509" t="s">
        <v>1086</v>
      </c>
    </row>
    <row r="1530" spans="1:15" x14ac:dyDescent="0.25">
      <c r="A1530" s="508">
        <v>20</v>
      </c>
      <c r="B1530" s="508" t="s">
        <v>133</v>
      </c>
      <c r="C1530" s="508">
        <v>45</v>
      </c>
      <c r="D1530" s="509" t="s">
        <v>87</v>
      </c>
      <c r="E1530" s="509" t="s">
        <v>1102</v>
      </c>
      <c r="F1530" s="508" t="s">
        <v>1085</v>
      </c>
      <c r="G1530" s="510">
        <v>8</v>
      </c>
      <c r="H1530" s="511">
        <v>35648</v>
      </c>
      <c r="I1530" s="511">
        <v>285185</v>
      </c>
      <c r="J1530" s="511">
        <v>0</v>
      </c>
      <c r="K1530" s="511">
        <v>285185</v>
      </c>
      <c r="L1530" s="511">
        <v>22815</v>
      </c>
      <c r="M1530" s="511">
        <v>308000</v>
      </c>
      <c r="N1530" s="512">
        <v>1.6E-2</v>
      </c>
      <c r="O1530" s="509" t="s">
        <v>1086</v>
      </c>
    </row>
    <row r="1531" spans="1:15" x14ac:dyDescent="0.25">
      <c r="A1531" s="508">
        <v>20</v>
      </c>
      <c r="B1531" s="508" t="s">
        <v>133</v>
      </c>
      <c r="C1531" s="508">
        <v>30</v>
      </c>
      <c r="D1531" s="509" t="s">
        <v>95</v>
      </c>
      <c r="E1531" s="509" t="s">
        <v>1103</v>
      </c>
      <c r="F1531" s="508" t="s">
        <v>1085</v>
      </c>
      <c r="G1531" s="510">
        <v>3</v>
      </c>
      <c r="H1531" s="511">
        <v>6481</v>
      </c>
      <c r="I1531" s="511">
        <v>19444</v>
      </c>
      <c r="J1531" s="511">
        <v>0</v>
      </c>
      <c r="K1531" s="511">
        <v>19444</v>
      </c>
      <c r="L1531" s="511">
        <v>1556</v>
      </c>
      <c r="M1531" s="511">
        <v>21000</v>
      </c>
      <c r="N1531" s="512">
        <v>1.1000000000000001E-3</v>
      </c>
      <c r="O1531" s="509" t="s">
        <v>1086</v>
      </c>
    </row>
    <row r="1532" spans="1:15" x14ac:dyDescent="0.25">
      <c r="A1532" s="508">
        <v>20</v>
      </c>
      <c r="B1532" s="508" t="s">
        <v>133</v>
      </c>
      <c r="C1532" s="508">
        <v>217</v>
      </c>
      <c r="D1532" s="509" t="s">
        <v>89</v>
      </c>
      <c r="E1532" s="509" t="s">
        <v>1105</v>
      </c>
      <c r="F1532" s="508" t="s">
        <v>1085</v>
      </c>
      <c r="G1532" s="510">
        <v>2</v>
      </c>
      <c r="H1532" s="511">
        <v>27778</v>
      </c>
      <c r="I1532" s="511">
        <v>55556</v>
      </c>
      <c r="J1532" s="511">
        <v>0</v>
      </c>
      <c r="K1532" s="511">
        <v>55556</v>
      </c>
      <c r="L1532" s="511">
        <v>4444</v>
      </c>
      <c r="M1532" s="511">
        <v>60000</v>
      </c>
      <c r="N1532" s="512">
        <v>3.0999999999999999E-3</v>
      </c>
      <c r="O1532" s="509" t="s">
        <v>1086</v>
      </c>
    </row>
    <row r="1533" spans="1:15" x14ac:dyDescent="0.25">
      <c r="A1533" s="508">
        <v>20</v>
      </c>
      <c r="B1533" s="508" t="s">
        <v>133</v>
      </c>
      <c r="C1533" s="508">
        <v>34</v>
      </c>
      <c r="D1533" s="509" t="s">
        <v>91</v>
      </c>
      <c r="E1533" s="509" t="s">
        <v>1107</v>
      </c>
      <c r="F1533" s="508" t="s">
        <v>1085</v>
      </c>
      <c r="G1533" s="510">
        <v>18</v>
      </c>
      <c r="H1533" s="511">
        <v>6481</v>
      </c>
      <c r="I1533" s="511">
        <v>116667</v>
      </c>
      <c r="J1533" s="511">
        <v>0</v>
      </c>
      <c r="K1533" s="511">
        <v>116667</v>
      </c>
      <c r="L1533" s="511">
        <v>9333</v>
      </c>
      <c r="M1533" s="511">
        <v>126000</v>
      </c>
      <c r="N1533" s="512">
        <v>6.5000000000000006E-3</v>
      </c>
      <c r="O1533" s="509" t="s">
        <v>1086</v>
      </c>
    </row>
    <row r="1534" spans="1:15" x14ac:dyDescent="0.25">
      <c r="A1534" s="508">
        <v>20</v>
      </c>
      <c r="B1534" s="508" t="s">
        <v>133</v>
      </c>
      <c r="C1534" s="508">
        <v>121</v>
      </c>
      <c r="D1534" s="509" t="s">
        <v>91</v>
      </c>
      <c r="E1534" s="509" t="s">
        <v>1108</v>
      </c>
      <c r="F1534" s="508" t="s">
        <v>1085</v>
      </c>
      <c r="G1534" s="510">
        <v>12</v>
      </c>
      <c r="H1534" s="511">
        <v>2778</v>
      </c>
      <c r="I1534" s="511">
        <v>33333</v>
      </c>
      <c r="J1534" s="511">
        <v>0</v>
      </c>
      <c r="K1534" s="511">
        <v>33333</v>
      </c>
      <c r="L1534" s="511">
        <v>2667</v>
      </c>
      <c r="M1534" s="511">
        <v>36000</v>
      </c>
      <c r="N1534" s="512">
        <v>1.9E-3</v>
      </c>
      <c r="O1534" s="509" t="s">
        <v>1086</v>
      </c>
    </row>
    <row r="1535" spans="1:15" x14ac:dyDescent="0.25">
      <c r="A1535" s="508">
        <v>20</v>
      </c>
      <c r="B1535" s="508" t="s">
        <v>133</v>
      </c>
      <c r="C1535" s="508">
        <v>208</v>
      </c>
      <c r="D1535" s="509" t="s">
        <v>91</v>
      </c>
      <c r="E1535" s="509" t="s">
        <v>1109</v>
      </c>
      <c r="F1535" s="508" t="s">
        <v>1085</v>
      </c>
      <c r="G1535" s="510">
        <v>19</v>
      </c>
      <c r="H1535" s="511">
        <v>3704</v>
      </c>
      <c r="I1535" s="511">
        <v>70370</v>
      </c>
      <c r="J1535" s="511">
        <v>0</v>
      </c>
      <c r="K1535" s="511">
        <v>70370</v>
      </c>
      <c r="L1535" s="511">
        <v>5630</v>
      </c>
      <c r="M1535" s="511">
        <v>76000</v>
      </c>
      <c r="N1535" s="512">
        <v>3.8999999999999998E-3</v>
      </c>
      <c r="O1535" s="509" t="s">
        <v>1086</v>
      </c>
    </row>
    <row r="1536" spans="1:15" x14ac:dyDescent="0.25">
      <c r="A1536" s="508">
        <v>20</v>
      </c>
      <c r="B1536" s="508" t="s">
        <v>133</v>
      </c>
      <c r="C1536" s="508">
        <v>318</v>
      </c>
      <c r="D1536" s="509" t="s">
        <v>91</v>
      </c>
      <c r="E1536" s="509" t="s">
        <v>1218</v>
      </c>
      <c r="F1536" s="508" t="s">
        <v>1085</v>
      </c>
      <c r="G1536" s="510">
        <v>1</v>
      </c>
      <c r="H1536" s="511">
        <v>4630</v>
      </c>
      <c r="I1536" s="511">
        <v>4630</v>
      </c>
      <c r="J1536" s="511">
        <v>0</v>
      </c>
      <c r="K1536" s="511">
        <v>4630</v>
      </c>
      <c r="L1536" s="511">
        <v>370</v>
      </c>
      <c r="M1536" s="511">
        <v>5000</v>
      </c>
      <c r="N1536" s="512">
        <v>2.9999999999999997E-4</v>
      </c>
      <c r="O1536" s="509" t="s">
        <v>1086</v>
      </c>
    </row>
    <row r="1537" spans="1:15" x14ac:dyDescent="0.25">
      <c r="A1537" s="508">
        <v>20</v>
      </c>
      <c r="B1537" s="508" t="s">
        <v>133</v>
      </c>
      <c r="C1537" s="508">
        <v>90</v>
      </c>
      <c r="D1537" s="509" t="s">
        <v>91</v>
      </c>
      <c r="E1537" s="509" t="s">
        <v>572</v>
      </c>
      <c r="F1537" s="508" t="s">
        <v>1085</v>
      </c>
      <c r="G1537" s="510">
        <v>3</v>
      </c>
      <c r="H1537" s="511">
        <v>4259</v>
      </c>
      <c r="I1537" s="511">
        <v>12778</v>
      </c>
      <c r="J1537" s="511">
        <v>0</v>
      </c>
      <c r="K1537" s="511">
        <v>12778</v>
      </c>
      <c r="L1537" s="511">
        <v>1022</v>
      </c>
      <c r="M1537" s="511">
        <v>13800</v>
      </c>
      <c r="N1537" s="512">
        <v>7.000000000000001E-4</v>
      </c>
      <c r="O1537" s="509" t="s">
        <v>1086</v>
      </c>
    </row>
    <row r="1538" spans="1:15" x14ac:dyDescent="0.25">
      <c r="A1538" s="508">
        <v>20</v>
      </c>
      <c r="B1538" s="508" t="s">
        <v>133</v>
      </c>
      <c r="C1538" s="508">
        <v>123</v>
      </c>
      <c r="D1538" s="509" t="s">
        <v>91</v>
      </c>
      <c r="E1538" s="509" t="s">
        <v>1110</v>
      </c>
      <c r="F1538" s="508" t="s">
        <v>1085</v>
      </c>
      <c r="G1538" s="510">
        <v>3</v>
      </c>
      <c r="H1538" s="511">
        <v>2778</v>
      </c>
      <c r="I1538" s="511">
        <v>8333</v>
      </c>
      <c r="J1538" s="511">
        <v>0</v>
      </c>
      <c r="K1538" s="511">
        <v>8333</v>
      </c>
      <c r="L1538" s="511">
        <v>667</v>
      </c>
      <c r="M1538" s="511">
        <v>9000</v>
      </c>
      <c r="N1538" s="512">
        <v>5.0000000000000001E-4</v>
      </c>
      <c r="O1538" s="509" t="s">
        <v>1086</v>
      </c>
    </row>
    <row r="1539" spans="1:15" x14ac:dyDescent="0.25">
      <c r="A1539" s="508">
        <v>20</v>
      </c>
      <c r="B1539" s="508" t="s">
        <v>133</v>
      </c>
      <c r="C1539" s="508">
        <v>314</v>
      </c>
      <c r="D1539" s="509" t="s">
        <v>87</v>
      </c>
      <c r="E1539" s="509" t="s">
        <v>1152</v>
      </c>
      <c r="F1539" s="508" t="s">
        <v>1085</v>
      </c>
      <c r="G1539" s="510">
        <v>1</v>
      </c>
      <c r="H1539" s="511">
        <v>4167</v>
      </c>
      <c r="I1539" s="511">
        <v>4167</v>
      </c>
      <c r="J1539" s="511">
        <v>0</v>
      </c>
      <c r="K1539" s="511">
        <v>4167</v>
      </c>
      <c r="L1539" s="511">
        <v>333</v>
      </c>
      <c r="M1539" s="511">
        <v>4500</v>
      </c>
      <c r="N1539" s="512">
        <v>2.0000000000000001E-4</v>
      </c>
      <c r="O1539" s="509" t="s">
        <v>1086</v>
      </c>
    </row>
    <row r="1540" spans="1:15" x14ac:dyDescent="0.25">
      <c r="A1540" s="508">
        <v>20</v>
      </c>
      <c r="B1540" s="508" t="s">
        <v>133</v>
      </c>
      <c r="C1540" s="508">
        <v>31</v>
      </c>
      <c r="D1540" s="509" t="s">
        <v>95</v>
      </c>
      <c r="E1540" s="509" t="s">
        <v>1111</v>
      </c>
      <c r="F1540" s="508" t="s">
        <v>1085</v>
      </c>
      <c r="G1540" s="510">
        <v>8</v>
      </c>
      <c r="H1540" s="511">
        <v>1204</v>
      </c>
      <c r="I1540" s="511">
        <v>9630</v>
      </c>
      <c r="J1540" s="511">
        <v>0</v>
      </c>
      <c r="K1540" s="511">
        <v>9630</v>
      </c>
      <c r="L1540" s="511">
        <v>770</v>
      </c>
      <c r="M1540" s="511">
        <v>10400</v>
      </c>
      <c r="N1540" s="512">
        <v>5.0000000000000001E-4</v>
      </c>
      <c r="O1540" s="509" t="s">
        <v>1086</v>
      </c>
    </row>
    <row r="1541" spans="1:15" x14ac:dyDescent="0.25">
      <c r="A1541" s="508">
        <v>20</v>
      </c>
      <c r="B1541" s="508" t="s">
        <v>133</v>
      </c>
      <c r="C1541" s="508">
        <v>201</v>
      </c>
      <c r="D1541" s="509" t="s">
        <v>91</v>
      </c>
      <c r="E1541" s="509" t="s">
        <v>1187</v>
      </c>
      <c r="F1541" s="508" t="s">
        <v>1085</v>
      </c>
      <c r="G1541" s="510">
        <v>1</v>
      </c>
      <c r="H1541" s="511">
        <v>18519</v>
      </c>
      <c r="I1541" s="511">
        <v>18519</v>
      </c>
      <c r="J1541" s="511">
        <v>0</v>
      </c>
      <c r="K1541" s="511">
        <v>18519</v>
      </c>
      <c r="L1541" s="511">
        <v>1481</v>
      </c>
      <c r="M1541" s="511">
        <v>20000</v>
      </c>
      <c r="N1541" s="512">
        <v>1E-3</v>
      </c>
      <c r="O1541" s="509" t="s">
        <v>1086</v>
      </c>
    </row>
    <row r="1542" spans="1:15" x14ac:dyDescent="0.25">
      <c r="A1542" s="508">
        <v>20</v>
      </c>
      <c r="B1542" s="508" t="s">
        <v>133</v>
      </c>
      <c r="C1542" s="508">
        <v>212</v>
      </c>
      <c r="D1542" s="509" t="s">
        <v>91</v>
      </c>
      <c r="E1542" s="509" t="s">
        <v>162</v>
      </c>
      <c r="F1542" s="508" t="s">
        <v>1085</v>
      </c>
      <c r="G1542" s="510">
        <v>30</v>
      </c>
      <c r="H1542" s="511">
        <v>22222</v>
      </c>
      <c r="I1542" s="511">
        <v>666667</v>
      </c>
      <c r="J1542" s="511">
        <v>0</v>
      </c>
      <c r="K1542" s="511">
        <v>666667</v>
      </c>
      <c r="L1542" s="511">
        <v>53333</v>
      </c>
      <c r="M1542" s="511">
        <v>720000</v>
      </c>
      <c r="N1542" s="512">
        <v>3.73E-2</v>
      </c>
      <c r="O1542" s="509" t="s">
        <v>1086</v>
      </c>
    </row>
    <row r="1543" spans="1:15" x14ac:dyDescent="0.25">
      <c r="A1543" s="508">
        <v>20</v>
      </c>
      <c r="B1543" s="508" t="s">
        <v>133</v>
      </c>
      <c r="C1543" s="508">
        <v>74</v>
      </c>
      <c r="D1543" s="509" t="s">
        <v>91</v>
      </c>
      <c r="E1543" s="509" t="s">
        <v>1153</v>
      </c>
      <c r="F1543" s="508" t="s">
        <v>1085</v>
      </c>
      <c r="G1543" s="510">
        <v>10</v>
      </c>
      <c r="H1543" s="511">
        <v>6481</v>
      </c>
      <c r="I1543" s="511">
        <v>64815</v>
      </c>
      <c r="J1543" s="511">
        <v>0</v>
      </c>
      <c r="K1543" s="511">
        <v>64815</v>
      </c>
      <c r="L1543" s="511">
        <v>5185</v>
      </c>
      <c r="M1543" s="511">
        <v>70000</v>
      </c>
      <c r="N1543" s="512">
        <v>3.5999999999999999E-3</v>
      </c>
      <c r="O1543" s="509" t="s">
        <v>1086</v>
      </c>
    </row>
    <row r="1544" spans="1:15" x14ac:dyDescent="0.25">
      <c r="A1544" s="508">
        <v>20</v>
      </c>
      <c r="B1544" s="508" t="s">
        <v>133</v>
      </c>
      <c r="C1544" s="508">
        <v>306</v>
      </c>
      <c r="D1544" s="509" t="s">
        <v>91</v>
      </c>
      <c r="E1544" s="509" t="s">
        <v>1176</v>
      </c>
      <c r="F1544" s="508" t="s">
        <v>1085</v>
      </c>
      <c r="G1544" s="510">
        <v>1</v>
      </c>
      <c r="H1544" s="511">
        <v>2315</v>
      </c>
      <c r="I1544" s="511">
        <v>2315</v>
      </c>
      <c r="J1544" s="511">
        <v>0</v>
      </c>
      <c r="K1544" s="511">
        <v>2315</v>
      </c>
      <c r="L1544" s="511">
        <v>185</v>
      </c>
      <c r="M1544" s="511">
        <v>2500</v>
      </c>
      <c r="N1544" s="512">
        <v>1E-4</v>
      </c>
      <c r="O1544" s="509" t="s">
        <v>1086</v>
      </c>
    </row>
    <row r="1545" spans="1:15" x14ac:dyDescent="0.25">
      <c r="A1545" s="508">
        <v>20</v>
      </c>
      <c r="B1545" s="508" t="s">
        <v>133</v>
      </c>
      <c r="C1545" s="508">
        <v>235</v>
      </c>
      <c r="D1545" s="509" t="s">
        <v>91</v>
      </c>
      <c r="E1545" s="509" t="s">
        <v>1154</v>
      </c>
      <c r="F1545" s="508" t="s">
        <v>1085</v>
      </c>
      <c r="G1545" s="510">
        <v>2</v>
      </c>
      <c r="H1545" s="511">
        <v>3426</v>
      </c>
      <c r="I1545" s="511">
        <v>6852</v>
      </c>
      <c r="J1545" s="511">
        <v>0</v>
      </c>
      <c r="K1545" s="511">
        <v>6852</v>
      </c>
      <c r="L1545" s="511">
        <v>548</v>
      </c>
      <c r="M1545" s="511">
        <v>7400</v>
      </c>
      <c r="N1545" s="512">
        <v>4.0000000000000002E-4</v>
      </c>
      <c r="O1545" s="509" t="s">
        <v>1086</v>
      </c>
    </row>
    <row r="1546" spans="1:15" x14ac:dyDescent="0.25">
      <c r="A1546" s="508">
        <v>20</v>
      </c>
      <c r="B1546" s="508" t="s">
        <v>133</v>
      </c>
      <c r="C1546" s="508">
        <v>134</v>
      </c>
      <c r="D1546" s="509" t="s">
        <v>91</v>
      </c>
      <c r="E1546" s="509" t="s">
        <v>1168</v>
      </c>
      <c r="F1546" s="508" t="s">
        <v>1085</v>
      </c>
      <c r="G1546" s="510">
        <v>3</v>
      </c>
      <c r="H1546" s="511">
        <v>12963</v>
      </c>
      <c r="I1546" s="511">
        <v>38889</v>
      </c>
      <c r="J1546" s="511">
        <v>0</v>
      </c>
      <c r="K1546" s="511">
        <v>38889</v>
      </c>
      <c r="L1546" s="511">
        <v>3111</v>
      </c>
      <c r="M1546" s="511">
        <v>42000</v>
      </c>
      <c r="N1546" s="512">
        <v>2.2000000000000001E-3</v>
      </c>
      <c r="O1546" s="509" t="s">
        <v>1086</v>
      </c>
    </row>
    <row r="1547" spans="1:15" x14ac:dyDescent="0.25">
      <c r="A1547" s="508">
        <v>20</v>
      </c>
      <c r="B1547" s="508" t="s">
        <v>133</v>
      </c>
      <c r="C1547" s="508">
        <v>501</v>
      </c>
      <c r="D1547" s="509" t="s">
        <v>91</v>
      </c>
      <c r="E1547" s="509" t="s">
        <v>1112</v>
      </c>
      <c r="F1547" s="508" t="s">
        <v>1085</v>
      </c>
      <c r="G1547" s="510">
        <v>7</v>
      </c>
      <c r="H1547" s="511">
        <v>22222</v>
      </c>
      <c r="I1547" s="511">
        <v>155556</v>
      </c>
      <c r="J1547" s="511">
        <v>0</v>
      </c>
      <c r="K1547" s="511">
        <v>155556</v>
      </c>
      <c r="L1547" s="511">
        <v>12444</v>
      </c>
      <c r="M1547" s="511">
        <v>168000</v>
      </c>
      <c r="N1547" s="512">
        <v>8.6999999999999994E-3</v>
      </c>
      <c r="O1547" s="509" t="s">
        <v>1086</v>
      </c>
    </row>
    <row r="1548" spans="1:15" x14ac:dyDescent="0.25">
      <c r="A1548" s="508">
        <v>20</v>
      </c>
      <c r="B1548" s="508" t="s">
        <v>133</v>
      </c>
      <c r="C1548" s="508">
        <v>75</v>
      </c>
      <c r="D1548" s="509" t="s">
        <v>91</v>
      </c>
      <c r="E1548" s="509" t="s">
        <v>1113</v>
      </c>
      <c r="F1548" s="508" t="s">
        <v>1085</v>
      </c>
      <c r="G1548" s="510">
        <v>6</v>
      </c>
      <c r="H1548" s="511">
        <v>9259</v>
      </c>
      <c r="I1548" s="511">
        <v>55556</v>
      </c>
      <c r="J1548" s="511">
        <v>0</v>
      </c>
      <c r="K1548" s="511">
        <v>55556</v>
      </c>
      <c r="L1548" s="511">
        <v>4444</v>
      </c>
      <c r="M1548" s="511">
        <v>60000</v>
      </c>
      <c r="N1548" s="512">
        <v>3.0999999999999999E-3</v>
      </c>
      <c r="O1548" s="509" t="s">
        <v>1086</v>
      </c>
    </row>
    <row r="1549" spans="1:15" x14ac:dyDescent="0.25">
      <c r="A1549" s="508">
        <v>20</v>
      </c>
      <c r="B1549" s="508" t="s">
        <v>133</v>
      </c>
      <c r="C1549" s="508">
        <v>51</v>
      </c>
      <c r="D1549" s="509" t="s">
        <v>87</v>
      </c>
      <c r="E1549" s="509" t="s">
        <v>1189</v>
      </c>
      <c r="F1549" s="508" t="s">
        <v>1085</v>
      </c>
      <c r="G1549" s="510">
        <v>14</v>
      </c>
      <c r="H1549" s="511">
        <v>29167</v>
      </c>
      <c r="I1549" s="511">
        <v>408333</v>
      </c>
      <c r="J1549" s="511">
        <v>0</v>
      </c>
      <c r="K1549" s="511">
        <v>408333</v>
      </c>
      <c r="L1549" s="511">
        <v>32667</v>
      </c>
      <c r="M1549" s="511">
        <v>441000</v>
      </c>
      <c r="N1549" s="512">
        <v>2.29E-2</v>
      </c>
      <c r="O1549" s="509" t="s">
        <v>1086</v>
      </c>
    </row>
    <row r="1550" spans="1:15" x14ac:dyDescent="0.25">
      <c r="A1550" s="508">
        <v>20</v>
      </c>
      <c r="B1550" s="508" t="s">
        <v>133</v>
      </c>
      <c r="C1550" s="508">
        <v>88</v>
      </c>
      <c r="D1550" s="509" t="s">
        <v>87</v>
      </c>
      <c r="E1550" s="509" t="s">
        <v>132</v>
      </c>
      <c r="F1550" s="508" t="s">
        <v>1085</v>
      </c>
      <c r="G1550" s="510">
        <v>26</v>
      </c>
      <c r="H1550" s="511">
        <v>32870</v>
      </c>
      <c r="I1550" s="511">
        <v>854630</v>
      </c>
      <c r="J1550" s="511">
        <v>0</v>
      </c>
      <c r="K1550" s="511">
        <v>854630</v>
      </c>
      <c r="L1550" s="511">
        <v>68370</v>
      </c>
      <c r="M1550" s="511">
        <v>923000</v>
      </c>
      <c r="N1550" s="512">
        <v>4.7800000000000002E-2</v>
      </c>
      <c r="O1550" s="509" t="s">
        <v>1086</v>
      </c>
    </row>
    <row r="1551" spans="1:15" x14ac:dyDescent="0.25">
      <c r="A1551" s="508">
        <v>20</v>
      </c>
      <c r="B1551" s="508" t="s">
        <v>133</v>
      </c>
      <c r="C1551" s="508">
        <v>118</v>
      </c>
      <c r="D1551" s="509" t="s">
        <v>87</v>
      </c>
      <c r="E1551" s="509" t="s">
        <v>126</v>
      </c>
      <c r="F1551" s="508" t="s">
        <v>1085</v>
      </c>
      <c r="G1551" s="510">
        <v>19</v>
      </c>
      <c r="H1551" s="511">
        <v>41667</v>
      </c>
      <c r="I1551" s="511">
        <v>791667</v>
      </c>
      <c r="J1551" s="511">
        <v>0</v>
      </c>
      <c r="K1551" s="511">
        <v>791667</v>
      </c>
      <c r="L1551" s="511">
        <v>63333</v>
      </c>
      <c r="M1551" s="511">
        <v>855000</v>
      </c>
      <c r="N1551" s="512">
        <v>4.4299999999999999E-2</v>
      </c>
      <c r="O1551" s="509" t="s">
        <v>1086</v>
      </c>
    </row>
    <row r="1552" spans="1:15" x14ac:dyDescent="0.25">
      <c r="A1552" s="508">
        <v>20</v>
      </c>
      <c r="B1552" s="508" t="s">
        <v>133</v>
      </c>
      <c r="C1552" s="508">
        <v>204</v>
      </c>
      <c r="D1552" s="509" t="s">
        <v>91</v>
      </c>
      <c r="E1552" s="509" t="s">
        <v>1114</v>
      </c>
      <c r="F1552" s="508" t="s">
        <v>1085</v>
      </c>
      <c r="G1552" s="510">
        <v>5</v>
      </c>
      <c r="H1552" s="511">
        <v>12037</v>
      </c>
      <c r="I1552" s="511">
        <v>60185</v>
      </c>
      <c r="J1552" s="511">
        <v>0</v>
      </c>
      <c r="K1552" s="511">
        <v>60185</v>
      </c>
      <c r="L1552" s="511">
        <v>4815</v>
      </c>
      <c r="M1552" s="511">
        <v>65000</v>
      </c>
      <c r="N1552" s="512">
        <v>3.3999999999999998E-3</v>
      </c>
      <c r="O1552" s="509" t="s">
        <v>1086</v>
      </c>
    </row>
    <row r="1553" spans="1:15" x14ac:dyDescent="0.25">
      <c r="A1553" s="508">
        <v>20</v>
      </c>
      <c r="B1553" s="508" t="s">
        <v>133</v>
      </c>
      <c r="C1553" s="508">
        <v>109</v>
      </c>
      <c r="D1553" s="509" t="s">
        <v>91</v>
      </c>
      <c r="E1553" s="509" t="s">
        <v>144</v>
      </c>
      <c r="F1553" s="508" t="s">
        <v>1085</v>
      </c>
      <c r="G1553" s="510">
        <v>41</v>
      </c>
      <c r="H1553" s="511">
        <v>12963</v>
      </c>
      <c r="I1553" s="511">
        <v>531481</v>
      </c>
      <c r="J1553" s="511">
        <v>0</v>
      </c>
      <c r="K1553" s="511">
        <v>531481</v>
      </c>
      <c r="L1553" s="511">
        <v>42519</v>
      </c>
      <c r="M1553" s="511">
        <v>574000</v>
      </c>
      <c r="N1553" s="512">
        <v>2.98E-2</v>
      </c>
      <c r="O1553" s="509" t="s">
        <v>1086</v>
      </c>
    </row>
    <row r="1554" spans="1:15" x14ac:dyDescent="0.25">
      <c r="A1554" s="508">
        <v>20</v>
      </c>
      <c r="B1554" s="508" t="s">
        <v>133</v>
      </c>
      <c r="C1554" s="508">
        <v>147</v>
      </c>
      <c r="D1554" s="509" t="s">
        <v>91</v>
      </c>
      <c r="E1554" s="509" t="s">
        <v>1115</v>
      </c>
      <c r="F1554" s="508" t="s">
        <v>1085</v>
      </c>
      <c r="G1554" s="510">
        <v>8</v>
      </c>
      <c r="H1554" s="511">
        <v>6481</v>
      </c>
      <c r="I1554" s="511">
        <v>51852</v>
      </c>
      <c r="J1554" s="511">
        <v>0</v>
      </c>
      <c r="K1554" s="511">
        <v>51852</v>
      </c>
      <c r="L1554" s="511">
        <v>4148</v>
      </c>
      <c r="M1554" s="511">
        <v>56000</v>
      </c>
      <c r="N1554" s="512">
        <v>2.8999999999999998E-3</v>
      </c>
      <c r="O1554" s="509" t="s">
        <v>1086</v>
      </c>
    </row>
    <row r="1555" spans="1:15" x14ac:dyDescent="0.25">
      <c r="A1555" s="508">
        <v>20</v>
      </c>
      <c r="B1555" s="508" t="s">
        <v>133</v>
      </c>
      <c r="C1555" s="508">
        <v>46</v>
      </c>
      <c r="D1555" s="509" t="s">
        <v>87</v>
      </c>
      <c r="E1555" s="509" t="s">
        <v>1116</v>
      </c>
      <c r="F1555" s="508" t="s">
        <v>1085</v>
      </c>
      <c r="G1555" s="510">
        <v>4</v>
      </c>
      <c r="H1555" s="511">
        <v>35648</v>
      </c>
      <c r="I1555" s="511">
        <v>142593</v>
      </c>
      <c r="J1555" s="511">
        <v>0</v>
      </c>
      <c r="K1555" s="511">
        <v>142593</v>
      </c>
      <c r="L1555" s="511">
        <v>11407</v>
      </c>
      <c r="M1555" s="511">
        <v>154000</v>
      </c>
      <c r="N1555" s="512">
        <v>8.0000000000000002E-3</v>
      </c>
      <c r="O1555" s="509" t="s">
        <v>1086</v>
      </c>
    </row>
    <row r="1556" spans="1:15" x14ac:dyDescent="0.25">
      <c r="A1556" s="508">
        <v>20</v>
      </c>
      <c r="B1556" s="508" t="s">
        <v>133</v>
      </c>
      <c r="C1556" s="508">
        <v>72</v>
      </c>
      <c r="D1556" s="509" t="s">
        <v>97</v>
      </c>
      <c r="E1556" s="509" t="s">
        <v>1117</v>
      </c>
      <c r="F1556" s="508" t="s">
        <v>1085</v>
      </c>
      <c r="G1556" s="510">
        <v>15</v>
      </c>
      <c r="H1556" s="511">
        <v>3704</v>
      </c>
      <c r="I1556" s="511">
        <v>55556</v>
      </c>
      <c r="J1556" s="511">
        <v>0</v>
      </c>
      <c r="K1556" s="511">
        <v>55556</v>
      </c>
      <c r="L1556" s="511">
        <v>4444</v>
      </c>
      <c r="M1556" s="511">
        <v>60000</v>
      </c>
      <c r="N1556" s="512">
        <v>3.0999999999999999E-3</v>
      </c>
      <c r="O1556" s="509" t="s">
        <v>1086</v>
      </c>
    </row>
    <row r="1557" spans="1:15" x14ac:dyDescent="0.25">
      <c r="A1557" s="508">
        <v>20</v>
      </c>
      <c r="B1557" s="508" t="s">
        <v>133</v>
      </c>
      <c r="C1557" s="508">
        <v>112</v>
      </c>
      <c r="D1557" s="509" t="s">
        <v>87</v>
      </c>
      <c r="E1557" s="509" t="s">
        <v>1118</v>
      </c>
      <c r="F1557" s="508" t="s">
        <v>1085</v>
      </c>
      <c r="G1557" s="510">
        <v>4</v>
      </c>
      <c r="H1557" s="511">
        <v>41667</v>
      </c>
      <c r="I1557" s="511">
        <v>166667</v>
      </c>
      <c r="J1557" s="511">
        <v>0</v>
      </c>
      <c r="K1557" s="511">
        <v>166667</v>
      </c>
      <c r="L1557" s="511">
        <v>13333</v>
      </c>
      <c r="M1557" s="511">
        <v>180000</v>
      </c>
      <c r="N1557" s="512">
        <v>9.300000000000001E-3</v>
      </c>
      <c r="O1557" s="509" t="s">
        <v>1086</v>
      </c>
    </row>
    <row r="1558" spans="1:15" x14ac:dyDescent="0.25">
      <c r="A1558" s="508">
        <v>20</v>
      </c>
      <c r="B1558" s="508" t="s">
        <v>133</v>
      </c>
      <c r="C1558" s="508">
        <v>227</v>
      </c>
      <c r="D1558" s="509" t="s">
        <v>87</v>
      </c>
      <c r="E1558" s="509" t="s">
        <v>1169</v>
      </c>
      <c r="F1558" s="508" t="s">
        <v>1085</v>
      </c>
      <c r="G1558" s="510">
        <v>2</v>
      </c>
      <c r="H1558" s="511">
        <v>1389</v>
      </c>
      <c r="I1558" s="511">
        <v>2778</v>
      </c>
      <c r="J1558" s="511">
        <v>0</v>
      </c>
      <c r="K1558" s="511">
        <v>2778</v>
      </c>
      <c r="L1558" s="511">
        <v>222</v>
      </c>
      <c r="M1558" s="511">
        <v>3000</v>
      </c>
      <c r="N1558" s="512">
        <v>2.0000000000000001E-4</v>
      </c>
      <c r="O1558" s="509" t="s">
        <v>1086</v>
      </c>
    </row>
    <row r="1559" spans="1:15" x14ac:dyDescent="0.25">
      <c r="A1559" s="508">
        <v>20</v>
      </c>
      <c r="B1559" s="508" t="s">
        <v>133</v>
      </c>
      <c r="C1559" s="508">
        <v>93</v>
      </c>
      <c r="D1559" s="509" t="s">
        <v>89</v>
      </c>
      <c r="E1559" s="509" t="s">
        <v>123</v>
      </c>
      <c r="F1559" s="508" t="s">
        <v>1085</v>
      </c>
      <c r="G1559" s="510">
        <v>2</v>
      </c>
      <c r="H1559" s="511">
        <v>20370</v>
      </c>
      <c r="I1559" s="511">
        <v>40741</v>
      </c>
      <c r="J1559" s="511">
        <v>0</v>
      </c>
      <c r="K1559" s="511">
        <v>40741</v>
      </c>
      <c r="L1559" s="511">
        <v>3259</v>
      </c>
      <c r="M1559" s="511">
        <v>44000</v>
      </c>
      <c r="N1559" s="512">
        <v>2.3E-3</v>
      </c>
      <c r="O1559" s="509" t="s">
        <v>1086</v>
      </c>
    </row>
    <row r="1560" spans="1:15" x14ac:dyDescent="0.25">
      <c r="A1560" s="508">
        <v>20</v>
      </c>
      <c r="B1560" s="508" t="s">
        <v>133</v>
      </c>
      <c r="C1560" s="508">
        <v>119</v>
      </c>
      <c r="D1560" s="509" t="s">
        <v>89</v>
      </c>
      <c r="E1560" s="509" t="s">
        <v>114</v>
      </c>
      <c r="F1560" s="508" t="s">
        <v>1085</v>
      </c>
      <c r="G1560" s="510">
        <v>27</v>
      </c>
      <c r="H1560" s="511">
        <v>44444</v>
      </c>
      <c r="I1560" s="511">
        <v>1200000</v>
      </c>
      <c r="J1560" s="511">
        <v>0</v>
      </c>
      <c r="K1560" s="511">
        <v>1200000</v>
      </c>
      <c r="L1560" s="511">
        <v>96000</v>
      </c>
      <c r="M1560" s="511">
        <v>1296000</v>
      </c>
      <c r="N1560" s="512">
        <v>6.7199999999999996E-2</v>
      </c>
      <c r="O1560" s="509" t="s">
        <v>1086</v>
      </c>
    </row>
    <row r="1561" spans="1:15" x14ac:dyDescent="0.25">
      <c r="A1561" s="508">
        <v>20</v>
      </c>
      <c r="B1561" s="508" t="s">
        <v>133</v>
      </c>
      <c r="C1561" s="508">
        <v>21</v>
      </c>
      <c r="D1561" s="509" t="s">
        <v>95</v>
      </c>
      <c r="E1561" s="509" t="s">
        <v>1202</v>
      </c>
      <c r="F1561" s="508" t="s">
        <v>1085</v>
      </c>
      <c r="G1561" s="510">
        <v>4</v>
      </c>
      <c r="H1561" s="511">
        <v>7407</v>
      </c>
      <c r="I1561" s="511">
        <v>29630</v>
      </c>
      <c r="J1561" s="511">
        <v>0</v>
      </c>
      <c r="K1561" s="511">
        <v>29630</v>
      </c>
      <c r="L1561" s="511">
        <v>2370</v>
      </c>
      <c r="M1561" s="511">
        <v>32000</v>
      </c>
      <c r="N1561" s="512">
        <v>1.6999999999999999E-3</v>
      </c>
      <c r="O1561" s="509" t="s">
        <v>1086</v>
      </c>
    </row>
    <row r="1562" spans="1:15" x14ac:dyDescent="0.25">
      <c r="A1562" s="508">
        <v>20</v>
      </c>
      <c r="B1562" s="508" t="s">
        <v>133</v>
      </c>
      <c r="C1562" s="508">
        <v>19</v>
      </c>
      <c r="D1562" s="509" t="s">
        <v>87</v>
      </c>
      <c r="E1562" s="509" t="s">
        <v>1120</v>
      </c>
      <c r="F1562" s="508" t="s">
        <v>1085</v>
      </c>
      <c r="G1562" s="510">
        <v>7</v>
      </c>
      <c r="H1562" s="511">
        <v>9259</v>
      </c>
      <c r="I1562" s="511">
        <v>64815</v>
      </c>
      <c r="J1562" s="511">
        <v>0</v>
      </c>
      <c r="K1562" s="511">
        <v>64815</v>
      </c>
      <c r="L1562" s="511">
        <v>5185</v>
      </c>
      <c r="M1562" s="511">
        <v>70000</v>
      </c>
      <c r="N1562" s="512">
        <v>3.5999999999999999E-3</v>
      </c>
      <c r="O1562" s="509" t="s">
        <v>1086</v>
      </c>
    </row>
    <row r="1563" spans="1:15" x14ac:dyDescent="0.25">
      <c r="A1563" s="508">
        <v>20</v>
      </c>
      <c r="B1563" s="508" t="s">
        <v>133</v>
      </c>
      <c r="C1563" s="508">
        <v>77</v>
      </c>
      <c r="D1563" s="509" t="s">
        <v>87</v>
      </c>
      <c r="E1563" s="509" t="s">
        <v>1121</v>
      </c>
      <c r="F1563" s="508" t="s">
        <v>1085</v>
      </c>
      <c r="G1563" s="510">
        <v>1</v>
      </c>
      <c r="H1563" s="511">
        <v>2778</v>
      </c>
      <c r="I1563" s="511">
        <v>2778</v>
      </c>
      <c r="J1563" s="511">
        <v>0</v>
      </c>
      <c r="K1563" s="511">
        <v>2778</v>
      </c>
      <c r="L1563" s="511">
        <v>222</v>
      </c>
      <c r="M1563" s="511">
        <v>3000</v>
      </c>
      <c r="N1563" s="512">
        <v>2.0000000000000001E-4</v>
      </c>
      <c r="O1563" s="509" t="s">
        <v>1086</v>
      </c>
    </row>
    <row r="1564" spans="1:15" x14ac:dyDescent="0.25">
      <c r="A1564" s="508">
        <v>20</v>
      </c>
      <c r="B1564" s="508" t="s">
        <v>133</v>
      </c>
      <c r="C1564" s="508">
        <v>86</v>
      </c>
      <c r="D1564" s="509" t="s">
        <v>95</v>
      </c>
      <c r="E1564" s="509" t="s">
        <v>1124</v>
      </c>
      <c r="F1564" s="508" t="s">
        <v>1085</v>
      </c>
      <c r="G1564" s="510">
        <v>21</v>
      </c>
      <c r="H1564" s="511">
        <v>3241</v>
      </c>
      <c r="I1564" s="511">
        <v>68056</v>
      </c>
      <c r="J1564" s="511">
        <v>0</v>
      </c>
      <c r="K1564" s="511">
        <v>68056</v>
      </c>
      <c r="L1564" s="511">
        <v>5444</v>
      </c>
      <c r="M1564" s="511">
        <v>73500</v>
      </c>
      <c r="N1564" s="512">
        <v>3.8E-3</v>
      </c>
      <c r="O1564" s="509" t="s">
        <v>1086</v>
      </c>
    </row>
    <row r="1565" spans="1:15" x14ac:dyDescent="0.25">
      <c r="A1565" s="508">
        <v>20</v>
      </c>
      <c r="B1565" s="508" t="s">
        <v>133</v>
      </c>
      <c r="C1565" s="508">
        <v>80</v>
      </c>
      <c r="D1565" s="509" t="s">
        <v>95</v>
      </c>
      <c r="E1565" s="509" t="s">
        <v>1125</v>
      </c>
      <c r="F1565" s="508" t="s">
        <v>1085</v>
      </c>
      <c r="G1565" s="510">
        <v>0</v>
      </c>
      <c r="H1565" s="511">
        <v>0</v>
      </c>
      <c r="I1565" s="511">
        <v>0</v>
      </c>
      <c r="J1565" s="511">
        <v>0</v>
      </c>
      <c r="K1565" s="511">
        <v>0</v>
      </c>
      <c r="L1565" s="511">
        <v>0</v>
      </c>
      <c r="M1565" s="511">
        <v>0</v>
      </c>
      <c r="N1565" s="512">
        <v>0</v>
      </c>
      <c r="O1565" s="509" t="s">
        <v>1086</v>
      </c>
    </row>
    <row r="1566" spans="1:15" x14ac:dyDescent="0.25">
      <c r="A1566" s="508">
        <v>20</v>
      </c>
      <c r="B1566" s="508" t="s">
        <v>133</v>
      </c>
      <c r="C1566" s="508">
        <v>85</v>
      </c>
      <c r="D1566" s="509" t="s">
        <v>95</v>
      </c>
      <c r="E1566" s="509" t="s">
        <v>1157</v>
      </c>
      <c r="F1566" s="508" t="s">
        <v>1085</v>
      </c>
      <c r="G1566" s="510">
        <v>1</v>
      </c>
      <c r="H1566" s="511">
        <v>2315</v>
      </c>
      <c r="I1566" s="511">
        <v>2315</v>
      </c>
      <c r="J1566" s="511">
        <v>0</v>
      </c>
      <c r="K1566" s="511">
        <v>2315</v>
      </c>
      <c r="L1566" s="511">
        <v>185</v>
      </c>
      <c r="M1566" s="511">
        <v>2500</v>
      </c>
      <c r="N1566" s="512">
        <v>1E-4</v>
      </c>
      <c r="O1566" s="509" t="s">
        <v>1086</v>
      </c>
    </row>
    <row r="1567" spans="1:15" x14ac:dyDescent="0.25">
      <c r="A1567" s="508">
        <v>20</v>
      </c>
      <c r="B1567" s="508" t="s">
        <v>133</v>
      </c>
      <c r="C1567" s="508">
        <v>91</v>
      </c>
      <c r="D1567" s="509" t="s">
        <v>95</v>
      </c>
      <c r="E1567" s="509" t="s">
        <v>1193</v>
      </c>
      <c r="F1567" s="508" t="s">
        <v>1085</v>
      </c>
      <c r="G1567" s="510">
        <v>1</v>
      </c>
      <c r="H1567" s="511">
        <v>11111</v>
      </c>
      <c r="I1567" s="511">
        <v>11111</v>
      </c>
      <c r="J1567" s="511">
        <v>0</v>
      </c>
      <c r="K1567" s="511">
        <v>11111</v>
      </c>
      <c r="L1567" s="511">
        <v>889</v>
      </c>
      <c r="M1567" s="511">
        <v>12000</v>
      </c>
      <c r="N1567" s="512">
        <v>5.9999999999999995E-4</v>
      </c>
      <c r="O1567" s="509" t="s">
        <v>1086</v>
      </c>
    </row>
    <row r="1568" spans="1:15" x14ac:dyDescent="0.25">
      <c r="A1568" s="508">
        <v>20</v>
      </c>
      <c r="B1568" s="508" t="s">
        <v>133</v>
      </c>
      <c r="C1568" s="508">
        <v>63</v>
      </c>
      <c r="D1568" s="509" t="s">
        <v>95</v>
      </c>
      <c r="E1568" s="509" t="s">
        <v>1182</v>
      </c>
      <c r="F1568" s="508" t="s">
        <v>1085</v>
      </c>
      <c r="G1568" s="510">
        <v>1</v>
      </c>
      <c r="H1568" s="511">
        <v>3704</v>
      </c>
      <c r="I1568" s="511">
        <v>3704</v>
      </c>
      <c r="J1568" s="511">
        <v>0</v>
      </c>
      <c r="K1568" s="511">
        <v>3704</v>
      </c>
      <c r="L1568" s="511">
        <v>296</v>
      </c>
      <c r="M1568" s="511">
        <v>4000</v>
      </c>
      <c r="N1568" s="512">
        <v>2.0000000000000001E-4</v>
      </c>
      <c r="O1568" s="509" t="s">
        <v>1086</v>
      </c>
    </row>
    <row r="1569" spans="1:15" x14ac:dyDescent="0.25">
      <c r="A1569" s="508">
        <v>20</v>
      </c>
      <c r="B1569" s="508" t="s">
        <v>133</v>
      </c>
      <c r="C1569" s="508">
        <v>79</v>
      </c>
      <c r="D1569" s="509" t="s">
        <v>95</v>
      </c>
      <c r="E1569" s="509" t="s">
        <v>1127</v>
      </c>
      <c r="F1569" s="508" t="s">
        <v>1085</v>
      </c>
      <c r="G1569" s="510">
        <v>6</v>
      </c>
      <c r="H1569" s="511">
        <v>6481</v>
      </c>
      <c r="I1569" s="511">
        <v>38889</v>
      </c>
      <c r="J1569" s="511">
        <v>0</v>
      </c>
      <c r="K1569" s="511">
        <v>38889</v>
      </c>
      <c r="L1569" s="511">
        <v>3111</v>
      </c>
      <c r="M1569" s="511">
        <v>42000</v>
      </c>
      <c r="N1569" s="512">
        <v>2.2000000000000001E-3</v>
      </c>
      <c r="O1569" s="509" t="s">
        <v>1086</v>
      </c>
    </row>
    <row r="1570" spans="1:15" x14ac:dyDescent="0.25">
      <c r="A1570" s="508">
        <v>20</v>
      </c>
      <c r="B1570" s="508" t="s">
        <v>133</v>
      </c>
      <c r="C1570" s="508">
        <v>62</v>
      </c>
      <c r="D1570" s="509" t="s">
        <v>95</v>
      </c>
      <c r="E1570" s="509" t="s">
        <v>1128</v>
      </c>
      <c r="F1570" s="508" t="s">
        <v>1085</v>
      </c>
      <c r="G1570" s="510">
        <v>6</v>
      </c>
      <c r="H1570" s="511">
        <v>6944</v>
      </c>
      <c r="I1570" s="511">
        <v>41667</v>
      </c>
      <c r="J1570" s="511">
        <v>0</v>
      </c>
      <c r="K1570" s="511">
        <v>41667</v>
      </c>
      <c r="L1570" s="511">
        <v>3333</v>
      </c>
      <c r="M1570" s="511">
        <v>45000</v>
      </c>
      <c r="N1570" s="512">
        <v>2.3E-3</v>
      </c>
      <c r="O1570" s="509" t="s">
        <v>1086</v>
      </c>
    </row>
    <row r="1571" spans="1:15" x14ac:dyDescent="0.25">
      <c r="A1571" s="508">
        <v>20</v>
      </c>
      <c r="B1571" s="508" t="s">
        <v>133</v>
      </c>
      <c r="C1571" s="508">
        <v>78</v>
      </c>
      <c r="D1571" s="509" t="s">
        <v>95</v>
      </c>
      <c r="E1571" s="509" t="s">
        <v>1129</v>
      </c>
      <c r="F1571" s="508" t="s">
        <v>1085</v>
      </c>
      <c r="G1571" s="510">
        <v>1</v>
      </c>
      <c r="H1571" s="511">
        <v>6481</v>
      </c>
      <c r="I1571" s="511">
        <v>6481</v>
      </c>
      <c r="J1571" s="511">
        <v>0</v>
      </c>
      <c r="K1571" s="511">
        <v>6481</v>
      </c>
      <c r="L1571" s="511">
        <v>519</v>
      </c>
      <c r="M1571" s="511">
        <v>7000</v>
      </c>
      <c r="N1571" s="512">
        <v>4.0000000000000002E-4</v>
      </c>
      <c r="O1571" s="509" t="s">
        <v>1086</v>
      </c>
    </row>
    <row r="1572" spans="1:15" x14ac:dyDescent="0.25">
      <c r="A1572" s="508">
        <v>20</v>
      </c>
      <c r="B1572" s="508" t="s">
        <v>133</v>
      </c>
      <c r="C1572" s="508">
        <v>137</v>
      </c>
      <c r="D1572" s="509" t="s">
        <v>95</v>
      </c>
      <c r="E1572" s="509" t="s">
        <v>1159</v>
      </c>
      <c r="F1572" s="508" t="s">
        <v>1085</v>
      </c>
      <c r="G1572" s="510">
        <v>0</v>
      </c>
      <c r="H1572" s="511">
        <v>0</v>
      </c>
      <c r="I1572" s="511">
        <v>0</v>
      </c>
      <c r="J1572" s="511">
        <v>0</v>
      </c>
      <c r="K1572" s="511">
        <v>0</v>
      </c>
      <c r="L1572" s="511">
        <v>0</v>
      </c>
      <c r="M1572" s="511">
        <v>0</v>
      </c>
      <c r="N1572" s="512">
        <v>0</v>
      </c>
      <c r="O1572" s="509" t="s">
        <v>1086</v>
      </c>
    </row>
    <row r="1573" spans="1:15" x14ac:dyDescent="0.25">
      <c r="A1573" s="508">
        <v>20</v>
      </c>
      <c r="B1573" s="508" t="s">
        <v>133</v>
      </c>
      <c r="C1573" s="508">
        <v>219</v>
      </c>
      <c r="D1573" s="509" t="s">
        <v>87</v>
      </c>
      <c r="E1573" s="509" t="s">
        <v>150</v>
      </c>
      <c r="F1573" s="508" t="s">
        <v>1085</v>
      </c>
      <c r="G1573" s="510">
        <v>9</v>
      </c>
      <c r="H1573" s="511">
        <v>69444</v>
      </c>
      <c r="I1573" s="511">
        <v>625000</v>
      </c>
      <c r="J1573" s="511">
        <v>0</v>
      </c>
      <c r="K1573" s="511">
        <v>625000</v>
      </c>
      <c r="L1573" s="511">
        <v>50000</v>
      </c>
      <c r="M1573" s="511">
        <v>675000</v>
      </c>
      <c r="N1573" s="512">
        <v>3.5000000000000003E-2</v>
      </c>
      <c r="O1573" s="509" t="s">
        <v>1086</v>
      </c>
    </row>
    <row r="1574" spans="1:15" x14ac:dyDescent="0.25">
      <c r="A1574" s="508">
        <v>20</v>
      </c>
      <c r="B1574" s="508" t="s">
        <v>133</v>
      </c>
      <c r="C1574" s="508">
        <v>140</v>
      </c>
      <c r="D1574" s="509" t="s">
        <v>87</v>
      </c>
      <c r="E1574" s="509" t="s">
        <v>1131</v>
      </c>
      <c r="F1574" s="508" t="s">
        <v>1085</v>
      </c>
      <c r="G1574" s="510">
        <v>2</v>
      </c>
      <c r="H1574" s="511">
        <v>90741</v>
      </c>
      <c r="I1574" s="511">
        <v>181481</v>
      </c>
      <c r="J1574" s="511">
        <v>0</v>
      </c>
      <c r="K1574" s="511">
        <v>181481</v>
      </c>
      <c r="L1574" s="511">
        <v>14519</v>
      </c>
      <c r="M1574" s="511">
        <v>196000</v>
      </c>
      <c r="N1574" s="512">
        <v>1.0200000000000001E-2</v>
      </c>
      <c r="O1574" s="509" t="s">
        <v>1086</v>
      </c>
    </row>
    <row r="1575" spans="1:15" x14ac:dyDescent="0.25">
      <c r="A1575" s="508">
        <v>20</v>
      </c>
      <c r="B1575" s="508" t="s">
        <v>133</v>
      </c>
      <c r="C1575" s="508">
        <v>221</v>
      </c>
      <c r="D1575" s="509" t="s">
        <v>87</v>
      </c>
      <c r="E1575" s="509" t="s">
        <v>1132</v>
      </c>
      <c r="F1575" s="508" t="s">
        <v>1085</v>
      </c>
      <c r="G1575" s="510">
        <v>1</v>
      </c>
      <c r="H1575" s="511">
        <v>54167</v>
      </c>
      <c r="I1575" s="511">
        <v>54167</v>
      </c>
      <c r="J1575" s="511">
        <v>0</v>
      </c>
      <c r="K1575" s="511">
        <v>54167</v>
      </c>
      <c r="L1575" s="511">
        <v>4333</v>
      </c>
      <c r="M1575" s="511">
        <v>58500</v>
      </c>
      <c r="N1575" s="512">
        <v>3.0000000000000001E-3</v>
      </c>
      <c r="O1575" s="509" t="s">
        <v>1086</v>
      </c>
    </row>
    <row r="1576" spans="1:15" x14ac:dyDescent="0.25">
      <c r="A1576" s="508">
        <v>20</v>
      </c>
      <c r="B1576" s="508" t="s">
        <v>133</v>
      </c>
      <c r="C1576" s="508">
        <v>224</v>
      </c>
      <c r="D1576" s="509" t="s">
        <v>87</v>
      </c>
      <c r="E1576" s="509" t="s">
        <v>1172</v>
      </c>
      <c r="F1576" s="508" t="s">
        <v>1085</v>
      </c>
      <c r="G1576" s="510">
        <v>3</v>
      </c>
      <c r="H1576" s="511">
        <v>62500</v>
      </c>
      <c r="I1576" s="511">
        <v>187500</v>
      </c>
      <c r="J1576" s="511">
        <v>0</v>
      </c>
      <c r="K1576" s="511">
        <v>187500</v>
      </c>
      <c r="L1576" s="511">
        <v>15000</v>
      </c>
      <c r="M1576" s="511">
        <v>202500</v>
      </c>
      <c r="N1576" s="512">
        <v>1.0500000000000001E-2</v>
      </c>
      <c r="O1576" s="509" t="s">
        <v>1086</v>
      </c>
    </row>
    <row r="1577" spans="1:15" x14ac:dyDescent="0.25">
      <c r="A1577" s="508">
        <v>20</v>
      </c>
      <c r="B1577" s="508" t="s">
        <v>133</v>
      </c>
      <c r="C1577" s="508">
        <v>226</v>
      </c>
      <c r="D1577" s="509" t="s">
        <v>87</v>
      </c>
      <c r="E1577" s="509" t="s">
        <v>1183</v>
      </c>
      <c r="F1577" s="508" t="s">
        <v>1085</v>
      </c>
      <c r="G1577" s="510">
        <v>3</v>
      </c>
      <c r="H1577" s="511">
        <v>90741</v>
      </c>
      <c r="I1577" s="511">
        <v>272222</v>
      </c>
      <c r="J1577" s="511">
        <v>0</v>
      </c>
      <c r="K1577" s="511">
        <v>272222</v>
      </c>
      <c r="L1577" s="511">
        <v>21778</v>
      </c>
      <c r="M1577" s="511">
        <v>294000</v>
      </c>
      <c r="N1577" s="512">
        <v>1.52E-2</v>
      </c>
      <c r="O1577" s="509" t="s">
        <v>1086</v>
      </c>
    </row>
    <row r="1578" spans="1:15" x14ac:dyDescent="0.25">
      <c r="A1578" s="508">
        <v>20</v>
      </c>
      <c r="B1578" s="508" t="s">
        <v>133</v>
      </c>
      <c r="C1578" s="508">
        <v>222</v>
      </c>
      <c r="D1578" s="509" t="s">
        <v>93</v>
      </c>
      <c r="E1578" s="509" t="s">
        <v>1133</v>
      </c>
      <c r="F1578" s="508" t="s">
        <v>1085</v>
      </c>
      <c r="G1578" s="510">
        <v>3</v>
      </c>
      <c r="H1578" s="511">
        <v>63426</v>
      </c>
      <c r="I1578" s="511">
        <v>190278</v>
      </c>
      <c r="J1578" s="511">
        <v>0</v>
      </c>
      <c r="K1578" s="511">
        <v>190278</v>
      </c>
      <c r="L1578" s="511">
        <v>15222</v>
      </c>
      <c r="M1578" s="511">
        <v>205500</v>
      </c>
      <c r="N1578" s="512">
        <v>1.0699999999999999E-2</v>
      </c>
      <c r="O1578" s="509" t="s">
        <v>1086</v>
      </c>
    </row>
    <row r="1579" spans="1:15" x14ac:dyDescent="0.25">
      <c r="A1579" s="508">
        <v>20</v>
      </c>
      <c r="B1579" s="508" t="s">
        <v>133</v>
      </c>
      <c r="C1579" s="508">
        <v>223</v>
      </c>
      <c r="D1579" s="509" t="s">
        <v>87</v>
      </c>
      <c r="E1579" s="509" t="s">
        <v>141</v>
      </c>
      <c r="F1579" s="508" t="s">
        <v>1085</v>
      </c>
      <c r="G1579" s="510">
        <v>8</v>
      </c>
      <c r="H1579" s="511">
        <v>69444</v>
      </c>
      <c r="I1579" s="511">
        <v>555556</v>
      </c>
      <c r="J1579" s="511">
        <v>0</v>
      </c>
      <c r="K1579" s="511">
        <v>555556</v>
      </c>
      <c r="L1579" s="511">
        <v>44444</v>
      </c>
      <c r="M1579" s="511">
        <v>600000</v>
      </c>
      <c r="N1579" s="512">
        <v>3.1099999999999999E-2</v>
      </c>
      <c r="O1579" s="509" t="s">
        <v>1086</v>
      </c>
    </row>
    <row r="1580" spans="1:15" x14ac:dyDescent="0.25">
      <c r="A1580" s="508">
        <v>20</v>
      </c>
      <c r="B1580" s="508" t="s">
        <v>133</v>
      </c>
      <c r="C1580" s="508">
        <v>229</v>
      </c>
      <c r="D1580" s="509" t="s">
        <v>87</v>
      </c>
      <c r="E1580" s="509" t="s">
        <v>1197</v>
      </c>
      <c r="F1580" s="508" t="s">
        <v>1085</v>
      </c>
      <c r="G1580" s="510">
        <v>2</v>
      </c>
      <c r="H1580" s="511">
        <v>66204</v>
      </c>
      <c r="I1580" s="511">
        <v>132407</v>
      </c>
      <c r="J1580" s="511">
        <v>0</v>
      </c>
      <c r="K1580" s="511">
        <v>132407</v>
      </c>
      <c r="L1580" s="511">
        <v>10593</v>
      </c>
      <c r="M1580" s="511">
        <v>143000</v>
      </c>
      <c r="N1580" s="512">
        <v>7.4000000000000003E-3</v>
      </c>
      <c r="O1580" s="509" t="s">
        <v>1086</v>
      </c>
    </row>
    <row r="1581" spans="1:15" x14ac:dyDescent="0.25">
      <c r="A1581" s="508">
        <v>20</v>
      </c>
      <c r="B1581" s="508" t="s">
        <v>133</v>
      </c>
      <c r="C1581" s="508">
        <v>50</v>
      </c>
      <c r="D1581" s="509" t="s">
        <v>87</v>
      </c>
      <c r="E1581" s="509" t="s">
        <v>159</v>
      </c>
      <c r="F1581" s="508" t="s">
        <v>1085</v>
      </c>
      <c r="G1581" s="510">
        <v>8</v>
      </c>
      <c r="H1581" s="511">
        <v>49074</v>
      </c>
      <c r="I1581" s="511">
        <v>392593</v>
      </c>
      <c r="J1581" s="511">
        <v>0</v>
      </c>
      <c r="K1581" s="511">
        <v>392593</v>
      </c>
      <c r="L1581" s="511">
        <v>31407</v>
      </c>
      <c r="M1581" s="511">
        <v>424000</v>
      </c>
      <c r="N1581" s="512">
        <v>2.1999999999999999E-2</v>
      </c>
      <c r="O1581" s="509" t="s">
        <v>1086</v>
      </c>
    </row>
    <row r="1582" spans="1:15" x14ac:dyDescent="0.25">
      <c r="A1582" s="508">
        <v>20</v>
      </c>
      <c r="B1582" s="508" t="s">
        <v>133</v>
      </c>
      <c r="C1582" s="508">
        <v>10</v>
      </c>
      <c r="D1582" s="509" t="s">
        <v>87</v>
      </c>
      <c r="E1582" s="509" t="s">
        <v>1184</v>
      </c>
      <c r="F1582" s="508" t="s">
        <v>1085</v>
      </c>
      <c r="G1582" s="510">
        <v>4</v>
      </c>
      <c r="H1582" s="511">
        <v>13889</v>
      </c>
      <c r="I1582" s="511">
        <v>55556</v>
      </c>
      <c r="J1582" s="511">
        <v>0</v>
      </c>
      <c r="K1582" s="511">
        <v>55556</v>
      </c>
      <c r="L1582" s="511">
        <v>4444</v>
      </c>
      <c r="M1582" s="511">
        <v>60000</v>
      </c>
      <c r="N1582" s="512">
        <v>3.0999999999999999E-3</v>
      </c>
      <c r="O1582" s="509" t="s">
        <v>1086</v>
      </c>
    </row>
    <row r="1583" spans="1:15" x14ac:dyDescent="0.25">
      <c r="A1583" s="508">
        <v>20</v>
      </c>
      <c r="B1583" s="508" t="s">
        <v>133</v>
      </c>
      <c r="C1583" s="508">
        <v>120</v>
      </c>
      <c r="D1583" s="509" t="s">
        <v>93</v>
      </c>
      <c r="E1583" s="509" t="s">
        <v>1134</v>
      </c>
      <c r="F1583" s="508" t="s">
        <v>1085</v>
      </c>
      <c r="G1583" s="510">
        <v>6</v>
      </c>
      <c r="H1583" s="511">
        <v>41667</v>
      </c>
      <c r="I1583" s="511">
        <v>250000</v>
      </c>
      <c r="J1583" s="511">
        <v>0</v>
      </c>
      <c r="K1583" s="511">
        <v>250000</v>
      </c>
      <c r="L1583" s="511">
        <v>20000</v>
      </c>
      <c r="M1583" s="511">
        <v>270000</v>
      </c>
      <c r="N1583" s="512">
        <v>1.4E-2</v>
      </c>
      <c r="O1583" s="509" t="s">
        <v>1086</v>
      </c>
    </row>
    <row r="1584" spans="1:15" x14ac:dyDescent="0.25">
      <c r="A1584" s="508">
        <v>20</v>
      </c>
      <c r="B1584" s="508" t="s">
        <v>133</v>
      </c>
      <c r="C1584" s="508">
        <v>129</v>
      </c>
      <c r="D1584" s="509" t="s">
        <v>93</v>
      </c>
      <c r="E1584" s="509" t="s">
        <v>1135</v>
      </c>
      <c r="F1584" s="508" t="s">
        <v>1085</v>
      </c>
      <c r="G1584" s="510">
        <v>5</v>
      </c>
      <c r="H1584" s="511">
        <v>44444</v>
      </c>
      <c r="I1584" s="511">
        <v>222222</v>
      </c>
      <c r="J1584" s="511">
        <v>0</v>
      </c>
      <c r="K1584" s="511">
        <v>222222</v>
      </c>
      <c r="L1584" s="511">
        <v>17778</v>
      </c>
      <c r="M1584" s="511">
        <v>240000</v>
      </c>
      <c r="N1584" s="512">
        <v>1.24E-2</v>
      </c>
      <c r="O1584" s="509" t="s">
        <v>1086</v>
      </c>
    </row>
    <row r="1585" spans="1:15" x14ac:dyDescent="0.25">
      <c r="A1585" s="508">
        <v>20</v>
      </c>
      <c r="B1585" s="508" t="s">
        <v>133</v>
      </c>
      <c r="C1585" s="508">
        <v>116</v>
      </c>
      <c r="D1585" s="509" t="s">
        <v>89</v>
      </c>
      <c r="E1585" s="509" t="s">
        <v>1198</v>
      </c>
      <c r="F1585" s="508" t="s">
        <v>1085</v>
      </c>
      <c r="G1585" s="510">
        <v>67</v>
      </c>
      <c r="H1585" s="511">
        <v>5556</v>
      </c>
      <c r="I1585" s="511">
        <v>372222</v>
      </c>
      <c r="J1585" s="511">
        <v>0</v>
      </c>
      <c r="K1585" s="511">
        <v>372222</v>
      </c>
      <c r="L1585" s="511">
        <v>29778</v>
      </c>
      <c r="M1585" s="511">
        <v>402000</v>
      </c>
      <c r="N1585" s="512">
        <v>2.0799999999999999E-2</v>
      </c>
      <c r="O1585" s="509" t="s">
        <v>1086</v>
      </c>
    </row>
    <row r="1586" spans="1:15" x14ac:dyDescent="0.25">
      <c r="A1586" s="508">
        <v>20</v>
      </c>
      <c r="B1586" s="508" t="s">
        <v>133</v>
      </c>
      <c r="C1586" s="508">
        <v>117</v>
      </c>
      <c r="D1586" s="509" t="s">
        <v>87</v>
      </c>
      <c r="E1586" s="509" t="s">
        <v>120</v>
      </c>
      <c r="F1586" s="508" t="s">
        <v>1085</v>
      </c>
      <c r="G1586" s="510">
        <v>26</v>
      </c>
      <c r="H1586" s="511">
        <v>41667</v>
      </c>
      <c r="I1586" s="511">
        <v>1083333</v>
      </c>
      <c r="J1586" s="511">
        <v>0</v>
      </c>
      <c r="K1586" s="511">
        <v>1083333</v>
      </c>
      <c r="L1586" s="511">
        <v>86667</v>
      </c>
      <c r="M1586" s="511">
        <v>1170000</v>
      </c>
      <c r="N1586" s="512">
        <v>6.0699999999999997E-2</v>
      </c>
      <c r="O1586" s="509" t="s">
        <v>1086</v>
      </c>
    </row>
    <row r="1587" spans="1:15" x14ac:dyDescent="0.25">
      <c r="A1587" s="508">
        <v>20</v>
      </c>
      <c r="B1587" s="508" t="s">
        <v>133</v>
      </c>
      <c r="C1587" s="508">
        <v>36</v>
      </c>
      <c r="D1587" s="509" t="s">
        <v>91</v>
      </c>
      <c r="E1587" s="509" t="s">
        <v>1136</v>
      </c>
      <c r="F1587" s="508" t="s">
        <v>1085</v>
      </c>
      <c r="G1587" s="510">
        <v>8</v>
      </c>
      <c r="H1587" s="511">
        <v>3704</v>
      </c>
      <c r="I1587" s="511">
        <v>29630</v>
      </c>
      <c r="J1587" s="511">
        <v>0</v>
      </c>
      <c r="K1587" s="511">
        <v>29630</v>
      </c>
      <c r="L1587" s="511">
        <v>2370</v>
      </c>
      <c r="M1587" s="511">
        <v>32000</v>
      </c>
      <c r="N1587" s="512">
        <v>1.6999999999999999E-3</v>
      </c>
      <c r="O1587" s="509" t="s">
        <v>1086</v>
      </c>
    </row>
    <row r="1588" spans="1:15" x14ac:dyDescent="0.25">
      <c r="A1588" s="508">
        <v>20</v>
      </c>
      <c r="B1588" s="508" t="s">
        <v>133</v>
      </c>
      <c r="C1588" s="508">
        <v>61</v>
      </c>
      <c r="D1588" s="509" t="s">
        <v>97</v>
      </c>
      <c r="E1588" s="509" t="s">
        <v>1137</v>
      </c>
      <c r="F1588" s="508" t="s">
        <v>1085</v>
      </c>
      <c r="G1588" s="510">
        <v>1</v>
      </c>
      <c r="H1588" s="511">
        <v>4630</v>
      </c>
      <c r="I1588" s="511">
        <v>4630</v>
      </c>
      <c r="J1588" s="511">
        <v>0</v>
      </c>
      <c r="K1588" s="511">
        <v>4630</v>
      </c>
      <c r="L1588" s="511">
        <v>370</v>
      </c>
      <c r="M1588" s="511">
        <v>5000</v>
      </c>
      <c r="N1588" s="512">
        <v>2.9999999999999997E-4</v>
      </c>
      <c r="O1588" s="509" t="s">
        <v>1086</v>
      </c>
    </row>
    <row r="1589" spans="1:15" x14ac:dyDescent="0.25">
      <c r="A1589" s="508">
        <v>20</v>
      </c>
      <c r="B1589" s="508" t="s">
        <v>133</v>
      </c>
      <c r="C1589" s="508">
        <v>215</v>
      </c>
      <c r="D1589" s="509" t="s">
        <v>87</v>
      </c>
      <c r="E1589" s="509" t="s">
        <v>135</v>
      </c>
      <c r="F1589" s="508" t="s">
        <v>1085</v>
      </c>
      <c r="G1589" s="510">
        <v>26</v>
      </c>
      <c r="H1589" s="511">
        <v>37500</v>
      </c>
      <c r="I1589" s="511">
        <v>975000</v>
      </c>
      <c r="J1589" s="511">
        <v>0</v>
      </c>
      <c r="K1589" s="511">
        <v>975000</v>
      </c>
      <c r="L1589" s="511">
        <v>78000</v>
      </c>
      <c r="M1589" s="511">
        <v>1053000</v>
      </c>
      <c r="N1589" s="512">
        <v>5.4600000000000003E-2</v>
      </c>
      <c r="O1589" s="509" t="s">
        <v>1086</v>
      </c>
    </row>
    <row r="1590" spans="1:15" x14ac:dyDescent="0.25">
      <c r="A1590" s="508">
        <v>20</v>
      </c>
      <c r="B1590" s="508" t="s">
        <v>133</v>
      </c>
      <c r="C1590" s="508">
        <v>214</v>
      </c>
      <c r="D1590" s="509" t="s">
        <v>87</v>
      </c>
      <c r="E1590" s="509" t="s">
        <v>170</v>
      </c>
      <c r="F1590" s="508" t="s">
        <v>1085</v>
      </c>
      <c r="G1590" s="510">
        <v>13</v>
      </c>
      <c r="H1590" s="511">
        <v>37500</v>
      </c>
      <c r="I1590" s="511">
        <v>487500</v>
      </c>
      <c r="J1590" s="511">
        <v>0</v>
      </c>
      <c r="K1590" s="511">
        <v>487500</v>
      </c>
      <c r="L1590" s="511">
        <v>39000</v>
      </c>
      <c r="M1590" s="511">
        <v>526500</v>
      </c>
      <c r="N1590" s="512">
        <v>2.7300000000000001E-2</v>
      </c>
      <c r="O1590" s="509" t="s">
        <v>1086</v>
      </c>
    </row>
    <row r="1591" spans="1:15" x14ac:dyDescent="0.25">
      <c r="A1591" s="508">
        <v>20</v>
      </c>
      <c r="B1591" s="508" t="s">
        <v>133</v>
      </c>
      <c r="C1591" s="508">
        <v>113</v>
      </c>
      <c r="D1591" s="509" t="s">
        <v>89</v>
      </c>
      <c r="E1591" s="509" t="s">
        <v>129</v>
      </c>
      <c r="F1591" s="508" t="s">
        <v>1085</v>
      </c>
      <c r="G1591" s="510">
        <v>44</v>
      </c>
      <c r="H1591" s="511">
        <v>22222</v>
      </c>
      <c r="I1591" s="511">
        <v>977778</v>
      </c>
      <c r="J1591" s="511">
        <v>0</v>
      </c>
      <c r="K1591" s="511">
        <v>977778</v>
      </c>
      <c r="L1591" s="511">
        <v>78222</v>
      </c>
      <c r="M1591" s="511">
        <v>1056000</v>
      </c>
      <c r="N1591" s="512">
        <v>5.4699999999999999E-2</v>
      </c>
      <c r="O1591" s="509" t="s">
        <v>1086</v>
      </c>
    </row>
    <row r="1592" spans="1:15" x14ac:dyDescent="0.25">
      <c r="A1592" s="508">
        <v>20</v>
      </c>
      <c r="B1592" s="508" t="s">
        <v>133</v>
      </c>
      <c r="C1592" s="508">
        <v>256</v>
      </c>
      <c r="D1592" s="509" t="s">
        <v>89</v>
      </c>
      <c r="E1592" s="509" t="s">
        <v>1216</v>
      </c>
      <c r="F1592" s="508" t="s">
        <v>1085</v>
      </c>
      <c r="G1592" s="510">
        <v>1</v>
      </c>
      <c r="H1592" s="511">
        <v>18519</v>
      </c>
      <c r="I1592" s="511">
        <v>18519</v>
      </c>
      <c r="J1592" s="511">
        <v>0</v>
      </c>
      <c r="K1592" s="511">
        <v>18519</v>
      </c>
      <c r="L1592" s="511">
        <v>1481</v>
      </c>
      <c r="M1592" s="511">
        <v>20000</v>
      </c>
      <c r="N1592" s="512">
        <v>1E-3</v>
      </c>
      <c r="O1592" s="509" t="s">
        <v>1086</v>
      </c>
    </row>
    <row r="1593" spans="1:15" x14ac:dyDescent="0.25">
      <c r="A1593" s="508">
        <v>20</v>
      </c>
      <c r="B1593" s="508" t="s">
        <v>133</v>
      </c>
      <c r="C1593" s="508">
        <v>315</v>
      </c>
      <c r="D1593" s="509" t="s">
        <v>87</v>
      </c>
      <c r="E1593" s="509" t="s">
        <v>1160</v>
      </c>
      <c r="F1593" s="508" t="s">
        <v>1085</v>
      </c>
      <c r="G1593" s="510">
        <v>1</v>
      </c>
      <c r="H1593" s="511">
        <v>1852</v>
      </c>
      <c r="I1593" s="511">
        <v>1852</v>
      </c>
      <c r="J1593" s="511">
        <v>0</v>
      </c>
      <c r="K1593" s="511">
        <v>1852</v>
      </c>
      <c r="L1593" s="511">
        <v>148</v>
      </c>
      <c r="M1593" s="511">
        <v>2000</v>
      </c>
      <c r="N1593" s="512">
        <v>1E-4</v>
      </c>
      <c r="O1593" s="509" t="s">
        <v>1086</v>
      </c>
    </row>
    <row r="1594" spans="1:15" x14ac:dyDescent="0.25">
      <c r="A1594" s="508">
        <v>20</v>
      </c>
      <c r="B1594" s="508" t="s">
        <v>133</v>
      </c>
      <c r="C1594" s="508">
        <v>96</v>
      </c>
      <c r="D1594" s="509" t="s">
        <v>93</v>
      </c>
      <c r="E1594" s="509" t="s">
        <v>1161</v>
      </c>
      <c r="F1594" s="508" t="s">
        <v>1085</v>
      </c>
      <c r="G1594" s="510">
        <v>4</v>
      </c>
      <c r="H1594" s="511">
        <v>35648</v>
      </c>
      <c r="I1594" s="511">
        <v>142593</v>
      </c>
      <c r="J1594" s="511">
        <v>0</v>
      </c>
      <c r="K1594" s="511">
        <v>142593</v>
      </c>
      <c r="L1594" s="511">
        <v>11407</v>
      </c>
      <c r="M1594" s="511">
        <v>154000</v>
      </c>
      <c r="N1594" s="512">
        <v>8.0000000000000002E-3</v>
      </c>
      <c r="O1594" s="509" t="s">
        <v>1086</v>
      </c>
    </row>
    <row r="1595" spans="1:15" x14ac:dyDescent="0.25">
      <c r="A1595" s="508">
        <v>20</v>
      </c>
      <c r="B1595" s="508" t="s">
        <v>133</v>
      </c>
      <c r="C1595" s="508">
        <v>33</v>
      </c>
      <c r="D1595" s="509" t="s">
        <v>91</v>
      </c>
      <c r="E1595" s="509" t="s">
        <v>1139</v>
      </c>
      <c r="F1595" s="508" t="s">
        <v>1085</v>
      </c>
      <c r="G1595" s="510">
        <v>3</v>
      </c>
      <c r="H1595" s="511">
        <v>1852</v>
      </c>
      <c r="I1595" s="511">
        <v>5556</v>
      </c>
      <c r="J1595" s="511">
        <v>0</v>
      </c>
      <c r="K1595" s="511">
        <v>5556</v>
      </c>
      <c r="L1595" s="511">
        <v>444</v>
      </c>
      <c r="M1595" s="511">
        <v>6000</v>
      </c>
      <c r="N1595" s="512">
        <v>2.9999999999999997E-4</v>
      </c>
      <c r="O1595" s="509" t="s">
        <v>1086</v>
      </c>
    </row>
    <row r="1596" spans="1:15" x14ac:dyDescent="0.25">
      <c r="A1596" s="508">
        <v>20</v>
      </c>
      <c r="B1596" s="508" t="s">
        <v>133</v>
      </c>
      <c r="C1596" s="508">
        <v>255</v>
      </c>
      <c r="D1596" s="509" t="s">
        <v>93</v>
      </c>
      <c r="E1596" s="509" t="s">
        <v>482</v>
      </c>
      <c r="F1596" s="508" t="s">
        <v>1085</v>
      </c>
      <c r="G1596" s="510">
        <v>4</v>
      </c>
      <c r="H1596" s="511">
        <v>35648</v>
      </c>
      <c r="I1596" s="511">
        <v>142593</v>
      </c>
      <c r="J1596" s="511">
        <v>0</v>
      </c>
      <c r="K1596" s="511">
        <v>142593</v>
      </c>
      <c r="L1596" s="511">
        <v>11407</v>
      </c>
      <c r="M1596" s="511">
        <v>154000</v>
      </c>
      <c r="N1596" s="512">
        <v>8.0000000000000002E-3</v>
      </c>
      <c r="O1596" s="509" t="s">
        <v>1086</v>
      </c>
    </row>
    <row r="1597" spans="1:15" x14ac:dyDescent="0.25">
      <c r="A1597" s="508">
        <v>20</v>
      </c>
      <c r="B1597" s="508" t="s">
        <v>133</v>
      </c>
      <c r="C1597" s="508">
        <v>67</v>
      </c>
      <c r="D1597" s="509" t="s">
        <v>93</v>
      </c>
      <c r="E1597" s="509" t="s">
        <v>1140</v>
      </c>
      <c r="F1597" s="508" t="s">
        <v>1085</v>
      </c>
      <c r="G1597" s="510">
        <v>5</v>
      </c>
      <c r="H1597" s="511">
        <v>41667</v>
      </c>
      <c r="I1597" s="511">
        <v>208333</v>
      </c>
      <c r="J1597" s="511">
        <v>0</v>
      </c>
      <c r="K1597" s="511">
        <v>208333</v>
      </c>
      <c r="L1597" s="511">
        <v>16667</v>
      </c>
      <c r="M1597" s="511">
        <v>225000</v>
      </c>
      <c r="N1597" s="512">
        <v>1.17E-2</v>
      </c>
      <c r="O1597" s="509" t="s">
        <v>1086</v>
      </c>
    </row>
    <row r="1598" spans="1:15" x14ac:dyDescent="0.25">
      <c r="A1598" s="508">
        <v>20</v>
      </c>
      <c r="B1598" s="508" t="s">
        <v>133</v>
      </c>
      <c r="C1598" s="508">
        <v>1050</v>
      </c>
      <c r="D1598" s="509" t="s">
        <v>91</v>
      </c>
      <c r="E1598" s="509" t="s">
        <v>1173</v>
      </c>
      <c r="F1598" s="508" t="s">
        <v>1085</v>
      </c>
      <c r="G1598" s="510">
        <v>0</v>
      </c>
      <c r="H1598" s="511">
        <v>0</v>
      </c>
      <c r="I1598" s="511">
        <v>0</v>
      </c>
      <c r="J1598" s="511">
        <v>0</v>
      </c>
      <c r="K1598" s="511">
        <v>0</v>
      </c>
      <c r="L1598" s="511">
        <v>0</v>
      </c>
      <c r="M1598" s="511">
        <v>0</v>
      </c>
      <c r="N1598" s="512">
        <v>0</v>
      </c>
      <c r="O1598" s="509" t="s">
        <v>1086</v>
      </c>
    </row>
  </sheetData>
  <autoFilter ref="A1:O1598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K1133"/>
  <sheetViews>
    <sheetView topLeftCell="A1113" zoomScale="115" zoomScaleNormal="115" workbookViewId="0">
      <selection activeCell="D1133" sqref="D1133"/>
    </sheetView>
  </sheetViews>
  <sheetFormatPr baseColWidth="10" defaultRowHeight="15" x14ac:dyDescent="0.25"/>
  <cols>
    <col min="1" max="1" width="8" style="3" customWidth="1"/>
    <col min="2" max="2" width="15" style="3" customWidth="1"/>
    <col min="3" max="3" width="18.5703125" style="3" customWidth="1"/>
    <col min="4" max="4" width="95.85546875" style="3" bestFit="1" customWidth="1"/>
    <col min="5" max="5" width="12" style="4" customWidth="1"/>
    <col min="6" max="6" width="16" style="281" customWidth="1"/>
    <col min="7" max="7" width="18" style="281" bestFit="1" customWidth="1"/>
    <col min="8" max="8" width="32.28515625" style="423" customWidth="1"/>
    <col min="9" max="9" width="28.7109375" style="565" customWidth="1"/>
    <col min="10" max="10" width="15" style="565" customWidth="1"/>
    <col min="11" max="11" width="38" style="565" customWidth="1"/>
  </cols>
  <sheetData>
    <row r="1" spans="1:11" x14ac:dyDescent="0.25">
      <c r="A1" s="32" t="s">
        <v>48</v>
      </c>
      <c r="B1" s="32" t="s">
        <v>110</v>
      </c>
      <c r="C1" s="32" t="s">
        <v>1224</v>
      </c>
      <c r="D1" s="32" t="s">
        <v>554</v>
      </c>
      <c r="E1" s="32" t="s">
        <v>1225</v>
      </c>
      <c r="F1" s="32" t="s">
        <v>189</v>
      </c>
      <c r="G1" s="32" t="s">
        <v>1226</v>
      </c>
      <c r="H1" s="418" t="s">
        <v>185</v>
      </c>
      <c r="I1" s="91" t="s">
        <v>1227</v>
      </c>
      <c r="J1" s="91" t="s">
        <v>1228</v>
      </c>
      <c r="K1" s="410" t="s">
        <v>1229</v>
      </c>
    </row>
    <row r="2" spans="1:11" s="111" customFormat="1" hidden="1" x14ac:dyDescent="0.25">
      <c r="A2" s="46">
        <v>1</v>
      </c>
      <c r="B2" s="44" t="s">
        <v>1230</v>
      </c>
      <c r="C2" s="44" t="s">
        <v>192</v>
      </c>
      <c r="D2" s="44" t="s">
        <v>193</v>
      </c>
      <c r="E2" s="45">
        <v>4.7549999999999999</v>
      </c>
      <c r="F2" s="282">
        <v>7900</v>
      </c>
      <c r="G2" s="282">
        <v>37565</v>
      </c>
      <c r="H2" s="44" t="s">
        <v>191</v>
      </c>
      <c r="I2" s="89" t="s">
        <v>1231</v>
      </c>
      <c r="K2" s="412" t="s">
        <v>1232</v>
      </c>
    </row>
    <row r="3" spans="1:11" hidden="1" x14ac:dyDescent="0.25">
      <c r="A3" s="46">
        <v>1</v>
      </c>
      <c r="B3" s="44" t="s">
        <v>1230</v>
      </c>
      <c r="C3" s="44" t="s">
        <v>192</v>
      </c>
      <c r="D3" s="44" t="s">
        <v>193</v>
      </c>
      <c r="E3" s="45">
        <v>3.3650000000000002</v>
      </c>
      <c r="F3" s="283">
        <v>8915.2999999999993</v>
      </c>
      <c r="G3" s="283">
        <v>30000</v>
      </c>
      <c r="H3" s="44" t="s">
        <v>191</v>
      </c>
      <c r="I3" s="89" t="s">
        <v>1231</v>
      </c>
      <c r="K3" s="412" t="s">
        <v>1232</v>
      </c>
    </row>
    <row r="4" spans="1:11" hidden="1" x14ac:dyDescent="0.25">
      <c r="A4" s="46">
        <v>1</v>
      </c>
      <c r="B4" s="44" t="s">
        <v>1101</v>
      </c>
      <c r="C4" s="44" t="s">
        <v>1233</v>
      </c>
      <c r="D4" s="44" t="s">
        <v>1234</v>
      </c>
      <c r="E4" s="45">
        <v>1</v>
      </c>
      <c r="F4" s="283">
        <v>14900</v>
      </c>
      <c r="G4" s="283">
        <v>14900</v>
      </c>
      <c r="H4" s="44" t="s">
        <v>191</v>
      </c>
      <c r="I4" s="89" t="s">
        <v>1231</v>
      </c>
      <c r="K4" s="412" t="s">
        <v>1232</v>
      </c>
    </row>
    <row r="5" spans="1:11" hidden="1" x14ac:dyDescent="0.25">
      <c r="A5" s="46">
        <v>1</v>
      </c>
      <c r="B5" s="44" t="s">
        <v>1235</v>
      </c>
      <c r="C5" s="44" t="s">
        <v>1236</v>
      </c>
      <c r="D5" s="44" t="s">
        <v>1237</v>
      </c>
      <c r="E5" s="45">
        <v>8</v>
      </c>
      <c r="F5" s="283">
        <v>6800</v>
      </c>
      <c r="G5" s="283">
        <v>54400</v>
      </c>
      <c r="H5" s="44" t="s">
        <v>1238</v>
      </c>
      <c r="I5" s="89" t="s">
        <v>1231</v>
      </c>
      <c r="K5" s="412" t="s">
        <v>1232</v>
      </c>
    </row>
    <row r="6" spans="1:11" hidden="1" x14ac:dyDescent="0.25">
      <c r="A6" s="46">
        <v>1</v>
      </c>
      <c r="B6" s="44" t="s">
        <v>1239</v>
      </c>
      <c r="C6" s="44" t="s">
        <v>1240</v>
      </c>
      <c r="D6" s="44" t="s">
        <v>1241</v>
      </c>
      <c r="E6" s="45">
        <v>100</v>
      </c>
      <c r="F6" s="283">
        <v>150</v>
      </c>
      <c r="G6" s="283">
        <v>15000</v>
      </c>
      <c r="H6" s="44" t="s">
        <v>1242</v>
      </c>
      <c r="I6" s="89" t="s">
        <v>1231</v>
      </c>
      <c r="K6" s="412" t="s">
        <v>1243</v>
      </c>
    </row>
    <row r="7" spans="1:11" hidden="1" x14ac:dyDescent="0.25">
      <c r="A7" s="46">
        <v>1</v>
      </c>
      <c r="B7" s="44" t="s">
        <v>1230</v>
      </c>
      <c r="C7" s="44" t="s">
        <v>195</v>
      </c>
      <c r="D7" s="44" t="s">
        <v>196</v>
      </c>
      <c r="E7" s="45">
        <v>20</v>
      </c>
      <c r="F7" s="283">
        <v>16500</v>
      </c>
      <c r="G7" s="283">
        <v>330000</v>
      </c>
      <c r="H7" s="44" t="s">
        <v>194</v>
      </c>
      <c r="I7" s="89" t="s">
        <v>1231</v>
      </c>
      <c r="K7" s="412" t="s">
        <v>1244</v>
      </c>
    </row>
    <row r="8" spans="1:11" hidden="1" x14ac:dyDescent="0.25">
      <c r="A8" s="46">
        <v>1</v>
      </c>
      <c r="B8" s="44" t="s">
        <v>1230</v>
      </c>
      <c r="C8" s="44" t="s">
        <v>198</v>
      </c>
      <c r="D8" s="44" t="s">
        <v>199</v>
      </c>
      <c r="E8" s="45">
        <v>4.58</v>
      </c>
      <c r="F8" s="283">
        <v>18500</v>
      </c>
      <c r="G8" s="283">
        <v>84730</v>
      </c>
      <c r="H8" s="395" t="s">
        <v>197</v>
      </c>
      <c r="I8" s="89" t="s">
        <v>1231</v>
      </c>
      <c r="K8" s="412" t="s">
        <v>1245</v>
      </c>
    </row>
    <row r="9" spans="1:11" hidden="1" x14ac:dyDescent="0.25">
      <c r="A9" s="46">
        <v>1</v>
      </c>
      <c r="B9" s="44" t="s">
        <v>1230</v>
      </c>
      <c r="C9" s="44" t="s">
        <v>200</v>
      </c>
      <c r="D9" s="44" t="s">
        <v>201</v>
      </c>
      <c r="E9" s="45">
        <v>15.1</v>
      </c>
      <c r="F9" s="283">
        <v>18500</v>
      </c>
      <c r="G9" s="283">
        <v>279350</v>
      </c>
      <c r="H9" s="395" t="s">
        <v>197</v>
      </c>
      <c r="I9" s="90" t="s">
        <v>1246</v>
      </c>
      <c r="K9" s="412" t="s">
        <v>1245</v>
      </c>
    </row>
    <row r="10" spans="1:11" hidden="1" x14ac:dyDescent="0.25">
      <c r="A10" s="46">
        <v>1</v>
      </c>
      <c r="B10" s="44" t="s">
        <v>1230</v>
      </c>
      <c r="C10" s="44" t="s">
        <v>203</v>
      </c>
      <c r="D10" s="44" t="s">
        <v>204</v>
      </c>
      <c r="E10" s="45">
        <v>9.8699999999999992</v>
      </c>
      <c r="F10" s="283">
        <v>55000</v>
      </c>
      <c r="G10" s="283">
        <v>542850</v>
      </c>
      <c r="H10" s="44" t="s">
        <v>202</v>
      </c>
      <c r="I10" s="89" t="s">
        <v>1231</v>
      </c>
      <c r="K10" s="412" t="s">
        <v>1247</v>
      </c>
    </row>
    <row r="11" spans="1:11" hidden="1" x14ac:dyDescent="0.25">
      <c r="A11" s="46">
        <v>1</v>
      </c>
      <c r="B11" s="44" t="s">
        <v>1230</v>
      </c>
      <c r="C11" s="44" t="s">
        <v>205</v>
      </c>
      <c r="D11" s="44" t="s">
        <v>206</v>
      </c>
      <c r="E11" s="45">
        <v>19.809999999999999</v>
      </c>
      <c r="F11" s="283">
        <v>18000</v>
      </c>
      <c r="G11" s="283">
        <v>356580</v>
      </c>
      <c r="H11" s="44" t="s">
        <v>202</v>
      </c>
      <c r="I11" s="89" t="s">
        <v>1231</v>
      </c>
      <c r="K11" s="412" t="s">
        <v>1247</v>
      </c>
    </row>
    <row r="12" spans="1:11" hidden="1" x14ac:dyDescent="0.25">
      <c r="A12" s="46">
        <v>1</v>
      </c>
      <c r="B12" s="88" t="s">
        <v>1248</v>
      </c>
      <c r="C12" s="88" t="s">
        <v>1248</v>
      </c>
      <c r="D12" s="88" t="s">
        <v>1248</v>
      </c>
      <c r="E12" s="45">
        <v>1</v>
      </c>
      <c r="F12" s="283">
        <v>12243950</v>
      </c>
      <c r="G12" s="283">
        <v>12243950</v>
      </c>
      <c r="H12" s="88" t="s">
        <v>1248</v>
      </c>
      <c r="I12" s="89" t="s">
        <v>1231</v>
      </c>
      <c r="K12" s="413" t="s">
        <v>1249</v>
      </c>
    </row>
    <row r="13" spans="1:11" hidden="1" x14ac:dyDescent="0.25">
      <c r="A13" s="46">
        <v>1</v>
      </c>
      <c r="B13" s="44" t="s">
        <v>1101</v>
      </c>
      <c r="C13" s="44" t="s">
        <v>722</v>
      </c>
      <c r="D13" s="44" t="s">
        <v>1250</v>
      </c>
      <c r="E13" s="45">
        <v>2</v>
      </c>
      <c r="F13" s="283">
        <v>9500</v>
      </c>
      <c r="G13" s="283">
        <v>19000</v>
      </c>
      <c r="H13" s="44" t="s">
        <v>1251</v>
      </c>
      <c r="I13" s="89" t="s">
        <v>1231</v>
      </c>
      <c r="K13" s="412" t="s">
        <v>1252</v>
      </c>
    </row>
    <row r="14" spans="1:11" hidden="1" x14ac:dyDescent="0.25">
      <c r="A14" s="46">
        <v>1</v>
      </c>
      <c r="B14" s="44" t="s">
        <v>1101</v>
      </c>
      <c r="C14" s="44" t="s">
        <v>1253</v>
      </c>
      <c r="D14" s="44" t="s">
        <v>1254</v>
      </c>
      <c r="E14" s="45">
        <v>3</v>
      </c>
      <c r="F14" s="283">
        <v>5000</v>
      </c>
      <c r="G14" s="283">
        <v>15000</v>
      </c>
      <c r="H14" s="44" t="s">
        <v>1251</v>
      </c>
      <c r="I14" s="89" t="s">
        <v>1231</v>
      </c>
      <c r="K14" s="412" t="s">
        <v>1252</v>
      </c>
    </row>
    <row r="15" spans="1:11" hidden="1" x14ac:dyDescent="0.25">
      <c r="A15" s="46">
        <v>1</v>
      </c>
      <c r="B15" s="44" t="s">
        <v>1255</v>
      </c>
      <c r="C15" s="44" t="s">
        <v>1256</v>
      </c>
      <c r="D15" s="44" t="s">
        <v>1257</v>
      </c>
      <c r="E15" s="45">
        <v>1</v>
      </c>
      <c r="F15" s="283">
        <v>30000</v>
      </c>
      <c r="G15" s="283">
        <v>30000</v>
      </c>
      <c r="H15" s="44" t="s">
        <v>207</v>
      </c>
      <c r="I15" s="89" t="s">
        <v>1231</v>
      </c>
      <c r="K15" s="412" t="s">
        <v>1258</v>
      </c>
    </row>
    <row r="16" spans="1:11" hidden="1" x14ac:dyDescent="0.25">
      <c r="A16" s="46">
        <v>1</v>
      </c>
      <c r="B16" s="44" t="s">
        <v>1255</v>
      </c>
      <c r="C16" s="44" t="s">
        <v>1259</v>
      </c>
      <c r="D16" s="44" t="s">
        <v>1260</v>
      </c>
      <c r="E16" s="45">
        <v>1</v>
      </c>
      <c r="F16" s="283">
        <v>100000</v>
      </c>
      <c r="G16" s="283">
        <v>100000</v>
      </c>
      <c r="H16" s="44" t="s">
        <v>207</v>
      </c>
      <c r="I16" s="89" t="s">
        <v>1231</v>
      </c>
      <c r="K16" s="412" t="s">
        <v>1261</v>
      </c>
    </row>
    <row r="17" spans="1:11" hidden="1" x14ac:dyDescent="0.25">
      <c r="A17" s="46">
        <v>1</v>
      </c>
      <c r="B17" s="44" t="s">
        <v>1230</v>
      </c>
      <c r="C17" s="44" t="s">
        <v>205</v>
      </c>
      <c r="D17" s="44" t="s">
        <v>208</v>
      </c>
      <c r="E17" s="45">
        <v>6</v>
      </c>
      <c r="F17" s="283">
        <v>3666.67</v>
      </c>
      <c r="G17" s="283">
        <v>22000</v>
      </c>
      <c r="H17" s="44" t="s">
        <v>207</v>
      </c>
      <c r="I17" s="89" t="s">
        <v>1231</v>
      </c>
      <c r="K17" s="412" t="s">
        <v>1262</v>
      </c>
    </row>
    <row r="18" spans="1:11" hidden="1" x14ac:dyDescent="0.25">
      <c r="A18" s="46">
        <v>1</v>
      </c>
      <c r="B18" s="44" t="s">
        <v>91</v>
      </c>
      <c r="C18" s="44" t="s">
        <v>562</v>
      </c>
      <c r="D18" s="44" t="s">
        <v>563</v>
      </c>
      <c r="E18" s="45">
        <v>1</v>
      </c>
      <c r="F18" s="283">
        <v>92200</v>
      </c>
      <c r="G18" s="283">
        <v>92200</v>
      </c>
      <c r="H18" s="44" t="s">
        <v>561</v>
      </c>
      <c r="I18" s="89" t="s">
        <v>1231</v>
      </c>
      <c r="K18" s="412" t="s">
        <v>1263</v>
      </c>
    </row>
    <row r="19" spans="1:11" hidden="1" x14ac:dyDescent="0.25">
      <c r="A19" s="46">
        <v>1</v>
      </c>
      <c r="B19" s="44" t="s">
        <v>91</v>
      </c>
      <c r="C19" s="44" t="s">
        <v>564</v>
      </c>
      <c r="D19" s="44" t="s">
        <v>565</v>
      </c>
      <c r="E19" s="45">
        <v>1</v>
      </c>
      <c r="F19" s="283">
        <v>77500</v>
      </c>
      <c r="G19" s="283">
        <v>77500</v>
      </c>
      <c r="H19" s="44" t="s">
        <v>561</v>
      </c>
      <c r="I19" s="89" t="s">
        <v>1231</v>
      </c>
      <c r="K19" s="412" t="s">
        <v>1263</v>
      </c>
    </row>
    <row r="20" spans="1:11" hidden="1" x14ac:dyDescent="0.25">
      <c r="A20" s="46">
        <v>1</v>
      </c>
      <c r="B20" s="44" t="s">
        <v>91</v>
      </c>
      <c r="C20" s="44" t="s">
        <v>566</v>
      </c>
      <c r="D20" s="44" t="s">
        <v>567</v>
      </c>
      <c r="E20" s="45">
        <v>1</v>
      </c>
      <c r="F20" s="283">
        <v>93000</v>
      </c>
      <c r="G20" s="283">
        <v>93000</v>
      </c>
      <c r="H20" s="44" t="s">
        <v>561</v>
      </c>
      <c r="I20" s="89" t="s">
        <v>1231</v>
      </c>
      <c r="K20" s="412" t="s">
        <v>1263</v>
      </c>
    </row>
    <row r="21" spans="1:11" hidden="1" x14ac:dyDescent="0.25">
      <c r="A21" s="46">
        <v>1</v>
      </c>
      <c r="B21" s="44" t="s">
        <v>91</v>
      </c>
      <c r="C21" s="44" t="s">
        <v>568</v>
      </c>
      <c r="D21" s="44" t="s">
        <v>569</v>
      </c>
      <c r="E21" s="45">
        <v>2</v>
      </c>
      <c r="F21" s="283">
        <v>74500</v>
      </c>
      <c r="G21" s="283">
        <v>149000</v>
      </c>
      <c r="H21" s="44" t="s">
        <v>561</v>
      </c>
      <c r="I21" s="89" t="s">
        <v>1231</v>
      </c>
      <c r="K21" s="412" t="s">
        <v>1263</v>
      </c>
    </row>
    <row r="22" spans="1:11" hidden="1" x14ac:dyDescent="0.25">
      <c r="A22" s="46">
        <v>1</v>
      </c>
      <c r="B22" s="44" t="s">
        <v>1235</v>
      </c>
      <c r="C22" s="44" t="s">
        <v>1264</v>
      </c>
      <c r="D22" s="44" t="s">
        <v>1265</v>
      </c>
      <c r="E22" s="45">
        <v>4</v>
      </c>
      <c r="F22" s="283">
        <v>19500</v>
      </c>
      <c r="G22" s="283">
        <v>78000</v>
      </c>
      <c r="H22" s="395" t="s">
        <v>209</v>
      </c>
      <c r="I22" s="89" t="s">
        <v>1231</v>
      </c>
      <c r="K22" s="412" t="s">
        <v>1266</v>
      </c>
    </row>
    <row r="23" spans="1:11" hidden="1" x14ac:dyDescent="0.25">
      <c r="A23" s="46">
        <v>1</v>
      </c>
      <c r="B23" s="44" t="s">
        <v>1230</v>
      </c>
      <c r="C23" s="44" t="s">
        <v>210</v>
      </c>
      <c r="D23" s="44" t="s">
        <v>211</v>
      </c>
      <c r="E23" s="45">
        <v>28.6</v>
      </c>
      <c r="F23" s="283">
        <v>14900</v>
      </c>
      <c r="G23" s="283">
        <v>426140</v>
      </c>
      <c r="H23" s="395" t="s">
        <v>209</v>
      </c>
      <c r="I23" s="89" t="s">
        <v>1231</v>
      </c>
      <c r="K23" s="412" t="s">
        <v>1266</v>
      </c>
    </row>
    <row r="24" spans="1:11" hidden="1" x14ac:dyDescent="0.25">
      <c r="A24" s="46">
        <v>1</v>
      </c>
      <c r="B24" s="44" t="s">
        <v>1230</v>
      </c>
      <c r="C24" s="44" t="s">
        <v>212</v>
      </c>
      <c r="D24" s="44" t="s">
        <v>213</v>
      </c>
      <c r="E24" s="45">
        <v>27.65</v>
      </c>
      <c r="F24" s="283">
        <v>23900</v>
      </c>
      <c r="G24" s="283">
        <v>660835</v>
      </c>
      <c r="H24" s="395" t="s">
        <v>209</v>
      </c>
      <c r="I24" s="89" t="s">
        <v>1231</v>
      </c>
      <c r="K24" s="412" t="s">
        <v>1266</v>
      </c>
    </row>
    <row r="25" spans="1:11" hidden="1" x14ac:dyDescent="0.25">
      <c r="A25" s="46">
        <v>1</v>
      </c>
      <c r="B25" s="44" t="s">
        <v>1230</v>
      </c>
      <c r="C25" s="44" t="s">
        <v>214</v>
      </c>
      <c r="D25" s="44" t="s">
        <v>215</v>
      </c>
      <c r="E25" s="45">
        <v>28.7</v>
      </c>
      <c r="F25" s="283">
        <v>25900</v>
      </c>
      <c r="G25" s="283">
        <v>743330</v>
      </c>
      <c r="H25" s="395" t="s">
        <v>209</v>
      </c>
      <c r="I25" s="89" t="s">
        <v>1231</v>
      </c>
      <c r="K25" s="412" t="s">
        <v>1266</v>
      </c>
    </row>
    <row r="26" spans="1:11" hidden="1" x14ac:dyDescent="0.25">
      <c r="A26" s="46">
        <v>1</v>
      </c>
      <c r="B26" s="44" t="s">
        <v>1230</v>
      </c>
      <c r="C26" s="44" t="s">
        <v>216</v>
      </c>
      <c r="D26" s="44" t="s">
        <v>217</v>
      </c>
      <c r="E26" s="45">
        <v>18.5</v>
      </c>
      <c r="F26" s="283">
        <v>34500</v>
      </c>
      <c r="G26" s="283">
        <v>638250</v>
      </c>
      <c r="H26" s="395" t="s">
        <v>209</v>
      </c>
      <c r="I26" s="89" t="s">
        <v>1231</v>
      </c>
      <c r="K26" s="412" t="s">
        <v>1266</v>
      </c>
    </row>
    <row r="27" spans="1:11" hidden="1" x14ac:dyDescent="0.25">
      <c r="A27" s="46">
        <v>1</v>
      </c>
      <c r="B27" s="44" t="s">
        <v>1230</v>
      </c>
      <c r="C27" s="44" t="s">
        <v>219</v>
      </c>
      <c r="D27" s="44" t="s">
        <v>220</v>
      </c>
      <c r="E27" s="45">
        <v>90.35</v>
      </c>
      <c r="F27" s="283">
        <v>21900</v>
      </c>
      <c r="G27" s="283">
        <v>1978665</v>
      </c>
      <c r="H27" s="395" t="s">
        <v>218</v>
      </c>
      <c r="I27" s="89" t="s">
        <v>1231</v>
      </c>
      <c r="K27" s="412" t="s">
        <v>1266</v>
      </c>
    </row>
    <row r="28" spans="1:11" hidden="1" x14ac:dyDescent="0.25">
      <c r="A28" s="46">
        <v>1</v>
      </c>
      <c r="B28" s="44" t="s">
        <v>1267</v>
      </c>
      <c r="C28" s="101" t="s">
        <v>1268</v>
      </c>
      <c r="D28" s="101" t="s">
        <v>1269</v>
      </c>
      <c r="E28" s="45">
        <v>1</v>
      </c>
      <c r="F28" s="284">
        <v>921345</v>
      </c>
      <c r="G28" s="283">
        <v>921345</v>
      </c>
      <c r="H28" s="104" t="s">
        <v>1270</v>
      </c>
      <c r="I28" s="96" t="s">
        <v>1231</v>
      </c>
      <c r="J28" s="97" t="s">
        <v>121</v>
      </c>
      <c r="K28" s="412" t="s">
        <v>1271</v>
      </c>
    </row>
    <row r="29" spans="1:11" hidden="1" x14ac:dyDescent="0.25">
      <c r="A29" s="46">
        <v>2</v>
      </c>
      <c r="B29" s="44" t="s">
        <v>91</v>
      </c>
      <c r="C29" s="44" t="s">
        <v>572</v>
      </c>
      <c r="D29" s="44" t="s">
        <v>573</v>
      </c>
      <c r="E29" s="45">
        <v>2</v>
      </c>
      <c r="F29" s="283">
        <v>39000</v>
      </c>
      <c r="G29" s="283">
        <v>78000</v>
      </c>
      <c r="H29" s="44" t="s">
        <v>571</v>
      </c>
      <c r="I29" s="89" t="s">
        <v>1231</v>
      </c>
      <c r="K29" s="412" t="s">
        <v>1263</v>
      </c>
    </row>
    <row r="30" spans="1:11" hidden="1" x14ac:dyDescent="0.25">
      <c r="A30" s="46">
        <v>2</v>
      </c>
      <c r="B30" s="44" t="s">
        <v>91</v>
      </c>
      <c r="C30" s="44" t="s">
        <v>574</v>
      </c>
      <c r="D30" s="44" t="s">
        <v>575</v>
      </c>
      <c r="E30" s="45">
        <v>1</v>
      </c>
      <c r="F30" s="283">
        <v>32500</v>
      </c>
      <c r="G30" s="283">
        <v>32500</v>
      </c>
      <c r="H30" s="44" t="s">
        <v>571</v>
      </c>
      <c r="I30" s="89" t="s">
        <v>1231</v>
      </c>
      <c r="K30" s="412" t="s">
        <v>1263</v>
      </c>
    </row>
    <row r="31" spans="1:11" hidden="1" x14ac:dyDescent="0.25">
      <c r="A31" s="46">
        <v>2</v>
      </c>
      <c r="B31" s="44" t="s">
        <v>91</v>
      </c>
      <c r="C31" s="44" t="s">
        <v>576</v>
      </c>
      <c r="D31" s="44" t="s">
        <v>577</v>
      </c>
      <c r="E31" s="45">
        <v>1</v>
      </c>
      <c r="F31" s="283">
        <v>51600</v>
      </c>
      <c r="G31" s="283">
        <v>51600</v>
      </c>
      <c r="H31" s="44" t="s">
        <v>571</v>
      </c>
      <c r="I31" s="89" t="s">
        <v>1231</v>
      </c>
      <c r="K31" s="412" t="s">
        <v>1263</v>
      </c>
    </row>
    <row r="32" spans="1:11" hidden="1" x14ac:dyDescent="0.25">
      <c r="A32" s="46">
        <v>2</v>
      </c>
      <c r="B32" s="44" t="s">
        <v>1101</v>
      </c>
      <c r="C32" s="44" t="s">
        <v>722</v>
      </c>
      <c r="D32" s="44" t="s">
        <v>1272</v>
      </c>
      <c r="E32" s="45">
        <v>2</v>
      </c>
      <c r="F32" s="283">
        <v>9500</v>
      </c>
      <c r="G32" s="283">
        <v>19000</v>
      </c>
      <c r="H32" s="44" t="s">
        <v>1273</v>
      </c>
      <c r="I32" s="89" t="s">
        <v>1231</v>
      </c>
      <c r="K32" s="412" t="s">
        <v>1252</v>
      </c>
    </row>
    <row r="33" spans="1:11" hidden="1" x14ac:dyDescent="0.25">
      <c r="A33" s="46">
        <v>2</v>
      </c>
      <c r="B33" s="44" t="s">
        <v>1235</v>
      </c>
      <c r="C33" s="44" t="s">
        <v>1236</v>
      </c>
      <c r="D33" s="44" t="s">
        <v>1274</v>
      </c>
      <c r="E33" s="45">
        <v>19</v>
      </c>
      <c r="F33" s="283">
        <v>5263.16</v>
      </c>
      <c r="G33" s="283">
        <v>100000</v>
      </c>
      <c r="H33" s="44" t="s">
        <v>1275</v>
      </c>
      <c r="I33" s="89" t="s">
        <v>1231</v>
      </c>
      <c r="K33" s="412" t="s">
        <v>1262</v>
      </c>
    </row>
    <row r="34" spans="1:11" hidden="1" x14ac:dyDescent="0.25">
      <c r="A34" s="46">
        <v>2</v>
      </c>
      <c r="B34" s="44" t="s">
        <v>1255</v>
      </c>
      <c r="C34" s="44" t="s">
        <v>1256</v>
      </c>
      <c r="D34" s="44" t="s">
        <v>1276</v>
      </c>
      <c r="E34" s="45">
        <v>1</v>
      </c>
      <c r="F34" s="283">
        <v>30000</v>
      </c>
      <c r="G34" s="283">
        <v>30000</v>
      </c>
      <c r="H34" s="44" t="s">
        <v>1275</v>
      </c>
      <c r="I34" s="89" t="s">
        <v>1231</v>
      </c>
      <c r="K34" s="412" t="s">
        <v>1258</v>
      </c>
    </row>
    <row r="35" spans="1:11" hidden="1" x14ac:dyDescent="0.25">
      <c r="A35" s="46">
        <v>2</v>
      </c>
      <c r="B35" s="44" t="s">
        <v>1101</v>
      </c>
      <c r="C35" s="44" t="s">
        <v>1117</v>
      </c>
      <c r="D35" s="44" t="s">
        <v>1277</v>
      </c>
      <c r="E35" s="45">
        <v>1</v>
      </c>
      <c r="F35" s="283">
        <v>25000</v>
      </c>
      <c r="G35" s="283">
        <v>25000</v>
      </c>
      <c r="H35" s="44" t="s">
        <v>1275</v>
      </c>
      <c r="I35" s="89" t="s">
        <v>1231</v>
      </c>
      <c r="K35" s="412" t="s">
        <v>1262</v>
      </c>
    </row>
    <row r="36" spans="1:11" hidden="1" x14ac:dyDescent="0.25">
      <c r="A36" s="46">
        <v>2</v>
      </c>
      <c r="B36" s="44" t="s">
        <v>1101</v>
      </c>
      <c r="C36" s="44" t="s">
        <v>722</v>
      </c>
      <c r="D36" s="44" t="s">
        <v>1278</v>
      </c>
      <c r="E36" s="45">
        <v>2</v>
      </c>
      <c r="F36" s="283">
        <v>9500</v>
      </c>
      <c r="G36" s="283">
        <v>19000</v>
      </c>
      <c r="H36" s="44" t="s">
        <v>1279</v>
      </c>
      <c r="I36" s="89" t="s">
        <v>1231</v>
      </c>
      <c r="K36" s="412" t="s">
        <v>1252</v>
      </c>
    </row>
    <row r="37" spans="1:11" hidden="1" x14ac:dyDescent="0.25">
      <c r="A37" s="46">
        <v>2</v>
      </c>
      <c r="B37" s="44" t="s">
        <v>1101</v>
      </c>
      <c r="C37" s="44" t="s">
        <v>1253</v>
      </c>
      <c r="D37" s="44" t="s">
        <v>1280</v>
      </c>
      <c r="E37" s="45">
        <v>2</v>
      </c>
      <c r="F37" s="283">
        <v>5000</v>
      </c>
      <c r="G37" s="283">
        <v>10000</v>
      </c>
      <c r="H37" s="44" t="s">
        <v>1279</v>
      </c>
      <c r="I37" s="89" t="s">
        <v>1231</v>
      </c>
      <c r="K37" s="412" t="s">
        <v>1252</v>
      </c>
    </row>
    <row r="38" spans="1:11" hidden="1" x14ac:dyDescent="0.25">
      <c r="A38" s="46">
        <v>2</v>
      </c>
      <c r="B38" s="44" t="s">
        <v>1239</v>
      </c>
      <c r="C38" s="44" t="s">
        <v>1281</v>
      </c>
      <c r="D38" s="44" t="s">
        <v>1282</v>
      </c>
      <c r="E38" s="45">
        <v>5</v>
      </c>
      <c r="F38" s="283">
        <v>3105.6</v>
      </c>
      <c r="G38" s="283">
        <v>15528</v>
      </c>
      <c r="H38" s="44" t="s">
        <v>1283</v>
      </c>
      <c r="I38" s="90" t="s">
        <v>1246</v>
      </c>
      <c r="K38" s="412" t="s">
        <v>1284</v>
      </c>
    </row>
    <row r="39" spans="1:11" hidden="1" x14ac:dyDescent="0.25">
      <c r="A39" s="46">
        <v>2</v>
      </c>
      <c r="B39" s="44" t="s">
        <v>1239</v>
      </c>
      <c r="C39" s="44" t="s">
        <v>1281</v>
      </c>
      <c r="D39" s="44" t="s">
        <v>1285</v>
      </c>
      <c r="E39" s="45">
        <v>5</v>
      </c>
      <c r="F39" s="283">
        <v>3105.6</v>
      </c>
      <c r="G39" s="283">
        <v>15528</v>
      </c>
      <c r="H39" s="44" t="s">
        <v>1283</v>
      </c>
      <c r="I39" s="90" t="s">
        <v>1246</v>
      </c>
      <c r="K39" s="412" t="s">
        <v>1284</v>
      </c>
    </row>
    <row r="40" spans="1:11" hidden="1" x14ac:dyDescent="0.25">
      <c r="A40" s="46">
        <v>2</v>
      </c>
      <c r="B40" s="44" t="s">
        <v>1239</v>
      </c>
      <c r="C40" s="44" t="s">
        <v>1281</v>
      </c>
      <c r="D40" s="44" t="s">
        <v>1286</v>
      </c>
      <c r="E40" s="45">
        <v>5</v>
      </c>
      <c r="F40" s="283">
        <v>1309</v>
      </c>
      <c r="G40" s="283">
        <v>6545</v>
      </c>
      <c r="H40" s="44" t="s">
        <v>1283</v>
      </c>
      <c r="I40" s="90" t="s">
        <v>1246</v>
      </c>
      <c r="K40" s="412" t="s">
        <v>1284</v>
      </c>
    </row>
    <row r="41" spans="1:11" hidden="1" x14ac:dyDescent="0.25">
      <c r="A41" s="46">
        <v>2</v>
      </c>
      <c r="B41" s="44" t="s">
        <v>1239</v>
      </c>
      <c r="C41" s="44" t="s">
        <v>1281</v>
      </c>
      <c r="D41" s="44" t="s">
        <v>1287</v>
      </c>
      <c r="E41" s="45">
        <v>5</v>
      </c>
      <c r="F41" s="283">
        <v>2570.4</v>
      </c>
      <c r="G41" s="283">
        <v>12852</v>
      </c>
      <c r="H41" s="44" t="s">
        <v>1283</v>
      </c>
      <c r="I41" s="90" t="s">
        <v>1246</v>
      </c>
      <c r="K41" s="412" t="s">
        <v>1284</v>
      </c>
    </row>
    <row r="42" spans="1:11" hidden="1" x14ac:dyDescent="0.25">
      <c r="A42" s="46">
        <v>2</v>
      </c>
      <c r="B42" s="44" t="s">
        <v>1239</v>
      </c>
      <c r="C42" s="44" t="s">
        <v>1281</v>
      </c>
      <c r="D42" s="44" t="s">
        <v>1288</v>
      </c>
      <c r="E42" s="45">
        <v>3</v>
      </c>
      <c r="F42" s="283">
        <v>3160.3333333333298</v>
      </c>
      <c r="G42" s="283">
        <v>11281</v>
      </c>
      <c r="H42" s="44" t="s">
        <v>1283</v>
      </c>
      <c r="I42" s="90" t="s">
        <v>1246</v>
      </c>
      <c r="K42" s="412" t="s">
        <v>1284</v>
      </c>
    </row>
    <row r="43" spans="1:11" hidden="1" x14ac:dyDescent="0.25">
      <c r="A43" s="46">
        <v>2</v>
      </c>
      <c r="B43" s="44" t="s">
        <v>1239</v>
      </c>
      <c r="C43" s="44" t="s">
        <v>1281</v>
      </c>
      <c r="D43" s="44" t="s">
        <v>1289</v>
      </c>
      <c r="E43" s="45">
        <v>3</v>
      </c>
      <c r="F43" s="283">
        <v>3160.3333333333298</v>
      </c>
      <c r="G43" s="283">
        <v>11281</v>
      </c>
      <c r="H43" s="44" t="s">
        <v>1283</v>
      </c>
      <c r="I43" s="90" t="s">
        <v>1246</v>
      </c>
      <c r="K43" s="412" t="s">
        <v>1284</v>
      </c>
    </row>
    <row r="44" spans="1:11" hidden="1" x14ac:dyDescent="0.25">
      <c r="A44" s="46">
        <v>2</v>
      </c>
      <c r="B44" s="44" t="s">
        <v>1239</v>
      </c>
      <c r="C44" s="44" t="s">
        <v>1290</v>
      </c>
      <c r="D44" s="44" t="s">
        <v>1291</v>
      </c>
      <c r="E44" s="45">
        <v>70</v>
      </c>
      <c r="F44" s="283">
        <v>4180</v>
      </c>
      <c r="G44" s="283">
        <v>292600</v>
      </c>
      <c r="H44" s="44" t="s">
        <v>1283</v>
      </c>
      <c r="I44" s="90" t="s">
        <v>1246</v>
      </c>
      <c r="K44" s="412" t="s">
        <v>1284</v>
      </c>
    </row>
    <row r="45" spans="1:11" hidden="1" x14ac:dyDescent="0.25">
      <c r="A45" s="46">
        <v>2</v>
      </c>
      <c r="B45" s="44" t="s">
        <v>1101</v>
      </c>
      <c r="C45" s="44" t="s">
        <v>1292</v>
      </c>
      <c r="D45" s="44" t="s">
        <v>1293</v>
      </c>
      <c r="E45" s="45">
        <v>4</v>
      </c>
      <c r="F45" s="283">
        <v>18200</v>
      </c>
      <c r="G45" s="283">
        <v>72800</v>
      </c>
      <c r="H45" s="44" t="s">
        <v>1283</v>
      </c>
      <c r="I45" s="90" t="s">
        <v>1246</v>
      </c>
      <c r="K45" s="412" t="s">
        <v>1284</v>
      </c>
    </row>
    <row r="46" spans="1:11" hidden="1" x14ac:dyDescent="0.25">
      <c r="A46" s="46">
        <v>2</v>
      </c>
      <c r="B46" s="44" t="s">
        <v>1230</v>
      </c>
      <c r="C46" s="44" t="s">
        <v>223</v>
      </c>
      <c r="D46" s="44" t="s">
        <v>224</v>
      </c>
      <c r="E46" s="45">
        <v>34.700000000000003</v>
      </c>
      <c r="F46" s="283">
        <v>7500</v>
      </c>
      <c r="G46" s="283">
        <v>260250</v>
      </c>
      <c r="H46" s="395" t="s">
        <v>222</v>
      </c>
      <c r="I46" s="90" t="s">
        <v>1246</v>
      </c>
      <c r="K46" s="412" t="s">
        <v>1245</v>
      </c>
    </row>
    <row r="47" spans="1:11" hidden="1" x14ac:dyDescent="0.25">
      <c r="A47" s="46">
        <v>2</v>
      </c>
      <c r="B47" s="44" t="s">
        <v>1230</v>
      </c>
      <c r="C47" s="44" t="s">
        <v>226</v>
      </c>
      <c r="D47" s="44" t="s">
        <v>227</v>
      </c>
      <c r="E47" s="45">
        <v>5</v>
      </c>
      <c r="F47" s="283">
        <v>21500</v>
      </c>
      <c r="G47" s="283">
        <v>107500</v>
      </c>
      <c r="H47" s="44" t="s">
        <v>225</v>
      </c>
      <c r="I47" s="89" t="s">
        <v>1231</v>
      </c>
      <c r="K47" s="412" t="s">
        <v>1294</v>
      </c>
    </row>
    <row r="48" spans="1:11" hidden="1" x14ac:dyDescent="0.25">
      <c r="A48" s="46">
        <v>2</v>
      </c>
      <c r="B48" s="44" t="s">
        <v>1239</v>
      </c>
      <c r="C48" s="44" t="s">
        <v>1240</v>
      </c>
      <c r="D48" s="44" t="s">
        <v>1295</v>
      </c>
      <c r="E48" s="45">
        <v>150</v>
      </c>
      <c r="F48" s="283">
        <v>150</v>
      </c>
      <c r="G48" s="283">
        <v>22500</v>
      </c>
      <c r="H48" s="44" t="s">
        <v>1296</v>
      </c>
      <c r="I48" s="89" t="s">
        <v>1231</v>
      </c>
      <c r="K48" s="412" t="s">
        <v>1243</v>
      </c>
    </row>
    <row r="49" spans="1:11" hidden="1" x14ac:dyDescent="0.25">
      <c r="A49" s="46">
        <v>2</v>
      </c>
      <c r="B49" s="44" t="s">
        <v>1235</v>
      </c>
      <c r="C49" s="44" t="s">
        <v>1297</v>
      </c>
      <c r="D49" s="44" t="s">
        <v>1298</v>
      </c>
      <c r="E49" s="45">
        <v>4</v>
      </c>
      <c r="F49" s="283">
        <v>2480</v>
      </c>
      <c r="G49" s="283">
        <v>9920</v>
      </c>
      <c r="H49" s="44" t="s">
        <v>1299</v>
      </c>
      <c r="I49" s="89" t="s">
        <v>1231</v>
      </c>
      <c r="K49" s="412" t="s">
        <v>1232</v>
      </c>
    </row>
    <row r="50" spans="1:11" hidden="1" x14ac:dyDescent="0.25">
      <c r="A50" s="46">
        <v>2</v>
      </c>
      <c r="B50" s="44" t="s">
        <v>1235</v>
      </c>
      <c r="C50" s="44" t="s">
        <v>1236</v>
      </c>
      <c r="D50" s="44" t="s">
        <v>1300</v>
      </c>
      <c r="E50" s="45">
        <v>3</v>
      </c>
      <c r="F50" s="283">
        <v>5440</v>
      </c>
      <c r="G50" s="283">
        <v>16320</v>
      </c>
      <c r="H50" s="44" t="s">
        <v>1301</v>
      </c>
      <c r="I50" s="89" t="s">
        <v>1231</v>
      </c>
      <c r="K50" s="412" t="s">
        <v>1232</v>
      </c>
    </row>
    <row r="51" spans="1:11" hidden="1" x14ac:dyDescent="0.25">
      <c r="A51" s="46">
        <v>2</v>
      </c>
      <c r="B51" s="44" t="s">
        <v>1230</v>
      </c>
      <c r="C51" s="44" t="s">
        <v>229</v>
      </c>
      <c r="D51" s="44" t="s">
        <v>230</v>
      </c>
      <c r="E51" s="45">
        <v>2.77</v>
      </c>
      <c r="F51" s="283">
        <v>19900</v>
      </c>
      <c r="G51" s="283">
        <v>55123</v>
      </c>
      <c r="H51" s="44" t="s">
        <v>228</v>
      </c>
      <c r="I51" s="89" t="s">
        <v>1231</v>
      </c>
      <c r="K51" s="412" t="s">
        <v>1232</v>
      </c>
    </row>
    <row r="52" spans="1:11" hidden="1" x14ac:dyDescent="0.25">
      <c r="A52" s="46">
        <v>2</v>
      </c>
      <c r="B52" s="44" t="s">
        <v>1230</v>
      </c>
      <c r="C52" s="44" t="s">
        <v>229</v>
      </c>
      <c r="D52" s="44" t="s">
        <v>230</v>
      </c>
      <c r="E52" s="45">
        <v>4.7640000000000002</v>
      </c>
      <c r="F52" s="283">
        <v>22190</v>
      </c>
      <c r="G52" s="283">
        <v>105713</v>
      </c>
      <c r="H52" s="44" t="s">
        <v>228</v>
      </c>
      <c r="I52" s="89" t="s">
        <v>1231</v>
      </c>
      <c r="K52" s="412" t="s">
        <v>1232</v>
      </c>
    </row>
    <row r="53" spans="1:11" hidden="1" x14ac:dyDescent="0.25">
      <c r="A53" s="46">
        <v>2</v>
      </c>
      <c r="B53" s="44" t="s">
        <v>1239</v>
      </c>
      <c r="C53" s="44" t="s">
        <v>1302</v>
      </c>
      <c r="D53" s="44" t="s">
        <v>1303</v>
      </c>
      <c r="E53" s="45">
        <v>1</v>
      </c>
      <c r="F53" s="283">
        <v>4390</v>
      </c>
      <c r="G53" s="283">
        <v>4390</v>
      </c>
      <c r="H53" s="44" t="s">
        <v>228</v>
      </c>
      <c r="I53" s="89" t="s">
        <v>1231</v>
      </c>
      <c r="K53" s="412" t="s">
        <v>1232</v>
      </c>
    </row>
    <row r="54" spans="1:11" hidden="1" x14ac:dyDescent="0.25">
      <c r="A54" s="46">
        <v>2</v>
      </c>
      <c r="B54" s="44" t="s">
        <v>1101</v>
      </c>
      <c r="C54" s="44" t="s">
        <v>1304</v>
      </c>
      <c r="D54" s="44" t="s">
        <v>1305</v>
      </c>
      <c r="E54" s="45">
        <v>1</v>
      </c>
      <c r="F54" s="283">
        <v>120</v>
      </c>
      <c r="G54" s="283">
        <v>120</v>
      </c>
      <c r="H54" s="44" t="s">
        <v>228</v>
      </c>
      <c r="I54" s="89" t="s">
        <v>1231</v>
      </c>
      <c r="K54" s="412" t="s">
        <v>1232</v>
      </c>
    </row>
    <row r="55" spans="1:11" hidden="1" x14ac:dyDescent="0.25">
      <c r="A55" s="46">
        <v>3</v>
      </c>
      <c r="B55" s="44" t="s">
        <v>1239</v>
      </c>
      <c r="C55" s="44" t="s">
        <v>1306</v>
      </c>
      <c r="D55" s="44" t="s">
        <v>1307</v>
      </c>
      <c r="E55" s="45">
        <v>1</v>
      </c>
      <c r="F55" s="283">
        <v>4500</v>
      </c>
      <c r="G55" s="283">
        <v>4500</v>
      </c>
      <c r="H55" s="44" t="s">
        <v>1308</v>
      </c>
      <c r="I55" s="89" t="s">
        <v>1231</v>
      </c>
      <c r="K55" s="412" t="s">
        <v>1294</v>
      </c>
    </row>
    <row r="56" spans="1:11" hidden="1" x14ac:dyDescent="0.25">
      <c r="A56" s="46">
        <v>3</v>
      </c>
      <c r="B56" s="44" t="s">
        <v>1101</v>
      </c>
      <c r="C56" s="44" t="s">
        <v>722</v>
      </c>
      <c r="D56" s="44" t="s">
        <v>1309</v>
      </c>
      <c r="E56" s="45">
        <v>2</v>
      </c>
      <c r="F56" s="283">
        <v>9500</v>
      </c>
      <c r="G56" s="283">
        <v>19000</v>
      </c>
      <c r="H56" s="44" t="s">
        <v>1310</v>
      </c>
      <c r="I56" s="89" t="s">
        <v>1231</v>
      </c>
      <c r="K56" s="412" t="s">
        <v>1252</v>
      </c>
    </row>
    <row r="57" spans="1:11" hidden="1" x14ac:dyDescent="0.25">
      <c r="A57" s="46">
        <v>3</v>
      </c>
      <c r="B57" s="44" t="s">
        <v>1255</v>
      </c>
      <c r="C57" s="44" t="s">
        <v>1256</v>
      </c>
      <c r="D57" s="44" t="s">
        <v>1311</v>
      </c>
      <c r="E57" s="45">
        <v>1</v>
      </c>
      <c r="F57" s="283">
        <v>30000</v>
      </c>
      <c r="G57" s="283">
        <v>30000</v>
      </c>
      <c r="H57" s="44" t="s">
        <v>1312</v>
      </c>
      <c r="I57" s="89" t="s">
        <v>1231</v>
      </c>
      <c r="K57" s="412" t="s">
        <v>1258</v>
      </c>
    </row>
    <row r="58" spans="1:11" hidden="1" x14ac:dyDescent="0.25">
      <c r="A58" s="46">
        <v>3</v>
      </c>
      <c r="B58" s="44" t="s">
        <v>1255</v>
      </c>
      <c r="C58" s="44" t="s">
        <v>1313</v>
      </c>
      <c r="D58" s="44" t="s">
        <v>1314</v>
      </c>
      <c r="E58" s="45">
        <v>1</v>
      </c>
      <c r="F58" s="283">
        <v>10000</v>
      </c>
      <c r="G58" s="283">
        <v>10000</v>
      </c>
      <c r="H58" s="44" t="s">
        <v>1312</v>
      </c>
      <c r="I58" s="89" t="s">
        <v>1231</v>
      </c>
      <c r="K58" s="412" t="s">
        <v>1262</v>
      </c>
    </row>
    <row r="59" spans="1:11" hidden="1" x14ac:dyDescent="0.25">
      <c r="A59" s="46">
        <v>3</v>
      </c>
      <c r="B59" s="44" t="s">
        <v>1255</v>
      </c>
      <c r="C59" s="44" t="s">
        <v>1315</v>
      </c>
      <c r="D59" s="44" t="s">
        <v>1316</v>
      </c>
      <c r="E59" s="45">
        <v>1</v>
      </c>
      <c r="F59" s="283">
        <v>10000</v>
      </c>
      <c r="G59" s="283">
        <v>10000</v>
      </c>
      <c r="H59" s="44" t="s">
        <v>1312</v>
      </c>
      <c r="I59" s="89" t="s">
        <v>1231</v>
      </c>
      <c r="K59" s="412" t="s">
        <v>1262</v>
      </c>
    </row>
    <row r="60" spans="1:11" hidden="1" x14ac:dyDescent="0.25">
      <c r="A60" s="46">
        <v>3</v>
      </c>
      <c r="B60" s="44" t="s">
        <v>1255</v>
      </c>
      <c r="C60" s="44" t="s">
        <v>1317</v>
      </c>
      <c r="D60" s="44" t="s">
        <v>1318</v>
      </c>
      <c r="E60" s="45">
        <v>1</v>
      </c>
      <c r="F60" s="283">
        <v>7000</v>
      </c>
      <c r="G60" s="283">
        <v>7000</v>
      </c>
      <c r="H60" s="44" t="s">
        <v>1312</v>
      </c>
      <c r="I60" s="89" t="s">
        <v>1231</v>
      </c>
      <c r="K60" s="412" t="s">
        <v>1262</v>
      </c>
    </row>
    <row r="61" spans="1:11" hidden="1" x14ac:dyDescent="0.25">
      <c r="A61" s="46">
        <v>3</v>
      </c>
      <c r="B61" s="44" t="s">
        <v>1235</v>
      </c>
      <c r="C61" s="44" t="s">
        <v>1319</v>
      </c>
      <c r="D61" s="44" t="s">
        <v>1320</v>
      </c>
      <c r="E61" s="45">
        <v>35</v>
      </c>
      <c r="F61" s="283">
        <v>2500</v>
      </c>
      <c r="G61" s="283">
        <v>87500</v>
      </c>
      <c r="H61" s="44" t="s">
        <v>1312</v>
      </c>
      <c r="I61" s="89" t="s">
        <v>1231</v>
      </c>
      <c r="K61" s="412" t="s">
        <v>1262</v>
      </c>
    </row>
    <row r="62" spans="1:11" hidden="1" x14ac:dyDescent="0.25">
      <c r="A62" s="46">
        <v>3</v>
      </c>
      <c r="B62" s="44" t="s">
        <v>1235</v>
      </c>
      <c r="C62" s="44" t="s">
        <v>1321</v>
      </c>
      <c r="D62" s="44" t="s">
        <v>1322</v>
      </c>
      <c r="E62" s="45">
        <v>8</v>
      </c>
      <c r="F62" s="283">
        <v>3000</v>
      </c>
      <c r="G62" s="283">
        <v>24000</v>
      </c>
      <c r="H62" s="44" t="s">
        <v>1312</v>
      </c>
      <c r="I62" s="89" t="s">
        <v>1231</v>
      </c>
      <c r="K62" s="412" t="s">
        <v>1262</v>
      </c>
    </row>
    <row r="63" spans="1:11" hidden="1" x14ac:dyDescent="0.25">
      <c r="A63" s="46">
        <v>3</v>
      </c>
      <c r="B63" s="44" t="s">
        <v>1235</v>
      </c>
      <c r="C63" s="44" t="s">
        <v>1323</v>
      </c>
      <c r="D63" s="44" t="s">
        <v>1324</v>
      </c>
      <c r="E63" s="45">
        <v>5</v>
      </c>
      <c r="F63" s="283">
        <v>8000</v>
      </c>
      <c r="G63" s="283">
        <v>40000</v>
      </c>
      <c r="H63" s="44" t="s">
        <v>1312</v>
      </c>
      <c r="I63" s="89" t="s">
        <v>1231</v>
      </c>
      <c r="K63" s="412" t="s">
        <v>1262</v>
      </c>
    </row>
    <row r="64" spans="1:11" hidden="1" x14ac:dyDescent="0.25">
      <c r="A64" s="46">
        <v>3</v>
      </c>
      <c r="B64" s="44" t="s">
        <v>1235</v>
      </c>
      <c r="C64" s="44" t="s">
        <v>1325</v>
      </c>
      <c r="D64" s="44" t="s">
        <v>1326</v>
      </c>
      <c r="E64" s="45">
        <v>16</v>
      </c>
      <c r="F64" s="283">
        <v>2000</v>
      </c>
      <c r="G64" s="283">
        <v>32000</v>
      </c>
      <c r="H64" s="44" t="s">
        <v>1312</v>
      </c>
      <c r="I64" s="89" t="s">
        <v>1231</v>
      </c>
      <c r="K64" s="412" t="s">
        <v>1262</v>
      </c>
    </row>
    <row r="65" spans="1:11" hidden="1" x14ac:dyDescent="0.25">
      <c r="A65" s="46">
        <v>3</v>
      </c>
      <c r="B65" s="44" t="s">
        <v>1235</v>
      </c>
      <c r="C65" s="44" t="s">
        <v>1327</v>
      </c>
      <c r="D65" s="44" t="s">
        <v>1328</v>
      </c>
      <c r="E65" s="45">
        <v>15</v>
      </c>
      <c r="F65" s="283">
        <v>3333.33</v>
      </c>
      <c r="G65" s="283">
        <v>50000</v>
      </c>
      <c r="H65" s="44" t="s">
        <v>1312</v>
      </c>
      <c r="I65" s="89" t="s">
        <v>1231</v>
      </c>
      <c r="K65" s="412" t="s">
        <v>1262</v>
      </c>
    </row>
    <row r="66" spans="1:11" hidden="1" x14ac:dyDescent="0.25">
      <c r="A66" s="46">
        <v>3</v>
      </c>
      <c r="B66" s="44" t="s">
        <v>1235</v>
      </c>
      <c r="C66" s="44" t="s">
        <v>1329</v>
      </c>
      <c r="D66" s="44" t="s">
        <v>1330</v>
      </c>
      <c r="E66" s="45">
        <v>1</v>
      </c>
      <c r="F66" s="283">
        <v>8000</v>
      </c>
      <c r="G66" s="283">
        <v>8000</v>
      </c>
      <c r="H66" s="44" t="s">
        <v>1312</v>
      </c>
      <c r="I66" s="89" t="s">
        <v>1231</v>
      </c>
      <c r="K66" s="412" t="s">
        <v>1262</v>
      </c>
    </row>
    <row r="67" spans="1:11" hidden="1" x14ac:dyDescent="0.25">
      <c r="A67" s="46">
        <v>3</v>
      </c>
      <c r="B67" s="44" t="s">
        <v>1235</v>
      </c>
      <c r="C67" s="44" t="s">
        <v>1331</v>
      </c>
      <c r="D67" s="44" t="s">
        <v>1332</v>
      </c>
      <c r="E67" s="45">
        <v>10</v>
      </c>
      <c r="F67" s="283">
        <v>1000</v>
      </c>
      <c r="G67" s="283">
        <v>10000</v>
      </c>
      <c r="H67" s="44" t="s">
        <v>1312</v>
      </c>
      <c r="I67" s="89" t="s">
        <v>1231</v>
      </c>
      <c r="K67" s="412" t="s">
        <v>1262</v>
      </c>
    </row>
    <row r="68" spans="1:11" hidden="1" x14ac:dyDescent="0.25">
      <c r="A68" s="46">
        <v>3</v>
      </c>
      <c r="B68" s="44" t="s">
        <v>1255</v>
      </c>
      <c r="C68" s="44" t="s">
        <v>1333</v>
      </c>
      <c r="D68" s="44" t="s">
        <v>1334</v>
      </c>
      <c r="E68" s="45">
        <v>1</v>
      </c>
      <c r="F68" s="283">
        <v>3500</v>
      </c>
      <c r="G68" s="283">
        <v>3500</v>
      </c>
      <c r="H68" s="44" t="s">
        <v>1312</v>
      </c>
      <c r="I68" s="89" t="s">
        <v>1231</v>
      </c>
      <c r="K68" s="412" t="s">
        <v>1262</v>
      </c>
    </row>
    <row r="69" spans="1:11" hidden="1" x14ac:dyDescent="0.25">
      <c r="A69" s="46">
        <v>3</v>
      </c>
      <c r="B69" s="44" t="s">
        <v>1101</v>
      </c>
      <c r="C69" s="44" t="s">
        <v>722</v>
      </c>
      <c r="D69" s="44" t="s">
        <v>1335</v>
      </c>
      <c r="E69" s="45">
        <v>2</v>
      </c>
      <c r="F69" s="283">
        <v>9500</v>
      </c>
      <c r="G69" s="283">
        <v>19000</v>
      </c>
      <c r="H69" s="44" t="s">
        <v>1336</v>
      </c>
      <c r="I69" s="89" t="s">
        <v>1231</v>
      </c>
      <c r="K69" s="412" t="s">
        <v>1252</v>
      </c>
    </row>
    <row r="70" spans="1:11" hidden="1" x14ac:dyDescent="0.25">
      <c r="A70" s="46">
        <v>3</v>
      </c>
      <c r="B70" s="44" t="s">
        <v>1239</v>
      </c>
      <c r="C70" s="44" t="s">
        <v>1337</v>
      </c>
      <c r="D70" s="44" t="s">
        <v>1338</v>
      </c>
      <c r="E70" s="45">
        <v>4</v>
      </c>
      <c r="F70" s="283">
        <v>22987.5</v>
      </c>
      <c r="G70" s="283">
        <v>91950</v>
      </c>
      <c r="H70" s="44" t="s">
        <v>1339</v>
      </c>
      <c r="I70" s="90" t="s">
        <v>1246</v>
      </c>
      <c r="K70" s="412" t="s">
        <v>1340</v>
      </c>
    </row>
    <row r="71" spans="1:11" hidden="1" x14ac:dyDescent="0.25">
      <c r="A71" s="46">
        <v>3</v>
      </c>
      <c r="B71" s="44" t="s">
        <v>91</v>
      </c>
      <c r="C71" s="44" t="s">
        <v>580</v>
      </c>
      <c r="D71" s="44" t="s">
        <v>581</v>
      </c>
      <c r="E71" s="45">
        <v>1</v>
      </c>
      <c r="F71" s="283">
        <v>32000</v>
      </c>
      <c r="G71" s="283">
        <v>32000</v>
      </c>
      <c r="H71" s="44" t="s">
        <v>579</v>
      </c>
      <c r="I71" s="89" t="s">
        <v>1231</v>
      </c>
      <c r="K71" s="412" t="s">
        <v>1341</v>
      </c>
    </row>
    <row r="72" spans="1:11" hidden="1" x14ac:dyDescent="0.25">
      <c r="A72" s="46">
        <v>3</v>
      </c>
      <c r="B72" s="44" t="s">
        <v>91</v>
      </c>
      <c r="C72" s="44" t="s">
        <v>582</v>
      </c>
      <c r="D72" s="44" t="s">
        <v>583</v>
      </c>
      <c r="E72" s="45">
        <v>2</v>
      </c>
      <c r="F72" s="283">
        <v>65000</v>
      </c>
      <c r="G72" s="283">
        <v>130000</v>
      </c>
      <c r="H72" s="44" t="s">
        <v>579</v>
      </c>
      <c r="I72" s="89" t="s">
        <v>1231</v>
      </c>
      <c r="K72" s="412" t="s">
        <v>1341</v>
      </c>
    </row>
    <row r="73" spans="1:11" hidden="1" x14ac:dyDescent="0.25">
      <c r="A73" s="46">
        <v>3</v>
      </c>
      <c r="B73" s="44" t="s">
        <v>91</v>
      </c>
      <c r="C73" s="44" t="s">
        <v>584</v>
      </c>
      <c r="D73" s="44" t="s">
        <v>585</v>
      </c>
      <c r="E73" s="45">
        <v>2</v>
      </c>
      <c r="F73" s="283">
        <v>65000</v>
      </c>
      <c r="G73" s="283">
        <v>130000</v>
      </c>
      <c r="H73" s="44" t="s">
        <v>579</v>
      </c>
      <c r="I73" s="89" t="s">
        <v>1231</v>
      </c>
      <c r="K73" s="412" t="s">
        <v>1341</v>
      </c>
    </row>
    <row r="74" spans="1:11" hidden="1" x14ac:dyDescent="0.25">
      <c r="A74" s="46">
        <v>3</v>
      </c>
      <c r="B74" s="44" t="s">
        <v>91</v>
      </c>
      <c r="C74" s="44" t="s">
        <v>586</v>
      </c>
      <c r="D74" s="44" t="s">
        <v>587</v>
      </c>
      <c r="E74" s="45">
        <v>10</v>
      </c>
      <c r="F74" s="283">
        <v>28800</v>
      </c>
      <c r="G74" s="283">
        <v>288000</v>
      </c>
      <c r="H74" s="44" t="s">
        <v>579</v>
      </c>
      <c r="I74" s="89" t="s">
        <v>1231</v>
      </c>
      <c r="K74" s="412" t="s">
        <v>1341</v>
      </c>
    </row>
    <row r="75" spans="1:11" hidden="1" x14ac:dyDescent="0.25">
      <c r="A75" s="46">
        <v>3</v>
      </c>
      <c r="B75" s="44" t="s">
        <v>91</v>
      </c>
      <c r="C75" s="44" t="s">
        <v>588</v>
      </c>
      <c r="D75" s="44" t="s">
        <v>589</v>
      </c>
      <c r="E75" s="45">
        <v>8</v>
      </c>
      <c r="F75" s="283">
        <v>30000</v>
      </c>
      <c r="G75" s="283">
        <v>240000</v>
      </c>
      <c r="H75" s="44" t="s">
        <v>579</v>
      </c>
      <c r="I75" s="89" t="s">
        <v>1231</v>
      </c>
      <c r="K75" s="412" t="s">
        <v>1341</v>
      </c>
    </row>
    <row r="76" spans="1:11" hidden="1" x14ac:dyDescent="0.25">
      <c r="A76" s="46">
        <v>3</v>
      </c>
      <c r="B76" s="44" t="s">
        <v>91</v>
      </c>
      <c r="C76" s="44" t="s">
        <v>591</v>
      </c>
      <c r="D76" s="44" t="s">
        <v>592</v>
      </c>
      <c r="E76" s="45">
        <v>2</v>
      </c>
      <c r="F76" s="283">
        <v>25100</v>
      </c>
      <c r="G76" s="283">
        <v>50200</v>
      </c>
      <c r="H76" s="44" t="s">
        <v>590</v>
      </c>
      <c r="I76" s="89" t="s">
        <v>1231</v>
      </c>
      <c r="K76" s="412" t="s">
        <v>1341</v>
      </c>
    </row>
    <row r="77" spans="1:11" hidden="1" x14ac:dyDescent="0.25">
      <c r="A77" s="46">
        <v>3</v>
      </c>
      <c r="B77" s="44" t="s">
        <v>91</v>
      </c>
      <c r="C77" s="44" t="s">
        <v>591</v>
      </c>
      <c r="D77" s="44" t="s">
        <v>593</v>
      </c>
      <c r="E77" s="45">
        <v>2</v>
      </c>
      <c r="F77" s="283">
        <v>25100</v>
      </c>
      <c r="G77" s="283">
        <v>50200</v>
      </c>
      <c r="H77" s="44" t="s">
        <v>590</v>
      </c>
      <c r="I77" s="89" t="s">
        <v>1231</v>
      </c>
      <c r="K77" s="412" t="s">
        <v>1341</v>
      </c>
    </row>
    <row r="78" spans="1:11" hidden="1" x14ac:dyDescent="0.25">
      <c r="A78" s="46">
        <v>3</v>
      </c>
      <c r="B78" s="44" t="s">
        <v>91</v>
      </c>
      <c r="C78" s="44" t="s">
        <v>591</v>
      </c>
      <c r="D78" s="44" t="s">
        <v>594</v>
      </c>
      <c r="E78" s="45">
        <v>2</v>
      </c>
      <c r="F78" s="283">
        <v>25100</v>
      </c>
      <c r="G78" s="283">
        <v>50200</v>
      </c>
      <c r="H78" s="44" t="s">
        <v>590</v>
      </c>
      <c r="I78" s="89" t="s">
        <v>1231</v>
      </c>
      <c r="K78" s="412" t="s">
        <v>1341</v>
      </c>
    </row>
    <row r="79" spans="1:11" hidden="1" x14ac:dyDescent="0.25">
      <c r="A79" s="46">
        <v>3</v>
      </c>
      <c r="B79" s="44" t="s">
        <v>1235</v>
      </c>
      <c r="C79" s="44" t="s">
        <v>1114</v>
      </c>
      <c r="D79" s="44" t="s">
        <v>1342</v>
      </c>
      <c r="E79" s="45">
        <v>4</v>
      </c>
      <c r="F79" s="283">
        <v>26000</v>
      </c>
      <c r="G79" s="283">
        <v>104000</v>
      </c>
      <c r="H79" s="44" t="s">
        <v>1343</v>
      </c>
      <c r="I79" s="89" t="s">
        <v>1231</v>
      </c>
      <c r="K79" s="412" t="s">
        <v>1294</v>
      </c>
    </row>
    <row r="80" spans="1:11" hidden="1" x14ac:dyDescent="0.25">
      <c r="A80" s="46">
        <v>3</v>
      </c>
      <c r="B80" s="44" t="s">
        <v>1230</v>
      </c>
      <c r="C80" s="44" t="s">
        <v>233</v>
      </c>
      <c r="D80" s="44" t="s">
        <v>234</v>
      </c>
      <c r="E80" s="45">
        <v>5.96</v>
      </c>
      <c r="F80" s="283">
        <v>34000</v>
      </c>
      <c r="G80" s="283">
        <v>202640</v>
      </c>
      <c r="H80" s="398" t="s">
        <v>232</v>
      </c>
      <c r="I80" s="89" t="s">
        <v>1231</v>
      </c>
      <c r="K80" s="412" t="s">
        <v>1344</v>
      </c>
    </row>
    <row r="81" spans="1:11" hidden="1" x14ac:dyDescent="0.25">
      <c r="A81" s="46">
        <v>3</v>
      </c>
      <c r="B81" s="44" t="s">
        <v>1230</v>
      </c>
      <c r="C81" s="44" t="s">
        <v>235</v>
      </c>
      <c r="D81" s="44" t="s">
        <v>236</v>
      </c>
      <c r="E81" s="45">
        <v>7</v>
      </c>
      <c r="F81" s="283">
        <v>20000</v>
      </c>
      <c r="G81" s="283">
        <v>140000</v>
      </c>
      <c r="H81" s="398" t="s">
        <v>232</v>
      </c>
      <c r="I81" s="89" t="s">
        <v>1231</v>
      </c>
      <c r="K81" s="412" t="s">
        <v>1344</v>
      </c>
    </row>
    <row r="82" spans="1:11" hidden="1" x14ac:dyDescent="0.25">
      <c r="A82" s="46">
        <v>3</v>
      </c>
      <c r="B82" s="44" t="s">
        <v>1230</v>
      </c>
      <c r="C82" s="44" t="s">
        <v>226</v>
      </c>
      <c r="D82" s="44" t="s">
        <v>238</v>
      </c>
      <c r="E82" s="45">
        <v>5.8</v>
      </c>
      <c r="F82" s="283">
        <v>22000</v>
      </c>
      <c r="G82" s="283">
        <v>127600</v>
      </c>
      <c r="H82" s="398" t="s">
        <v>237</v>
      </c>
      <c r="I82" s="89" t="s">
        <v>1231</v>
      </c>
      <c r="K82" s="412" t="s">
        <v>1344</v>
      </c>
    </row>
    <row r="83" spans="1:11" hidden="1" x14ac:dyDescent="0.25">
      <c r="A83" s="46">
        <v>3</v>
      </c>
      <c r="B83" s="44" t="s">
        <v>1230</v>
      </c>
      <c r="C83" s="44" t="s">
        <v>239</v>
      </c>
      <c r="D83" s="44" t="s">
        <v>240</v>
      </c>
      <c r="E83" s="45">
        <v>7.35</v>
      </c>
      <c r="F83" s="283">
        <v>54000</v>
      </c>
      <c r="G83" s="283">
        <v>396900</v>
      </c>
      <c r="H83" s="398" t="s">
        <v>237</v>
      </c>
      <c r="I83" s="89" t="s">
        <v>1231</v>
      </c>
      <c r="K83" s="412" t="s">
        <v>1344</v>
      </c>
    </row>
    <row r="84" spans="1:11" hidden="1" x14ac:dyDescent="0.25">
      <c r="A84" s="46">
        <v>3</v>
      </c>
      <c r="B84" s="44" t="s">
        <v>1230</v>
      </c>
      <c r="C84" s="44" t="s">
        <v>233</v>
      </c>
      <c r="D84" s="44" t="s">
        <v>242</v>
      </c>
      <c r="E84" s="45">
        <v>4.05</v>
      </c>
      <c r="F84" s="283">
        <v>33000</v>
      </c>
      <c r="G84" s="283">
        <v>133650</v>
      </c>
      <c r="H84" s="398" t="s">
        <v>241</v>
      </c>
      <c r="I84" s="89" t="s">
        <v>1231</v>
      </c>
      <c r="K84" s="412" t="s">
        <v>1344</v>
      </c>
    </row>
    <row r="85" spans="1:11" hidden="1" x14ac:dyDescent="0.25">
      <c r="A85" s="46">
        <v>3</v>
      </c>
      <c r="B85" s="44" t="s">
        <v>1230</v>
      </c>
      <c r="C85" s="44" t="s">
        <v>243</v>
      </c>
      <c r="D85" s="44" t="s">
        <v>244</v>
      </c>
      <c r="E85" s="45">
        <v>10.3</v>
      </c>
      <c r="F85" s="283">
        <v>20000</v>
      </c>
      <c r="G85" s="283">
        <v>206000</v>
      </c>
      <c r="H85" s="398" t="s">
        <v>241</v>
      </c>
      <c r="I85" s="89" t="s">
        <v>1231</v>
      </c>
      <c r="K85" s="412" t="s">
        <v>1344</v>
      </c>
    </row>
    <row r="86" spans="1:11" hidden="1" x14ac:dyDescent="0.25">
      <c r="A86" s="46">
        <v>3</v>
      </c>
      <c r="B86" s="44" t="s">
        <v>1239</v>
      </c>
      <c r="C86" s="44" t="s">
        <v>1345</v>
      </c>
      <c r="D86" s="44" t="s">
        <v>1346</v>
      </c>
      <c r="E86" s="45">
        <v>2</v>
      </c>
      <c r="F86" s="283">
        <v>254000</v>
      </c>
      <c r="G86" s="283">
        <v>508000</v>
      </c>
      <c r="H86" s="44" t="s">
        <v>1347</v>
      </c>
      <c r="I86" s="90" t="s">
        <v>1246</v>
      </c>
      <c r="K86" s="412" t="s">
        <v>1348</v>
      </c>
    </row>
    <row r="87" spans="1:11" hidden="1" x14ac:dyDescent="0.25">
      <c r="A87" s="46">
        <v>3</v>
      </c>
      <c r="B87" s="44" t="s">
        <v>1239</v>
      </c>
      <c r="C87" s="44" t="s">
        <v>1349</v>
      </c>
      <c r="D87" s="44" t="s">
        <v>1350</v>
      </c>
      <c r="E87" s="45">
        <v>1</v>
      </c>
      <c r="F87" s="283">
        <v>160000</v>
      </c>
      <c r="G87" s="283">
        <v>160000</v>
      </c>
      <c r="H87" s="44" t="s">
        <v>1347</v>
      </c>
      <c r="I87" s="90" t="s">
        <v>1246</v>
      </c>
      <c r="K87" s="412" t="s">
        <v>1348</v>
      </c>
    </row>
    <row r="88" spans="1:11" hidden="1" x14ac:dyDescent="0.25">
      <c r="A88" s="46">
        <v>3</v>
      </c>
      <c r="B88" s="44" t="s">
        <v>1239</v>
      </c>
      <c r="C88" s="44" t="s">
        <v>1306</v>
      </c>
      <c r="D88" s="44" t="s">
        <v>1351</v>
      </c>
      <c r="E88" s="45">
        <v>1</v>
      </c>
      <c r="F88" s="283">
        <v>70000</v>
      </c>
      <c r="G88" s="283">
        <v>70000</v>
      </c>
      <c r="H88" s="44" t="s">
        <v>1347</v>
      </c>
      <c r="I88" s="90" t="s">
        <v>1246</v>
      </c>
      <c r="K88" s="412" t="s">
        <v>1348</v>
      </c>
    </row>
    <row r="89" spans="1:11" hidden="1" x14ac:dyDescent="0.25">
      <c r="A89" s="46">
        <v>3</v>
      </c>
      <c r="B89" s="44" t="s">
        <v>1239</v>
      </c>
      <c r="C89" s="44" t="s">
        <v>1240</v>
      </c>
      <c r="D89" s="44" t="s">
        <v>1352</v>
      </c>
      <c r="E89" s="45">
        <v>100</v>
      </c>
      <c r="F89" s="283">
        <v>150</v>
      </c>
      <c r="G89" s="283">
        <v>15000</v>
      </c>
      <c r="H89" s="44" t="s">
        <v>1353</v>
      </c>
      <c r="I89" s="89" t="s">
        <v>1231</v>
      </c>
      <c r="K89" s="412" t="s">
        <v>1243</v>
      </c>
    </row>
    <row r="90" spans="1:11" hidden="1" x14ac:dyDescent="0.25">
      <c r="A90" s="46">
        <v>3</v>
      </c>
      <c r="B90" s="44" t="s">
        <v>1239</v>
      </c>
      <c r="C90" s="44" t="s">
        <v>1354</v>
      </c>
      <c r="D90" s="44" t="s">
        <v>1355</v>
      </c>
      <c r="E90" s="45">
        <v>15</v>
      </c>
      <c r="F90" s="283">
        <v>13233.33</v>
      </c>
      <c r="G90" s="283">
        <v>198500</v>
      </c>
      <c r="H90" s="44" t="s">
        <v>1353</v>
      </c>
      <c r="I90" s="90" t="s">
        <v>1246</v>
      </c>
      <c r="K90" s="412" t="s">
        <v>1294</v>
      </c>
    </row>
    <row r="91" spans="1:11" hidden="1" x14ac:dyDescent="0.25">
      <c r="A91" s="46">
        <v>3</v>
      </c>
      <c r="B91" s="44" t="s">
        <v>1101</v>
      </c>
      <c r="C91" s="44" t="s">
        <v>1356</v>
      </c>
      <c r="D91" s="44" t="s">
        <v>1357</v>
      </c>
      <c r="E91" s="45">
        <v>6</v>
      </c>
      <c r="F91" s="283">
        <v>3100</v>
      </c>
      <c r="G91" s="283">
        <v>18600</v>
      </c>
      <c r="H91" s="44" t="s">
        <v>1358</v>
      </c>
      <c r="I91" s="89" t="s">
        <v>1231</v>
      </c>
      <c r="K91" s="412" t="s">
        <v>1232</v>
      </c>
    </row>
    <row r="92" spans="1:11" x14ac:dyDescent="0.25">
      <c r="A92" s="46">
        <v>3</v>
      </c>
      <c r="B92" s="44" t="s">
        <v>1230</v>
      </c>
      <c r="C92" s="44" t="s">
        <v>246</v>
      </c>
      <c r="D92" s="44" t="s">
        <v>247</v>
      </c>
      <c r="E92" s="45">
        <v>4</v>
      </c>
      <c r="F92" s="283">
        <v>48000</v>
      </c>
      <c r="G92" s="283">
        <v>192000</v>
      </c>
      <c r="H92" s="44" t="s">
        <v>245</v>
      </c>
      <c r="I92" s="90" t="s">
        <v>1246</v>
      </c>
      <c r="K92" s="412" t="s">
        <v>1294</v>
      </c>
    </row>
    <row r="93" spans="1:11" x14ac:dyDescent="0.25">
      <c r="A93" s="46">
        <v>3</v>
      </c>
      <c r="B93" s="44" t="s">
        <v>1230</v>
      </c>
      <c r="C93" s="44" t="s">
        <v>246</v>
      </c>
      <c r="D93" s="44" t="s">
        <v>248</v>
      </c>
      <c r="E93" s="45">
        <v>1</v>
      </c>
      <c r="F93" s="283">
        <v>46000</v>
      </c>
      <c r="G93" s="283">
        <v>46000</v>
      </c>
      <c r="H93" s="44" t="s">
        <v>245</v>
      </c>
      <c r="I93" s="90" t="s">
        <v>1246</v>
      </c>
      <c r="K93" s="412" t="s">
        <v>1294</v>
      </c>
    </row>
    <row r="94" spans="1:11" hidden="1" x14ac:dyDescent="0.25">
      <c r="A94" s="46">
        <v>4</v>
      </c>
      <c r="B94" s="44" t="s">
        <v>1101</v>
      </c>
      <c r="C94" s="44" t="s">
        <v>722</v>
      </c>
      <c r="D94" s="44" t="s">
        <v>1359</v>
      </c>
      <c r="E94" s="45">
        <v>2</v>
      </c>
      <c r="F94" s="283">
        <v>9500</v>
      </c>
      <c r="G94" s="283">
        <v>19000</v>
      </c>
      <c r="H94" s="44" t="s">
        <v>1360</v>
      </c>
      <c r="I94" s="89" t="s">
        <v>1231</v>
      </c>
      <c r="K94" s="412" t="s">
        <v>1252</v>
      </c>
    </row>
    <row r="95" spans="1:11" hidden="1" x14ac:dyDescent="0.25">
      <c r="A95" s="46">
        <v>4</v>
      </c>
      <c r="B95" s="44" t="s">
        <v>1101</v>
      </c>
      <c r="C95" s="44" t="s">
        <v>1253</v>
      </c>
      <c r="D95" s="44" t="s">
        <v>1361</v>
      </c>
      <c r="E95" s="45">
        <v>2</v>
      </c>
      <c r="F95" s="283">
        <v>5000</v>
      </c>
      <c r="G95" s="283">
        <v>10000</v>
      </c>
      <c r="H95" s="44" t="s">
        <v>1360</v>
      </c>
      <c r="I95" s="89" t="s">
        <v>1231</v>
      </c>
      <c r="K95" s="412" t="s">
        <v>1252</v>
      </c>
    </row>
    <row r="96" spans="1:11" hidden="1" x14ac:dyDescent="0.25">
      <c r="A96" s="46">
        <v>4</v>
      </c>
      <c r="B96" s="44" t="s">
        <v>1101</v>
      </c>
      <c r="C96" s="44" t="s">
        <v>1362</v>
      </c>
      <c r="D96" s="44" t="s">
        <v>1363</v>
      </c>
      <c r="E96" s="45">
        <v>3</v>
      </c>
      <c r="F96" s="283">
        <v>6200</v>
      </c>
      <c r="G96" s="283">
        <v>18600</v>
      </c>
      <c r="H96" s="44" t="s">
        <v>1364</v>
      </c>
      <c r="I96" s="89" t="s">
        <v>1231</v>
      </c>
      <c r="K96" s="412" t="s">
        <v>1365</v>
      </c>
    </row>
    <row r="97" spans="1:11" hidden="1" x14ac:dyDescent="0.25">
      <c r="A97" s="46">
        <v>4</v>
      </c>
      <c r="B97" s="44" t="s">
        <v>1101</v>
      </c>
      <c r="C97" s="44" t="s">
        <v>1366</v>
      </c>
      <c r="D97" s="44" t="s">
        <v>1367</v>
      </c>
      <c r="E97" s="45">
        <v>3</v>
      </c>
      <c r="F97" s="283">
        <v>3000</v>
      </c>
      <c r="G97" s="283">
        <v>9000</v>
      </c>
      <c r="H97" s="44" t="s">
        <v>1364</v>
      </c>
      <c r="I97" s="89" t="s">
        <v>1231</v>
      </c>
      <c r="K97" s="412" t="s">
        <v>1365</v>
      </c>
    </row>
    <row r="98" spans="1:11" hidden="1" x14ac:dyDescent="0.25">
      <c r="A98" s="46">
        <v>4</v>
      </c>
      <c r="B98" s="44" t="s">
        <v>1101</v>
      </c>
      <c r="C98" s="44" t="s">
        <v>1368</v>
      </c>
      <c r="D98" s="44" t="s">
        <v>1369</v>
      </c>
      <c r="E98" s="45">
        <v>1</v>
      </c>
      <c r="F98" s="283">
        <v>8400</v>
      </c>
      <c r="G98" s="283">
        <v>8400</v>
      </c>
      <c r="H98" s="44" t="s">
        <v>1364</v>
      </c>
      <c r="I98" s="89" t="s">
        <v>1231</v>
      </c>
      <c r="K98" s="412" t="s">
        <v>1365</v>
      </c>
    </row>
    <row r="99" spans="1:11" hidden="1" x14ac:dyDescent="0.25">
      <c r="A99" s="46">
        <v>4</v>
      </c>
      <c r="B99" s="44" t="s">
        <v>1101</v>
      </c>
      <c r="C99" s="44" t="s">
        <v>1370</v>
      </c>
      <c r="D99" s="44" t="s">
        <v>1371</v>
      </c>
      <c r="E99" s="45">
        <v>5</v>
      </c>
      <c r="F99" s="283">
        <v>6650</v>
      </c>
      <c r="G99" s="283">
        <v>33250</v>
      </c>
      <c r="H99" s="44" t="s">
        <v>1364</v>
      </c>
      <c r="I99" s="89" t="s">
        <v>1231</v>
      </c>
      <c r="K99" s="412" t="s">
        <v>1365</v>
      </c>
    </row>
    <row r="100" spans="1:11" hidden="1" x14ac:dyDescent="0.25">
      <c r="A100" s="46">
        <v>4</v>
      </c>
      <c r="B100" s="44" t="s">
        <v>1101</v>
      </c>
      <c r="C100" s="44" t="s">
        <v>1372</v>
      </c>
      <c r="D100" s="44" t="s">
        <v>1373</v>
      </c>
      <c r="E100" s="45">
        <v>80</v>
      </c>
      <c r="F100" s="283">
        <v>1400</v>
      </c>
      <c r="G100" s="283">
        <v>112000</v>
      </c>
      <c r="H100" s="44" t="s">
        <v>1364</v>
      </c>
      <c r="I100" s="89" t="s">
        <v>1231</v>
      </c>
      <c r="K100" s="412" t="s">
        <v>1365</v>
      </c>
    </row>
    <row r="101" spans="1:11" hidden="1" x14ac:dyDescent="0.25">
      <c r="A101" s="46">
        <v>4</v>
      </c>
      <c r="B101" s="44" t="s">
        <v>1101</v>
      </c>
      <c r="C101" s="44" t="s">
        <v>1374</v>
      </c>
      <c r="D101" s="44" t="s">
        <v>1375</v>
      </c>
      <c r="E101" s="45">
        <v>10</v>
      </c>
      <c r="F101" s="283">
        <v>450</v>
      </c>
      <c r="G101" s="283">
        <v>4500</v>
      </c>
      <c r="H101" s="44" t="s">
        <v>1364</v>
      </c>
      <c r="I101" s="89" t="s">
        <v>1231</v>
      </c>
      <c r="K101" s="412" t="s">
        <v>1365</v>
      </c>
    </row>
    <row r="102" spans="1:11" hidden="1" x14ac:dyDescent="0.25">
      <c r="A102" s="46">
        <v>4</v>
      </c>
      <c r="B102" s="44" t="s">
        <v>1101</v>
      </c>
      <c r="C102" s="44" t="s">
        <v>1376</v>
      </c>
      <c r="D102" s="44" t="s">
        <v>1377</v>
      </c>
      <c r="E102" s="45">
        <v>20</v>
      </c>
      <c r="F102" s="283">
        <v>900</v>
      </c>
      <c r="G102" s="283">
        <v>18000</v>
      </c>
      <c r="H102" s="44" t="s">
        <v>1364</v>
      </c>
      <c r="I102" s="89" t="s">
        <v>1231</v>
      </c>
      <c r="K102" s="412" t="s">
        <v>1365</v>
      </c>
    </row>
    <row r="103" spans="1:11" hidden="1" x14ac:dyDescent="0.25">
      <c r="A103" s="46">
        <v>4</v>
      </c>
      <c r="B103" s="44" t="s">
        <v>1101</v>
      </c>
      <c r="C103" s="44" t="s">
        <v>1378</v>
      </c>
      <c r="D103" s="44" t="s">
        <v>1379</v>
      </c>
      <c r="E103" s="45">
        <v>5</v>
      </c>
      <c r="F103" s="283">
        <v>4600</v>
      </c>
      <c r="G103" s="283">
        <v>23000</v>
      </c>
      <c r="H103" s="44" t="s">
        <v>1364</v>
      </c>
      <c r="I103" s="89" t="s">
        <v>1231</v>
      </c>
      <c r="K103" s="412" t="s">
        <v>1365</v>
      </c>
    </row>
    <row r="104" spans="1:11" hidden="1" x14ac:dyDescent="0.25">
      <c r="A104" s="46">
        <v>4</v>
      </c>
      <c r="B104" s="44" t="s">
        <v>1101</v>
      </c>
      <c r="C104" s="44" t="s">
        <v>1380</v>
      </c>
      <c r="D104" s="44" t="s">
        <v>1381</v>
      </c>
      <c r="E104" s="45">
        <v>3</v>
      </c>
      <c r="F104" s="283">
        <v>9600</v>
      </c>
      <c r="G104" s="283">
        <v>28800</v>
      </c>
      <c r="H104" s="44" t="s">
        <v>1364</v>
      </c>
      <c r="I104" s="89" t="s">
        <v>1231</v>
      </c>
      <c r="K104" s="412" t="s">
        <v>1365</v>
      </c>
    </row>
    <row r="105" spans="1:11" hidden="1" x14ac:dyDescent="0.25">
      <c r="A105" s="46">
        <v>4</v>
      </c>
      <c r="B105" s="44" t="s">
        <v>1101</v>
      </c>
      <c r="C105" s="44" t="s">
        <v>1382</v>
      </c>
      <c r="D105" s="44" t="s">
        <v>1383</v>
      </c>
      <c r="E105" s="45">
        <v>2</v>
      </c>
      <c r="F105" s="283">
        <v>27500</v>
      </c>
      <c r="G105" s="283">
        <v>55000</v>
      </c>
      <c r="H105" s="44" t="s">
        <v>1364</v>
      </c>
      <c r="I105" s="89" t="s">
        <v>1231</v>
      </c>
      <c r="K105" s="412" t="s">
        <v>1365</v>
      </c>
    </row>
    <row r="106" spans="1:11" hidden="1" x14ac:dyDescent="0.25">
      <c r="A106" s="46">
        <v>4</v>
      </c>
      <c r="B106" s="44" t="s">
        <v>1101</v>
      </c>
      <c r="C106" s="44" t="s">
        <v>1384</v>
      </c>
      <c r="D106" s="44" t="s">
        <v>1385</v>
      </c>
      <c r="E106" s="45">
        <v>2</v>
      </c>
      <c r="F106" s="283">
        <v>23800</v>
      </c>
      <c r="G106" s="283">
        <v>47600</v>
      </c>
      <c r="H106" s="44" t="s">
        <v>1364</v>
      </c>
      <c r="I106" s="89" t="s">
        <v>1231</v>
      </c>
      <c r="K106" s="412" t="s">
        <v>1365</v>
      </c>
    </row>
    <row r="107" spans="1:11" hidden="1" x14ac:dyDescent="0.25">
      <c r="A107" s="46">
        <v>4</v>
      </c>
      <c r="B107" s="44" t="s">
        <v>1101</v>
      </c>
      <c r="C107" s="44" t="s">
        <v>1386</v>
      </c>
      <c r="D107" s="44" t="s">
        <v>1387</v>
      </c>
      <c r="E107" s="45">
        <v>6</v>
      </c>
      <c r="F107" s="283">
        <v>2500</v>
      </c>
      <c r="G107" s="283">
        <v>15000</v>
      </c>
      <c r="H107" s="44" t="s">
        <v>1364</v>
      </c>
      <c r="I107" s="89" t="s">
        <v>1231</v>
      </c>
      <c r="K107" s="412" t="s">
        <v>1365</v>
      </c>
    </row>
    <row r="108" spans="1:11" hidden="1" x14ac:dyDescent="0.25">
      <c r="A108" s="46">
        <v>4</v>
      </c>
      <c r="B108" s="44" t="s">
        <v>1101</v>
      </c>
      <c r="C108" s="44" t="s">
        <v>1388</v>
      </c>
      <c r="D108" s="44" t="s">
        <v>1389</v>
      </c>
      <c r="E108" s="45">
        <v>150</v>
      </c>
      <c r="F108" s="283">
        <v>390</v>
      </c>
      <c r="G108" s="283">
        <v>58500</v>
      </c>
      <c r="H108" s="44" t="s">
        <v>1364</v>
      </c>
      <c r="I108" s="89" t="s">
        <v>1231</v>
      </c>
      <c r="K108" s="412" t="s">
        <v>1365</v>
      </c>
    </row>
    <row r="109" spans="1:11" hidden="1" x14ac:dyDescent="0.25">
      <c r="A109" s="46">
        <v>4</v>
      </c>
      <c r="B109" s="44" t="s">
        <v>1101</v>
      </c>
      <c r="C109" s="44" t="s">
        <v>1390</v>
      </c>
      <c r="D109" s="44" t="s">
        <v>1391</v>
      </c>
      <c r="E109" s="45">
        <v>1</v>
      </c>
      <c r="F109" s="283">
        <v>17500</v>
      </c>
      <c r="G109" s="283">
        <v>17500</v>
      </c>
      <c r="H109" s="44" t="s">
        <v>1364</v>
      </c>
      <c r="I109" s="89" t="s">
        <v>1231</v>
      </c>
      <c r="K109" s="412" t="s">
        <v>1365</v>
      </c>
    </row>
    <row r="110" spans="1:11" hidden="1" x14ac:dyDescent="0.25">
      <c r="A110" s="46">
        <v>4</v>
      </c>
      <c r="B110" s="44" t="s">
        <v>1101</v>
      </c>
      <c r="C110" s="44" t="s">
        <v>1392</v>
      </c>
      <c r="D110" s="44" t="s">
        <v>1393</v>
      </c>
      <c r="E110" s="45">
        <v>5</v>
      </c>
      <c r="F110" s="283">
        <v>10600</v>
      </c>
      <c r="G110" s="283">
        <v>53000</v>
      </c>
      <c r="H110" s="44" t="s">
        <v>1364</v>
      </c>
      <c r="I110" s="89" t="s">
        <v>1231</v>
      </c>
      <c r="K110" s="412" t="s">
        <v>1365</v>
      </c>
    </row>
    <row r="111" spans="1:11" hidden="1" x14ac:dyDescent="0.25">
      <c r="A111" s="46">
        <v>4</v>
      </c>
      <c r="B111" s="44" t="s">
        <v>1101</v>
      </c>
      <c r="C111" s="44" t="s">
        <v>1394</v>
      </c>
      <c r="D111" s="44" t="s">
        <v>1395</v>
      </c>
      <c r="E111" s="45">
        <v>1</v>
      </c>
      <c r="F111" s="283">
        <v>23700</v>
      </c>
      <c r="G111" s="283">
        <v>23700</v>
      </c>
      <c r="H111" s="44" t="s">
        <v>1364</v>
      </c>
      <c r="I111" s="89" t="s">
        <v>1231</v>
      </c>
      <c r="K111" s="412" t="s">
        <v>1365</v>
      </c>
    </row>
    <row r="112" spans="1:11" hidden="1" x14ac:dyDescent="0.25">
      <c r="A112" s="46">
        <v>4</v>
      </c>
      <c r="B112" s="44" t="s">
        <v>1101</v>
      </c>
      <c r="C112" s="44" t="s">
        <v>1396</v>
      </c>
      <c r="D112" s="44" t="s">
        <v>1397</v>
      </c>
      <c r="E112" s="45">
        <v>5</v>
      </c>
      <c r="F112" s="283">
        <v>2100</v>
      </c>
      <c r="G112" s="283">
        <v>10500</v>
      </c>
      <c r="H112" s="44" t="s">
        <v>1364</v>
      </c>
      <c r="I112" s="89" t="s">
        <v>1231</v>
      </c>
      <c r="K112" s="412" t="s">
        <v>1365</v>
      </c>
    </row>
    <row r="113" spans="1:11" hidden="1" x14ac:dyDescent="0.25">
      <c r="A113" s="46">
        <v>4</v>
      </c>
      <c r="B113" s="44" t="s">
        <v>1101</v>
      </c>
      <c r="C113" s="44" t="s">
        <v>1398</v>
      </c>
      <c r="D113" s="44" t="s">
        <v>1399</v>
      </c>
      <c r="E113" s="45">
        <v>25</v>
      </c>
      <c r="F113" s="283">
        <v>2100</v>
      </c>
      <c r="G113" s="283">
        <v>52500</v>
      </c>
      <c r="H113" s="44" t="s">
        <v>1364</v>
      </c>
      <c r="I113" s="89" t="s">
        <v>1231</v>
      </c>
      <c r="K113" s="412" t="s">
        <v>1365</v>
      </c>
    </row>
    <row r="114" spans="1:11" hidden="1" x14ac:dyDescent="0.25">
      <c r="A114" s="46">
        <v>4</v>
      </c>
      <c r="B114" s="44" t="s">
        <v>1101</v>
      </c>
      <c r="C114" s="44" t="s">
        <v>1400</v>
      </c>
      <c r="D114" s="44" t="s">
        <v>1401</v>
      </c>
      <c r="E114" s="45">
        <v>1</v>
      </c>
      <c r="F114" s="283">
        <v>19850</v>
      </c>
      <c r="G114" s="283">
        <v>19850</v>
      </c>
      <c r="H114" s="44" t="s">
        <v>1364</v>
      </c>
      <c r="I114" s="89" t="s">
        <v>1231</v>
      </c>
      <c r="K114" s="412" t="s">
        <v>1365</v>
      </c>
    </row>
    <row r="115" spans="1:11" hidden="1" x14ac:dyDescent="0.25">
      <c r="A115" s="46">
        <v>4</v>
      </c>
      <c r="B115" s="44" t="s">
        <v>1101</v>
      </c>
      <c r="C115" s="44" t="s">
        <v>1402</v>
      </c>
      <c r="D115" s="44" t="s">
        <v>1403</v>
      </c>
      <c r="E115" s="45">
        <v>1</v>
      </c>
      <c r="F115" s="283">
        <v>34300</v>
      </c>
      <c r="G115" s="283">
        <v>34300</v>
      </c>
      <c r="H115" s="44" t="s">
        <v>1364</v>
      </c>
      <c r="I115" s="89" t="s">
        <v>1231</v>
      </c>
      <c r="K115" s="412" t="s">
        <v>1365</v>
      </c>
    </row>
    <row r="116" spans="1:11" hidden="1" x14ac:dyDescent="0.25">
      <c r="A116" s="46">
        <v>4</v>
      </c>
      <c r="B116" s="44" t="s">
        <v>1101</v>
      </c>
      <c r="C116" s="44" t="s">
        <v>1404</v>
      </c>
      <c r="D116" s="44" t="s">
        <v>1405</v>
      </c>
      <c r="E116" s="45">
        <v>1</v>
      </c>
      <c r="F116" s="283">
        <v>15100</v>
      </c>
      <c r="G116" s="283">
        <v>15100</v>
      </c>
      <c r="H116" s="44" t="s">
        <v>1364</v>
      </c>
      <c r="I116" s="89" t="s">
        <v>1231</v>
      </c>
      <c r="K116" s="412" t="s">
        <v>1365</v>
      </c>
    </row>
    <row r="117" spans="1:11" hidden="1" x14ac:dyDescent="0.25">
      <c r="A117" s="46">
        <v>4</v>
      </c>
      <c r="B117" s="44" t="s">
        <v>1101</v>
      </c>
      <c r="C117" s="44" t="s">
        <v>1406</v>
      </c>
      <c r="D117" s="44" t="s">
        <v>1407</v>
      </c>
      <c r="E117" s="45">
        <v>200</v>
      </c>
      <c r="F117" s="283">
        <v>270</v>
      </c>
      <c r="G117" s="283">
        <v>54000</v>
      </c>
      <c r="H117" s="44" t="s">
        <v>1364</v>
      </c>
      <c r="I117" s="89" t="s">
        <v>1231</v>
      </c>
      <c r="K117" s="412" t="s">
        <v>1365</v>
      </c>
    </row>
    <row r="118" spans="1:11" hidden="1" x14ac:dyDescent="0.25">
      <c r="A118" s="46">
        <v>4</v>
      </c>
      <c r="B118" s="44" t="s">
        <v>1101</v>
      </c>
      <c r="C118" s="44" t="s">
        <v>1408</v>
      </c>
      <c r="D118" s="44" t="s">
        <v>1409</v>
      </c>
      <c r="E118" s="45">
        <v>100</v>
      </c>
      <c r="F118" s="283">
        <v>950</v>
      </c>
      <c r="G118" s="283">
        <v>95000</v>
      </c>
      <c r="H118" s="44" t="s">
        <v>1364</v>
      </c>
      <c r="I118" s="89" t="s">
        <v>1231</v>
      </c>
      <c r="K118" s="412" t="s">
        <v>1365</v>
      </c>
    </row>
    <row r="119" spans="1:11" hidden="1" x14ac:dyDescent="0.25">
      <c r="A119" s="46">
        <v>4</v>
      </c>
      <c r="B119" s="44" t="s">
        <v>1101</v>
      </c>
      <c r="C119" s="44" t="s">
        <v>1410</v>
      </c>
      <c r="D119" s="44" t="s">
        <v>1411</v>
      </c>
      <c r="E119" s="45">
        <v>200</v>
      </c>
      <c r="F119" s="283">
        <v>440</v>
      </c>
      <c r="G119" s="283">
        <v>88000</v>
      </c>
      <c r="H119" s="44" t="s">
        <v>1364</v>
      </c>
      <c r="I119" s="89" t="s">
        <v>1231</v>
      </c>
      <c r="K119" s="412" t="s">
        <v>1365</v>
      </c>
    </row>
    <row r="120" spans="1:11" hidden="1" x14ac:dyDescent="0.25">
      <c r="A120" s="46">
        <v>4</v>
      </c>
      <c r="B120" s="44" t="s">
        <v>1101</v>
      </c>
      <c r="C120" s="44" t="s">
        <v>1412</v>
      </c>
      <c r="D120" s="44" t="s">
        <v>1413</v>
      </c>
      <c r="E120" s="45">
        <v>400</v>
      </c>
      <c r="F120" s="283">
        <v>440</v>
      </c>
      <c r="G120" s="283">
        <v>176000</v>
      </c>
      <c r="H120" s="44" t="s">
        <v>1364</v>
      </c>
      <c r="I120" s="89" t="s">
        <v>1231</v>
      </c>
      <c r="K120" s="412" t="s">
        <v>1365</v>
      </c>
    </row>
    <row r="121" spans="1:11" hidden="1" x14ac:dyDescent="0.25">
      <c r="A121" s="46">
        <v>4</v>
      </c>
      <c r="B121" s="44" t="s">
        <v>1101</v>
      </c>
      <c r="C121" s="44" t="s">
        <v>1414</v>
      </c>
      <c r="D121" s="44" t="s">
        <v>1415</v>
      </c>
      <c r="E121" s="45">
        <v>2</v>
      </c>
      <c r="F121" s="283">
        <v>30350</v>
      </c>
      <c r="G121" s="283">
        <v>60700</v>
      </c>
      <c r="H121" s="44" t="s">
        <v>1364</v>
      </c>
      <c r="I121" s="89" t="s">
        <v>1231</v>
      </c>
      <c r="K121" s="412" t="s">
        <v>1365</v>
      </c>
    </row>
    <row r="122" spans="1:11" hidden="1" x14ac:dyDescent="0.25">
      <c r="A122" s="46">
        <v>4</v>
      </c>
      <c r="B122" s="44" t="s">
        <v>1101</v>
      </c>
      <c r="C122" s="44" t="s">
        <v>1416</v>
      </c>
      <c r="D122" s="44" t="s">
        <v>1417</v>
      </c>
      <c r="E122" s="45">
        <v>2</v>
      </c>
      <c r="F122" s="283">
        <v>18650</v>
      </c>
      <c r="G122" s="283">
        <v>37300</v>
      </c>
      <c r="H122" s="44" t="s">
        <v>1364</v>
      </c>
      <c r="I122" s="89" t="s">
        <v>1231</v>
      </c>
      <c r="K122" s="412" t="s">
        <v>1365</v>
      </c>
    </row>
    <row r="123" spans="1:11" hidden="1" x14ac:dyDescent="0.25">
      <c r="A123" s="46">
        <v>4</v>
      </c>
      <c r="B123" s="44" t="s">
        <v>1101</v>
      </c>
      <c r="C123" s="44" t="s">
        <v>1418</v>
      </c>
      <c r="D123" s="44" t="s">
        <v>1419</v>
      </c>
      <c r="E123" s="45">
        <v>1</v>
      </c>
      <c r="F123" s="283">
        <v>14600</v>
      </c>
      <c r="G123" s="283">
        <v>14600</v>
      </c>
      <c r="H123" s="44" t="s">
        <v>1364</v>
      </c>
      <c r="I123" s="89" t="s">
        <v>1231</v>
      </c>
      <c r="K123" s="412" t="s">
        <v>1365</v>
      </c>
    </row>
    <row r="124" spans="1:11" hidden="1" x14ac:dyDescent="0.25">
      <c r="A124" s="46">
        <v>4</v>
      </c>
      <c r="B124" s="44" t="s">
        <v>1101</v>
      </c>
      <c r="C124" s="44" t="s">
        <v>1420</v>
      </c>
      <c r="D124" s="44" t="s">
        <v>1421</v>
      </c>
      <c r="E124" s="45">
        <v>5</v>
      </c>
      <c r="F124" s="283">
        <v>20950</v>
      </c>
      <c r="G124" s="283">
        <v>104750</v>
      </c>
      <c r="H124" s="44" t="s">
        <v>1364</v>
      </c>
      <c r="I124" s="89" t="s">
        <v>1231</v>
      </c>
      <c r="K124" s="412" t="s">
        <v>1365</v>
      </c>
    </row>
    <row r="125" spans="1:11" hidden="1" x14ac:dyDescent="0.25">
      <c r="A125" s="46">
        <v>4</v>
      </c>
      <c r="B125" s="44" t="s">
        <v>1101</v>
      </c>
      <c r="C125" s="44" t="s">
        <v>1422</v>
      </c>
      <c r="D125" s="44" t="s">
        <v>1423</v>
      </c>
      <c r="E125" s="45">
        <v>1</v>
      </c>
      <c r="F125" s="283">
        <v>18200</v>
      </c>
      <c r="G125" s="283">
        <v>18200</v>
      </c>
      <c r="H125" s="44" t="s">
        <v>1364</v>
      </c>
      <c r="I125" s="89" t="s">
        <v>1231</v>
      </c>
      <c r="K125" s="412" t="s">
        <v>1365</v>
      </c>
    </row>
    <row r="126" spans="1:11" hidden="1" x14ac:dyDescent="0.25">
      <c r="A126" s="46">
        <v>4</v>
      </c>
      <c r="B126" s="44" t="s">
        <v>1101</v>
      </c>
      <c r="C126" s="44" t="s">
        <v>1424</v>
      </c>
      <c r="D126" s="44" t="s">
        <v>1425</v>
      </c>
      <c r="E126" s="45">
        <v>60</v>
      </c>
      <c r="F126" s="283">
        <v>2000</v>
      </c>
      <c r="G126" s="283">
        <v>120000</v>
      </c>
      <c r="H126" s="44" t="s">
        <v>1364</v>
      </c>
      <c r="I126" s="89" t="s">
        <v>1231</v>
      </c>
      <c r="K126" s="412" t="s">
        <v>1365</v>
      </c>
    </row>
    <row r="127" spans="1:11" hidden="1" x14ac:dyDescent="0.25">
      <c r="A127" s="46">
        <v>4</v>
      </c>
      <c r="B127" s="44" t="s">
        <v>1101</v>
      </c>
      <c r="C127" s="44" t="s">
        <v>1426</v>
      </c>
      <c r="D127" s="44" t="s">
        <v>1427</v>
      </c>
      <c r="E127" s="45">
        <v>6</v>
      </c>
      <c r="F127" s="283">
        <v>2400</v>
      </c>
      <c r="G127" s="283">
        <v>14400</v>
      </c>
      <c r="H127" s="44" t="s">
        <v>1364</v>
      </c>
      <c r="I127" s="89" t="s">
        <v>1231</v>
      </c>
      <c r="K127" s="412" t="s">
        <v>1365</v>
      </c>
    </row>
    <row r="128" spans="1:11" hidden="1" x14ac:dyDescent="0.25">
      <c r="A128" s="46">
        <v>4</v>
      </c>
      <c r="B128" s="44" t="s">
        <v>1101</v>
      </c>
      <c r="C128" s="44" t="s">
        <v>1428</v>
      </c>
      <c r="D128" s="44" t="s">
        <v>1429</v>
      </c>
      <c r="E128" s="45">
        <v>3</v>
      </c>
      <c r="F128" s="283">
        <v>5450</v>
      </c>
      <c r="G128" s="283">
        <v>16350</v>
      </c>
      <c r="H128" s="44" t="s">
        <v>1364</v>
      </c>
      <c r="I128" s="89" t="s">
        <v>1231</v>
      </c>
      <c r="K128" s="412" t="s">
        <v>1365</v>
      </c>
    </row>
    <row r="129" spans="1:11" hidden="1" x14ac:dyDescent="0.25">
      <c r="A129" s="46">
        <v>4</v>
      </c>
      <c r="B129" s="44" t="s">
        <v>1101</v>
      </c>
      <c r="C129" s="44" t="s">
        <v>1430</v>
      </c>
      <c r="D129" s="44" t="s">
        <v>1431</v>
      </c>
      <c r="E129" s="45">
        <v>3</v>
      </c>
      <c r="F129" s="283">
        <v>5450</v>
      </c>
      <c r="G129" s="283">
        <v>16350</v>
      </c>
      <c r="H129" s="44" t="s">
        <v>1364</v>
      </c>
      <c r="I129" s="89" t="s">
        <v>1231</v>
      </c>
      <c r="K129" s="412" t="s">
        <v>1365</v>
      </c>
    </row>
    <row r="130" spans="1:11" hidden="1" x14ac:dyDescent="0.25">
      <c r="A130" s="46">
        <v>4</v>
      </c>
      <c r="B130" s="44" t="s">
        <v>1101</v>
      </c>
      <c r="C130" s="44" t="s">
        <v>1432</v>
      </c>
      <c r="D130" s="44" t="s">
        <v>1433</v>
      </c>
      <c r="E130" s="45">
        <v>2</v>
      </c>
      <c r="F130" s="283">
        <v>17250</v>
      </c>
      <c r="G130" s="283">
        <v>34500</v>
      </c>
      <c r="H130" s="44" t="s">
        <v>1364</v>
      </c>
      <c r="I130" s="89" t="s">
        <v>1231</v>
      </c>
      <c r="K130" s="412" t="s">
        <v>1365</v>
      </c>
    </row>
    <row r="131" spans="1:11" hidden="1" x14ac:dyDescent="0.25">
      <c r="A131" s="46">
        <v>4</v>
      </c>
      <c r="B131" s="44" t="s">
        <v>1101</v>
      </c>
      <c r="C131" s="44" t="s">
        <v>1434</v>
      </c>
      <c r="D131" s="44" t="s">
        <v>1435</v>
      </c>
      <c r="E131" s="45">
        <v>1</v>
      </c>
      <c r="F131" s="283">
        <v>17250</v>
      </c>
      <c r="G131" s="283">
        <v>17250</v>
      </c>
      <c r="H131" s="44" t="s">
        <v>1364</v>
      </c>
      <c r="I131" s="89" t="s">
        <v>1231</v>
      </c>
      <c r="K131" s="412" t="s">
        <v>1365</v>
      </c>
    </row>
    <row r="132" spans="1:11" hidden="1" x14ac:dyDescent="0.25">
      <c r="A132" s="46">
        <v>4</v>
      </c>
      <c r="B132" s="44" t="s">
        <v>1101</v>
      </c>
      <c r="C132" s="44" t="s">
        <v>1436</v>
      </c>
      <c r="D132" s="44" t="s">
        <v>1437</v>
      </c>
      <c r="E132" s="45">
        <v>10</v>
      </c>
      <c r="F132" s="283">
        <v>5200</v>
      </c>
      <c r="G132" s="283">
        <v>52000</v>
      </c>
      <c r="H132" s="44" t="s">
        <v>1364</v>
      </c>
      <c r="I132" s="89" t="s">
        <v>1231</v>
      </c>
      <c r="K132" s="412" t="s">
        <v>1365</v>
      </c>
    </row>
    <row r="133" spans="1:11" hidden="1" x14ac:dyDescent="0.25">
      <c r="A133" s="46">
        <v>4</v>
      </c>
      <c r="B133" s="44" t="s">
        <v>1101</v>
      </c>
      <c r="C133" s="44" t="s">
        <v>1438</v>
      </c>
      <c r="D133" s="44" t="s">
        <v>1439</v>
      </c>
      <c r="E133" s="45">
        <v>2</v>
      </c>
      <c r="F133" s="283">
        <v>10450</v>
      </c>
      <c r="G133" s="283">
        <v>20900</v>
      </c>
      <c r="H133" s="44" t="s">
        <v>1364</v>
      </c>
      <c r="I133" s="89" t="s">
        <v>1231</v>
      </c>
      <c r="K133" s="412" t="s">
        <v>1365</v>
      </c>
    </row>
    <row r="134" spans="1:11" hidden="1" x14ac:dyDescent="0.25">
      <c r="A134" s="46">
        <v>4</v>
      </c>
      <c r="B134" s="44" t="s">
        <v>1101</v>
      </c>
      <c r="C134" s="44" t="s">
        <v>1440</v>
      </c>
      <c r="D134" s="44" t="s">
        <v>1441</v>
      </c>
      <c r="E134" s="45">
        <v>40</v>
      </c>
      <c r="F134" s="283">
        <v>3100</v>
      </c>
      <c r="G134" s="283">
        <v>124000</v>
      </c>
      <c r="H134" s="44" t="s">
        <v>1364</v>
      </c>
      <c r="I134" s="89" t="s">
        <v>1231</v>
      </c>
      <c r="K134" s="412" t="s">
        <v>1365</v>
      </c>
    </row>
    <row r="135" spans="1:11" hidden="1" x14ac:dyDescent="0.25">
      <c r="A135" s="46">
        <v>4</v>
      </c>
      <c r="B135" s="44" t="s">
        <v>1101</v>
      </c>
      <c r="C135" s="44" t="s">
        <v>1442</v>
      </c>
      <c r="D135" s="44" t="s">
        <v>1443</v>
      </c>
      <c r="E135" s="45">
        <v>6</v>
      </c>
      <c r="F135" s="283">
        <v>5000</v>
      </c>
      <c r="G135" s="283">
        <v>30000</v>
      </c>
      <c r="H135" s="44" t="s">
        <v>1364</v>
      </c>
      <c r="I135" s="89" t="s">
        <v>1231</v>
      </c>
      <c r="K135" s="412" t="s">
        <v>1365</v>
      </c>
    </row>
    <row r="136" spans="1:11" hidden="1" x14ac:dyDescent="0.25">
      <c r="A136" s="46">
        <v>4</v>
      </c>
      <c r="B136" s="44" t="s">
        <v>1101</v>
      </c>
      <c r="C136" s="44" t="s">
        <v>1444</v>
      </c>
      <c r="D136" s="44" t="s">
        <v>1445</v>
      </c>
      <c r="E136" s="45">
        <v>3</v>
      </c>
      <c r="F136" s="283">
        <v>4850</v>
      </c>
      <c r="G136" s="283">
        <v>14550</v>
      </c>
      <c r="H136" s="44" t="s">
        <v>1364</v>
      </c>
      <c r="I136" s="89" t="s">
        <v>1231</v>
      </c>
      <c r="K136" s="412" t="s">
        <v>1365</v>
      </c>
    </row>
    <row r="137" spans="1:11" hidden="1" x14ac:dyDescent="0.25">
      <c r="A137" s="46">
        <v>4</v>
      </c>
      <c r="B137" s="44" t="s">
        <v>1101</v>
      </c>
      <c r="C137" s="44" t="s">
        <v>1446</v>
      </c>
      <c r="D137" s="44" t="s">
        <v>1447</v>
      </c>
      <c r="E137" s="45">
        <v>2</v>
      </c>
      <c r="F137" s="283">
        <v>7200</v>
      </c>
      <c r="G137" s="283">
        <v>14400</v>
      </c>
      <c r="H137" s="44" t="s">
        <v>1364</v>
      </c>
      <c r="I137" s="89" t="s">
        <v>1231</v>
      </c>
      <c r="K137" s="412" t="s">
        <v>1365</v>
      </c>
    </row>
    <row r="138" spans="1:11" hidden="1" x14ac:dyDescent="0.25">
      <c r="A138" s="46">
        <v>4</v>
      </c>
      <c r="B138" s="44" t="s">
        <v>1239</v>
      </c>
      <c r="C138" s="44" t="s">
        <v>1448</v>
      </c>
      <c r="D138" s="44" t="s">
        <v>1449</v>
      </c>
      <c r="E138" s="45">
        <v>1</v>
      </c>
      <c r="F138" s="283">
        <v>233000</v>
      </c>
      <c r="G138" s="283">
        <v>233000</v>
      </c>
      <c r="H138" s="44" t="s">
        <v>1450</v>
      </c>
      <c r="I138" s="89" t="s">
        <v>1231</v>
      </c>
      <c r="K138" s="412" t="s">
        <v>1262</v>
      </c>
    </row>
    <row r="139" spans="1:11" hidden="1" x14ac:dyDescent="0.25">
      <c r="A139" s="46">
        <v>4</v>
      </c>
      <c r="B139" s="44" t="s">
        <v>1101</v>
      </c>
      <c r="C139" s="44" t="s">
        <v>1451</v>
      </c>
      <c r="D139" s="44" t="s">
        <v>1452</v>
      </c>
      <c r="E139" s="45">
        <v>5</v>
      </c>
      <c r="F139" s="283">
        <v>5000</v>
      </c>
      <c r="G139" s="283">
        <v>25000</v>
      </c>
      <c r="H139" s="44" t="s">
        <v>1450</v>
      </c>
      <c r="I139" s="89" t="s">
        <v>1231</v>
      </c>
      <c r="K139" s="412" t="s">
        <v>1262</v>
      </c>
    </row>
    <row r="140" spans="1:11" hidden="1" x14ac:dyDescent="0.25">
      <c r="A140" s="46">
        <v>4</v>
      </c>
      <c r="B140" s="44" t="s">
        <v>1101</v>
      </c>
      <c r="C140" s="44" t="s">
        <v>1453</v>
      </c>
      <c r="D140" s="44" t="s">
        <v>1454</v>
      </c>
      <c r="E140" s="45">
        <v>1</v>
      </c>
      <c r="F140" s="283">
        <v>5500</v>
      </c>
      <c r="G140" s="283">
        <v>5500</v>
      </c>
      <c r="H140" s="44" t="s">
        <v>1450</v>
      </c>
      <c r="I140" s="89" t="s">
        <v>1231</v>
      </c>
      <c r="K140" s="412" t="s">
        <v>1262</v>
      </c>
    </row>
    <row r="141" spans="1:11" hidden="1" x14ac:dyDescent="0.25">
      <c r="A141" s="46">
        <v>4</v>
      </c>
      <c r="B141" s="44" t="s">
        <v>1255</v>
      </c>
      <c r="C141" s="44" t="s">
        <v>1256</v>
      </c>
      <c r="D141" s="44" t="s">
        <v>1455</v>
      </c>
      <c r="E141" s="45">
        <v>1</v>
      </c>
      <c r="F141" s="283">
        <v>30000</v>
      </c>
      <c r="G141" s="283">
        <v>30000</v>
      </c>
      <c r="H141" s="44" t="s">
        <v>1450</v>
      </c>
      <c r="I141" s="89" t="s">
        <v>1231</v>
      </c>
      <c r="K141" s="412" t="s">
        <v>1258</v>
      </c>
    </row>
    <row r="142" spans="1:11" hidden="1" x14ac:dyDescent="0.25">
      <c r="A142" s="46">
        <v>4</v>
      </c>
      <c r="B142" s="44" t="s">
        <v>1230</v>
      </c>
      <c r="C142" s="44" t="s">
        <v>254</v>
      </c>
      <c r="D142" s="44" t="s">
        <v>255</v>
      </c>
      <c r="E142" s="45">
        <v>26.5</v>
      </c>
      <c r="F142" s="283">
        <v>19500</v>
      </c>
      <c r="G142" s="283">
        <v>516750</v>
      </c>
      <c r="H142" s="44" t="s">
        <v>253</v>
      </c>
      <c r="I142" s="89" t="s">
        <v>1231</v>
      </c>
      <c r="K142" s="412" t="s">
        <v>1456</v>
      </c>
    </row>
    <row r="143" spans="1:11" hidden="1" x14ac:dyDescent="0.25">
      <c r="A143" s="46">
        <v>4</v>
      </c>
      <c r="B143" s="44" t="s">
        <v>1230</v>
      </c>
      <c r="C143" s="44" t="s">
        <v>200</v>
      </c>
      <c r="D143" s="44" t="s">
        <v>257</v>
      </c>
      <c r="E143" s="45">
        <v>23.5</v>
      </c>
      <c r="F143" s="283">
        <v>18500</v>
      </c>
      <c r="G143" s="283">
        <v>434750</v>
      </c>
      <c r="H143" s="395" t="s">
        <v>256</v>
      </c>
      <c r="I143" s="90" t="s">
        <v>1246</v>
      </c>
      <c r="K143" s="412" t="s">
        <v>1245</v>
      </c>
    </row>
    <row r="144" spans="1:11" hidden="1" x14ac:dyDescent="0.25">
      <c r="A144" s="46">
        <v>4</v>
      </c>
      <c r="B144" s="44" t="s">
        <v>1230</v>
      </c>
      <c r="C144" s="44" t="s">
        <v>259</v>
      </c>
      <c r="D144" s="44" t="s">
        <v>260</v>
      </c>
      <c r="E144" s="45">
        <v>10</v>
      </c>
      <c r="F144" s="283">
        <v>10000</v>
      </c>
      <c r="G144" s="283">
        <v>100000</v>
      </c>
      <c r="H144" s="44" t="s">
        <v>258</v>
      </c>
      <c r="I144" s="89" t="s">
        <v>1231</v>
      </c>
      <c r="K144" s="412" t="s">
        <v>1457</v>
      </c>
    </row>
    <row r="145" spans="1:11" hidden="1" x14ac:dyDescent="0.25">
      <c r="A145" s="46">
        <v>4</v>
      </c>
      <c r="B145" s="44" t="s">
        <v>1239</v>
      </c>
      <c r="C145" s="44" t="s">
        <v>1240</v>
      </c>
      <c r="D145" s="44" t="s">
        <v>1458</v>
      </c>
      <c r="E145" s="45">
        <v>100</v>
      </c>
      <c r="F145" s="283">
        <v>150</v>
      </c>
      <c r="G145" s="283">
        <v>15000</v>
      </c>
      <c r="H145" s="44" t="s">
        <v>1459</v>
      </c>
      <c r="I145" s="89" t="s">
        <v>1231</v>
      </c>
      <c r="K145" s="412" t="s">
        <v>1243</v>
      </c>
    </row>
    <row r="146" spans="1:11" hidden="1" x14ac:dyDescent="0.25">
      <c r="A146" s="46">
        <v>4</v>
      </c>
      <c r="B146" s="44" t="s">
        <v>1239</v>
      </c>
      <c r="C146" s="44" t="s">
        <v>1460</v>
      </c>
      <c r="D146" s="44" t="s">
        <v>1461</v>
      </c>
      <c r="E146" s="45">
        <v>3</v>
      </c>
      <c r="F146" s="283">
        <v>2950</v>
      </c>
      <c r="G146" s="283">
        <v>8850</v>
      </c>
      <c r="H146" s="44" t="s">
        <v>1462</v>
      </c>
      <c r="I146" s="90" t="s">
        <v>1246</v>
      </c>
      <c r="K146" s="412" t="s">
        <v>1232</v>
      </c>
    </row>
    <row r="147" spans="1:11" hidden="1" x14ac:dyDescent="0.25">
      <c r="A147" s="46">
        <v>4</v>
      </c>
      <c r="B147" s="44" t="s">
        <v>1230</v>
      </c>
      <c r="C147" s="44" t="s">
        <v>262</v>
      </c>
      <c r="D147" s="44" t="s">
        <v>263</v>
      </c>
      <c r="E147" s="45">
        <v>3.0950000000000002</v>
      </c>
      <c r="F147" s="283">
        <v>13980</v>
      </c>
      <c r="G147" s="283">
        <v>43269</v>
      </c>
      <c r="H147" s="44" t="s">
        <v>261</v>
      </c>
      <c r="I147" s="90" t="s">
        <v>1246</v>
      </c>
      <c r="K147" s="412" t="s">
        <v>1232</v>
      </c>
    </row>
    <row r="148" spans="1:11" hidden="1" x14ac:dyDescent="0.25">
      <c r="A148" s="46">
        <v>5</v>
      </c>
      <c r="B148" s="44" t="s">
        <v>1235</v>
      </c>
      <c r="C148" s="44" t="s">
        <v>1264</v>
      </c>
      <c r="D148" s="44" t="s">
        <v>1463</v>
      </c>
      <c r="E148" s="45">
        <v>12</v>
      </c>
      <c r="F148" s="283">
        <v>19500</v>
      </c>
      <c r="G148" s="283">
        <v>234000</v>
      </c>
      <c r="H148" s="395" t="s">
        <v>274</v>
      </c>
      <c r="I148" s="89" t="s">
        <v>1231</v>
      </c>
      <c r="K148" s="412" t="s">
        <v>1266</v>
      </c>
    </row>
    <row r="149" spans="1:11" hidden="1" x14ac:dyDescent="0.25">
      <c r="A149" s="46">
        <v>5</v>
      </c>
      <c r="B149" s="44" t="s">
        <v>1230</v>
      </c>
      <c r="C149" s="44" t="s">
        <v>275</v>
      </c>
      <c r="D149" s="44" t="s">
        <v>276</v>
      </c>
      <c r="E149" s="45">
        <v>19.7</v>
      </c>
      <c r="F149" s="283">
        <v>22900</v>
      </c>
      <c r="G149" s="283">
        <v>451130</v>
      </c>
      <c r="H149" s="395" t="s">
        <v>274</v>
      </c>
      <c r="I149" s="89" t="s">
        <v>1231</v>
      </c>
      <c r="K149" s="412" t="s">
        <v>1266</v>
      </c>
    </row>
    <row r="150" spans="1:11" hidden="1" x14ac:dyDescent="0.25">
      <c r="A150" s="46">
        <v>5</v>
      </c>
      <c r="B150" s="44" t="s">
        <v>1230</v>
      </c>
      <c r="C150" s="44" t="s">
        <v>277</v>
      </c>
      <c r="D150" s="44" t="s">
        <v>278</v>
      </c>
      <c r="E150" s="45">
        <v>26.1</v>
      </c>
      <c r="F150" s="283">
        <v>18500</v>
      </c>
      <c r="G150" s="283">
        <v>482850</v>
      </c>
      <c r="H150" s="395" t="s">
        <v>274</v>
      </c>
      <c r="I150" s="89" t="s">
        <v>1231</v>
      </c>
      <c r="K150" s="412" t="s">
        <v>1266</v>
      </c>
    </row>
    <row r="151" spans="1:11" hidden="1" x14ac:dyDescent="0.25">
      <c r="A151" s="46">
        <v>5</v>
      </c>
      <c r="B151" s="44" t="s">
        <v>1230</v>
      </c>
      <c r="C151" s="44" t="s">
        <v>279</v>
      </c>
      <c r="D151" s="44" t="s">
        <v>280</v>
      </c>
      <c r="E151" s="45">
        <v>30.66</v>
      </c>
      <c r="F151" s="283">
        <v>18900</v>
      </c>
      <c r="G151" s="283">
        <v>579474</v>
      </c>
      <c r="H151" s="395" t="s">
        <v>274</v>
      </c>
      <c r="I151" s="89" t="s">
        <v>1231</v>
      </c>
      <c r="K151" s="412" t="s">
        <v>1266</v>
      </c>
    </row>
    <row r="152" spans="1:11" hidden="1" x14ac:dyDescent="0.25">
      <c r="A152" s="46">
        <v>5</v>
      </c>
      <c r="B152" s="44" t="s">
        <v>1230</v>
      </c>
      <c r="C152" s="44" t="s">
        <v>281</v>
      </c>
      <c r="D152" s="44" t="s">
        <v>282</v>
      </c>
      <c r="E152" s="45">
        <v>21.55</v>
      </c>
      <c r="F152" s="283">
        <v>42000</v>
      </c>
      <c r="G152" s="283">
        <v>905100</v>
      </c>
      <c r="H152" s="395" t="s">
        <v>274</v>
      </c>
      <c r="I152" s="89" t="s">
        <v>1231</v>
      </c>
      <c r="K152" s="412" t="s">
        <v>1266</v>
      </c>
    </row>
    <row r="153" spans="1:11" hidden="1" x14ac:dyDescent="0.25">
      <c r="A153" s="46">
        <v>5</v>
      </c>
      <c r="B153" s="44" t="s">
        <v>1230</v>
      </c>
      <c r="C153" s="44" t="s">
        <v>283</v>
      </c>
      <c r="D153" s="44" t="s">
        <v>284</v>
      </c>
      <c r="E153" s="45">
        <v>18</v>
      </c>
      <c r="F153" s="283">
        <v>44000</v>
      </c>
      <c r="G153" s="283">
        <v>792000</v>
      </c>
      <c r="H153" s="395" t="s">
        <v>274</v>
      </c>
      <c r="I153" s="89" t="s">
        <v>1231</v>
      </c>
      <c r="K153" s="412" t="s">
        <v>1266</v>
      </c>
    </row>
    <row r="154" spans="1:11" hidden="1" x14ac:dyDescent="0.25">
      <c r="A154" s="46">
        <v>5</v>
      </c>
      <c r="B154" s="44" t="s">
        <v>1230</v>
      </c>
      <c r="C154" s="44" t="s">
        <v>214</v>
      </c>
      <c r="D154" s="44" t="s">
        <v>285</v>
      </c>
      <c r="E154" s="45">
        <v>20.239999999999998</v>
      </c>
      <c r="F154" s="283">
        <v>25900</v>
      </c>
      <c r="G154" s="283">
        <v>524216</v>
      </c>
      <c r="H154" s="395" t="s">
        <v>274</v>
      </c>
      <c r="I154" s="89" t="s">
        <v>1231</v>
      </c>
      <c r="K154" s="412" t="s">
        <v>1266</v>
      </c>
    </row>
    <row r="155" spans="1:11" hidden="1" x14ac:dyDescent="0.25">
      <c r="A155" s="46">
        <v>5</v>
      </c>
      <c r="B155" s="44" t="s">
        <v>1230</v>
      </c>
      <c r="C155" s="44" t="s">
        <v>216</v>
      </c>
      <c r="D155" s="44" t="s">
        <v>286</v>
      </c>
      <c r="E155" s="45">
        <v>9</v>
      </c>
      <c r="F155" s="283">
        <v>34500</v>
      </c>
      <c r="G155" s="283">
        <v>310500</v>
      </c>
      <c r="H155" s="395" t="s">
        <v>274</v>
      </c>
      <c r="I155" s="89" t="s">
        <v>1231</v>
      </c>
      <c r="K155" s="412" t="s">
        <v>1266</v>
      </c>
    </row>
    <row r="156" spans="1:11" hidden="1" x14ac:dyDescent="0.25">
      <c r="A156" s="46">
        <v>5</v>
      </c>
      <c r="B156" s="44" t="s">
        <v>1230</v>
      </c>
      <c r="C156" s="44" t="s">
        <v>287</v>
      </c>
      <c r="D156" s="44" t="s">
        <v>288</v>
      </c>
      <c r="E156" s="45">
        <v>150.9</v>
      </c>
      <c r="F156" s="283">
        <v>21900</v>
      </c>
      <c r="G156" s="283">
        <v>3304710</v>
      </c>
      <c r="H156" s="395" t="s">
        <v>274</v>
      </c>
      <c r="I156" s="89" t="s">
        <v>1231</v>
      </c>
      <c r="K156" s="412" t="s">
        <v>1266</v>
      </c>
    </row>
    <row r="157" spans="1:11" hidden="1" x14ac:dyDescent="0.25">
      <c r="A157" s="46">
        <v>5</v>
      </c>
      <c r="B157" s="44" t="s">
        <v>1239</v>
      </c>
      <c r="C157" s="44" t="s">
        <v>1240</v>
      </c>
      <c r="D157" s="44" t="s">
        <v>1464</v>
      </c>
      <c r="E157" s="45">
        <v>1150</v>
      </c>
      <c r="F157" s="283">
        <v>150</v>
      </c>
      <c r="G157" s="283">
        <v>172500</v>
      </c>
      <c r="H157" s="44" t="s">
        <v>1465</v>
      </c>
      <c r="I157" s="89" t="s">
        <v>1231</v>
      </c>
      <c r="K157" s="412" t="s">
        <v>1243</v>
      </c>
    </row>
    <row r="158" spans="1:11" hidden="1" x14ac:dyDescent="0.25">
      <c r="A158" s="46">
        <v>5</v>
      </c>
      <c r="B158" s="44" t="s">
        <v>1101</v>
      </c>
      <c r="C158" s="44" t="s">
        <v>722</v>
      </c>
      <c r="D158" s="44" t="s">
        <v>1466</v>
      </c>
      <c r="E158" s="45">
        <v>2</v>
      </c>
      <c r="F158" s="283">
        <v>9500</v>
      </c>
      <c r="G158" s="283">
        <v>19000</v>
      </c>
      <c r="H158" s="44" t="s">
        <v>1467</v>
      </c>
      <c r="I158" s="89" t="s">
        <v>1231</v>
      </c>
      <c r="K158" s="412" t="s">
        <v>1252</v>
      </c>
    </row>
    <row r="159" spans="1:11" hidden="1" x14ac:dyDescent="0.25">
      <c r="A159" s="46">
        <v>5</v>
      </c>
      <c r="B159" s="44" t="s">
        <v>1101</v>
      </c>
      <c r="C159" s="44" t="s">
        <v>1253</v>
      </c>
      <c r="D159" s="44" t="s">
        <v>1468</v>
      </c>
      <c r="E159" s="45">
        <v>3</v>
      </c>
      <c r="F159" s="283">
        <v>5000</v>
      </c>
      <c r="G159" s="283">
        <v>15000</v>
      </c>
      <c r="H159" s="44" t="s">
        <v>1467</v>
      </c>
      <c r="I159" s="89" t="s">
        <v>1231</v>
      </c>
      <c r="K159" s="412" t="s">
        <v>1252</v>
      </c>
    </row>
    <row r="160" spans="1:11" hidden="1" x14ac:dyDescent="0.25">
      <c r="A160" s="46">
        <v>5</v>
      </c>
      <c r="B160" s="44" t="s">
        <v>1101</v>
      </c>
      <c r="C160" s="44" t="s">
        <v>722</v>
      </c>
      <c r="D160" s="44" t="s">
        <v>1469</v>
      </c>
      <c r="E160" s="45">
        <v>2</v>
      </c>
      <c r="F160" s="283">
        <v>9500</v>
      </c>
      <c r="G160" s="283">
        <v>19000</v>
      </c>
      <c r="H160" s="44" t="s">
        <v>1470</v>
      </c>
      <c r="I160" s="89" t="s">
        <v>1231</v>
      </c>
      <c r="K160" s="412" t="s">
        <v>1252</v>
      </c>
    </row>
    <row r="161" spans="1:11" hidden="1" x14ac:dyDescent="0.25">
      <c r="A161" s="46">
        <v>5</v>
      </c>
      <c r="B161" s="44" t="s">
        <v>1101</v>
      </c>
      <c r="C161" s="44" t="s">
        <v>1253</v>
      </c>
      <c r="D161" s="44" t="s">
        <v>1471</v>
      </c>
      <c r="E161" s="45">
        <v>2</v>
      </c>
      <c r="F161" s="283">
        <v>5000</v>
      </c>
      <c r="G161" s="283">
        <v>10000</v>
      </c>
      <c r="H161" s="44" t="s">
        <v>1470</v>
      </c>
      <c r="I161" s="89" t="s">
        <v>1231</v>
      </c>
      <c r="K161" s="412" t="s">
        <v>1252</v>
      </c>
    </row>
    <row r="162" spans="1:11" hidden="1" x14ac:dyDescent="0.25">
      <c r="A162" s="46">
        <v>5</v>
      </c>
      <c r="B162" s="44" t="s">
        <v>1235</v>
      </c>
      <c r="C162" s="44" t="s">
        <v>1472</v>
      </c>
      <c r="D162" s="44" t="s">
        <v>1473</v>
      </c>
      <c r="E162" s="45">
        <v>8</v>
      </c>
      <c r="F162" s="283">
        <v>4500</v>
      </c>
      <c r="G162" s="283">
        <v>36000</v>
      </c>
      <c r="H162" s="44" t="s">
        <v>1474</v>
      </c>
      <c r="I162" s="89" t="s">
        <v>1231</v>
      </c>
      <c r="K162" s="412" t="s">
        <v>1294</v>
      </c>
    </row>
    <row r="163" spans="1:11" hidden="1" x14ac:dyDescent="0.25">
      <c r="A163" s="46">
        <v>5</v>
      </c>
      <c r="B163" s="44" t="s">
        <v>1239</v>
      </c>
      <c r="C163" s="44" t="s">
        <v>1240</v>
      </c>
      <c r="D163" s="44" t="s">
        <v>1475</v>
      </c>
      <c r="E163" s="45">
        <v>500</v>
      </c>
      <c r="F163" s="283">
        <v>150</v>
      </c>
      <c r="G163" s="283">
        <v>75000</v>
      </c>
      <c r="H163" s="44" t="s">
        <v>1476</v>
      </c>
      <c r="I163" s="89" t="s">
        <v>1231</v>
      </c>
      <c r="K163" s="412" t="s">
        <v>1243</v>
      </c>
    </row>
    <row r="164" spans="1:11" hidden="1" x14ac:dyDescent="0.25">
      <c r="A164" s="46">
        <v>5</v>
      </c>
      <c r="B164" s="44" t="s">
        <v>1235</v>
      </c>
      <c r="C164" s="44" t="s">
        <v>1477</v>
      </c>
      <c r="D164" s="44" t="s">
        <v>1478</v>
      </c>
      <c r="E164" s="45">
        <v>4</v>
      </c>
      <c r="F164" s="283">
        <v>17950</v>
      </c>
      <c r="G164" s="283">
        <v>71800</v>
      </c>
      <c r="H164" s="44" t="s">
        <v>1479</v>
      </c>
      <c r="I164" s="90" t="s">
        <v>1246</v>
      </c>
      <c r="K164" s="412" t="s">
        <v>1294</v>
      </c>
    </row>
    <row r="165" spans="1:11" hidden="1" x14ac:dyDescent="0.25">
      <c r="A165" s="46">
        <v>5</v>
      </c>
      <c r="B165" s="44" t="s">
        <v>1235</v>
      </c>
      <c r="C165" s="44" t="s">
        <v>1480</v>
      </c>
      <c r="D165" s="44" t="s">
        <v>1481</v>
      </c>
      <c r="E165" s="45">
        <v>5</v>
      </c>
      <c r="F165" s="283">
        <v>12900</v>
      </c>
      <c r="G165" s="283">
        <v>64500</v>
      </c>
      <c r="H165" s="44" t="s">
        <v>1479</v>
      </c>
      <c r="I165" s="90" t="s">
        <v>1246</v>
      </c>
      <c r="K165" s="412" t="s">
        <v>1294</v>
      </c>
    </row>
    <row r="166" spans="1:11" hidden="1" x14ac:dyDescent="0.25">
      <c r="A166" s="46">
        <v>5</v>
      </c>
      <c r="B166" s="44" t="s">
        <v>1235</v>
      </c>
      <c r="C166" s="44" t="s">
        <v>1482</v>
      </c>
      <c r="D166" s="44" t="s">
        <v>1483</v>
      </c>
      <c r="E166" s="45">
        <v>3</v>
      </c>
      <c r="F166" s="283">
        <v>12600</v>
      </c>
      <c r="G166" s="283">
        <v>37800</v>
      </c>
      <c r="H166" s="44" t="s">
        <v>1479</v>
      </c>
      <c r="I166" s="90" t="s">
        <v>1246</v>
      </c>
      <c r="K166" s="412" t="s">
        <v>1294</v>
      </c>
    </row>
    <row r="167" spans="1:11" hidden="1" x14ac:dyDescent="0.25">
      <c r="A167" s="46">
        <v>5</v>
      </c>
      <c r="B167" s="44" t="s">
        <v>1235</v>
      </c>
      <c r="C167" s="44" t="s">
        <v>1484</v>
      </c>
      <c r="D167" s="44" t="s">
        <v>1485</v>
      </c>
      <c r="E167" s="45">
        <v>3</v>
      </c>
      <c r="F167" s="283">
        <v>15500</v>
      </c>
      <c r="G167" s="283">
        <v>46500</v>
      </c>
      <c r="H167" s="44" t="s">
        <v>1479</v>
      </c>
      <c r="I167" s="90" t="s">
        <v>1246</v>
      </c>
      <c r="K167" s="412" t="s">
        <v>1294</v>
      </c>
    </row>
    <row r="168" spans="1:11" hidden="1" x14ac:dyDescent="0.25">
      <c r="A168" s="46">
        <v>5</v>
      </c>
      <c r="B168" s="44" t="s">
        <v>1235</v>
      </c>
      <c r="C168" s="44" t="s">
        <v>1486</v>
      </c>
      <c r="D168" s="44" t="s">
        <v>1487</v>
      </c>
      <c r="E168" s="45">
        <v>2</v>
      </c>
      <c r="F168" s="283">
        <v>16800</v>
      </c>
      <c r="G168" s="283">
        <v>33600</v>
      </c>
      <c r="H168" s="44" t="s">
        <v>1479</v>
      </c>
      <c r="I168" s="90" t="s">
        <v>1246</v>
      </c>
      <c r="K168" s="412" t="s">
        <v>1294</v>
      </c>
    </row>
    <row r="169" spans="1:11" hidden="1" x14ac:dyDescent="0.25">
      <c r="A169" s="46">
        <v>6</v>
      </c>
      <c r="B169" s="44" t="s">
        <v>1101</v>
      </c>
      <c r="C169" s="44" t="s">
        <v>722</v>
      </c>
      <c r="D169" s="44" t="s">
        <v>1488</v>
      </c>
      <c r="E169" s="45">
        <v>2</v>
      </c>
      <c r="F169" s="283">
        <v>9500</v>
      </c>
      <c r="G169" s="283">
        <v>19000</v>
      </c>
      <c r="H169" s="44" t="s">
        <v>1489</v>
      </c>
      <c r="I169" s="89" t="s">
        <v>1231</v>
      </c>
      <c r="K169" s="412" t="s">
        <v>1252</v>
      </c>
    </row>
    <row r="170" spans="1:11" hidden="1" x14ac:dyDescent="0.25">
      <c r="A170" s="46">
        <v>6</v>
      </c>
      <c r="B170" s="44" t="s">
        <v>1101</v>
      </c>
      <c r="C170" s="44" t="s">
        <v>1253</v>
      </c>
      <c r="D170" s="44" t="s">
        <v>1490</v>
      </c>
      <c r="E170" s="45">
        <v>4</v>
      </c>
      <c r="F170" s="283">
        <v>5000</v>
      </c>
      <c r="G170" s="283">
        <v>20000</v>
      </c>
      <c r="H170" s="44" t="s">
        <v>1489</v>
      </c>
      <c r="I170" s="89" t="s">
        <v>1231</v>
      </c>
      <c r="K170" s="412" t="s">
        <v>1252</v>
      </c>
    </row>
    <row r="171" spans="1:11" hidden="1" x14ac:dyDescent="0.25">
      <c r="A171" s="46">
        <v>6</v>
      </c>
      <c r="B171" s="44" t="s">
        <v>1235</v>
      </c>
      <c r="C171" s="44" t="s">
        <v>1491</v>
      </c>
      <c r="D171" s="44" t="s">
        <v>1492</v>
      </c>
      <c r="E171" s="45">
        <v>9</v>
      </c>
      <c r="F171" s="283">
        <v>9000</v>
      </c>
      <c r="G171" s="283">
        <v>81000</v>
      </c>
      <c r="H171" s="44" t="s">
        <v>1493</v>
      </c>
      <c r="I171" s="89" t="s">
        <v>1231</v>
      </c>
      <c r="K171" s="412" t="s">
        <v>1262</v>
      </c>
    </row>
    <row r="172" spans="1:11" hidden="1" x14ac:dyDescent="0.25">
      <c r="A172" s="46">
        <v>6</v>
      </c>
      <c r="B172" s="44" t="s">
        <v>1101</v>
      </c>
      <c r="C172" s="44" t="s">
        <v>1117</v>
      </c>
      <c r="D172" s="44" t="s">
        <v>1494</v>
      </c>
      <c r="E172" s="45">
        <v>1</v>
      </c>
      <c r="F172" s="283">
        <v>20000</v>
      </c>
      <c r="G172" s="283">
        <v>20000</v>
      </c>
      <c r="H172" s="44" t="s">
        <v>1493</v>
      </c>
      <c r="I172" s="89" t="s">
        <v>1231</v>
      </c>
      <c r="K172" s="412" t="s">
        <v>1262</v>
      </c>
    </row>
    <row r="173" spans="1:11" hidden="1" x14ac:dyDescent="0.25">
      <c r="A173" s="46">
        <v>6</v>
      </c>
      <c r="B173" s="44" t="s">
        <v>1101</v>
      </c>
      <c r="C173" s="44" t="s">
        <v>1453</v>
      </c>
      <c r="D173" s="44" t="s">
        <v>1495</v>
      </c>
      <c r="E173" s="45">
        <v>10</v>
      </c>
      <c r="F173" s="283">
        <v>9000</v>
      </c>
      <c r="G173" s="283">
        <v>90000</v>
      </c>
      <c r="H173" s="44" t="s">
        <v>1493</v>
      </c>
      <c r="I173" s="89" t="s">
        <v>1231</v>
      </c>
      <c r="K173" s="412" t="s">
        <v>1262</v>
      </c>
    </row>
    <row r="174" spans="1:11" hidden="1" x14ac:dyDescent="0.25">
      <c r="A174" s="46">
        <v>6</v>
      </c>
      <c r="B174" s="44" t="s">
        <v>1255</v>
      </c>
      <c r="C174" s="44" t="s">
        <v>1259</v>
      </c>
      <c r="D174" s="44" t="s">
        <v>1496</v>
      </c>
      <c r="E174" s="45">
        <v>1</v>
      </c>
      <c r="F174" s="283">
        <v>90000</v>
      </c>
      <c r="G174" s="283">
        <v>90000</v>
      </c>
      <c r="H174" s="44" t="s">
        <v>1493</v>
      </c>
      <c r="I174" s="89" t="s">
        <v>1231</v>
      </c>
      <c r="K174" s="412" t="s">
        <v>1262</v>
      </c>
    </row>
    <row r="175" spans="1:11" hidden="1" x14ac:dyDescent="0.25">
      <c r="A175" s="46">
        <v>6</v>
      </c>
      <c r="B175" s="44" t="s">
        <v>1235</v>
      </c>
      <c r="C175" s="44" t="s">
        <v>1236</v>
      </c>
      <c r="D175" s="44" t="s">
        <v>1497</v>
      </c>
      <c r="E175" s="45">
        <v>34</v>
      </c>
      <c r="F175" s="283">
        <v>6000</v>
      </c>
      <c r="G175" s="283">
        <v>204000</v>
      </c>
      <c r="H175" s="44" t="s">
        <v>1493</v>
      </c>
      <c r="I175" s="90" t="s">
        <v>1246</v>
      </c>
      <c r="K175" s="412" t="s">
        <v>1262</v>
      </c>
    </row>
    <row r="176" spans="1:11" hidden="1" x14ac:dyDescent="0.25">
      <c r="A176" s="46">
        <v>7</v>
      </c>
      <c r="B176" s="44" t="s">
        <v>1255</v>
      </c>
      <c r="C176" s="44" t="s">
        <v>1498</v>
      </c>
      <c r="D176" s="44" t="s">
        <v>1499</v>
      </c>
      <c r="E176" s="45">
        <v>1</v>
      </c>
      <c r="F176" s="283">
        <v>649800</v>
      </c>
      <c r="G176" s="283">
        <v>649800</v>
      </c>
      <c r="H176" s="44" t="s">
        <v>1500</v>
      </c>
      <c r="I176" s="90" t="s">
        <v>1246</v>
      </c>
      <c r="K176" s="412" t="s">
        <v>1501</v>
      </c>
    </row>
    <row r="177" spans="1:11" hidden="1" x14ac:dyDescent="0.25">
      <c r="A177" s="46">
        <v>7</v>
      </c>
      <c r="B177" s="44" t="s">
        <v>1101</v>
      </c>
      <c r="C177" s="44" t="s">
        <v>722</v>
      </c>
      <c r="D177" s="44" t="s">
        <v>1502</v>
      </c>
      <c r="E177" s="45">
        <v>2</v>
      </c>
      <c r="F177" s="283">
        <v>9500</v>
      </c>
      <c r="G177" s="283">
        <v>19000</v>
      </c>
      <c r="H177" s="44" t="s">
        <v>1503</v>
      </c>
      <c r="I177" s="89" t="s">
        <v>1231</v>
      </c>
      <c r="K177" s="412" t="s">
        <v>1252</v>
      </c>
    </row>
    <row r="178" spans="1:11" hidden="1" x14ac:dyDescent="0.25">
      <c r="A178" s="46">
        <v>7</v>
      </c>
      <c r="B178" s="44" t="s">
        <v>1101</v>
      </c>
      <c r="C178" s="44" t="s">
        <v>1253</v>
      </c>
      <c r="D178" s="44" t="s">
        <v>1504</v>
      </c>
      <c r="E178" s="45">
        <v>2</v>
      </c>
      <c r="F178" s="283">
        <v>5000</v>
      </c>
      <c r="G178" s="283">
        <v>10000</v>
      </c>
      <c r="H178" s="44" t="s">
        <v>1505</v>
      </c>
      <c r="I178" s="89" t="s">
        <v>1231</v>
      </c>
      <c r="K178" s="412" t="s">
        <v>1252</v>
      </c>
    </row>
    <row r="179" spans="1:11" hidden="1" x14ac:dyDescent="0.25">
      <c r="A179" s="46">
        <v>7</v>
      </c>
      <c r="B179" s="44" t="s">
        <v>1101</v>
      </c>
      <c r="C179" s="44" t="s">
        <v>1378</v>
      </c>
      <c r="D179" s="44" t="s">
        <v>1506</v>
      </c>
      <c r="E179" s="45">
        <v>1</v>
      </c>
      <c r="F179" s="283">
        <v>433</v>
      </c>
      <c r="G179" s="283">
        <v>433</v>
      </c>
      <c r="H179" s="44" t="s">
        <v>291</v>
      </c>
      <c r="I179" s="89" t="s">
        <v>1231</v>
      </c>
      <c r="K179" s="412" t="s">
        <v>1294</v>
      </c>
    </row>
    <row r="180" spans="1:11" hidden="1" x14ac:dyDescent="0.25">
      <c r="A180" s="46">
        <v>7</v>
      </c>
      <c r="B180" s="44" t="s">
        <v>1230</v>
      </c>
      <c r="C180" s="44" t="s">
        <v>292</v>
      </c>
      <c r="D180" s="44" t="s">
        <v>293</v>
      </c>
      <c r="E180" s="45">
        <v>3.32</v>
      </c>
      <c r="F180" s="283">
        <v>8974.59</v>
      </c>
      <c r="G180" s="283">
        <v>29795.64</v>
      </c>
      <c r="H180" s="44" t="s">
        <v>291</v>
      </c>
      <c r="I180" s="89" t="s">
        <v>1231</v>
      </c>
      <c r="K180" s="412" t="s">
        <v>1294</v>
      </c>
    </row>
    <row r="181" spans="1:11" hidden="1" x14ac:dyDescent="0.25">
      <c r="A181" s="46">
        <v>7</v>
      </c>
      <c r="B181" s="44" t="s">
        <v>1230</v>
      </c>
      <c r="C181" s="44" t="s">
        <v>192</v>
      </c>
      <c r="D181" s="44" t="s">
        <v>294</v>
      </c>
      <c r="E181" s="45">
        <v>3.93</v>
      </c>
      <c r="F181" s="283">
        <v>7984.07</v>
      </c>
      <c r="G181" s="283">
        <v>31377.4</v>
      </c>
      <c r="H181" s="44" t="s">
        <v>291</v>
      </c>
      <c r="I181" s="89" t="s">
        <v>1231</v>
      </c>
      <c r="K181" s="412" t="s">
        <v>1294</v>
      </c>
    </row>
    <row r="182" spans="1:11" hidden="1" x14ac:dyDescent="0.25">
      <c r="A182" s="46">
        <v>7</v>
      </c>
      <c r="B182" s="44" t="s">
        <v>1230</v>
      </c>
      <c r="C182" s="44" t="s">
        <v>296</v>
      </c>
      <c r="D182" s="44" t="s">
        <v>297</v>
      </c>
      <c r="E182" s="45">
        <v>38.6</v>
      </c>
      <c r="F182" s="283">
        <v>11500</v>
      </c>
      <c r="G182" s="283">
        <v>443900</v>
      </c>
      <c r="H182" s="44" t="s">
        <v>295</v>
      </c>
      <c r="I182" s="90" t="s">
        <v>1246</v>
      </c>
      <c r="K182" s="412" t="s">
        <v>1507</v>
      </c>
    </row>
    <row r="183" spans="1:11" hidden="1" x14ac:dyDescent="0.25">
      <c r="A183" s="46">
        <v>7</v>
      </c>
      <c r="B183" s="44" t="s">
        <v>1230</v>
      </c>
      <c r="C183" s="44" t="s">
        <v>259</v>
      </c>
      <c r="D183" s="44" t="s">
        <v>299</v>
      </c>
      <c r="E183" s="45">
        <v>1</v>
      </c>
      <c r="F183" s="283">
        <v>130000</v>
      </c>
      <c r="G183" s="283">
        <v>130000</v>
      </c>
      <c r="H183" s="44" t="s">
        <v>298</v>
      </c>
      <c r="I183" s="89" t="s">
        <v>1231</v>
      </c>
      <c r="K183" s="412" t="s">
        <v>1294</v>
      </c>
    </row>
    <row r="184" spans="1:11" hidden="1" x14ac:dyDescent="0.25">
      <c r="A184" s="46">
        <v>7</v>
      </c>
      <c r="B184" s="44" t="s">
        <v>1255</v>
      </c>
      <c r="C184" s="44" t="s">
        <v>1256</v>
      </c>
      <c r="D184" s="44" t="s">
        <v>1508</v>
      </c>
      <c r="E184" s="45">
        <v>1</v>
      </c>
      <c r="F184" s="283">
        <v>30000</v>
      </c>
      <c r="G184" s="283">
        <v>30000</v>
      </c>
      <c r="H184" s="44" t="s">
        <v>882</v>
      </c>
      <c r="I184" s="89" t="s">
        <v>1231</v>
      </c>
      <c r="K184" s="412" t="s">
        <v>1258</v>
      </c>
    </row>
    <row r="185" spans="1:11" hidden="1" x14ac:dyDescent="0.25">
      <c r="A185" s="46">
        <v>7</v>
      </c>
      <c r="B185" s="44" t="s">
        <v>1255</v>
      </c>
      <c r="C185" s="44" t="s">
        <v>1259</v>
      </c>
      <c r="D185" s="44" t="s">
        <v>883</v>
      </c>
      <c r="E185" s="45">
        <v>1</v>
      </c>
      <c r="F185" s="283">
        <v>74000</v>
      </c>
      <c r="G185" s="283">
        <v>74000</v>
      </c>
      <c r="H185" s="44" t="s">
        <v>882</v>
      </c>
      <c r="I185" s="89" t="s">
        <v>1231</v>
      </c>
      <c r="K185" s="412" t="s">
        <v>1262</v>
      </c>
    </row>
    <row r="186" spans="1:11" hidden="1" x14ac:dyDescent="0.25">
      <c r="A186" s="46">
        <v>7</v>
      </c>
      <c r="B186" s="44" t="s">
        <v>1230</v>
      </c>
      <c r="C186" s="44" t="s">
        <v>301</v>
      </c>
      <c r="D186" s="44" t="s">
        <v>302</v>
      </c>
      <c r="E186" s="45">
        <v>5.5919999999999996</v>
      </c>
      <c r="F186" s="283">
        <v>26900</v>
      </c>
      <c r="G186" s="283">
        <v>150425</v>
      </c>
      <c r="H186" s="395" t="s">
        <v>300</v>
      </c>
      <c r="I186" s="89" t="s">
        <v>1231</v>
      </c>
      <c r="K186" s="412" t="s">
        <v>1266</v>
      </c>
    </row>
    <row r="187" spans="1:11" hidden="1" x14ac:dyDescent="0.25">
      <c r="A187" s="46">
        <v>7</v>
      </c>
      <c r="B187" s="44" t="s">
        <v>1230</v>
      </c>
      <c r="C187" s="44" t="s">
        <v>214</v>
      </c>
      <c r="D187" s="44" t="s">
        <v>303</v>
      </c>
      <c r="E187" s="45">
        <v>21.61</v>
      </c>
      <c r="F187" s="283">
        <v>25900</v>
      </c>
      <c r="G187" s="283">
        <v>559699</v>
      </c>
      <c r="H187" s="395" t="s">
        <v>300</v>
      </c>
      <c r="I187" s="89" t="s">
        <v>1231</v>
      </c>
      <c r="K187" s="412" t="s">
        <v>1266</v>
      </c>
    </row>
    <row r="188" spans="1:11" hidden="1" x14ac:dyDescent="0.25">
      <c r="A188" s="46">
        <v>7</v>
      </c>
      <c r="B188" s="44" t="s">
        <v>1230</v>
      </c>
      <c r="C188" s="44" t="s">
        <v>216</v>
      </c>
      <c r="D188" s="44" t="s">
        <v>304</v>
      </c>
      <c r="E188" s="45">
        <v>20.565000000000001</v>
      </c>
      <c r="F188" s="283">
        <v>34500</v>
      </c>
      <c r="G188" s="283">
        <v>709493</v>
      </c>
      <c r="H188" s="395" t="s">
        <v>300</v>
      </c>
      <c r="I188" s="89" t="s">
        <v>1231</v>
      </c>
      <c r="K188" s="412" t="s">
        <v>1266</v>
      </c>
    </row>
    <row r="189" spans="1:11" hidden="1" x14ac:dyDescent="0.25">
      <c r="A189" s="46">
        <v>7</v>
      </c>
      <c r="B189" s="44" t="s">
        <v>1235</v>
      </c>
      <c r="C189" s="44" t="s">
        <v>1509</v>
      </c>
      <c r="D189" s="44" t="s">
        <v>1510</v>
      </c>
      <c r="E189" s="45">
        <v>10</v>
      </c>
      <c r="F189" s="283">
        <v>10900</v>
      </c>
      <c r="G189" s="283">
        <v>109000</v>
      </c>
      <c r="H189" s="395" t="s">
        <v>300</v>
      </c>
      <c r="I189" s="89" t="s">
        <v>1231</v>
      </c>
      <c r="K189" s="412" t="s">
        <v>1266</v>
      </c>
    </row>
    <row r="190" spans="1:11" hidden="1" x14ac:dyDescent="0.25">
      <c r="A190" s="46">
        <v>7</v>
      </c>
      <c r="B190" s="44" t="s">
        <v>1255</v>
      </c>
      <c r="C190" s="285" t="s">
        <v>889</v>
      </c>
      <c r="D190" s="285" t="s">
        <v>889</v>
      </c>
      <c r="E190" s="45">
        <v>1</v>
      </c>
      <c r="F190" s="284">
        <v>66000</v>
      </c>
      <c r="G190" s="283">
        <v>66000</v>
      </c>
      <c r="H190" s="84" t="s">
        <v>1511</v>
      </c>
      <c r="I190" s="89" t="s">
        <v>1231</v>
      </c>
      <c r="K190" s="412" t="s">
        <v>1261</v>
      </c>
    </row>
    <row r="191" spans="1:11" hidden="1" x14ac:dyDescent="0.25">
      <c r="A191" s="46">
        <v>7</v>
      </c>
      <c r="B191" s="44" t="s">
        <v>1255</v>
      </c>
      <c r="C191" s="285" t="s">
        <v>1512</v>
      </c>
      <c r="D191" s="285" t="s">
        <v>1512</v>
      </c>
      <c r="E191" s="45">
        <v>1</v>
      </c>
      <c r="F191" s="284">
        <v>10000</v>
      </c>
      <c r="G191" s="283">
        <v>10000</v>
      </c>
      <c r="H191" s="81" t="s">
        <v>318</v>
      </c>
      <c r="I191" s="89" t="s">
        <v>1231</v>
      </c>
      <c r="K191" s="412" t="s">
        <v>1261</v>
      </c>
    </row>
    <row r="192" spans="1:11" hidden="1" x14ac:dyDescent="0.25">
      <c r="A192" s="46">
        <v>7</v>
      </c>
      <c r="B192" s="44" t="s">
        <v>1255</v>
      </c>
      <c r="C192" s="285" t="s">
        <v>1513</v>
      </c>
      <c r="D192" s="285" t="s">
        <v>1513</v>
      </c>
      <c r="E192" s="45">
        <v>1</v>
      </c>
      <c r="F192" s="286">
        <v>37100</v>
      </c>
      <c r="G192" s="283">
        <v>37100</v>
      </c>
      <c r="H192" s="81" t="s">
        <v>318</v>
      </c>
      <c r="I192" s="89" t="s">
        <v>1231</v>
      </c>
      <c r="K192" s="412" t="s">
        <v>1261</v>
      </c>
    </row>
    <row r="193" spans="1:11" hidden="1" x14ac:dyDescent="0.25">
      <c r="A193" s="46">
        <v>7</v>
      </c>
      <c r="B193" s="44" t="s">
        <v>1255</v>
      </c>
      <c r="C193" s="285" t="s">
        <v>1514</v>
      </c>
      <c r="D193" s="285" t="s">
        <v>1514</v>
      </c>
      <c r="E193" s="45">
        <v>1</v>
      </c>
      <c r="F193" s="286">
        <v>4000</v>
      </c>
      <c r="G193" s="283">
        <v>4000</v>
      </c>
      <c r="H193" s="81" t="s">
        <v>318</v>
      </c>
      <c r="I193" s="89" t="s">
        <v>1231</v>
      </c>
      <c r="K193" s="412" t="s">
        <v>1261</v>
      </c>
    </row>
    <row r="194" spans="1:11" hidden="1" x14ac:dyDescent="0.25">
      <c r="A194" s="46">
        <v>7</v>
      </c>
      <c r="B194" s="44" t="s">
        <v>1255</v>
      </c>
      <c r="C194" s="285" t="s">
        <v>898</v>
      </c>
      <c r="D194" s="285" t="s">
        <v>898</v>
      </c>
      <c r="E194" s="45">
        <v>1</v>
      </c>
      <c r="F194" s="286">
        <v>85000</v>
      </c>
      <c r="G194" s="283">
        <v>85000</v>
      </c>
      <c r="H194" s="81" t="s">
        <v>318</v>
      </c>
      <c r="I194" s="89" t="s">
        <v>1231</v>
      </c>
      <c r="K194" s="412" t="s">
        <v>1261</v>
      </c>
    </row>
    <row r="195" spans="1:11" hidden="1" x14ac:dyDescent="0.25">
      <c r="A195" s="46">
        <v>7</v>
      </c>
      <c r="B195" s="44" t="s">
        <v>1255</v>
      </c>
      <c r="C195" s="285" t="s">
        <v>904</v>
      </c>
      <c r="D195" s="285" t="s">
        <v>904</v>
      </c>
      <c r="E195" s="45">
        <v>1</v>
      </c>
      <c r="F195" s="284">
        <v>15000</v>
      </c>
      <c r="G195" s="283">
        <v>15000</v>
      </c>
      <c r="H195" s="81" t="s">
        <v>318</v>
      </c>
      <c r="I195" s="89" t="s">
        <v>1231</v>
      </c>
      <c r="K195" s="412" t="s">
        <v>1261</v>
      </c>
    </row>
    <row r="196" spans="1:11" hidden="1" x14ac:dyDescent="0.25">
      <c r="A196" s="46">
        <v>7</v>
      </c>
      <c r="B196" s="44" t="s">
        <v>1235</v>
      </c>
      <c r="C196" s="44" t="s">
        <v>1515</v>
      </c>
      <c r="D196" s="44" t="s">
        <v>1516</v>
      </c>
      <c r="E196" s="45">
        <v>0.505</v>
      </c>
      <c r="F196" s="283">
        <v>11000</v>
      </c>
      <c r="G196" s="283">
        <v>5555</v>
      </c>
      <c r="H196" s="44" t="s">
        <v>1517</v>
      </c>
      <c r="I196" s="89" t="s">
        <v>1231</v>
      </c>
      <c r="K196" s="412" t="s">
        <v>1232</v>
      </c>
    </row>
    <row r="197" spans="1:11" hidden="1" x14ac:dyDescent="0.25">
      <c r="A197" s="46">
        <v>7</v>
      </c>
      <c r="B197" s="44" t="s">
        <v>1230</v>
      </c>
      <c r="C197" s="44" t="s">
        <v>229</v>
      </c>
      <c r="D197" s="44" t="s">
        <v>306</v>
      </c>
      <c r="E197" s="45">
        <v>3.39</v>
      </c>
      <c r="F197" s="283">
        <v>17500</v>
      </c>
      <c r="G197" s="283">
        <v>59325</v>
      </c>
      <c r="H197" s="44" t="s">
        <v>305</v>
      </c>
      <c r="I197" s="89" t="s">
        <v>1231</v>
      </c>
      <c r="K197" s="412" t="s">
        <v>1232</v>
      </c>
    </row>
    <row r="198" spans="1:11" hidden="1" x14ac:dyDescent="0.25">
      <c r="A198" s="46">
        <v>7</v>
      </c>
      <c r="B198" s="44" t="s">
        <v>1230</v>
      </c>
      <c r="C198" s="44" t="s">
        <v>307</v>
      </c>
      <c r="D198" s="44" t="s">
        <v>308</v>
      </c>
      <c r="E198" s="45">
        <v>2</v>
      </c>
      <c r="F198" s="283">
        <v>10600</v>
      </c>
      <c r="G198" s="283">
        <v>21200</v>
      </c>
      <c r="H198" s="44" t="s">
        <v>305</v>
      </c>
      <c r="I198" s="89" t="s">
        <v>1231</v>
      </c>
      <c r="K198" s="412" t="s">
        <v>1232</v>
      </c>
    </row>
    <row r="199" spans="1:11" hidden="1" x14ac:dyDescent="0.25">
      <c r="A199" s="46">
        <v>7</v>
      </c>
      <c r="B199" s="44" t="s">
        <v>1235</v>
      </c>
      <c r="C199" s="44" t="s">
        <v>1518</v>
      </c>
      <c r="D199" s="44" t="s">
        <v>1519</v>
      </c>
      <c r="E199" s="45">
        <v>4</v>
      </c>
      <c r="F199" s="283">
        <v>2400</v>
      </c>
      <c r="G199" s="283">
        <v>9600</v>
      </c>
      <c r="H199" s="44" t="s">
        <v>305</v>
      </c>
      <c r="I199" s="89" t="s">
        <v>1231</v>
      </c>
      <c r="K199" s="412" t="s">
        <v>1232</v>
      </c>
    </row>
    <row r="200" spans="1:11" hidden="1" x14ac:dyDescent="0.25">
      <c r="A200" s="46">
        <v>7</v>
      </c>
      <c r="B200" s="44" t="s">
        <v>1520</v>
      </c>
      <c r="C200" s="101" t="s">
        <v>1240</v>
      </c>
      <c r="D200" s="101" t="s">
        <v>1521</v>
      </c>
      <c r="E200" s="45">
        <v>100</v>
      </c>
      <c r="F200" s="284">
        <v>150</v>
      </c>
      <c r="G200" s="283">
        <v>15000</v>
      </c>
      <c r="H200" s="104" t="s">
        <v>390</v>
      </c>
      <c r="I200" s="96" t="s">
        <v>1231</v>
      </c>
      <c r="J200" s="97" t="s">
        <v>121</v>
      </c>
      <c r="K200" s="412" t="s">
        <v>1243</v>
      </c>
    </row>
    <row r="201" spans="1:11" hidden="1" x14ac:dyDescent="0.25">
      <c r="A201" s="46">
        <v>8</v>
      </c>
      <c r="B201" s="44" t="s">
        <v>1101</v>
      </c>
      <c r="C201" s="44" t="s">
        <v>1253</v>
      </c>
      <c r="D201" s="44" t="s">
        <v>1522</v>
      </c>
      <c r="E201" s="45">
        <v>2</v>
      </c>
      <c r="F201" s="283">
        <v>5000</v>
      </c>
      <c r="G201" s="283">
        <v>10000</v>
      </c>
      <c r="H201" s="44" t="s">
        <v>1523</v>
      </c>
      <c r="I201" s="89" t="s">
        <v>1231</v>
      </c>
      <c r="K201" s="412" t="s">
        <v>1252</v>
      </c>
    </row>
    <row r="202" spans="1:11" hidden="1" x14ac:dyDescent="0.25">
      <c r="A202" s="46">
        <v>8</v>
      </c>
      <c r="B202" s="44" t="s">
        <v>1235</v>
      </c>
      <c r="C202" s="44" t="s">
        <v>1524</v>
      </c>
      <c r="D202" s="44" t="s">
        <v>1525</v>
      </c>
      <c r="E202" s="45">
        <v>4.2</v>
      </c>
      <c r="F202" s="283">
        <v>6000</v>
      </c>
      <c r="G202" s="283">
        <v>25200</v>
      </c>
      <c r="H202" s="395" t="s">
        <v>1526</v>
      </c>
      <c r="I202" s="89" t="s">
        <v>1231</v>
      </c>
      <c r="K202" s="412" t="s">
        <v>1266</v>
      </c>
    </row>
    <row r="203" spans="1:11" hidden="1" x14ac:dyDescent="0.25">
      <c r="A203" s="46">
        <v>8</v>
      </c>
      <c r="B203" s="44" t="s">
        <v>1235</v>
      </c>
      <c r="C203" s="44" t="s">
        <v>1297</v>
      </c>
      <c r="D203" s="44" t="s">
        <v>1527</v>
      </c>
      <c r="E203" s="45">
        <v>3.3</v>
      </c>
      <c r="F203" s="283">
        <v>15000</v>
      </c>
      <c r="G203" s="283">
        <v>49500</v>
      </c>
      <c r="H203" s="395" t="s">
        <v>1526</v>
      </c>
      <c r="I203" s="89" t="s">
        <v>1231</v>
      </c>
      <c r="K203" s="412" t="s">
        <v>1266</v>
      </c>
    </row>
    <row r="204" spans="1:11" hidden="1" x14ac:dyDescent="0.25">
      <c r="A204" s="46">
        <v>8</v>
      </c>
      <c r="B204" s="44" t="s">
        <v>1235</v>
      </c>
      <c r="C204" s="44" t="s">
        <v>1528</v>
      </c>
      <c r="D204" s="44" t="s">
        <v>1529</v>
      </c>
      <c r="E204" s="45">
        <v>10</v>
      </c>
      <c r="F204" s="283">
        <v>6000</v>
      </c>
      <c r="G204" s="283">
        <v>60000</v>
      </c>
      <c r="H204" s="395" t="s">
        <v>1526</v>
      </c>
      <c r="I204" s="89" t="s">
        <v>1231</v>
      </c>
      <c r="K204" s="412" t="s">
        <v>1266</v>
      </c>
    </row>
    <row r="205" spans="1:11" hidden="1" x14ac:dyDescent="0.25">
      <c r="A205" s="46">
        <v>8</v>
      </c>
      <c r="B205" s="44" t="s">
        <v>1235</v>
      </c>
      <c r="C205" s="44" t="s">
        <v>1530</v>
      </c>
      <c r="D205" s="44" t="s">
        <v>1531</v>
      </c>
      <c r="E205" s="45">
        <v>9.5</v>
      </c>
      <c r="F205" s="283">
        <v>3800</v>
      </c>
      <c r="G205" s="283">
        <v>36100</v>
      </c>
      <c r="H205" s="395" t="s">
        <v>1526</v>
      </c>
      <c r="I205" s="89" t="s">
        <v>1231</v>
      </c>
      <c r="K205" s="412" t="s">
        <v>1266</v>
      </c>
    </row>
    <row r="206" spans="1:11" hidden="1" x14ac:dyDescent="0.25">
      <c r="A206" s="46">
        <v>8</v>
      </c>
      <c r="B206" s="44" t="s">
        <v>1235</v>
      </c>
      <c r="C206" s="44" t="s">
        <v>1532</v>
      </c>
      <c r="D206" s="44" t="s">
        <v>1533</v>
      </c>
      <c r="E206" s="45">
        <v>42</v>
      </c>
      <c r="F206" s="283">
        <v>2800</v>
      </c>
      <c r="G206" s="283">
        <v>117600</v>
      </c>
      <c r="H206" s="395" t="s">
        <v>1526</v>
      </c>
      <c r="I206" s="89" t="s">
        <v>1231</v>
      </c>
      <c r="K206" s="412" t="s">
        <v>1266</v>
      </c>
    </row>
    <row r="207" spans="1:11" hidden="1" x14ac:dyDescent="0.25">
      <c r="A207" s="46">
        <v>8</v>
      </c>
      <c r="B207" s="44" t="s">
        <v>1235</v>
      </c>
      <c r="C207" s="44" t="s">
        <v>1534</v>
      </c>
      <c r="D207" s="44" t="s">
        <v>1535</v>
      </c>
      <c r="E207" s="45">
        <v>63.2</v>
      </c>
      <c r="F207" s="283">
        <v>3400</v>
      </c>
      <c r="G207" s="283">
        <v>214880</v>
      </c>
      <c r="H207" s="395" t="s">
        <v>1526</v>
      </c>
      <c r="I207" s="89" t="s">
        <v>1231</v>
      </c>
      <c r="K207" s="412" t="s">
        <v>1266</v>
      </c>
    </row>
    <row r="208" spans="1:11" hidden="1" x14ac:dyDescent="0.25">
      <c r="A208" s="46">
        <v>8</v>
      </c>
      <c r="B208" s="44" t="s">
        <v>1235</v>
      </c>
      <c r="C208" s="44" t="s">
        <v>1536</v>
      </c>
      <c r="D208" s="44" t="s">
        <v>1537</v>
      </c>
      <c r="E208" s="45">
        <v>1</v>
      </c>
      <c r="F208" s="283">
        <v>130000</v>
      </c>
      <c r="G208" s="283">
        <v>130000</v>
      </c>
      <c r="H208" s="395" t="s">
        <v>1526</v>
      </c>
      <c r="I208" s="89" t="s">
        <v>1231</v>
      </c>
      <c r="K208" s="412" t="s">
        <v>1266</v>
      </c>
    </row>
    <row r="209" spans="1:11" hidden="1" x14ac:dyDescent="0.25">
      <c r="A209" s="46">
        <v>8</v>
      </c>
      <c r="B209" s="44" t="s">
        <v>1235</v>
      </c>
      <c r="C209" s="44" t="s">
        <v>1327</v>
      </c>
      <c r="D209" s="44" t="s">
        <v>1538</v>
      </c>
      <c r="E209" s="45">
        <v>8.6999999999999993</v>
      </c>
      <c r="F209" s="283">
        <v>6000</v>
      </c>
      <c r="G209" s="283">
        <v>52200</v>
      </c>
      <c r="H209" s="395" t="s">
        <v>1526</v>
      </c>
      <c r="I209" s="89" t="s">
        <v>1231</v>
      </c>
      <c r="K209" s="412" t="s">
        <v>1266</v>
      </c>
    </row>
    <row r="210" spans="1:11" hidden="1" x14ac:dyDescent="0.25">
      <c r="A210" s="46">
        <v>8</v>
      </c>
      <c r="B210" s="44" t="s">
        <v>1235</v>
      </c>
      <c r="C210" s="44" t="s">
        <v>1325</v>
      </c>
      <c r="D210" s="44" t="s">
        <v>1539</v>
      </c>
      <c r="E210" s="45">
        <v>6.8</v>
      </c>
      <c r="F210" s="283">
        <v>3500</v>
      </c>
      <c r="G210" s="283">
        <v>23800</v>
      </c>
      <c r="H210" s="395" t="s">
        <v>1526</v>
      </c>
      <c r="I210" s="89" t="s">
        <v>1231</v>
      </c>
      <c r="K210" s="412" t="s">
        <v>1266</v>
      </c>
    </row>
    <row r="211" spans="1:11" hidden="1" x14ac:dyDescent="0.25">
      <c r="A211" s="46">
        <v>8</v>
      </c>
      <c r="B211" s="44" t="s">
        <v>1235</v>
      </c>
      <c r="C211" s="44" t="s">
        <v>1540</v>
      </c>
      <c r="D211" s="44" t="s">
        <v>1541</v>
      </c>
      <c r="E211" s="45">
        <v>3.3</v>
      </c>
      <c r="F211" s="283">
        <v>2500</v>
      </c>
      <c r="G211" s="283">
        <v>8250</v>
      </c>
      <c r="H211" s="395" t="s">
        <v>1526</v>
      </c>
      <c r="I211" s="89" t="s">
        <v>1231</v>
      </c>
      <c r="K211" s="412" t="s">
        <v>1266</v>
      </c>
    </row>
    <row r="212" spans="1:11" hidden="1" x14ac:dyDescent="0.25">
      <c r="A212" s="46">
        <v>8</v>
      </c>
      <c r="B212" s="44" t="s">
        <v>1235</v>
      </c>
      <c r="C212" s="44" t="s">
        <v>1542</v>
      </c>
      <c r="D212" s="44" t="s">
        <v>1543</v>
      </c>
      <c r="E212" s="45">
        <v>4</v>
      </c>
      <c r="F212" s="283">
        <v>9000</v>
      </c>
      <c r="G212" s="283">
        <v>36000</v>
      </c>
      <c r="H212" s="395" t="s">
        <v>1526</v>
      </c>
      <c r="I212" s="89" t="s">
        <v>1231</v>
      </c>
      <c r="K212" s="412" t="s">
        <v>1266</v>
      </c>
    </row>
    <row r="213" spans="1:11" hidden="1" x14ac:dyDescent="0.25">
      <c r="A213" s="46">
        <v>8</v>
      </c>
      <c r="B213" s="44" t="s">
        <v>1235</v>
      </c>
      <c r="C213" s="44" t="s">
        <v>1544</v>
      </c>
      <c r="D213" s="44" t="s">
        <v>1545</v>
      </c>
      <c r="E213" s="45">
        <v>8.1999999999999993</v>
      </c>
      <c r="F213" s="283">
        <v>4000</v>
      </c>
      <c r="G213" s="283">
        <v>32800</v>
      </c>
      <c r="H213" s="395" t="s">
        <v>1526</v>
      </c>
      <c r="I213" s="89" t="s">
        <v>1231</v>
      </c>
      <c r="K213" s="412" t="s">
        <v>1266</v>
      </c>
    </row>
    <row r="214" spans="1:11" hidden="1" x14ac:dyDescent="0.25">
      <c r="A214" s="46">
        <v>8</v>
      </c>
      <c r="B214" s="44" t="s">
        <v>1235</v>
      </c>
      <c r="C214" s="44" t="s">
        <v>1546</v>
      </c>
      <c r="D214" s="44" t="s">
        <v>1547</v>
      </c>
      <c r="E214" s="45">
        <v>53</v>
      </c>
      <c r="F214" s="283">
        <v>1400</v>
      </c>
      <c r="G214" s="283">
        <v>74200</v>
      </c>
      <c r="H214" s="395" t="s">
        <v>1526</v>
      </c>
      <c r="I214" s="89" t="s">
        <v>1231</v>
      </c>
      <c r="K214" s="412" t="s">
        <v>1266</v>
      </c>
    </row>
    <row r="215" spans="1:11" hidden="1" x14ac:dyDescent="0.25">
      <c r="A215" s="46">
        <v>8</v>
      </c>
      <c r="B215" s="44" t="s">
        <v>1235</v>
      </c>
      <c r="C215" s="44" t="s">
        <v>1548</v>
      </c>
      <c r="D215" s="44" t="s">
        <v>1549</v>
      </c>
      <c r="E215" s="45">
        <v>61</v>
      </c>
      <c r="F215" s="283">
        <v>1400</v>
      </c>
      <c r="G215" s="283">
        <v>85400</v>
      </c>
      <c r="H215" s="395" t="s">
        <v>1526</v>
      </c>
      <c r="I215" s="89" t="s">
        <v>1231</v>
      </c>
      <c r="K215" s="412" t="s">
        <v>1266</v>
      </c>
    </row>
    <row r="216" spans="1:11" hidden="1" x14ac:dyDescent="0.25">
      <c r="A216" s="46">
        <v>8</v>
      </c>
      <c r="B216" s="44" t="s">
        <v>1235</v>
      </c>
      <c r="C216" s="44" t="s">
        <v>1550</v>
      </c>
      <c r="D216" s="44" t="s">
        <v>1551</v>
      </c>
      <c r="E216" s="45">
        <v>5.7</v>
      </c>
      <c r="F216" s="283">
        <v>2800</v>
      </c>
      <c r="G216" s="283">
        <v>15960</v>
      </c>
      <c r="H216" s="395" t="s">
        <v>1526</v>
      </c>
      <c r="I216" s="89" t="s">
        <v>1231</v>
      </c>
      <c r="K216" s="412" t="s">
        <v>1266</v>
      </c>
    </row>
    <row r="217" spans="1:11" hidden="1" x14ac:dyDescent="0.25">
      <c r="A217" s="46">
        <v>8</v>
      </c>
      <c r="B217" s="44" t="s">
        <v>1235</v>
      </c>
      <c r="C217" s="44" t="s">
        <v>1552</v>
      </c>
      <c r="D217" s="44" t="s">
        <v>1553</v>
      </c>
      <c r="E217" s="45">
        <v>7</v>
      </c>
      <c r="F217" s="283">
        <v>5000</v>
      </c>
      <c r="G217" s="283">
        <v>35000</v>
      </c>
      <c r="H217" s="395" t="s">
        <v>1526</v>
      </c>
      <c r="I217" s="89" t="s">
        <v>1231</v>
      </c>
      <c r="K217" s="412" t="s">
        <v>1266</v>
      </c>
    </row>
    <row r="218" spans="1:11" hidden="1" x14ac:dyDescent="0.25">
      <c r="A218" s="46">
        <v>8</v>
      </c>
      <c r="B218" s="44" t="s">
        <v>1235</v>
      </c>
      <c r="C218" s="44" t="s">
        <v>1554</v>
      </c>
      <c r="D218" s="44" t="s">
        <v>1555</v>
      </c>
      <c r="E218" s="45">
        <v>4.0999999999999996</v>
      </c>
      <c r="F218" s="283">
        <v>5000</v>
      </c>
      <c r="G218" s="283">
        <v>20500</v>
      </c>
      <c r="H218" s="395" t="s">
        <v>1526</v>
      </c>
      <c r="I218" s="89" t="s">
        <v>1231</v>
      </c>
      <c r="K218" s="412" t="s">
        <v>1266</v>
      </c>
    </row>
    <row r="219" spans="1:11" hidden="1" x14ac:dyDescent="0.25">
      <c r="A219" s="46">
        <v>8</v>
      </c>
      <c r="B219" s="44" t="s">
        <v>1235</v>
      </c>
      <c r="C219" s="44" t="s">
        <v>1556</v>
      </c>
      <c r="D219" s="44" t="s">
        <v>1557</v>
      </c>
      <c r="E219" s="45">
        <v>9.3000000000000007</v>
      </c>
      <c r="F219" s="283">
        <v>2000</v>
      </c>
      <c r="G219" s="283">
        <v>18600</v>
      </c>
      <c r="H219" s="395" t="s">
        <v>1526</v>
      </c>
      <c r="I219" s="89" t="s">
        <v>1231</v>
      </c>
      <c r="K219" s="412" t="s">
        <v>1266</v>
      </c>
    </row>
    <row r="220" spans="1:11" hidden="1" x14ac:dyDescent="0.25">
      <c r="A220" s="46">
        <v>8</v>
      </c>
      <c r="B220" s="44" t="s">
        <v>1101</v>
      </c>
      <c r="C220" s="44" t="s">
        <v>1362</v>
      </c>
      <c r="D220" s="44" t="s">
        <v>1558</v>
      </c>
      <c r="E220" s="45">
        <v>3</v>
      </c>
      <c r="F220" s="283">
        <v>6200</v>
      </c>
      <c r="G220" s="283">
        <v>18600</v>
      </c>
      <c r="H220" s="44" t="s">
        <v>1559</v>
      </c>
      <c r="I220" s="89" t="s">
        <v>1231</v>
      </c>
      <c r="K220" s="412" t="s">
        <v>1365</v>
      </c>
    </row>
    <row r="221" spans="1:11" hidden="1" x14ac:dyDescent="0.25">
      <c r="A221" s="46">
        <v>8</v>
      </c>
      <c r="B221" s="44" t="s">
        <v>1101</v>
      </c>
      <c r="C221" s="44" t="s">
        <v>1366</v>
      </c>
      <c r="D221" s="44" t="s">
        <v>1560</v>
      </c>
      <c r="E221" s="45">
        <v>3</v>
      </c>
      <c r="F221" s="283">
        <v>3000</v>
      </c>
      <c r="G221" s="283">
        <v>9000</v>
      </c>
      <c r="H221" s="44" t="s">
        <v>1559</v>
      </c>
      <c r="I221" s="89" t="s">
        <v>1231</v>
      </c>
      <c r="K221" s="412" t="s">
        <v>1365</v>
      </c>
    </row>
    <row r="222" spans="1:11" hidden="1" x14ac:dyDescent="0.25">
      <c r="A222" s="46">
        <v>8</v>
      </c>
      <c r="B222" s="44" t="s">
        <v>1101</v>
      </c>
      <c r="C222" s="44" t="s">
        <v>1561</v>
      </c>
      <c r="D222" s="44" t="s">
        <v>1562</v>
      </c>
      <c r="E222" s="45">
        <v>1</v>
      </c>
      <c r="F222" s="283">
        <v>2500</v>
      </c>
      <c r="G222" s="283">
        <v>2500</v>
      </c>
      <c r="H222" s="44" t="s">
        <v>1559</v>
      </c>
      <c r="I222" s="89" t="s">
        <v>1231</v>
      </c>
      <c r="K222" s="412" t="s">
        <v>1365</v>
      </c>
    </row>
    <row r="223" spans="1:11" hidden="1" x14ac:dyDescent="0.25">
      <c r="A223" s="46">
        <v>8</v>
      </c>
      <c r="B223" s="44" t="s">
        <v>1101</v>
      </c>
      <c r="C223" s="44" t="s">
        <v>1378</v>
      </c>
      <c r="D223" s="44" t="s">
        <v>1563</v>
      </c>
      <c r="E223" s="45">
        <v>5</v>
      </c>
      <c r="F223" s="283">
        <v>4600</v>
      </c>
      <c r="G223" s="283">
        <v>23000</v>
      </c>
      <c r="H223" s="44" t="s">
        <v>1559</v>
      </c>
      <c r="I223" s="89" t="s">
        <v>1231</v>
      </c>
      <c r="K223" s="412" t="s">
        <v>1365</v>
      </c>
    </row>
    <row r="224" spans="1:11" hidden="1" x14ac:dyDescent="0.25">
      <c r="A224" s="46">
        <v>8</v>
      </c>
      <c r="B224" s="44" t="s">
        <v>1101</v>
      </c>
      <c r="C224" s="44" t="s">
        <v>1380</v>
      </c>
      <c r="D224" s="44" t="s">
        <v>1564</v>
      </c>
      <c r="E224" s="45">
        <v>3</v>
      </c>
      <c r="F224" s="283">
        <v>9600</v>
      </c>
      <c r="G224" s="283">
        <v>28800</v>
      </c>
      <c r="H224" s="44" t="s">
        <v>1559</v>
      </c>
      <c r="I224" s="89" t="s">
        <v>1231</v>
      </c>
      <c r="K224" s="412" t="s">
        <v>1365</v>
      </c>
    </row>
    <row r="225" spans="1:11" hidden="1" x14ac:dyDescent="0.25">
      <c r="A225" s="46">
        <v>8</v>
      </c>
      <c r="B225" s="44" t="s">
        <v>1101</v>
      </c>
      <c r="C225" s="44" t="s">
        <v>1565</v>
      </c>
      <c r="D225" s="44" t="s">
        <v>1566</v>
      </c>
      <c r="E225" s="45">
        <v>1</v>
      </c>
      <c r="F225" s="283">
        <v>21700</v>
      </c>
      <c r="G225" s="283">
        <v>21700</v>
      </c>
      <c r="H225" s="44" t="s">
        <v>1559</v>
      </c>
      <c r="I225" s="89" t="s">
        <v>1231</v>
      </c>
      <c r="K225" s="412" t="s">
        <v>1365</v>
      </c>
    </row>
    <row r="226" spans="1:11" hidden="1" x14ac:dyDescent="0.25">
      <c r="A226" s="46">
        <v>8</v>
      </c>
      <c r="B226" s="44" t="s">
        <v>1101</v>
      </c>
      <c r="C226" s="44" t="s">
        <v>1382</v>
      </c>
      <c r="D226" s="44" t="s">
        <v>1567</v>
      </c>
      <c r="E226" s="45">
        <v>1</v>
      </c>
      <c r="F226" s="283">
        <v>27500</v>
      </c>
      <c r="G226" s="283">
        <v>27500</v>
      </c>
      <c r="H226" s="44" t="s">
        <v>1559</v>
      </c>
      <c r="I226" s="89" t="s">
        <v>1231</v>
      </c>
      <c r="K226" s="412" t="s">
        <v>1365</v>
      </c>
    </row>
    <row r="227" spans="1:11" hidden="1" x14ac:dyDescent="0.25">
      <c r="A227" s="46">
        <v>8</v>
      </c>
      <c r="B227" s="44" t="s">
        <v>1101</v>
      </c>
      <c r="C227" s="44" t="s">
        <v>1568</v>
      </c>
      <c r="D227" s="44" t="s">
        <v>1569</v>
      </c>
      <c r="E227" s="45">
        <v>20</v>
      </c>
      <c r="F227" s="283">
        <v>11200</v>
      </c>
      <c r="G227" s="283">
        <v>224000</v>
      </c>
      <c r="H227" s="44" t="s">
        <v>1559</v>
      </c>
      <c r="I227" s="89" t="s">
        <v>1231</v>
      </c>
      <c r="K227" s="412" t="s">
        <v>1365</v>
      </c>
    </row>
    <row r="228" spans="1:11" hidden="1" x14ac:dyDescent="0.25">
      <c r="A228" s="46">
        <v>8</v>
      </c>
      <c r="B228" s="44" t="s">
        <v>1101</v>
      </c>
      <c r="C228" s="44" t="s">
        <v>1570</v>
      </c>
      <c r="D228" s="44" t="s">
        <v>1571</v>
      </c>
      <c r="E228" s="45">
        <v>13</v>
      </c>
      <c r="F228" s="283">
        <v>8600</v>
      </c>
      <c r="G228" s="283">
        <v>111800</v>
      </c>
      <c r="H228" s="44" t="s">
        <v>1559</v>
      </c>
      <c r="I228" s="89" t="s">
        <v>1231</v>
      </c>
      <c r="K228" s="412" t="s">
        <v>1365</v>
      </c>
    </row>
    <row r="229" spans="1:11" hidden="1" x14ac:dyDescent="0.25">
      <c r="A229" s="46">
        <v>8</v>
      </c>
      <c r="B229" s="44" t="s">
        <v>1101</v>
      </c>
      <c r="C229" s="44" t="s">
        <v>1572</v>
      </c>
      <c r="D229" s="44" t="s">
        <v>1573</v>
      </c>
      <c r="E229" s="45">
        <v>1</v>
      </c>
      <c r="F229" s="283">
        <v>6800</v>
      </c>
      <c r="G229" s="283">
        <v>6800</v>
      </c>
      <c r="H229" s="44" t="s">
        <v>1559</v>
      </c>
      <c r="I229" s="89" t="s">
        <v>1231</v>
      </c>
      <c r="K229" s="412" t="s">
        <v>1365</v>
      </c>
    </row>
    <row r="230" spans="1:11" hidden="1" x14ac:dyDescent="0.25">
      <c r="A230" s="46">
        <v>8</v>
      </c>
      <c r="B230" s="44" t="s">
        <v>1101</v>
      </c>
      <c r="C230" s="44" t="s">
        <v>1392</v>
      </c>
      <c r="D230" s="44" t="s">
        <v>1574</v>
      </c>
      <c r="E230" s="45">
        <v>5</v>
      </c>
      <c r="F230" s="283">
        <v>10600</v>
      </c>
      <c r="G230" s="283">
        <v>53000</v>
      </c>
      <c r="H230" s="44" t="s">
        <v>1559</v>
      </c>
      <c r="I230" s="89" t="s">
        <v>1231</v>
      </c>
      <c r="K230" s="412" t="s">
        <v>1365</v>
      </c>
    </row>
    <row r="231" spans="1:11" hidden="1" x14ac:dyDescent="0.25">
      <c r="A231" s="46">
        <v>8</v>
      </c>
      <c r="B231" s="44" t="s">
        <v>1101</v>
      </c>
      <c r="C231" s="44" t="s">
        <v>1396</v>
      </c>
      <c r="D231" s="44" t="s">
        <v>1575</v>
      </c>
      <c r="E231" s="45">
        <v>6</v>
      </c>
      <c r="F231" s="283">
        <v>2100</v>
      </c>
      <c r="G231" s="283">
        <v>12600</v>
      </c>
      <c r="H231" s="44" t="s">
        <v>1559</v>
      </c>
      <c r="I231" s="89" t="s">
        <v>1231</v>
      </c>
      <c r="K231" s="412" t="s">
        <v>1365</v>
      </c>
    </row>
    <row r="232" spans="1:11" hidden="1" x14ac:dyDescent="0.25">
      <c r="A232" s="46">
        <v>8</v>
      </c>
      <c r="B232" s="44" t="s">
        <v>1101</v>
      </c>
      <c r="C232" s="44" t="s">
        <v>1400</v>
      </c>
      <c r="D232" s="44" t="s">
        <v>1576</v>
      </c>
      <c r="E232" s="45">
        <v>1</v>
      </c>
      <c r="F232" s="283">
        <v>19850</v>
      </c>
      <c r="G232" s="283">
        <v>19850</v>
      </c>
      <c r="H232" s="44" t="s">
        <v>1559</v>
      </c>
      <c r="I232" s="89" t="s">
        <v>1231</v>
      </c>
      <c r="K232" s="412" t="s">
        <v>1365</v>
      </c>
    </row>
    <row r="233" spans="1:11" hidden="1" x14ac:dyDescent="0.25">
      <c r="A233" s="46">
        <v>8</v>
      </c>
      <c r="B233" s="44" t="s">
        <v>1101</v>
      </c>
      <c r="C233" s="44" t="s">
        <v>1577</v>
      </c>
      <c r="D233" s="44" t="s">
        <v>1578</v>
      </c>
      <c r="E233" s="45">
        <v>1</v>
      </c>
      <c r="F233" s="283">
        <v>2000</v>
      </c>
      <c r="G233" s="283">
        <v>2000</v>
      </c>
      <c r="H233" s="44" t="s">
        <v>1559</v>
      </c>
      <c r="I233" s="89" t="s">
        <v>1231</v>
      </c>
      <c r="K233" s="412" t="s">
        <v>1365</v>
      </c>
    </row>
    <row r="234" spans="1:11" hidden="1" x14ac:dyDescent="0.25">
      <c r="A234" s="46">
        <v>8</v>
      </c>
      <c r="B234" s="44" t="s">
        <v>1101</v>
      </c>
      <c r="C234" s="44" t="s">
        <v>1579</v>
      </c>
      <c r="D234" s="44" t="s">
        <v>1580</v>
      </c>
      <c r="E234" s="45">
        <v>5</v>
      </c>
      <c r="F234" s="283">
        <v>7600</v>
      </c>
      <c r="G234" s="283">
        <v>38000</v>
      </c>
      <c r="H234" s="44" t="s">
        <v>1559</v>
      </c>
      <c r="I234" s="89" t="s">
        <v>1231</v>
      </c>
      <c r="K234" s="412" t="s">
        <v>1365</v>
      </c>
    </row>
    <row r="235" spans="1:11" hidden="1" x14ac:dyDescent="0.25">
      <c r="A235" s="46">
        <v>8</v>
      </c>
      <c r="B235" s="44" t="s">
        <v>1101</v>
      </c>
      <c r="C235" s="44" t="s">
        <v>1412</v>
      </c>
      <c r="D235" s="44" t="s">
        <v>1581</v>
      </c>
      <c r="E235" s="45">
        <v>200</v>
      </c>
      <c r="F235" s="283">
        <v>440</v>
      </c>
      <c r="G235" s="283">
        <v>88000</v>
      </c>
      <c r="H235" s="44" t="s">
        <v>1559</v>
      </c>
      <c r="I235" s="89" t="s">
        <v>1231</v>
      </c>
      <c r="K235" s="412" t="s">
        <v>1365</v>
      </c>
    </row>
    <row r="236" spans="1:11" hidden="1" x14ac:dyDescent="0.25">
      <c r="A236" s="46">
        <v>8</v>
      </c>
      <c r="B236" s="44" t="s">
        <v>1101</v>
      </c>
      <c r="C236" s="44" t="s">
        <v>1582</v>
      </c>
      <c r="D236" s="44" t="s">
        <v>1583</v>
      </c>
      <c r="E236" s="45">
        <v>1</v>
      </c>
      <c r="F236" s="283">
        <v>13100</v>
      </c>
      <c r="G236" s="283">
        <v>13100</v>
      </c>
      <c r="H236" s="44" t="s">
        <v>1559</v>
      </c>
      <c r="I236" s="89" t="s">
        <v>1231</v>
      </c>
      <c r="K236" s="412" t="s">
        <v>1365</v>
      </c>
    </row>
    <row r="237" spans="1:11" hidden="1" x14ac:dyDescent="0.25">
      <c r="A237" s="46">
        <v>8</v>
      </c>
      <c r="B237" s="44" t="s">
        <v>1101</v>
      </c>
      <c r="C237" s="44" t="s">
        <v>1418</v>
      </c>
      <c r="D237" s="44" t="s">
        <v>1584</v>
      </c>
      <c r="E237" s="45">
        <v>1</v>
      </c>
      <c r="F237" s="283">
        <v>14600</v>
      </c>
      <c r="G237" s="283">
        <v>14600</v>
      </c>
      <c r="H237" s="44" t="s">
        <v>1559</v>
      </c>
      <c r="I237" s="89" t="s">
        <v>1231</v>
      </c>
      <c r="K237" s="412" t="s">
        <v>1365</v>
      </c>
    </row>
    <row r="238" spans="1:11" hidden="1" x14ac:dyDescent="0.25">
      <c r="A238" s="46">
        <v>8</v>
      </c>
      <c r="B238" s="44" t="s">
        <v>1101</v>
      </c>
      <c r="C238" s="44" t="s">
        <v>1422</v>
      </c>
      <c r="D238" s="44" t="s">
        <v>1585</v>
      </c>
      <c r="E238" s="45">
        <v>1</v>
      </c>
      <c r="F238" s="283">
        <v>18200</v>
      </c>
      <c r="G238" s="283">
        <v>18200</v>
      </c>
      <c r="H238" s="44" t="s">
        <v>1559</v>
      </c>
      <c r="I238" s="89" t="s">
        <v>1231</v>
      </c>
      <c r="K238" s="412" t="s">
        <v>1365</v>
      </c>
    </row>
    <row r="239" spans="1:11" hidden="1" x14ac:dyDescent="0.25">
      <c r="A239" s="46">
        <v>8</v>
      </c>
      <c r="B239" s="44" t="s">
        <v>1101</v>
      </c>
      <c r="C239" s="44" t="s">
        <v>1430</v>
      </c>
      <c r="D239" s="44" t="s">
        <v>1586</v>
      </c>
      <c r="E239" s="45">
        <v>4</v>
      </c>
      <c r="F239" s="283">
        <v>4850</v>
      </c>
      <c r="G239" s="283">
        <v>19400</v>
      </c>
      <c r="H239" s="44" t="s">
        <v>1559</v>
      </c>
      <c r="I239" s="89" t="s">
        <v>1231</v>
      </c>
      <c r="K239" s="412" t="s">
        <v>1365</v>
      </c>
    </row>
    <row r="240" spans="1:11" hidden="1" x14ac:dyDescent="0.25">
      <c r="A240" s="46">
        <v>8</v>
      </c>
      <c r="B240" s="44" t="s">
        <v>1101</v>
      </c>
      <c r="C240" s="44" t="s">
        <v>1432</v>
      </c>
      <c r="D240" s="44" t="s">
        <v>1587</v>
      </c>
      <c r="E240" s="45">
        <v>2</v>
      </c>
      <c r="F240" s="283">
        <v>17250</v>
      </c>
      <c r="G240" s="283">
        <v>34500</v>
      </c>
      <c r="H240" s="44" t="s">
        <v>1559</v>
      </c>
      <c r="I240" s="89" t="s">
        <v>1231</v>
      </c>
      <c r="K240" s="412" t="s">
        <v>1365</v>
      </c>
    </row>
    <row r="241" spans="1:11" hidden="1" x14ac:dyDescent="0.25">
      <c r="A241" s="46">
        <v>8</v>
      </c>
      <c r="B241" s="44" t="s">
        <v>1101</v>
      </c>
      <c r="C241" s="44" t="s">
        <v>1436</v>
      </c>
      <c r="D241" s="44" t="s">
        <v>1588</v>
      </c>
      <c r="E241" s="45">
        <v>6</v>
      </c>
      <c r="F241" s="283">
        <v>5200</v>
      </c>
      <c r="G241" s="283">
        <v>31200</v>
      </c>
      <c r="H241" s="44" t="s">
        <v>1559</v>
      </c>
      <c r="I241" s="89" t="s">
        <v>1231</v>
      </c>
      <c r="K241" s="412" t="s">
        <v>1365</v>
      </c>
    </row>
    <row r="242" spans="1:11" hidden="1" x14ac:dyDescent="0.25">
      <c r="A242" s="46">
        <v>8</v>
      </c>
      <c r="B242" s="44" t="s">
        <v>1101</v>
      </c>
      <c r="C242" s="44" t="s">
        <v>1440</v>
      </c>
      <c r="D242" s="44" t="s">
        <v>1589</v>
      </c>
      <c r="E242" s="45">
        <v>40</v>
      </c>
      <c r="F242" s="283">
        <v>3100</v>
      </c>
      <c r="G242" s="283">
        <v>124000</v>
      </c>
      <c r="H242" s="44" t="s">
        <v>1559</v>
      </c>
      <c r="I242" s="89" t="s">
        <v>1231</v>
      </c>
      <c r="K242" s="412" t="s">
        <v>1365</v>
      </c>
    </row>
    <row r="243" spans="1:11" hidden="1" x14ac:dyDescent="0.25">
      <c r="A243" s="46">
        <v>8</v>
      </c>
      <c r="B243" s="44" t="s">
        <v>1101</v>
      </c>
      <c r="C243" s="44" t="s">
        <v>1444</v>
      </c>
      <c r="D243" s="44" t="s">
        <v>1590</v>
      </c>
      <c r="E243" s="45">
        <v>4</v>
      </c>
      <c r="F243" s="283">
        <v>2750</v>
      </c>
      <c r="G243" s="283">
        <v>11000</v>
      </c>
      <c r="H243" s="44" t="s">
        <v>1559</v>
      </c>
      <c r="I243" s="89" t="s">
        <v>1231</v>
      </c>
      <c r="K243" s="412" t="s">
        <v>1365</v>
      </c>
    </row>
    <row r="244" spans="1:11" hidden="1" x14ac:dyDescent="0.25">
      <c r="A244" s="426">
        <v>8</v>
      </c>
      <c r="B244" s="427" t="s">
        <v>1230</v>
      </c>
      <c r="C244" s="427" t="s">
        <v>200</v>
      </c>
      <c r="D244" s="429" t="s">
        <v>311</v>
      </c>
      <c r="E244" s="45">
        <v>14.1</v>
      </c>
      <c r="F244" s="283">
        <v>18500</v>
      </c>
      <c r="G244" s="428">
        <v>260850</v>
      </c>
      <c r="H244" s="395" t="s">
        <v>310</v>
      </c>
      <c r="I244" s="89" t="s">
        <v>1591</v>
      </c>
      <c r="K244" s="412" t="s">
        <v>1245</v>
      </c>
    </row>
    <row r="245" spans="1:11" hidden="1" x14ac:dyDescent="0.25">
      <c r="A245" s="46">
        <v>8</v>
      </c>
      <c r="B245" s="44" t="s">
        <v>1230</v>
      </c>
      <c r="C245" s="44" t="s">
        <v>254</v>
      </c>
      <c r="D245" s="44" t="s">
        <v>313</v>
      </c>
      <c r="E245" s="45">
        <v>13.6</v>
      </c>
      <c r="F245" s="283">
        <v>19500</v>
      </c>
      <c r="G245" s="283">
        <v>265200</v>
      </c>
      <c r="H245" s="44" t="s">
        <v>312</v>
      </c>
      <c r="I245" s="89" t="s">
        <v>1592</v>
      </c>
      <c r="K245" s="412" t="s">
        <v>1456</v>
      </c>
    </row>
    <row r="246" spans="1:11" hidden="1" x14ac:dyDescent="0.25">
      <c r="A246" s="426">
        <v>8</v>
      </c>
      <c r="B246" s="427" t="s">
        <v>1230</v>
      </c>
      <c r="C246" s="427" t="s">
        <v>223</v>
      </c>
      <c r="D246" s="429" t="s">
        <v>314</v>
      </c>
      <c r="E246" s="45">
        <v>14.9</v>
      </c>
      <c r="F246" s="283">
        <v>7500</v>
      </c>
      <c r="G246" s="428">
        <v>111750</v>
      </c>
      <c r="H246" s="395" t="s">
        <v>310</v>
      </c>
      <c r="I246" s="89" t="s">
        <v>1231</v>
      </c>
      <c r="K246" s="412" t="s">
        <v>1245</v>
      </c>
    </row>
    <row r="247" spans="1:11" hidden="1" x14ac:dyDescent="0.25">
      <c r="A247" s="46">
        <v>8</v>
      </c>
      <c r="B247" s="44" t="s">
        <v>1239</v>
      </c>
      <c r="C247" s="44" t="s">
        <v>1593</v>
      </c>
      <c r="D247" s="44" t="s">
        <v>1594</v>
      </c>
      <c r="E247" s="45">
        <v>7</v>
      </c>
      <c r="F247" s="283">
        <v>21000</v>
      </c>
      <c r="G247" s="283">
        <v>147000</v>
      </c>
      <c r="H247" s="44" t="s">
        <v>1595</v>
      </c>
      <c r="I247" s="89" t="s">
        <v>1231</v>
      </c>
      <c r="K247" s="412" t="s">
        <v>1262</v>
      </c>
    </row>
    <row r="248" spans="1:11" hidden="1" x14ac:dyDescent="0.25">
      <c r="A248" s="46">
        <v>8</v>
      </c>
      <c r="B248" s="44" t="s">
        <v>1101</v>
      </c>
      <c r="C248" s="44" t="s">
        <v>1596</v>
      </c>
      <c r="D248" s="44" t="s">
        <v>1597</v>
      </c>
      <c r="E248" s="45">
        <v>1</v>
      </c>
      <c r="F248" s="283">
        <v>14000</v>
      </c>
      <c r="G248" s="283">
        <v>14000</v>
      </c>
      <c r="H248" s="44" t="s">
        <v>1595</v>
      </c>
      <c r="I248" s="89" t="s">
        <v>1231</v>
      </c>
      <c r="K248" s="412" t="s">
        <v>1262</v>
      </c>
    </row>
    <row r="249" spans="1:11" hidden="1" x14ac:dyDescent="0.25">
      <c r="A249" s="46">
        <v>8</v>
      </c>
      <c r="B249" s="44" t="s">
        <v>1230</v>
      </c>
      <c r="C249" s="44" t="s">
        <v>233</v>
      </c>
      <c r="D249" s="44" t="s">
        <v>316</v>
      </c>
      <c r="E249" s="45">
        <v>5</v>
      </c>
      <c r="F249" s="283">
        <v>33000</v>
      </c>
      <c r="G249" s="283">
        <v>165000</v>
      </c>
      <c r="H249" s="398" t="s">
        <v>315</v>
      </c>
      <c r="I249" s="89" t="s">
        <v>1231</v>
      </c>
      <c r="K249" s="412" t="s">
        <v>1344</v>
      </c>
    </row>
    <row r="250" spans="1:11" hidden="1" x14ac:dyDescent="0.25">
      <c r="A250" s="46">
        <v>8</v>
      </c>
      <c r="B250" s="44" t="s">
        <v>1230</v>
      </c>
      <c r="C250" s="44" t="s">
        <v>192</v>
      </c>
      <c r="D250" s="44" t="s">
        <v>317</v>
      </c>
      <c r="E250" s="45">
        <v>8.65</v>
      </c>
      <c r="F250" s="283">
        <v>7000</v>
      </c>
      <c r="G250" s="283">
        <v>60550</v>
      </c>
      <c r="H250" s="398" t="s">
        <v>315</v>
      </c>
      <c r="I250" s="89" t="s">
        <v>1231</v>
      </c>
      <c r="K250" s="412" t="s">
        <v>1344</v>
      </c>
    </row>
    <row r="251" spans="1:11" hidden="1" x14ac:dyDescent="0.25">
      <c r="A251" s="46">
        <v>8</v>
      </c>
      <c r="B251" s="44" t="s">
        <v>1255</v>
      </c>
      <c r="C251" s="285" t="s">
        <v>1598</v>
      </c>
      <c r="D251" s="285" t="s">
        <v>1598</v>
      </c>
      <c r="E251" s="45">
        <v>1</v>
      </c>
      <c r="F251" s="286">
        <v>66000</v>
      </c>
      <c r="G251" s="283">
        <v>66000</v>
      </c>
      <c r="H251" s="84" t="s">
        <v>1511</v>
      </c>
      <c r="I251" s="89" t="s">
        <v>1231</v>
      </c>
      <c r="K251" s="412" t="s">
        <v>1261</v>
      </c>
    </row>
    <row r="252" spans="1:11" hidden="1" x14ac:dyDescent="0.25">
      <c r="A252" s="46">
        <v>8</v>
      </c>
      <c r="B252" s="44" t="s">
        <v>1255</v>
      </c>
      <c r="C252" s="285" t="s">
        <v>1599</v>
      </c>
      <c r="D252" s="285" t="s">
        <v>1599</v>
      </c>
      <c r="E252" s="45">
        <v>1</v>
      </c>
      <c r="F252" s="284">
        <v>66000</v>
      </c>
      <c r="G252" s="283">
        <v>66000</v>
      </c>
      <c r="H252" s="84" t="s">
        <v>1511</v>
      </c>
      <c r="I252" s="89" t="s">
        <v>1231</v>
      </c>
      <c r="K252" s="412" t="s">
        <v>1294</v>
      </c>
    </row>
    <row r="253" spans="1:11" hidden="1" x14ac:dyDescent="0.25">
      <c r="A253" s="46">
        <v>8</v>
      </c>
      <c r="B253" s="44" t="s">
        <v>1255</v>
      </c>
      <c r="C253" s="285" t="s">
        <v>918</v>
      </c>
      <c r="D253" s="285" t="s">
        <v>918</v>
      </c>
      <c r="E253" s="45">
        <v>1</v>
      </c>
      <c r="F253" s="284">
        <v>66000</v>
      </c>
      <c r="G253" s="283">
        <v>66000</v>
      </c>
      <c r="H253" s="84" t="s">
        <v>1511</v>
      </c>
      <c r="I253" s="89" t="s">
        <v>1231</v>
      </c>
      <c r="K253" s="412" t="s">
        <v>1261</v>
      </c>
    </row>
    <row r="254" spans="1:11" hidden="1" x14ac:dyDescent="0.25">
      <c r="A254" s="46">
        <v>8</v>
      </c>
      <c r="B254" s="44" t="s">
        <v>1255</v>
      </c>
      <c r="C254" s="285" t="s">
        <v>1600</v>
      </c>
      <c r="D254" s="285" t="s">
        <v>1600</v>
      </c>
      <c r="E254" s="45">
        <v>1</v>
      </c>
      <c r="F254" s="284">
        <v>132000</v>
      </c>
      <c r="G254" s="283">
        <v>132000</v>
      </c>
      <c r="H254" s="84" t="s">
        <v>1511</v>
      </c>
      <c r="I254" s="89" t="s">
        <v>1231</v>
      </c>
      <c r="K254" s="412" t="s">
        <v>1261</v>
      </c>
    </row>
    <row r="255" spans="1:11" hidden="1" x14ac:dyDescent="0.25">
      <c r="A255" s="48">
        <v>8</v>
      </c>
      <c r="B255" s="49" t="s">
        <v>1230</v>
      </c>
      <c r="C255" s="287" t="s">
        <v>319</v>
      </c>
      <c r="D255" s="287" t="s">
        <v>319</v>
      </c>
      <c r="E255" s="50">
        <v>1</v>
      </c>
      <c r="F255" s="288">
        <v>72200</v>
      </c>
      <c r="G255" s="289">
        <v>72200</v>
      </c>
      <c r="H255" s="82" t="s">
        <v>318</v>
      </c>
      <c r="I255" s="89" t="s">
        <v>1231</v>
      </c>
      <c r="K255" s="412" t="s">
        <v>1294</v>
      </c>
    </row>
    <row r="256" spans="1:11" hidden="1" x14ac:dyDescent="0.25">
      <c r="A256" s="48">
        <v>8</v>
      </c>
      <c r="B256" s="49" t="s">
        <v>1255</v>
      </c>
      <c r="C256" s="287" t="s">
        <v>1601</v>
      </c>
      <c r="D256" s="287" t="s">
        <v>1601</v>
      </c>
      <c r="E256" s="50">
        <v>1</v>
      </c>
      <c r="F256" s="288">
        <v>13500</v>
      </c>
      <c r="G256" s="289">
        <v>13500</v>
      </c>
      <c r="H256" s="82" t="s">
        <v>318</v>
      </c>
      <c r="I256" s="89" t="s">
        <v>1231</v>
      </c>
      <c r="K256" s="412" t="s">
        <v>1294</v>
      </c>
    </row>
    <row r="257" spans="1:11" hidden="1" x14ac:dyDescent="0.25">
      <c r="A257" s="48">
        <v>8</v>
      </c>
      <c r="B257" s="49" t="s">
        <v>1255</v>
      </c>
      <c r="C257" s="287" t="s">
        <v>1602</v>
      </c>
      <c r="D257" s="287" t="s">
        <v>1602</v>
      </c>
      <c r="E257" s="50">
        <v>1</v>
      </c>
      <c r="F257" s="290">
        <v>20000</v>
      </c>
      <c r="G257" s="289">
        <v>20000</v>
      </c>
      <c r="H257" s="82" t="s">
        <v>318</v>
      </c>
      <c r="I257" s="89" t="s">
        <v>1231</v>
      </c>
      <c r="K257" s="412" t="s">
        <v>1294</v>
      </c>
    </row>
    <row r="258" spans="1:11" hidden="1" x14ac:dyDescent="0.25">
      <c r="A258" s="48">
        <v>8</v>
      </c>
      <c r="B258" s="49" t="s">
        <v>1101</v>
      </c>
      <c r="C258" s="287" t="s">
        <v>1603</v>
      </c>
      <c r="D258" s="287" t="s">
        <v>1603</v>
      </c>
      <c r="E258" s="50">
        <v>1</v>
      </c>
      <c r="F258" s="290">
        <v>90000</v>
      </c>
      <c r="G258" s="289">
        <v>90000</v>
      </c>
      <c r="H258" s="82" t="s">
        <v>318</v>
      </c>
      <c r="I258" s="89" t="s">
        <v>1231</v>
      </c>
      <c r="K258" s="412" t="s">
        <v>1294</v>
      </c>
    </row>
    <row r="259" spans="1:11" hidden="1" x14ac:dyDescent="0.25">
      <c r="A259" s="48">
        <v>8</v>
      </c>
      <c r="B259" s="49" t="s">
        <v>1235</v>
      </c>
      <c r="C259" s="287" t="s">
        <v>1604</v>
      </c>
      <c r="D259" s="287" t="s">
        <v>1604</v>
      </c>
      <c r="E259" s="50">
        <v>1</v>
      </c>
      <c r="F259" s="288">
        <v>81000</v>
      </c>
      <c r="G259" s="289">
        <v>81000</v>
      </c>
      <c r="H259" s="82" t="s">
        <v>318</v>
      </c>
      <c r="I259" s="89" t="s">
        <v>1231</v>
      </c>
      <c r="K259" s="412" t="s">
        <v>1294</v>
      </c>
    </row>
    <row r="260" spans="1:11" hidden="1" x14ac:dyDescent="0.25">
      <c r="A260" s="48">
        <v>8</v>
      </c>
      <c r="B260" s="49" t="s">
        <v>1235</v>
      </c>
      <c r="C260" s="287" t="s">
        <v>1605</v>
      </c>
      <c r="D260" s="287" t="s">
        <v>1605</v>
      </c>
      <c r="E260" s="50">
        <v>1</v>
      </c>
      <c r="F260" s="288">
        <v>5000</v>
      </c>
      <c r="G260" s="289">
        <v>5000</v>
      </c>
      <c r="H260" s="82" t="s">
        <v>318</v>
      </c>
      <c r="I260" s="89" t="s">
        <v>1231</v>
      </c>
      <c r="K260" s="412" t="s">
        <v>1294</v>
      </c>
    </row>
    <row r="261" spans="1:11" hidden="1" x14ac:dyDescent="0.25">
      <c r="A261" s="48">
        <v>8</v>
      </c>
      <c r="B261" s="49" t="s">
        <v>1235</v>
      </c>
      <c r="C261" s="287" t="s">
        <v>1606</v>
      </c>
      <c r="D261" s="287" t="s">
        <v>1606</v>
      </c>
      <c r="E261" s="50">
        <v>1</v>
      </c>
      <c r="F261" s="288">
        <v>86600</v>
      </c>
      <c r="G261" s="289">
        <v>86600</v>
      </c>
      <c r="H261" s="82" t="s">
        <v>318</v>
      </c>
      <c r="I261" s="89" t="s">
        <v>1231</v>
      </c>
      <c r="K261" s="412" t="s">
        <v>1294</v>
      </c>
    </row>
    <row r="262" spans="1:11" hidden="1" x14ac:dyDescent="0.25">
      <c r="A262" s="48">
        <v>8</v>
      </c>
      <c r="B262" s="49" t="s">
        <v>1255</v>
      </c>
      <c r="C262" s="287" t="s">
        <v>1607</v>
      </c>
      <c r="D262" s="287" t="s">
        <v>1607</v>
      </c>
      <c r="E262" s="50">
        <v>1</v>
      </c>
      <c r="F262" s="290">
        <v>130000</v>
      </c>
      <c r="G262" s="289">
        <v>130000</v>
      </c>
      <c r="H262" s="82" t="s">
        <v>318</v>
      </c>
      <c r="I262" s="89" t="s">
        <v>1231</v>
      </c>
      <c r="K262" s="412" t="s">
        <v>1294</v>
      </c>
    </row>
    <row r="263" spans="1:11" hidden="1" x14ac:dyDescent="0.25">
      <c r="A263" s="48">
        <v>8</v>
      </c>
      <c r="B263" s="49" t="s">
        <v>1255</v>
      </c>
      <c r="C263" s="287" t="s">
        <v>1608</v>
      </c>
      <c r="D263" s="287" t="s">
        <v>1608</v>
      </c>
      <c r="E263" s="50">
        <v>1</v>
      </c>
      <c r="F263" s="288">
        <v>35100</v>
      </c>
      <c r="G263" s="289">
        <v>35100</v>
      </c>
      <c r="H263" s="82" t="s">
        <v>318</v>
      </c>
      <c r="I263" s="89" t="s">
        <v>1231</v>
      </c>
      <c r="K263" s="412" t="s">
        <v>1294</v>
      </c>
    </row>
    <row r="264" spans="1:11" hidden="1" x14ac:dyDescent="0.25">
      <c r="A264" s="48">
        <v>8</v>
      </c>
      <c r="B264" s="49" t="s">
        <v>1255</v>
      </c>
      <c r="C264" s="287" t="s">
        <v>1609</v>
      </c>
      <c r="D264" s="287" t="s">
        <v>1609</v>
      </c>
      <c r="E264" s="50">
        <v>1</v>
      </c>
      <c r="F264" s="290">
        <v>20000</v>
      </c>
      <c r="G264" s="289">
        <v>20000</v>
      </c>
      <c r="H264" s="82" t="s">
        <v>318</v>
      </c>
      <c r="I264" s="89" t="s">
        <v>1231</v>
      </c>
      <c r="K264" s="412" t="s">
        <v>1258</v>
      </c>
    </row>
    <row r="265" spans="1:11" hidden="1" x14ac:dyDescent="0.25">
      <c r="A265" s="48">
        <v>8</v>
      </c>
      <c r="B265" s="49" t="s">
        <v>1235</v>
      </c>
      <c r="C265" s="287" t="s">
        <v>1610</v>
      </c>
      <c r="D265" s="287" t="s">
        <v>1610</v>
      </c>
      <c r="E265" s="50">
        <v>1</v>
      </c>
      <c r="F265" s="290">
        <v>66000</v>
      </c>
      <c r="G265" s="289">
        <v>66000</v>
      </c>
      <c r="H265" s="82" t="s">
        <v>318</v>
      </c>
      <c r="I265" s="89" t="s">
        <v>1231</v>
      </c>
      <c r="K265" s="412" t="s">
        <v>1294</v>
      </c>
    </row>
    <row r="266" spans="1:11" hidden="1" x14ac:dyDescent="0.25">
      <c r="A266" s="48">
        <v>8</v>
      </c>
      <c r="B266" s="49" t="s">
        <v>1235</v>
      </c>
      <c r="C266" s="287" t="s">
        <v>1611</v>
      </c>
      <c r="D266" s="287" t="s">
        <v>1611</v>
      </c>
      <c r="E266" s="50">
        <v>1</v>
      </c>
      <c r="F266" s="288">
        <v>78500</v>
      </c>
      <c r="G266" s="289">
        <v>78500</v>
      </c>
      <c r="H266" s="82" t="s">
        <v>318</v>
      </c>
      <c r="I266" s="89" t="s">
        <v>1231</v>
      </c>
      <c r="K266" s="412" t="s">
        <v>1294</v>
      </c>
    </row>
    <row r="267" spans="1:11" hidden="1" x14ac:dyDescent="0.25">
      <c r="A267" s="48">
        <v>8</v>
      </c>
      <c r="B267" s="49" t="s">
        <v>1239</v>
      </c>
      <c r="C267" s="49" t="s">
        <v>1354</v>
      </c>
      <c r="D267" s="49" t="s">
        <v>1612</v>
      </c>
      <c r="E267" s="50">
        <v>15</v>
      </c>
      <c r="F267" s="289">
        <v>15166.67</v>
      </c>
      <c r="G267" s="289">
        <v>227500</v>
      </c>
      <c r="H267" s="49" t="s">
        <v>1613</v>
      </c>
      <c r="I267" s="90" t="s">
        <v>1246</v>
      </c>
      <c r="K267" s="412" t="s">
        <v>1294</v>
      </c>
    </row>
    <row r="268" spans="1:11" hidden="1" x14ac:dyDescent="0.25">
      <c r="A268" s="48">
        <v>8</v>
      </c>
      <c r="B268" s="49" t="s">
        <v>1614</v>
      </c>
      <c r="C268" s="94" t="s">
        <v>1615</v>
      </c>
      <c r="D268" s="94" t="s">
        <v>1616</v>
      </c>
      <c r="E268" s="50">
        <v>1</v>
      </c>
      <c r="F268" s="290">
        <v>54899.46</v>
      </c>
      <c r="G268" s="289">
        <v>54899.46</v>
      </c>
      <c r="H268" s="95" t="s">
        <v>1617</v>
      </c>
      <c r="I268" s="96" t="s">
        <v>1231</v>
      </c>
      <c r="J268" s="97" t="s">
        <v>121</v>
      </c>
      <c r="K268" s="412" t="s">
        <v>1294</v>
      </c>
    </row>
    <row r="269" spans="1:11" hidden="1" x14ac:dyDescent="0.25">
      <c r="A269" s="48">
        <v>8</v>
      </c>
      <c r="B269" s="49" t="s">
        <v>1614</v>
      </c>
      <c r="C269" s="94" t="s">
        <v>1618</v>
      </c>
      <c r="D269" s="94" t="s">
        <v>1619</v>
      </c>
      <c r="E269" s="50">
        <v>1</v>
      </c>
      <c r="F269" s="290">
        <v>74899.789999999994</v>
      </c>
      <c r="G269" s="289">
        <v>74899.789999999994</v>
      </c>
      <c r="H269" s="95" t="s">
        <v>1617</v>
      </c>
      <c r="I269" s="96" t="s">
        <v>1231</v>
      </c>
      <c r="J269" s="97" t="s">
        <v>121</v>
      </c>
      <c r="K269" s="412" t="s">
        <v>1294</v>
      </c>
    </row>
    <row r="270" spans="1:11" hidden="1" x14ac:dyDescent="0.25">
      <c r="A270" s="48">
        <v>8</v>
      </c>
      <c r="B270" s="49" t="s">
        <v>1614</v>
      </c>
      <c r="C270" s="94" t="s">
        <v>1620</v>
      </c>
      <c r="D270" s="94" t="s">
        <v>1621</v>
      </c>
      <c r="E270" s="50">
        <v>1</v>
      </c>
      <c r="F270" s="290">
        <v>4999.1899999999996</v>
      </c>
      <c r="G270" s="289">
        <v>4999.1899999999996</v>
      </c>
      <c r="H270" s="95" t="s">
        <v>1617</v>
      </c>
      <c r="I270" s="96" t="s">
        <v>1231</v>
      </c>
      <c r="J270" s="97" t="s">
        <v>121</v>
      </c>
      <c r="K270" s="412" t="s">
        <v>1294</v>
      </c>
    </row>
    <row r="271" spans="1:11" hidden="1" x14ac:dyDescent="0.25">
      <c r="A271" s="48">
        <v>8</v>
      </c>
      <c r="B271" s="49" t="s">
        <v>1614</v>
      </c>
      <c r="C271" s="94" t="s">
        <v>1622</v>
      </c>
      <c r="D271" s="94" t="s">
        <v>1623</v>
      </c>
      <c r="E271" s="50">
        <v>1</v>
      </c>
      <c r="F271" s="290">
        <v>49900.27</v>
      </c>
      <c r="G271" s="289">
        <v>49900.27</v>
      </c>
      <c r="H271" s="95" t="s">
        <v>1617</v>
      </c>
      <c r="I271" s="96" t="s">
        <v>1231</v>
      </c>
      <c r="J271" s="97" t="s">
        <v>121</v>
      </c>
      <c r="K271" s="412" t="s">
        <v>1294</v>
      </c>
    </row>
    <row r="272" spans="1:11" hidden="1" x14ac:dyDescent="0.25">
      <c r="A272" s="48">
        <v>8</v>
      </c>
      <c r="B272" s="49" t="s">
        <v>1520</v>
      </c>
      <c r="C272" s="94" t="s">
        <v>1240</v>
      </c>
      <c r="D272" s="94" t="s">
        <v>1240</v>
      </c>
      <c r="E272" s="50">
        <v>200</v>
      </c>
      <c r="F272" s="290">
        <v>150</v>
      </c>
      <c r="G272" s="289">
        <v>30000</v>
      </c>
      <c r="H272" s="95" t="s">
        <v>390</v>
      </c>
      <c r="I272" s="96" t="s">
        <v>1231</v>
      </c>
      <c r="J272" s="97" t="s">
        <v>121</v>
      </c>
      <c r="K272" s="412" t="s">
        <v>1243</v>
      </c>
    </row>
    <row r="273" spans="1:11" hidden="1" x14ac:dyDescent="0.25">
      <c r="A273" s="48">
        <v>9</v>
      </c>
      <c r="B273" s="49" t="s">
        <v>1235</v>
      </c>
      <c r="C273" s="49" t="s">
        <v>1264</v>
      </c>
      <c r="D273" s="49" t="s">
        <v>1624</v>
      </c>
      <c r="E273" s="50">
        <v>16</v>
      </c>
      <c r="F273" s="289">
        <v>17500</v>
      </c>
      <c r="G273" s="289">
        <v>280000</v>
      </c>
      <c r="H273" s="396" t="s">
        <v>324</v>
      </c>
      <c r="I273" s="89" t="s">
        <v>1231</v>
      </c>
      <c r="K273" s="412" t="s">
        <v>1266</v>
      </c>
    </row>
    <row r="274" spans="1:11" hidden="1" x14ac:dyDescent="0.25">
      <c r="A274" s="48">
        <v>9</v>
      </c>
      <c r="B274" s="49" t="s">
        <v>1230</v>
      </c>
      <c r="C274" s="49" t="s">
        <v>275</v>
      </c>
      <c r="D274" s="49" t="s">
        <v>325</v>
      </c>
      <c r="E274" s="50">
        <v>20.2</v>
      </c>
      <c r="F274" s="289">
        <v>22900</v>
      </c>
      <c r="G274" s="289">
        <v>462580</v>
      </c>
      <c r="H274" s="396" t="s">
        <v>324</v>
      </c>
      <c r="I274" s="89" t="s">
        <v>1231</v>
      </c>
      <c r="K274" s="412" t="s">
        <v>1266</v>
      </c>
    </row>
    <row r="275" spans="1:11" hidden="1" x14ac:dyDescent="0.25">
      <c r="A275" s="48">
        <v>9</v>
      </c>
      <c r="B275" s="49" t="s">
        <v>1230</v>
      </c>
      <c r="C275" s="49" t="s">
        <v>210</v>
      </c>
      <c r="D275" s="49" t="s">
        <v>326</v>
      </c>
      <c r="E275" s="50">
        <v>28.6</v>
      </c>
      <c r="F275" s="289">
        <v>15900</v>
      </c>
      <c r="G275" s="289">
        <v>454740</v>
      </c>
      <c r="H275" s="396" t="s">
        <v>324</v>
      </c>
      <c r="I275" s="89" t="s">
        <v>1231</v>
      </c>
      <c r="K275" s="412" t="s">
        <v>1266</v>
      </c>
    </row>
    <row r="276" spans="1:11" hidden="1" x14ac:dyDescent="0.25">
      <c r="A276" s="48">
        <v>9</v>
      </c>
      <c r="B276" s="49" t="s">
        <v>1230</v>
      </c>
      <c r="C276" s="49" t="s">
        <v>212</v>
      </c>
      <c r="D276" s="49" t="s">
        <v>327</v>
      </c>
      <c r="E276" s="50">
        <v>24.7</v>
      </c>
      <c r="F276" s="289">
        <v>23900</v>
      </c>
      <c r="G276" s="289">
        <v>590330</v>
      </c>
      <c r="H276" s="396" t="s">
        <v>324</v>
      </c>
      <c r="I276" s="89" t="s">
        <v>1231</v>
      </c>
      <c r="K276" s="412" t="s">
        <v>1266</v>
      </c>
    </row>
    <row r="277" spans="1:11" hidden="1" x14ac:dyDescent="0.25">
      <c r="A277" s="48">
        <v>9</v>
      </c>
      <c r="B277" s="49" t="s">
        <v>1230</v>
      </c>
      <c r="C277" s="49" t="s">
        <v>214</v>
      </c>
      <c r="D277" s="49" t="s">
        <v>328</v>
      </c>
      <c r="E277" s="50">
        <v>22.18</v>
      </c>
      <c r="F277" s="289">
        <v>25900</v>
      </c>
      <c r="G277" s="289">
        <v>574462</v>
      </c>
      <c r="H277" s="396" t="s">
        <v>324</v>
      </c>
      <c r="I277" s="89" t="s">
        <v>1231</v>
      </c>
      <c r="K277" s="412" t="s">
        <v>1266</v>
      </c>
    </row>
    <row r="278" spans="1:11" hidden="1" x14ac:dyDescent="0.25">
      <c r="A278" s="48">
        <v>9</v>
      </c>
      <c r="B278" s="49" t="s">
        <v>1230</v>
      </c>
      <c r="C278" s="49" t="s">
        <v>287</v>
      </c>
      <c r="D278" s="49" t="s">
        <v>329</v>
      </c>
      <c r="E278" s="50">
        <v>68.7</v>
      </c>
      <c r="F278" s="289">
        <v>21900</v>
      </c>
      <c r="G278" s="289">
        <v>1504530</v>
      </c>
      <c r="H278" s="396" t="s">
        <v>324</v>
      </c>
      <c r="I278" s="89" t="s">
        <v>1231</v>
      </c>
      <c r="K278" s="412" t="s">
        <v>1266</v>
      </c>
    </row>
    <row r="279" spans="1:11" hidden="1" x14ac:dyDescent="0.25">
      <c r="A279" s="48">
        <v>9</v>
      </c>
      <c r="B279" s="49" t="s">
        <v>1230</v>
      </c>
      <c r="C279" s="49" t="s">
        <v>330</v>
      </c>
      <c r="D279" s="49" t="s">
        <v>331</v>
      </c>
      <c r="E279" s="50">
        <v>17.260000000000002</v>
      </c>
      <c r="F279" s="289">
        <v>11500</v>
      </c>
      <c r="G279" s="289">
        <v>198490</v>
      </c>
      <c r="H279" s="396" t="s">
        <v>324</v>
      </c>
      <c r="I279" s="89" t="s">
        <v>1231</v>
      </c>
      <c r="K279" s="412" t="s">
        <v>1266</v>
      </c>
    </row>
    <row r="280" spans="1:11" hidden="1" x14ac:dyDescent="0.25">
      <c r="A280" s="48">
        <v>9</v>
      </c>
      <c r="B280" s="49" t="s">
        <v>91</v>
      </c>
      <c r="C280" s="49" t="s">
        <v>646</v>
      </c>
      <c r="D280" s="49" t="s">
        <v>647</v>
      </c>
      <c r="E280" s="50">
        <v>720</v>
      </c>
      <c r="F280" s="289">
        <v>700</v>
      </c>
      <c r="G280" s="289">
        <v>504000</v>
      </c>
      <c r="H280" s="49" t="s">
        <v>645</v>
      </c>
      <c r="I280" s="89" t="s">
        <v>1231</v>
      </c>
      <c r="K280" s="412" t="s">
        <v>1365</v>
      </c>
    </row>
    <row r="281" spans="1:11" hidden="1" x14ac:dyDescent="0.25">
      <c r="A281" s="48">
        <v>9</v>
      </c>
      <c r="B281" s="49" t="s">
        <v>1101</v>
      </c>
      <c r="C281" s="49" t="s">
        <v>1378</v>
      </c>
      <c r="D281" s="49" t="s">
        <v>1625</v>
      </c>
      <c r="E281" s="50">
        <v>10</v>
      </c>
      <c r="F281" s="289">
        <v>4600</v>
      </c>
      <c r="G281" s="289">
        <v>46000</v>
      </c>
      <c r="H281" s="49" t="s">
        <v>645</v>
      </c>
      <c r="I281" s="89" t="s">
        <v>1231</v>
      </c>
      <c r="K281" s="412" t="s">
        <v>1365</v>
      </c>
    </row>
    <row r="282" spans="1:11" hidden="1" x14ac:dyDescent="0.25">
      <c r="A282" s="48">
        <v>9</v>
      </c>
      <c r="B282" s="49" t="s">
        <v>1101</v>
      </c>
      <c r="C282" s="49" t="s">
        <v>1380</v>
      </c>
      <c r="D282" s="49" t="s">
        <v>1626</v>
      </c>
      <c r="E282" s="50">
        <v>10</v>
      </c>
      <c r="F282" s="289">
        <v>5550</v>
      </c>
      <c r="G282" s="289">
        <v>55500</v>
      </c>
      <c r="H282" s="49" t="s">
        <v>645</v>
      </c>
      <c r="I282" s="89" t="s">
        <v>1231</v>
      </c>
      <c r="K282" s="412" t="s">
        <v>1365</v>
      </c>
    </row>
    <row r="283" spans="1:11" hidden="1" x14ac:dyDescent="0.25">
      <c r="A283" s="48">
        <v>9</v>
      </c>
      <c r="B283" s="49" t="s">
        <v>1101</v>
      </c>
      <c r="C283" s="49" t="s">
        <v>1627</v>
      </c>
      <c r="D283" s="49" t="s">
        <v>1628</v>
      </c>
      <c r="E283" s="50">
        <v>12</v>
      </c>
      <c r="F283" s="289">
        <v>3000</v>
      </c>
      <c r="G283" s="289">
        <v>36000</v>
      </c>
      <c r="H283" s="49" t="s">
        <v>645</v>
      </c>
      <c r="I283" s="89" t="s">
        <v>1231</v>
      </c>
      <c r="K283" s="412" t="s">
        <v>1365</v>
      </c>
    </row>
    <row r="284" spans="1:11" hidden="1" x14ac:dyDescent="0.25">
      <c r="A284" s="48">
        <v>9</v>
      </c>
      <c r="B284" s="49" t="s">
        <v>1101</v>
      </c>
      <c r="C284" s="49" t="s">
        <v>1568</v>
      </c>
      <c r="D284" s="49" t="s">
        <v>1629</v>
      </c>
      <c r="E284" s="50">
        <v>20</v>
      </c>
      <c r="F284" s="289">
        <v>11200</v>
      </c>
      <c r="G284" s="289">
        <v>224000</v>
      </c>
      <c r="H284" s="49" t="s">
        <v>645</v>
      </c>
      <c r="I284" s="89" t="s">
        <v>1231</v>
      </c>
      <c r="K284" s="412" t="s">
        <v>1365</v>
      </c>
    </row>
    <row r="285" spans="1:11" hidden="1" x14ac:dyDescent="0.25">
      <c r="A285" s="48">
        <v>9</v>
      </c>
      <c r="B285" s="49" t="s">
        <v>1101</v>
      </c>
      <c r="C285" s="49" t="s">
        <v>1570</v>
      </c>
      <c r="D285" s="49" t="s">
        <v>1630</v>
      </c>
      <c r="E285" s="50">
        <v>50</v>
      </c>
      <c r="F285" s="289">
        <v>9100</v>
      </c>
      <c r="G285" s="289">
        <v>455000</v>
      </c>
      <c r="H285" s="49" t="s">
        <v>645</v>
      </c>
      <c r="I285" s="89" t="s">
        <v>1231</v>
      </c>
      <c r="K285" s="412" t="s">
        <v>1365</v>
      </c>
    </row>
    <row r="286" spans="1:11" hidden="1" x14ac:dyDescent="0.25">
      <c r="A286" s="48">
        <v>9</v>
      </c>
      <c r="B286" s="49" t="s">
        <v>1101</v>
      </c>
      <c r="C286" s="49" t="s">
        <v>1388</v>
      </c>
      <c r="D286" s="49" t="s">
        <v>1631</v>
      </c>
      <c r="E286" s="50">
        <v>850</v>
      </c>
      <c r="F286" s="289">
        <v>390</v>
      </c>
      <c r="G286" s="289">
        <v>331500</v>
      </c>
      <c r="H286" s="49" t="s">
        <v>645</v>
      </c>
      <c r="I286" s="89" t="s">
        <v>1231</v>
      </c>
      <c r="K286" s="412" t="s">
        <v>1365</v>
      </c>
    </row>
    <row r="287" spans="1:11" hidden="1" x14ac:dyDescent="0.25">
      <c r="A287" s="48">
        <v>9</v>
      </c>
      <c r="B287" s="49" t="s">
        <v>1101</v>
      </c>
      <c r="C287" s="49" t="s">
        <v>1412</v>
      </c>
      <c r="D287" s="49" t="s">
        <v>1632</v>
      </c>
      <c r="E287" s="50">
        <v>1200</v>
      </c>
      <c r="F287" s="289">
        <v>440</v>
      </c>
      <c r="G287" s="289">
        <v>528000</v>
      </c>
      <c r="H287" s="49" t="s">
        <v>645</v>
      </c>
      <c r="I287" s="89" t="s">
        <v>1231</v>
      </c>
      <c r="K287" s="412" t="s">
        <v>1365</v>
      </c>
    </row>
    <row r="288" spans="1:11" hidden="1" x14ac:dyDescent="0.25">
      <c r="A288" s="48">
        <v>9</v>
      </c>
      <c r="B288" s="49" t="s">
        <v>1101</v>
      </c>
      <c r="C288" s="49" t="s">
        <v>1430</v>
      </c>
      <c r="D288" s="49" t="s">
        <v>1633</v>
      </c>
      <c r="E288" s="50">
        <v>24</v>
      </c>
      <c r="F288" s="289">
        <v>4850</v>
      </c>
      <c r="G288" s="289">
        <v>116400</v>
      </c>
      <c r="H288" s="49" t="s">
        <v>645</v>
      </c>
      <c r="I288" s="89" t="s">
        <v>1231</v>
      </c>
      <c r="K288" s="412" t="s">
        <v>1365</v>
      </c>
    </row>
    <row r="289" spans="1:11" hidden="1" x14ac:dyDescent="0.25">
      <c r="A289" s="48">
        <v>9</v>
      </c>
      <c r="B289" s="49" t="s">
        <v>1101</v>
      </c>
      <c r="C289" s="49" t="s">
        <v>1444</v>
      </c>
      <c r="D289" s="49" t="s">
        <v>1634</v>
      </c>
      <c r="E289" s="50">
        <v>24</v>
      </c>
      <c r="F289" s="289">
        <v>2750</v>
      </c>
      <c r="G289" s="289">
        <v>66000</v>
      </c>
      <c r="H289" s="49" t="s">
        <v>645</v>
      </c>
      <c r="I289" s="89" t="s">
        <v>1231</v>
      </c>
      <c r="K289" s="412" t="s">
        <v>1365</v>
      </c>
    </row>
    <row r="290" spans="1:11" hidden="1" x14ac:dyDescent="0.25">
      <c r="A290" s="48">
        <v>9</v>
      </c>
      <c r="B290" s="49" t="s">
        <v>1230</v>
      </c>
      <c r="C290" s="49" t="s">
        <v>296</v>
      </c>
      <c r="D290" s="49" t="s">
        <v>333</v>
      </c>
      <c r="E290" s="50">
        <v>38.4</v>
      </c>
      <c r="F290" s="289">
        <v>11000</v>
      </c>
      <c r="G290" s="289">
        <v>422400</v>
      </c>
      <c r="H290" s="49" t="s">
        <v>332</v>
      </c>
      <c r="I290" s="90" t="s">
        <v>1246</v>
      </c>
      <c r="K290" s="412" t="s">
        <v>1507</v>
      </c>
    </row>
    <row r="291" spans="1:11" hidden="1" x14ac:dyDescent="0.25">
      <c r="A291" s="48">
        <v>9</v>
      </c>
      <c r="B291" s="49" t="s">
        <v>1101</v>
      </c>
      <c r="C291" s="49" t="s">
        <v>1635</v>
      </c>
      <c r="D291" s="49" t="s">
        <v>1636</v>
      </c>
      <c r="E291" s="50">
        <v>1</v>
      </c>
      <c r="F291" s="289">
        <v>4500</v>
      </c>
      <c r="G291" s="289">
        <v>4500</v>
      </c>
      <c r="H291" s="49" t="s">
        <v>332</v>
      </c>
      <c r="I291" s="89" t="s">
        <v>1231</v>
      </c>
      <c r="K291" s="412" t="s">
        <v>1294</v>
      </c>
    </row>
    <row r="292" spans="1:11" hidden="1" x14ac:dyDescent="0.25">
      <c r="A292" s="48">
        <v>9</v>
      </c>
      <c r="B292" s="49" t="s">
        <v>1230</v>
      </c>
      <c r="C292" s="49" t="s">
        <v>200</v>
      </c>
      <c r="D292" s="49" t="s">
        <v>335</v>
      </c>
      <c r="E292" s="50">
        <v>13.6</v>
      </c>
      <c r="F292" s="289">
        <v>18500</v>
      </c>
      <c r="G292" s="289">
        <v>251600</v>
      </c>
      <c r="H292" s="396" t="s">
        <v>334</v>
      </c>
      <c r="I292" s="89" t="s">
        <v>1231</v>
      </c>
      <c r="K292" s="412" t="s">
        <v>1245</v>
      </c>
    </row>
    <row r="293" spans="1:11" hidden="1" x14ac:dyDescent="0.25">
      <c r="A293" s="48">
        <v>9</v>
      </c>
      <c r="B293" s="49" t="s">
        <v>1230</v>
      </c>
      <c r="C293" s="49" t="s">
        <v>223</v>
      </c>
      <c r="D293" s="49" t="s">
        <v>336</v>
      </c>
      <c r="E293" s="50">
        <v>43.4</v>
      </c>
      <c r="F293" s="289">
        <v>7500</v>
      </c>
      <c r="G293" s="289">
        <v>325500</v>
      </c>
      <c r="H293" s="396" t="s">
        <v>334</v>
      </c>
      <c r="I293" s="89" t="s">
        <v>1231</v>
      </c>
      <c r="K293" s="412" t="s">
        <v>1245</v>
      </c>
    </row>
    <row r="294" spans="1:11" hidden="1" x14ac:dyDescent="0.25">
      <c r="A294" s="48">
        <v>9</v>
      </c>
      <c r="B294" s="49" t="s">
        <v>1101</v>
      </c>
      <c r="C294" s="49" t="s">
        <v>1117</v>
      </c>
      <c r="D294" s="49" t="s">
        <v>1637</v>
      </c>
      <c r="E294" s="50">
        <v>1</v>
      </c>
      <c r="F294" s="289">
        <v>25000</v>
      </c>
      <c r="G294" s="289">
        <v>25000</v>
      </c>
      <c r="H294" s="49" t="s">
        <v>1638</v>
      </c>
      <c r="I294" s="89" t="s">
        <v>1231</v>
      </c>
      <c r="K294" s="412" t="s">
        <v>1262</v>
      </c>
    </row>
    <row r="295" spans="1:11" hidden="1" x14ac:dyDescent="0.25">
      <c r="A295" s="48">
        <v>9</v>
      </c>
      <c r="B295" s="49" t="s">
        <v>1255</v>
      </c>
      <c r="C295" s="49" t="s">
        <v>1256</v>
      </c>
      <c r="D295" s="49" t="s">
        <v>1639</v>
      </c>
      <c r="E295" s="50">
        <v>1</v>
      </c>
      <c r="F295" s="289">
        <v>30000</v>
      </c>
      <c r="G295" s="289">
        <v>30000</v>
      </c>
      <c r="H295" s="49" t="s">
        <v>1638</v>
      </c>
      <c r="I295" s="89" t="s">
        <v>1231</v>
      </c>
      <c r="K295" s="412" t="s">
        <v>1258</v>
      </c>
    </row>
    <row r="296" spans="1:11" hidden="1" x14ac:dyDescent="0.25">
      <c r="A296" s="48">
        <v>9</v>
      </c>
      <c r="B296" s="49" t="s">
        <v>91</v>
      </c>
      <c r="C296" s="49" t="s">
        <v>649</v>
      </c>
      <c r="D296" s="49" t="s">
        <v>650</v>
      </c>
      <c r="E296" s="50">
        <v>7</v>
      </c>
      <c r="F296" s="289">
        <v>2166.67</v>
      </c>
      <c r="G296" s="289">
        <v>15166.68</v>
      </c>
      <c r="H296" s="396" t="s">
        <v>648</v>
      </c>
      <c r="I296" s="89" t="s">
        <v>1231</v>
      </c>
      <c r="K296" s="412" t="s">
        <v>1640</v>
      </c>
    </row>
    <row r="297" spans="1:11" hidden="1" x14ac:dyDescent="0.25">
      <c r="A297" s="48">
        <v>9</v>
      </c>
      <c r="B297" s="49" t="s">
        <v>91</v>
      </c>
      <c r="C297" s="49" t="s">
        <v>651</v>
      </c>
      <c r="D297" s="49" t="s">
        <v>652</v>
      </c>
      <c r="E297" s="50">
        <v>8</v>
      </c>
      <c r="F297" s="289">
        <v>2166.67</v>
      </c>
      <c r="G297" s="289">
        <v>17333.349999999999</v>
      </c>
      <c r="H297" s="396" t="s">
        <v>648</v>
      </c>
      <c r="I297" s="89" t="s">
        <v>1231</v>
      </c>
      <c r="K297" s="412" t="s">
        <v>1640</v>
      </c>
    </row>
    <row r="298" spans="1:11" hidden="1" x14ac:dyDescent="0.25">
      <c r="A298" s="48">
        <v>9</v>
      </c>
      <c r="B298" s="49" t="s">
        <v>91</v>
      </c>
      <c r="C298" s="49" t="s">
        <v>653</v>
      </c>
      <c r="D298" s="49" t="s">
        <v>654</v>
      </c>
      <c r="E298" s="50">
        <v>15</v>
      </c>
      <c r="F298" s="289">
        <v>2166.67</v>
      </c>
      <c r="G298" s="289">
        <v>32500.03</v>
      </c>
      <c r="H298" s="396" t="s">
        <v>648</v>
      </c>
      <c r="I298" s="89" t="s">
        <v>1231</v>
      </c>
      <c r="K298" s="412" t="s">
        <v>1640</v>
      </c>
    </row>
    <row r="299" spans="1:11" hidden="1" x14ac:dyDescent="0.25">
      <c r="A299" s="48">
        <v>9</v>
      </c>
      <c r="B299" s="49" t="s">
        <v>91</v>
      </c>
      <c r="C299" s="49" t="s">
        <v>655</v>
      </c>
      <c r="D299" s="49" t="s">
        <v>656</v>
      </c>
      <c r="E299" s="50">
        <v>24</v>
      </c>
      <c r="F299" s="289">
        <v>1500</v>
      </c>
      <c r="G299" s="289">
        <v>36000</v>
      </c>
      <c r="H299" s="396" t="s">
        <v>648</v>
      </c>
      <c r="I299" s="89" t="s">
        <v>1231</v>
      </c>
      <c r="K299" s="412" t="s">
        <v>1640</v>
      </c>
    </row>
    <row r="300" spans="1:11" hidden="1" x14ac:dyDescent="0.25">
      <c r="A300" s="48">
        <v>9</v>
      </c>
      <c r="B300" s="49" t="s">
        <v>91</v>
      </c>
      <c r="C300" s="49" t="s">
        <v>657</v>
      </c>
      <c r="D300" s="49" t="s">
        <v>658</v>
      </c>
      <c r="E300" s="50">
        <v>48</v>
      </c>
      <c r="F300" s="289">
        <v>1333.33</v>
      </c>
      <c r="G300" s="289">
        <v>63999.839999999997</v>
      </c>
      <c r="H300" s="396" t="s">
        <v>648</v>
      </c>
      <c r="I300" s="89" t="s">
        <v>1231</v>
      </c>
      <c r="K300" s="412" t="s">
        <v>1640</v>
      </c>
    </row>
    <row r="301" spans="1:11" hidden="1" x14ac:dyDescent="0.25">
      <c r="A301" s="48">
        <v>9</v>
      </c>
      <c r="B301" s="49" t="s">
        <v>91</v>
      </c>
      <c r="C301" s="49" t="s">
        <v>659</v>
      </c>
      <c r="D301" s="49" t="s">
        <v>660</v>
      </c>
      <c r="E301" s="50">
        <v>90</v>
      </c>
      <c r="F301" s="289">
        <v>1916.67</v>
      </c>
      <c r="G301" s="289">
        <v>172500.3</v>
      </c>
      <c r="H301" s="396" t="s">
        <v>648</v>
      </c>
      <c r="I301" s="89" t="s">
        <v>1231</v>
      </c>
      <c r="K301" s="412" t="s">
        <v>1640</v>
      </c>
    </row>
    <row r="302" spans="1:11" hidden="1" x14ac:dyDescent="0.25">
      <c r="A302" s="48">
        <v>9</v>
      </c>
      <c r="B302" s="49" t="s">
        <v>91</v>
      </c>
      <c r="C302" s="49" t="s">
        <v>661</v>
      </c>
      <c r="D302" s="49" t="s">
        <v>662</v>
      </c>
      <c r="E302" s="50">
        <v>15</v>
      </c>
      <c r="F302" s="289">
        <v>1726.67</v>
      </c>
      <c r="G302" s="289">
        <v>25899.99</v>
      </c>
      <c r="H302" s="396" t="s">
        <v>648</v>
      </c>
      <c r="I302" s="89" t="s">
        <v>1231</v>
      </c>
      <c r="K302" s="412" t="s">
        <v>1640</v>
      </c>
    </row>
    <row r="303" spans="1:11" hidden="1" x14ac:dyDescent="0.25">
      <c r="A303" s="48">
        <v>9</v>
      </c>
      <c r="B303" s="49" t="s">
        <v>91</v>
      </c>
      <c r="C303" s="49" t="s">
        <v>663</v>
      </c>
      <c r="D303" s="49" t="s">
        <v>664</v>
      </c>
      <c r="E303" s="50">
        <v>15</v>
      </c>
      <c r="F303" s="289">
        <v>1726.67</v>
      </c>
      <c r="G303" s="289">
        <v>25899.99</v>
      </c>
      <c r="H303" s="396" t="s">
        <v>648</v>
      </c>
      <c r="I303" s="89" t="s">
        <v>1231</v>
      </c>
      <c r="K303" s="412" t="s">
        <v>1640</v>
      </c>
    </row>
    <row r="304" spans="1:11" hidden="1" x14ac:dyDescent="0.25">
      <c r="A304" s="48">
        <v>9</v>
      </c>
      <c r="B304" s="49" t="s">
        <v>91</v>
      </c>
      <c r="C304" s="49" t="s">
        <v>665</v>
      </c>
      <c r="D304" s="49" t="s">
        <v>666</v>
      </c>
      <c r="E304" s="50">
        <v>15</v>
      </c>
      <c r="F304" s="289">
        <v>1726.67</v>
      </c>
      <c r="G304" s="289">
        <v>25899.99</v>
      </c>
      <c r="H304" s="396" t="s">
        <v>648</v>
      </c>
      <c r="I304" s="89" t="s">
        <v>1231</v>
      </c>
      <c r="K304" s="412" t="s">
        <v>1640</v>
      </c>
    </row>
    <row r="305" spans="1:11" hidden="1" x14ac:dyDescent="0.25">
      <c r="A305" s="48">
        <v>9</v>
      </c>
      <c r="B305" s="49" t="s">
        <v>91</v>
      </c>
      <c r="C305" s="49" t="s">
        <v>667</v>
      </c>
      <c r="D305" s="49" t="s">
        <v>668</v>
      </c>
      <c r="E305" s="50">
        <v>15</v>
      </c>
      <c r="F305" s="289">
        <v>1726.67</v>
      </c>
      <c r="G305" s="289">
        <v>25899.99</v>
      </c>
      <c r="H305" s="396" t="s">
        <v>648</v>
      </c>
      <c r="I305" s="89" t="s">
        <v>1231</v>
      </c>
      <c r="K305" s="412" t="s">
        <v>1640</v>
      </c>
    </row>
    <row r="306" spans="1:11" hidden="1" x14ac:dyDescent="0.25">
      <c r="A306" s="48">
        <v>9</v>
      </c>
      <c r="B306" s="49" t="s">
        <v>91</v>
      </c>
      <c r="C306" s="49" t="s">
        <v>669</v>
      </c>
      <c r="D306" s="49" t="s">
        <v>670</v>
      </c>
      <c r="E306" s="50">
        <v>30</v>
      </c>
      <c r="F306" s="289">
        <v>1500</v>
      </c>
      <c r="G306" s="289">
        <v>44999.85</v>
      </c>
      <c r="H306" s="396" t="s">
        <v>648</v>
      </c>
      <c r="I306" s="89" t="s">
        <v>1231</v>
      </c>
      <c r="K306" s="412" t="s">
        <v>1640</v>
      </c>
    </row>
    <row r="307" spans="1:11" hidden="1" x14ac:dyDescent="0.25">
      <c r="A307" s="48">
        <v>9</v>
      </c>
      <c r="B307" s="49" t="s">
        <v>91</v>
      </c>
      <c r="C307" s="49" t="s">
        <v>671</v>
      </c>
      <c r="D307" s="49" t="s">
        <v>672</v>
      </c>
      <c r="E307" s="50">
        <v>12</v>
      </c>
      <c r="F307" s="289">
        <v>3750</v>
      </c>
      <c r="G307" s="289">
        <v>44999.99</v>
      </c>
      <c r="H307" s="396" t="s">
        <v>648</v>
      </c>
      <c r="I307" s="89" t="s">
        <v>1231</v>
      </c>
      <c r="K307" s="412" t="s">
        <v>1640</v>
      </c>
    </row>
    <row r="308" spans="1:11" hidden="1" x14ac:dyDescent="0.25">
      <c r="A308" s="48">
        <v>9</v>
      </c>
      <c r="B308" s="49" t="s">
        <v>91</v>
      </c>
      <c r="C308" s="49" t="s">
        <v>673</v>
      </c>
      <c r="D308" s="49" t="s">
        <v>674</v>
      </c>
      <c r="E308" s="50">
        <v>12</v>
      </c>
      <c r="F308" s="289">
        <v>3750</v>
      </c>
      <c r="G308" s="289">
        <v>44999.99</v>
      </c>
      <c r="H308" s="396" t="s">
        <v>648</v>
      </c>
      <c r="I308" s="89" t="s">
        <v>1231</v>
      </c>
      <c r="K308" s="412" t="s">
        <v>1640</v>
      </c>
    </row>
    <row r="309" spans="1:11" hidden="1" x14ac:dyDescent="0.25">
      <c r="A309" s="48">
        <v>9</v>
      </c>
      <c r="B309" s="49" t="s">
        <v>91</v>
      </c>
      <c r="C309" s="49" t="s">
        <v>675</v>
      </c>
      <c r="D309" s="49" t="s">
        <v>676</v>
      </c>
      <c r="E309" s="50">
        <v>12</v>
      </c>
      <c r="F309" s="289">
        <v>3750</v>
      </c>
      <c r="G309" s="289">
        <v>45000.01</v>
      </c>
      <c r="H309" s="396" t="s">
        <v>648</v>
      </c>
      <c r="I309" s="89" t="s">
        <v>1231</v>
      </c>
      <c r="K309" s="412" t="s">
        <v>1640</v>
      </c>
    </row>
    <row r="310" spans="1:11" hidden="1" x14ac:dyDescent="0.25">
      <c r="A310" s="48">
        <v>9</v>
      </c>
      <c r="B310" s="49" t="s">
        <v>1239</v>
      </c>
      <c r="C310" s="49" t="s">
        <v>1460</v>
      </c>
      <c r="D310" s="49" t="s">
        <v>1641</v>
      </c>
      <c r="E310" s="50">
        <v>25</v>
      </c>
      <c r="F310" s="289">
        <v>1890</v>
      </c>
      <c r="G310" s="289">
        <v>47250</v>
      </c>
      <c r="H310" s="49" t="s">
        <v>1642</v>
      </c>
      <c r="I310" s="89" t="s">
        <v>1231</v>
      </c>
      <c r="K310" s="412" t="s">
        <v>1340</v>
      </c>
    </row>
    <row r="311" spans="1:11" hidden="1" x14ac:dyDescent="0.25">
      <c r="A311" s="48">
        <v>9</v>
      </c>
      <c r="B311" s="49" t="s">
        <v>1239</v>
      </c>
      <c r="C311" s="49" t="s">
        <v>1643</v>
      </c>
      <c r="D311" s="49" t="s">
        <v>1644</v>
      </c>
      <c r="E311" s="50">
        <v>14</v>
      </c>
      <c r="F311" s="289">
        <v>5490</v>
      </c>
      <c r="G311" s="289">
        <v>76860</v>
      </c>
      <c r="H311" s="49" t="s">
        <v>1645</v>
      </c>
      <c r="I311" s="89" t="s">
        <v>1231</v>
      </c>
      <c r="K311" s="412" t="s">
        <v>1340</v>
      </c>
    </row>
    <row r="312" spans="1:11" hidden="1" x14ac:dyDescent="0.25">
      <c r="A312" s="48">
        <v>9</v>
      </c>
      <c r="B312" s="49" t="s">
        <v>1230</v>
      </c>
      <c r="C312" s="49" t="s">
        <v>254</v>
      </c>
      <c r="D312" s="49" t="s">
        <v>338</v>
      </c>
      <c r="E312" s="50">
        <v>27.9</v>
      </c>
      <c r="F312" s="289">
        <v>18500</v>
      </c>
      <c r="G312" s="289">
        <v>516150</v>
      </c>
      <c r="H312" s="403" t="s">
        <v>337</v>
      </c>
      <c r="I312" s="89" t="s">
        <v>1231</v>
      </c>
      <c r="K312" s="412" t="s">
        <v>1344</v>
      </c>
    </row>
    <row r="313" spans="1:11" hidden="1" x14ac:dyDescent="0.25">
      <c r="A313" s="48">
        <v>9</v>
      </c>
      <c r="B313" s="49" t="s">
        <v>1230</v>
      </c>
      <c r="C313" s="49" t="s">
        <v>195</v>
      </c>
      <c r="D313" s="49" t="s">
        <v>340</v>
      </c>
      <c r="E313" s="50">
        <v>20</v>
      </c>
      <c r="F313" s="289">
        <v>16500</v>
      </c>
      <c r="G313" s="289">
        <v>330000</v>
      </c>
      <c r="H313" s="49" t="s">
        <v>339</v>
      </c>
      <c r="I313" s="89" t="s">
        <v>1231</v>
      </c>
      <c r="K313" s="412" t="s">
        <v>1294</v>
      </c>
    </row>
    <row r="314" spans="1:11" hidden="1" x14ac:dyDescent="0.25">
      <c r="A314" s="48">
        <v>9</v>
      </c>
      <c r="B314" s="49" t="s">
        <v>1255</v>
      </c>
      <c r="C314" s="287" t="s">
        <v>1598</v>
      </c>
      <c r="D314" s="287" t="s">
        <v>1598</v>
      </c>
      <c r="E314" s="50">
        <v>1</v>
      </c>
      <c r="F314" s="288">
        <v>66000</v>
      </c>
      <c r="G314" s="289">
        <v>66000</v>
      </c>
      <c r="H314" s="86" t="s">
        <v>1511</v>
      </c>
      <c r="I314" s="89" t="s">
        <v>1231</v>
      </c>
      <c r="K314" s="412" t="s">
        <v>1261</v>
      </c>
    </row>
    <row r="315" spans="1:11" hidden="1" x14ac:dyDescent="0.25">
      <c r="A315" s="48">
        <v>9</v>
      </c>
      <c r="B315" s="49" t="s">
        <v>1255</v>
      </c>
      <c r="C315" s="287" t="s">
        <v>1646</v>
      </c>
      <c r="D315" s="287" t="s">
        <v>1646</v>
      </c>
      <c r="E315" s="50">
        <v>1</v>
      </c>
      <c r="F315" s="290">
        <v>66000</v>
      </c>
      <c r="G315" s="289">
        <v>66000</v>
      </c>
      <c r="H315" s="86" t="s">
        <v>1511</v>
      </c>
      <c r="I315" s="89" t="s">
        <v>1231</v>
      </c>
      <c r="K315" s="412" t="s">
        <v>1261</v>
      </c>
    </row>
    <row r="316" spans="1:11" hidden="1" x14ac:dyDescent="0.25">
      <c r="A316" s="48">
        <v>9</v>
      </c>
      <c r="B316" s="49" t="s">
        <v>1255</v>
      </c>
      <c r="C316" s="287" t="s">
        <v>938</v>
      </c>
      <c r="D316" s="287" t="s">
        <v>938</v>
      </c>
      <c r="E316" s="50">
        <v>1</v>
      </c>
      <c r="F316" s="290">
        <v>66000</v>
      </c>
      <c r="G316" s="289">
        <v>66000</v>
      </c>
      <c r="H316" s="86" t="s">
        <v>1511</v>
      </c>
      <c r="I316" s="89" t="s">
        <v>1231</v>
      </c>
      <c r="K316" s="412" t="s">
        <v>1261</v>
      </c>
    </row>
    <row r="317" spans="1:11" hidden="1" x14ac:dyDescent="0.25">
      <c r="A317" s="48">
        <v>9</v>
      </c>
      <c r="B317" s="49" t="s">
        <v>1230</v>
      </c>
      <c r="C317" s="287" t="s">
        <v>341</v>
      </c>
      <c r="D317" s="287" t="s">
        <v>341</v>
      </c>
      <c r="E317" s="50">
        <v>1</v>
      </c>
      <c r="F317" s="288">
        <v>76500</v>
      </c>
      <c r="G317" s="289">
        <v>76500</v>
      </c>
      <c r="H317" s="82" t="s">
        <v>318</v>
      </c>
      <c r="I317" s="89" t="s">
        <v>1231</v>
      </c>
      <c r="K317" s="412" t="s">
        <v>1294</v>
      </c>
    </row>
    <row r="318" spans="1:11" hidden="1" x14ac:dyDescent="0.25">
      <c r="A318" s="48">
        <v>9</v>
      </c>
      <c r="B318" s="49" t="s">
        <v>1255</v>
      </c>
      <c r="C318" s="287" t="s">
        <v>941</v>
      </c>
      <c r="D318" s="287" t="s">
        <v>941</v>
      </c>
      <c r="E318" s="50">
        <v>1</v>
      </c>
      <c r="F318" s="288">
        <v>500000</v>
      </c>
      <c r="G318" s="289">
        <v>500000</v>
      </c>
      <c r="H318" s="82" t="s">
        <v>318</v>
      </c>
      <c r="I318" s="89" t="s">
        <v>1231</v>
      </c>
      <c r="K318" s="412" t="s">
        <v>1294</v>
      </c>
    </row>
    <row r="319" spans="1:11" hidden="1" x14ac:dyDescent="0.25">
      <c r="A319" s="48">
        <v>9</v>
      </c>
      <c r="B319" s="49" t="s">
        <v>1255</v>
      </c>
      <c r="C319" s="287" t="s">
        <v>1647</v>
      </c>
      <c r="D319" s="287" t="s">
        <v>1647</v>
      </c>
      <c r="E319" s="50">
        <v>1</v>
      </c>
      <c r="F319" s="290">
        <v>40000</v>
      </c>
      <c r="G319" s="289">
        <v>40000</v>
      </c>
      <c r="H319" s="82" t="s">
        <v>318</v>
      </c>
      <c r="I319" s="89" t="s">
        <v>1231</v>
      </c>
      <c r="K319" s="412" t="s">
        <v>1294</v>
      </c>
    </row>
    <row r="320" spans="1:11" hidden="1" x14ac:dyDescent="0.25">
      <c r="A320" s="48">
        <v>9</v>
      </c>
      <c r="B320" s="49" t="s">
        <v>1235</v>
      </c>
      <c r="C320" s="287" t="s">
        <v>1648</v>
      </c>
      <c r="D320" s="287" t="s">
        <v>1648</v>
      </c>
      <c r="E320" s="50">
        <v>1</v>
      </c>
      <c r="F320" s="290">
        <v>31000</v>
      </c>
      <c r="G320" s="289">
        <v>31000</v>
      </c>
      <c r="H320" s="82" t="s">
        <v>318</v>
      </c>
      <c r="I320" s="89" t="s">
        <v>1231</v>
      </c>
      <c r="K320" s="412" t="s">
        <v>1294</v>
      </c>
    </row>
    <row r="321" spans="1:11" hidden="1" x14ac:dyDescent="0.25">
      <c r="A321" s="48">
        <v>9</v>
      </c>
      <c r="B321" s="49" t="s">
        <v>1235</v>
      </c>
      <c r="C321" s="287" t="s">
        <v>1649</v>
      </c>
      <c r="D321" s="287" t="s">
        <v>1649</v>
      </c>
      <c r="E321" s="50">
        <v>1</v>
      </c>
      <c r="F321" s="290">
        <v>130000</v>
      </c>
      <c r="G321" s="289">
        <v>130000</v>
      </c>
      <c r="H321" s="82" t="s">
        <v>318</v>
      </c>
      <c r="I321" s="89" t="s">
        <v>1231</v>
      </c>
      <c r="K321" s="412" t="s">
        <v>1294</v>
      </c>
    </row>
    <row r="322" spans="1:11" hidden="1" x14ac:dyDescent="0.25">
      <c r="A322" s="48">
        <v>9</v>
      </c>
      <c r="B322" s="49" t="s">
        <v>1235</v>
      </c>
      <c r="C322" s="49" t="s">
        <v>1477</v>
      </c>
      <c r="D322" s="49" t="s">
        <v>1650</v>
      </c>
      <c r="E322" s="50">
        <v>5</v>
      </c>
      <c r="F322" s="289">
        <v>17950</v>
      </c>
      <c r="G322" s="289">
        <v>89750</v>
      </c>
      <c r="H322" s="49" t="s">
        <v>1651</v>
      </c>
      <c r="I322" s="89" t="s">
        <v>1231</v>
      </c>
      <c r="K322" s="412" t="s">
        <v>1294</v>
      </c>
    </row>
    <row r="323" spans="1:11" hidden="1" x14ac:dyDescent="0.25">
      <c r="A323" s="48">
        <v>9</v>
      </c>
      <c r="B323" s="49" t="s">
        <v>1235</v>
      </c>
      <c r="C323" s="55" t="s">
        <v>1480</v>
      </c>
      <c r="D323" s="55" t="s">
        <v>1652</v>
      </c>
      <c r="E323" s="50">
        <v>6</v>
      </c>
      <c r="F323" s="291">
        <v>12900</v>
      </c>
      <c r="G323" s="289">
        <v>77400</v>
      </c>
      <c r="H323" s="55" t="s">
        <v>1651</v>
      </c>
      <c r="I323" s="89" t="s">
        <v>1231</v>
      </c>
      <c r="K323" s="412" t="s">
        <v>1294</v>
      </c>
    </row>
    <row r="324" spans="1:11" hidden="1" x14ac:dyDescent="0.25">
      <c r="A324" s="48">
        <v>9</v>
      </c>
      <c r="B324" s="49" t="s">
        <v>1235</v>
      </c>
      <c r="C324" s="55" t="s">
        <v>1482</v>
      </c>
      <c r="D324" s="55" t="s">
        <v>1653</v>
      </c>
      <c r="E324" s="50">
        <v>5</v>
      </c>
      <c r="F324" s="291">
        <v>12600</v>
      </c>
      <c r="G324" s="289">
        <v>63000</v>
      </c>
      <c r="H324" s="55" t="s">
        <v>1651</v>
      </c>
      <c r="I324" s="89" t="s">
        <v>1231</v>
      </c>
      <c r="K324" s="412" t="s">
        <v>1294</v>
      </c>
    </row>
    <row r="325" spans="1:11" hidden="1" x14ac:dyDescent="0.25">
      <c r="A325" s="48">
        <v>9</v>
      </c>
      <c r="B325" s="49" t="s">
        <v>1235</v>
      </c>
      <c r="C325" s="55" t="s">
        <v>1654</v>
      </c>
      <c r="D325" s="55" t="s">
        <v>1655</v>
      </c>
      <c r="E325" s="50">
        <v>2</v>
      </c>
      <c r="F325" s="291">
        <v>12700</v>
      </c>
      <c r="G325" s="289">
        <v>25400</v>
      </c>
      <c r="H325" s="55" t="s">
        <v>1651</v>
      </c>
      <c r="I325" s="89" t="s">
        <v>1231</v>
      </c>
      <c r="K325" s="412" t="s">
        <v>1294</v>
      </c>
    </row>
    <row r="326" spans="1:11" hidden="1" x14ac:dyDescent="0.25">
      <c r="A326" s="48">
        <v>9</v>
      </c>
      <c r="B326" s="49" t="s">
        <v>1235</v>
      </c>
      <c r="C326" s="55" t="s">
        <v>1484</v>
      </c>
      <c r="D326" s="55" t="s">
        <v>1656</v>
      </c>
      <c r="E326" s="50">
        <v>3</v>
      </c>
      <c r="F326" s="291">
        <v>15500</v>
      </c>
      <c r="G326" s="289">
        <v>46500</v>
      </c>
      <c r="H326" s="55" t="s">
        <v>1651</v>
      </c>
      <c r="I326" s="89" t="s">
        <v>1231</v>
      </c>
      <c r="K326" s="412" t="s">
        <v>1294</v>
      </c>
    </row>
    <row r="327" spans="1:11" hidden="1" x14ac:dyDescent="0.25">
      <c r="A327" s="48">
        <v>9</v>
      </c>
      <c r="B327" s="49" t="s">
        <v>1235</v>
      </c>
      <c r="C327" s="55" t="s">
        <v>1486</v>
      </c>
      <c r="D327" s="55" t="s">
        <v>1657</v>
      </c>
      <c r="E327" s="50">
        <v>3</v>
      </c>
      <c r="F327" s="291">
        <v>16800</v>
      </c>
      <c r="G327" s="289">
        <v>50400</v>
      </c>
      <c r="H327" s="55" t="s">
        <v>1651</v>
      </c>
      <c r="I327" s="89" t="s">
        <v>1231</v>
      </c>
      <c r="K327" s="412" t="s">
        <v>1294</v>
      </c>
    </row>
    <row r="328" spans="1:11" hidden="1" x14ac:dyDescent="0.25">
      <c r="A328" s="48">
        <v>9</v>
      </c>
      <c r="B328" s="49" t="s">
        <v>1658</v>
      </c>
      <c r="C328" s="102" t="s">
        <v>1659</v>
      </c>
      <c r="D328" s="102" t="s">
        <v>1660</v>
      </c>
      <c r="E328" s="50">
        <v>5</v>
      </c>
      <c r="F328" s="292">
        <v>22990</v>
      </c>
      <c r="G328" s="289">
        <v>114950</v>
      </c>
      <c r="H328" s="105" t="s">
        <v>1661</v>
      </c>
      <c r="I328" s="96" t="s">
        <v>1662</v>
      </c>
      <c r="J328" s="97" t="s">
        <v>121</v>
      </c>
      <c r="K328" s="412" t="s">
        <v>1294</v>
      </c>
    </row>
    <row r="329" spans="1:11" hidden="1" x14ac:dyDescent="0.25">
      <c r="A329" s="48">
        <v>9</v>
      </c>
      <c r="B329" s="49" t="s">
        <v>1520</v>
      </c>
      <c r="C329" s="102" t="s">
        <v>1240</v>
      </c>
      <c r="D329" s="102" t="s">
        <v>1240</v>
      </c>
      <c r="E329" s="50">
        <v>100</v>
      </c>
      <c r="F329" s="292">
        <v>150</v>
      </c>
      <c r="G329" s="289">
        <v>15000</v>
      </c>
      <c r="H329" s="105" t="s">
        <v>390</v>
      </c>
      <c r="I329" s="96" t="s">
        <v>1231</v>
      </c>
      <c r="J329" s="97" t="s">
        <v>121</v>
      </c>
      <c r="K329" s="412" t="s">
        <v>1243</v>
      </c>
    </row>
    <row r="330" spans="1:11" hidden="1" x14ac:dyDescent="0.25">
      <c r="A330" s="48">
        <v>9</v>
      </c>
      <c r="B330" s="49" t="s">
        <v>1663</v>
      </c>
      <c r="C330" s="102" t="s">
        <v>1664</v>
      </c>
      <c r="D330" s="102" t="s">
        <v>1665</v>
      </c>
      <c r="E330" s="50">
        <v>1</v>
      </c>
      <c r="F330" s="292">
        <v>3000</v>
      </c>
      <c r="G330" s="289">
        <v>3000</v>
      </c>
      <c r="H330" s="105" t="s">
        <v>390</v>
      </c>
      <c r="I330" s="96" t="s">
        <v>1231</v>
      </c>
      <c r="J330" s="97" t="s">
        <v>121</v>
      </c>
      <c r="K330" s="412" t="s">
        <v>1294</v>
      </c>
    </row>
    <row r="331" spans="1:11" hidden="1" x14ac:dyDescent="0.25">
      <c r="A331" s="48">
        <v>10</v>
      </c>
      <c r="B331" s="49" t="s">
        <v>1101</v>
      </c>
      <c r="C331" s="55" t="s">
        <v>1666</v>
      </c>
      <c r="D331" s="55" t="s">
        <v>1667</v>
      </c>
      <c r="E331" s="50">
        <v>2</v>
      </c>
      <c r="F331" s="291">
        <v>9500</v>
      </c>
      <c r="G331" s="289">
        <v>19000</v>
      </c>
      <c r="H331" s="55" t="s">
        <v>1668</v>
      </c>
      <c r="I331" s="89" t="s">
        <v>1231</v>
      </c>
      <c r="K331" s="412" t="s">
        <v>1252</v>
      </c>
    </row>
    <row r="332" spans="1:11" hidden="1" x14ac:dyDescent="0.25">
      <c r="A332" s="48">
        <v>10</v>
      </c>
      <c r="B332" s="49" t="s">
        <v>1101</v>
      </c>
      <c r="C332" s="55" t="s">
        <v>1669</v>
      </c>
      <c r="D332" s="55" t="s">
        <v>1670</v>
      </c>
      <c r="E332" s="50">
        <v>3</v>
      </c>
      <c r="F332" s="291">
        <v>5000</v>
      </c>
      <c r="G332" s="289">
        <v>15000</v>
      </c>
      <c r="H332" s="55" t="s">
        <v>1668</v>
      </c>
      <c r="I332" s="89" t="s">
        <v>1231</v>
      </c>
      <c r="K332" s="412" t="s">
        <v>1252</v>
      </c>
    </row>
    <row r="333" spans="1:11" ht="18.95" hidden="1" customHeight="1" x14ac:dyDescent="0.25">
      <c r="A333" s="57">
        <v>10</v>
      </c>
      <c r="B333" s="56" t="s">
        <v>1239</v>
      </c>
      <c r="C333" s="56" t="s">
        <v>1671</v>
      </c>
      <c r="D333" s="56" t="s">
        <v>1672</v>
      </c>
      <c r="E333" s="58">
        <v>0.5</v>
      </c>
      <c r="F333" s="293">
        <v>38000</v>
      </c>
      <c r="G333" s="293">
        <v>19000</v>
      </c>
      <c r="H333" s="55" t="s">
        <v>1673</v>
      </c>
      <c r="I333" s="90" t="s">
        <v>1246</v>
      </c>
      <c r="J333" s="110"/>
      <c r="K333" s="412" t="s">
        <v>1294</v>
      </c>
    </row>
    <row r="334" spans="1:11" ht="18.95" hidden="1" customHeight="1" x14ac:dyDescent="0.25">
      <c r="A334" s="60">
        <v>10</v>
      </c>
      <c r="B334" s="59" t="s">
        <v>1230</v>
      </c>
      <c r="C334" s="59" t="s">
        <v>223</v>
      </c>
      <c r="D334" s="59" t="s">
        <v>344</v>
      </c>
      <c r="E334" s="61">
        <v>87.3</v>
      </c>
      <c r="F334" s="294">
        <v>7500</v>
      </c>
      <c r="G334" s="294">
        <v>654750</v>
      </c>
      <c r="H334" s="424" t="s">
        <v>343</v>
      </c>
      <c r="I334" s="89" t="s">
        <v>1674</v>
      </c>
      <c r="J334" s="109"/>
      <c r="K334" s="412" t="s">
        <v>1245</v>
      </c>
    </row>
    <row r="335" spans="1:11" hidden="1" x14ac:dyDescent="0.25">
      <c r="A335" s="48">
        <v>10</v>
      </c>
      <c r="B335" s="49" t="s">
        <v>1255</v>
      </c>
      <c r="C335" s="59" t="s">
        <v>1333</v>
      </c>
      <c r="D335" s="59" t="s">
        <v>1675</v>
      </c>
      <c r="E335" s="50">
        <v>1</v>
      </c>
      <c r="F335" s="289">
        <v>20000</v>
      </c>
      <c r="G335" s="289">
        <v>20000</v>
      </c>
      <c r="H335" s="55" t="s">
        <v>944</v>
      </c>
      <c r="I335" s="90" t="s">
        <v>1246</v>
      </c>
      <c r="K335" s="412" t="s">
        <v>1261</v>
      </c>
    </row>
    <row r="336" spans="1:11" x14ac:dyDescent="0.25">
      <c r="A336" s="48">
        <v>10</v>
      </c>
      <c r="B336" s="49" t="s">
        <v>1230</v>
      </c>
      <c r="C336" s="78" t="s">
        <v>246</v>
      </c>
      <c r="D336" s="78" t="s">
        <v>346</v>
      </c>
      <c r="E336" s="50">
        <v>1</v>
      </c>
      <c r="F336" s="295">
        <v>18000</v>
      </c>
      <c r="G336" s="289">
        <v>18000</v>
      </c>
      <c r="H336" s="79" t="s">
        <v>345</v>
      </c>
      <c r="I336" s="90" t="s">
        <v>1246</v>
      </c>
      <c r="K336" s="412" t="s">
        <v>1262</v>
      </c>
    </row>
    <row r="337" spans="1:11" hidden="1" x14ac:dyDescent="0.25">
      <c r="A337" s="48">
        <v>10</v>
      </c>
      <c r="B337" s="49" t="s">
        <v>1230</v>
      </c>
      <c r="C337" s="78" t="s">
        <v>347</v>
      </c>
      <c r="D337" s="78" t="s">
        <v>348</v>
      </c>
      <c r="E337" s="50">
        <v>1</v>
      </c>
      <c r="F337" s="295">
        <v>5000</v>
      </c>
      <c r="G337" s="289">
        <v>5000</v>
      </c>
      <c r="H337" s="79" t="s">
        <v>345</v>
      </c>
      <c r="I337" s="90" t="s">
        <v>1246</v>
      </c>
      <c r="K337" s="412" t="s">
        <v>1262</v>
      </c>
    </row>
    <row r="338" spans="1:11" hidden="1" x14ac:dyDescent="0.25">
      <c r="A338" s="48">
        <v>10</v>
      </c>
      <c r="B338" s="49" t="s">
        <v>1235</v>
      </c>
      <c r="C338" s="78" t="s">
        <v>1236</v>
      </c>
      <c r="D338" s="78" t="s">
        <v>1676</v>
      </c>
      <c r="E338" s="50">
        <v>20</v>
      </c>
      <c r="F338" s="295">
        <v>5000</v>
      </c>
      <c r="G338" s="289">
        <v>100000</v>
      </c>
      <c r="H338" s="79" t="s">
        <v>345</v>
      </c>
      <c r="I338" s="90" t="s">
        <v>1246</v>
      </c>
      <c r="K338" s="412" t="s">
        <v>1262</v>
      </c>
    </row>
    <row r="339" spans="1:11" hidden="1" x14ac:dyDescent="0.25">
      <c r="A339" s="48">
        <v>10</v>
      </c>
      <c r="B339" s="49" t="s">
        <v>1235</v>
      </c>
      <c r="C339" s="78" t="s">
        <v>1677</v>
      </c>
      <c r="D339" s="78" t="s">
        <v>1678</v>
      </c>
      <c r="E339" s="50">
        <v>11</v>
      </c>
      <c r="F339" s="295">
        <v>3000</v>
      </c>
      <c r="G339" s="289">
        <v>33000</v>
      </c>
      <c r="H339" s="79" t="s">
        <v>345</v>
      </c>
      <c r="I339" s="90" t="s">
        <v>1246</v>
      </c>
      <c r="K339" s="412" t="s">
        <v>1262</v>
      </c>
    </row>
    <row r="340" spans="1:11" hidden="1" x14ac:dyDescent="0.25">
      <c r="A340" s="48">
        <v>10</v>
      </c>
      <c r="B340" s="49" t="s">
        <v>1101</v>
      </c>
      <c r="C340" s="78" t="s">
        <v>1679</v>
      </c>
      <c r="D340" s="78" t="s">
        <v>1680</v>
      </c>
      <c r="E340" s="50">
        <v>40</v>
      </c>
      <c r="F340" s="295">
        <v>2700</v>
      </c>
      <c r="G340" s="289">
        <v>108000</v>
      </c>
      <c r="H340" s="79" t="s">
        <v>345</v>
      </c>
      <c r="I340" s="90" t="s">
        <v>1246</v>
      </c>
      <c r="K340" s="412" t="s">
        <v>1262</v>
      </c>
    </row>
    <row r="341" spans="1:11" hidden="1" x14ac:dyDescent="0.25">
      <c r="A341" s="48">
        <v>10</v>
      </c>
      <c r="B341" s="49" t="s">
        <v>1239</v>
      </c>
      <c r="C341" s="78" t="s">
        <v>1681</v>
      </c>
      <c r="D341" s="78" t="s">
        <v>1682</v>
      </c>
      <c r="E341" s="50">
        <v>9</v>
      </c>
      <c r="F341" s="295">
        <v>3000</v>
      </c>
      <c r="G341" s="289">
        <v>27000</v>
      </c>
      <c r="H341" s="79" t="s">
        <v>345</v>
      </c>
      <c r="I341" s="90" t="s">
        <v>1246</v>
      </c>
      <c r="K341" s="412" t="s">
        <v>1262</v>
      </c>
    </row>
    <row r="342" spans="1:11" hidden="1" x14ac:dyDescent="0.25">
      <c r="A342" s="48">
        <v>10</v>
      </c>
      <c r="B342" s="49" t="s">
        <v>1239</v>
      </c>
      <c r="C342" s="78" t="s">
        <v>1683</v>
      </c>
      <c r="D342" s="78" t="s">
        <v>1684</v>
      </c>
      <c r="E342" s="50">
        <v>5</v>
      </c>
      <c r="F342" s="295">
        <v>9000</v>
      </c>
      <c r="G342" s="289">
        <v>45000</v>
      </c>
      <c r="H342" s="79" t="s">
        <v>345</v>
      </c>
      <c r="I342" s="90" t="s">
        <v>1246</v>
      </c>
      <c r="K342" s="412" t="s">
        <v>1262</v>
      </c>
    </row>
    <row r="343" spans="1:11" hidden="1" x14ac:dyDescent="0.25">
      <c r="A343" s="48">
        <v>10</v>
      </c>
      <c r="B343" s="49" t="s">
        <v>1255</v>
      </c>
      <c r="C343" s="78" t="s">
        <v>1685</v>
      </c>
      <c r="D343" s="78" t="s">
        <v>948</v>
      </c>
      <c r="E343" s="50">
        <v>1</v>
      </c>
      <c r="F343" s="295">
        <v>58000</v>
      </c>
      <c r="G343" s="289">
        <v>58000</v>
      </c>
      <c r="H343" s="79" t="s">
        <v>947</v>
      </c>
      <c r="I343" s="90" t="s">
        <v>1246</v>
      </c>
      <c r="J343" s="108"/>
      <c r="K343" s="412" t="s">
        <v>1261</v>
      </c>
    </row>
    <row r="344" spans="1:11" hidden="1" x14ac:dyDescent="0.25">
      <c r="A344" s="48">
        <v>10</v>
      </c>
      <c r="B344" s="49" t="s">
        <v>1255</v>
      </c>
      <c r="C344" s="78" t="s">
        <v>1686</v>
      </c>
      <c r="D344" s="78" t="s">
        <v>1687</v>
      </c>
      <c r="E344" s="50">
        <v>1</v>
      </c>
      <c r="F344" s="295">
        <v>10000</v>
      </c>
      <c r="G344" s="289">
        <v>10000</v>
      </c>
      <c r="H344" s="79" t="s">
        <v>950</v>
      </c>
      <c r="I344" s="90" t="s">
        <v>1246</v>
      </c>
      <c r="J344" s="108"/>
      <c r="K344" s="412" t="s">
        <v>1258</v>
      </c>
    </row>
    <row r="345" spans="1:11" hidden="1" x14ac:dyDescent="0.25">
      <c r="A345" s="48">
        <v>10</v>
      </c>
      <c r="B345" s="49" t="s">
        <v>1255</v>
      </c>
      <c r="C345" s="78" t="s">
        <v>1256</v>
      </c>
      <c r="D345" s="78" t="s">
        <v>1688</v>
      </c>
      <c r="E345" s="50">
        <v>1</v>
      </c>
      <c r="F345" s="295">
        <v>30000</v>
      </c>
      <c r="G345" s="289">
        <v>30000</v>
      </c>
      <c r="H345" s="79" t="s">
        <v>1689</v>
      </c>
      <c r="I345" s="89" t="s">
        <v>1231</v>
      </c>
      <c r="K345" s="412" t="s">
        <v>1258</v>
      </c>
    </row>
    <row r="346" spans="1:11" hidden="1" x14ac:dyDescent="0.25">
      <c r="A346" s="48">
        <v>10</v>
      </c>
      <c r="B346" s="49" t="s">
        <v>1101</v>
      </c>
      <c r="C346" s="78" t="s">
        <v>1117</v>
      </c>
      <c r="D346" s="78" t="s">
        <v>1690</v>
      </c>
      <c r="E346" s="50">
        <v>1</v>
      </c>
      <c r="F346" s="295">
        <v>20000</v>
      </c>
      <c r="G346" s="289">
        <v>20000</v>
      </c>
      <c r="H346" s="79" t="s">
        <v>1691</v>
      </c>
      <c r="I346" s="89" t="s">
        <v>1231</v>
      </c>
      <c r="K346" s="412" t="s">
        <v>1262</v>
      </c>
    </row>
    <row r="347" spans="1:11" hidden="1" x14ac:dyDescent="0.25">
      <c r="A347" s="48">
        <v>10</v>
      </c>
      <c r="B347" s="49" t="s">
        <v>1255</v>
      </c>
      <c r="C347" s="78" t="s">
        <v>1333</v>
      </c>
      <c r="D347" s="78" t="s">
        <v>955</v>
      </c>
      <c r="E347" s="50">
        <v>1</v>
      </c>
      <c r="F347" s="295">
        <v>50000</v>
      </c>
      <c r="G347" s="289">
        <v>50000</v>
      </c>
      <c r="H347" s="79" t="s">
        <v>953</v>
      </c>
      <c r="I347" s="89" t="s">
        <v>1231</v>
      </c>
      <c r="K347" s="412" t="s">
        <v>1262</v>
      </c>
    </row>
    <row r="348" spans="1:11" hidden="1" x14ac:dyDescent="0.25">
      <c r="A348" s="48">
        <v>10</v>
      </c>
      <c r="B348" s="49" t="s">
        <v>1239</v>
      </c>
      <c r="C348" s="78" t="s">
        <v>1692</v>
      </c>
      <c r="D348" s="78" t="s">
        <v>1693</v>
      </c>
      <c r="E348" s="50">
        <v>10</v>
      </c>
      <c r="F348" s="295">
        <v>1700</v>
      </c>
      <c r="G348" s="289">
        <v>17000</v>
      </c>
      <c r="H348" s="79" t="s">
        <v>1694</v>
      </c>
      <c r="I348" s="90" t="s">
        <v>1246</v>
      </c>
      <c r="K348" s="412" t="s">
        <v>1340</v>
      </c>
    </row>
    <row r="349" spans="1:11" hidden="1" x14ac:dyDescent="0.25">
      <c r="A349" s="48">
        <v>10</v>
      </c>
      <c r="B349" s="49" t="s">
        <v>1239</v>
      </c>
      <c r="C349" s="78" t="s">
        <v>1337</v>
      </c>
      <c r="D349" s="78" t="s">
        <v>1695</v>
      </c>
      <c r="E349" s="50">
        <v>4</v>
      </c>
      <c r="F349" s="295">
        <v>22987.5</v>
      </c>
      <c r="G349" s="289">
        <v>91950</v>
      </c>
      <c r="H349" s="79" t="s">
        <v>1694</v>
      </c>
      <c r="I349" s="89" t="s">
        <v>1231</v>
      </c>
      <c r="K349" s="412" t="s">
        <v>1340</v>
      </c>
    </row>
    <row r="350" spans="1:11" hidden="1" x14ac:dyDescent="0.25">
      <c r="A350" s="48">
        <v>10</v>
      </c>
      <c r="B350" s="49" t="s">
        <v>1255</v>
      </c>
      <c r="C350" s="296" t="s">
        <v>1598</v>
      </c>
      <c r="D350" s="296" t="s">
        <v>1598</v>
      </c>
      <c r="E350" s="50">
        <v>1</v>
      </c>
      <c r="F350" s="297">
        <v>66000</v>
      </c>
      <c r="G350" s="289">
        <v>66000</v>
      </c>
      <c r="H350" s="86" t="s">
        <v>1511</v>
      </c>
      <c r="I350" s="89" t="s">
        <v>1231</v>
      </c>
      <c r="K350" s="412" t="s">
        <v>1261</v>
      </c>
    </row>
    <row r="351" spans="1:11" hidden="1" x14ac:dyDescent="0.25">
      <c r="A351" s="48">
        <v>10</v>
      </c>
      <c r="B351" s="49" t="s">
        <v>1255</v>
      </c>
      <c r="C351" s="296" t="s">
        <v>1646</v>
      </c>
      <c r="D351" s="296" t="s">
        <v>1646</v>
      </c>
      <c r="E351" s="50">
        <v>1</v>
      </c>
      <c r="F351" s="298">
        <v>66000</v>
      </c>
      <c r="G351" s="289">
        <v>66000</v>
      </c>
      <c r="H351" s="83" t="s">
        <v>1511</v>
      </c>
      <c r="I351" s="89" t="s">
        <v>1231</v>
      </c>
      <c r="K351" s="412" t="s">
        <v>1261</v>
      </c>
    </row>
    <row r="352" spans="1:11" hidden="1" x14ac:dyDescent="0.25">
      <c r="A352" s="48">
        <v>10</v>
      </c>
      <c r="B352" s="49" t="s">
        <v>1255</v>
      </c>
      <c r="C352" s="296" t="s">
        <v>958</v>
      </c>
      <c r="D352" s="296" t="s">
        <v>958</v>
      </c>
      <c r="E352" s="50">
        <v>1</v>
      </c>
      <c r="F352" s="297">
        <v>70000</v>
      </c>
      <c r="G352" s="289">
        <v>70000</v>
      </c>
      <c r="H352" s="86" t="s">
        <v>1511</v>
      </c>
      <c r="I352" s="89" t="s">
        <v>1231</v>
      </c>
      <c r="K352" s="412" t="s">
        <v>1261</v>
      </c>
    </row>
    <row r="353" spans="1:11" hidden="1" x14ac:dyDescent="0.25">
      <c r="A353" s="48">
        <v>10</v>
      </c>
      <c r="B353" s="49" t="s">
        <v>1255</v>
      </c>
      <c r="C353" s="296" t="s">
        <v>960</v>
      </c>
      <c r="D353" s="296" t="s">
        <v>960</v>
      </c>
      <c r="E353" s="50">
        <v>1</v>
      </c>
      <c r="F353" s="298">
        <v>28000</v>
      </c>
      <c r="G353" s="289">
        <v>28000</v>
      </c>
      <c r="H353" s="82" t="s">
        <v>318</v>
      </c>
      <c r="I353" s="89" t="s">
        <v>1231</v>
      </c>
      <c r="K353" s="412" t="s">
        <v>1294</v>
      </c>
    </row>
    <row r="354" spans="1:11" hidden="1" x14ac:dyDescent="0.25">
      <c r="A354" s="48">
        <v>10</v>
      </c>
      <c r="B354" s="49" t="s">
        <v>1255</v>
      </c>
      <c r="C354" s="296" t="s">
        <v>918</v>
      </c>
      <c r="D354" s="296" t="s">
        <v>918</v>
      </c>
      <c r="E354" s="50">
        <v>1</v>
      </c>
      <c r="F354" s="298">
        <v>66000</v>
      </c>
      <c r="G354" s="289">
        <v>66000</v>
      </c>
      <c r="H354" s="87" t="s">
        <v>318</v>
      </c>
      <c r="I354" s="89" t="s">
        <v>1231</v>
      </c>
      <c r="K354" s="412" t="s">
        <v>1261</v>
      </c>
    </row>
    <row r="355" spans="1:11" hidden="1" x14ac:dyDescent="0.25">
      <c r="A355" s="48">
        <v>10</v>
      </c>
      <c r="B355" s="49" t="s">
        <v>91</v>
      </c>
      <c r="C355" s="296" t="s">
        <v>702</v>
      </c>
      <c r="D355" s="296" t="s">
        <v>702</v>
      </c>
      <c r="E355" s="50">
        <v>1</v>
      </c>
      <c r="F355" s="297">
        <v>329500</v>
      </c>
      <c r="G355" s="289">
        <v>329500</v>
      </c>
      <c r="H355" s="87" t="s">
        <v>318</v>
      </c>
      <c r="I355" s="89" t="s">
        <v>1231</v>
      </c>
      <c r="K355" s="412" t="s">
        <v>1341</v>
      </c>
    </row>
    <row r="356" spans="1:11" hidden="1" x14ac:dyDescent="0.25">
      <c r="A356" s="48">
        <v>10</v>
      </c>
      <c r="B356" s="49" t="s">
        <v>1239</v>
      </c>
      <c r="C356" s="296" t="s">
        <v>1696</v>
      </c>
      <c r="D356" s="296" t="s">
        <v>1696</v>
      </c>
      <c r="E356" s="50">
        <v>1</v>
      </c>
      <c r="F356" s="298">
        <v>75350</v>
      </c>
      <c r="G356" s="289">
        <v>75350</v>
      </c>
      <c r="H356" s="87" t="s">
        <v>318</v>
      </c>
      <c r="I356" s="89" t="s">
        <v>1231</v>
      </c>
      <c r="K356" s="412" t="s">
        <v>1294</v>
      </c>
    </row>
    <row r="357" spans="1:11" hidden="1" x14ac:dyDescent="0.25">
      <c r="A357" s="48">
        <v>10</v>
      </c>
      <c r="B357" s="49" t="s">
        <v>1239</v>
      </c>
      <c r="C357" s="78" t="s">
        <v>1697</v>
      </c>
      <c r="D357" s="78" t="s">
        <v>1698</v>
      </c>
      <c r="E357" s="50">
        <v>1</v>
      </c>
      <c r="F357" s="295">
        <v>82500</v>
      </c>
      <c r="G357" s="289">
        <v>82500</v>
      </c>
      <c r="H357" s="79" t="s">
        <v>1699</v>
      </c>
      <c r="I357" s="89" t="s">
        <v>1231</v>
      </c>
      <c r="K357" s="412" t="s">
        <v>1365</v>
      </c>
    </row>
    <row r="358" spans="1:11" hidden="1" x14ac:dyDescent="0.25">
      <c r="A358" s="48">
        <v>10</v>
      </c>
      <c r="B358" s="49" t="s">
        <v>1101</v>
      </c>
      <c r="C358" s="78" t="s">
        <v>1700</v>
      </c>
      <c r="D358" s="78" t="s">
        <v>1701</v>
      </c>
      <c r="E358" s="50">
        <v>1</v>
      </c>
      <c r="F358" s="295">
        <v>52500</v>
      </c>
      <c r="G358" s="289">
        <v>52500</v>
      </c>
      <c r="H358" s="79" t="s">
        <v>1699</v>
      </c>
      <c r="I358" s="89" t="s">
        <v>1231</v>
      </c>
      <c r="K358" s="412" t="s">
        <v>1365</v>
      </c>
    </row>
    <row r="359" spans="1:11" hidden="1" x14ac:dyDescent="0.25">
      <c r="A359" s="48">
        <v>10</v>
      </c>
      <c r="B359" s="49" t="s">
        <v>1101</v>
      </c>
      <c r="C359" s="78" t="s">
        <v>1702</v>
      </c>
      <c r="D359" s="78" t="s">
        <v>1703</v>
      </c>
      <c r="E359" s="50">
        <v>1</v>
      </c>
      <c r="F359" s="295">
        <v>30350</v>
      </c>
      <c r="G359" s="289">
        <v>30350</v>
      </c>
      <c r="H359" s="79" t="s">
        <v>1699</v>
      </c>
      <c r="I359" s="89" t="s">
        <v>1231</v>
      </c>
      <c r="K359" s="412" t="s">
        <v>1365</v>
      </c>
    </row>
    <row r="360" spans="1:11" hidden="1" x14ac:dyDescent="0.25">
      <c r="A360" s="48">
        <v>10</v>
      </c>
      <c r="B360" s="49" t="s">
        <v>1101</v>
      </c>
      <c r="C360" s="78" t="s">
        <v>1704</v>
      </c>
      <c r="D360" s="78" t="s">
        <v>1705</v>
      </c>
      <c r="E360" s="50">
        <v>1</v>
      </c>
      <c r="F360" s="295">
        <v>18650</v>
      </c>
      <c r="G360" s="289">
        <v>18650</v>
      </c>
      <c r="H360" s="79" t="s">
        <v>1699</v>
      </c>
      <c r="I360" s="89" t="s">
        <v>1231</v>
      </c>
      <c r="K360" s="412" t="s">
        <v>1365</v>
      </c>
    </row>
    <row r="361" spans="1:11" hidden="1" x14ac:dyDescent="0.25">
      <c r="A361" s="48">
        <v>10</v>
      </c>
      <c r="B361" s="49" t="s">
        <v>1239</v>
      </c>
      <c r="C361" s="78" t="s">
        <v>1692</v>
      </c>
      <c r="D361" s="78" t="s">
        <v>1706</v>
      </c>
      <c r="E361" s="50">
        <v>10</v>
      </c>
      <c r="F361" s="295">
        <v>1700</v>
      </c>
      <c r="G361" s="289">
        <v>17000</v>
      </c>
      <c r="H361" s="79" t="s">
        <v>1707</v>
      </c>
      <c r="I361" s="89" t="s">
        <v>1231</v>
      </c>
      <c r="K361" s="412" t="s">
        <v>1232</v>
      </c>
    </row>
    <row r="362" spans="1:11" hidden="1" x14ac:dyDescent="0.25">
      <c r="A362" s="48">
        <v>10</v>
      </c>
      <c r="B362" s="49" t="s">
        <v>1230</v>
      </c>
      <c r="C362" s="78" t="s">
        <v>307</v>
      </c>
      <c r="D362" s="78" t="s">
        <v>350</v>
      </c>
      <c r="E362" s="50">
        <v>1</v>
      </c>
      <c r="F362" s="295">
        <v>8950</v>
      </c>
      <c r="G362" s="289">
        <v>8950</v>
      </c>
      <c r="H362" s="79" t="s">
        <v>349</v>
      </c>
      <c r="I362" s="89" t="s">
        <v>1231</v>
      </c>
      <c r="K362" s="412" t="s">
        <v>1232</v>
      </c>
    </row>
    <row r="363" spans="1:11" hidden="1" x14ac:dyDescent="0.25">
      <c r="A363" s="48">
        <v>10</v>
      </c>
      <c r="B363" s="49" t="s">
        <v>1239</v>
      </c>
      <c r="C363" s="78" t="s">
        <v>1708</v>
      </c>
      <c r="D363" s="78" t="s">
        <v>1709</v>
      </c>
      <c r="E363" s="50">
        <v>16</v>
      </c>
      <c r="F363" s="295">
        <v>4150</v>
      </c>
      <c r="G363" s="289">
        <v>66400</v>
      </c>
      <c r="H363" s="79" t="s">
        <v>349</v>
      </c>
      <c r="I363" s="89" t="s">
        <v>1231</v>
      </c>
      <c r="K363" s="412" t="s">
        <v>1232</v>
      </c>
    </row>
    <row r="364" spans="1:11" hidden="1" x14ac:dyDescent="0.25">
      <c r="A364" s="48">
        <v>10</v>
      </c>
      <c r="B364" s="49" t="s">
        <v>1230</v>
      </c>
      <c r="C364" s="78" t="s">
        <v>254</v>
      </c>
      <c r="D364" s="78" t="s">
        <v>352</v>
      </c>
      <c r="E364" s="50">
        <v>16.149999999999999</v>
      </c>
      <c r="F364" s="295">
        <v>18500</v>
      </c>
      <c r="G364" s="289">
        <v>298775</v>
      </c>
      <c r="H364" s="419" t="s">
        <v>351</v>
      </c>
      <c r="I364" s="89" t="s">
        <v>1231</v>
      </c>
      <c r="K364" s="412" t="s">
        <v>1344</v>
      </c>
    </row>
    <row r="365" spans="1:11" hidden="1" x14ac:dyDescent="0.25">
      <c r="A365" s="48">
        <v>10</v>
      </c>
      <c r="B365" s="49" t="s">
        <v>1230</v>
      </c>
      <c r="C365" s="78" t="s">
        <v>239</v>
      </c>
      <c r="D365" s="78" t="s">
        <v>353</v>
      </c>
      <c r="E365" s="50">
        <v>4.9050000000000002</v>
      </c>
      <c r="F365" s="295">
        <v>54000</v>
      </c>
      <c r="G365" s="289">
        <v>264870</v>
      </c>
      <c r="H365" s="419" t="s">
        <v>351</v>
      </c>
      <c r="I365" s="89" t="s">
        <v>1231</v>
      </c>
      <c r="K365" s="412" t="s">
        <v>1344</v>
      </c>
    </row>
    <row r="366" spans="1:11" hidden="1" x14ac:dyDescent="0.25">
      <c r="A366" s="48">
        <v>10</v>
      </c>
      <c r="B366" s="49" t="s">
        <v>1235</v>
      </c>
      <c r="C366" s="78" t="s">
        <v>1710</v>
      </c>
      <c r="D366" s="78" t="s">
        <v>1711</v>
      </c>
      <c r="E366" s="50">
        <v>6</v>
      </c>
      <c r="F366" s="295">
        <v>12500</v>
      </c>
      <c r="G366" s="289">
        <v>75000</v>
      </c>
      <c r="H366" s="79" t="s">
        <v>1712</v>
      </c>
      <c r="I366" s="89" t="s">
        <v>1231</v>
      </c>
      <c r="K366" s="412" t="s">
        <v>1294</v>
      </c>
    </row>
    <row r="367" spans="1:11" hidden="1" x14ac:dyDescent="0.25">
      <c r="A367" s="48">
        <v>10</v>
      </c>
      <c r="B367" s="49" t="s">
        <v>91</v>
      </c>
      <c r="C367" s="103" t="s">
        <v>704</v>
      </c>
      <c r="D367" s="103" t="s">
        <v>705</v>
      </c>
      <c r="E367" s="50">
        <v>1</v>
      </c>
      <c r="F367" s="298">
        <v>10504</v>
      </c>
      <c r="G367" s="289">
        <v>10504</v>
      </c>
      <c r="H367" s="107" t="s">
        <v>703</v>
      </c>
      <c r="I367" s="96" t="s">
        <v>1231</v>
      </c>
      <c r="J367" s="97" t="s">
        <v>124</v>
      </c>
      <c r="K367" s="412" t="s">
        <v>1294</v>
      </c>
    </row>
    <row r="368" spans="1:11" hidden="1" x14ac:dyDescent="0.25">
      <c r="A368" s="48">
        <v>10</v>
      </c>
      <c r="B368" s="49" t="s">
        <v>91</v>
      </c>
      <c r="C368" s="103" t="s">
        <v>707</v>
      </c>
      <c r="D368" s="103" t="s">
        <v>708</v>
      </c>
      <c r="E368" s="50">
        <v>1</v>
      </c>
      <c r="F368" s="298">
        <v>12000</v>
      </c>
      <c r="G368" s="289">
        <v>12000</v>
      </c>
      <c r="H368" s="107" t="s">
        <v>706</v>
      </c>
      <c r="I368" s="96" t="s">
        <v>1231</v>
      </c>
      <c r="J368" s="97" t="s">
        <v>124</v>
      </c>
      <c r="K368" s="412" t="s">
        <v>1294</v>
      </c>
    </row>
    <row r="369" spans="1:11" hidden="1" x14ac:dyDescent="0.25">
      <c r="A369" s="48">
        <v>10</v>
      </c>
      <c r="B369" s="49" t="s">
        <v>91</v>
      </c>
      <c r="C369" s="103" t="s">
        <v>710</v>
      </c>
      <c r="D369" s="103" t="s">
        <v>711</v>
      </c>
      <c r="E369" s="50">
        <v>1</v>
      </c>
      <c r="F369" s="298">
        <v>33782</v>
      </c>
      <c r="G369" s="289">
        <v>33782</v>
      </c>
      <c r="H369" s="107" t="s">
        <v>709</v>
      </c>
      <c r="I369" s="96" t="s">
        <v>1231</v>
      </c>
      <c r="J369" s="97" t="s">
        <v>124</v>
      </c>
      <c r="K369" s="412" t="s">
        <v>1341</v>
      </c>
    </row>
    <row r="370" spans="1:11" hidden="1" x14ac:dyDescent="0.25">
      <c r="A370" s="48">
        <v>10</v>
      </c>
      <c r="B370" s="49" t="s">
        <v>91</v>
      </c>
      <c r="C370" s="103" t="s">
        <v>713</v>
      </c>
      <c r="D370" s="103" t="s">
        <v>714</v>
      </c>
      <c r="E370" s="50">
        <v>1</v>
      </c>
      <c r="F370" s="298">
        <v>37815</v>
      </c>
      <c r="G370" s="289">
        <v>37815</v>
      </c>
      <c r="H370" s="107" t="s">
        <v>712</v>
      </c>
      <c r="I370" s="96" t="s">
        <v>1231</v>
      </c>
      <c r="J370" s="97" t="s">
        <v>124</v>
      </c>
      <c r="K370" s="412" t="s">
        <v>1294</v>
      </c>
    </row>
    <row r="371" spans="1:11" hidden="1" x14ac:dyDescent="0.25">
      <c r="A371" s="48">
        <v>11</v>
      </c>
      <c r="B371" s="49" t="s">
        <v>1255</v>
      </c>
      <c r="C371" s="78" t="s">
        <v>1713</v>
      </c>
      <c r="D371" s="78" t="s">
        <v>1714</v>
      </c>
      <c r="E371" s="50">
        <v>1</v>
      </c>
      <c r="F371" s="295">
        <v>5241000</v>
      </c>
      <c r="G371" s="289">
        <v>5241000</v>
      </c>
      <c r="H371" s="79" t="s">
        <v>1715</v>
      </c>
      <c r="I371" s="90" t="s">
        <v>1246</v>
      </c>
      <c r="K371" s="412" t="s">
        <v>1716</v>
      </c>
    </row>
    <row r="372" spans="1:11" hidden="1" x14ac:dyDescent="0.25">
      <c r="A372" s="48">
        <v>11</v>
      </c>
      <c r="B372" s="49" t="s">
        <v>1255</v>
      </c>
      <c r="C372" s="78" t="s">
        <v>1717</v>
      </c>
      <c r="D372" s="78" t="s">
        <v>1718</v>
      </c>
      <c r="E372" s="50">
        <v>1</v>
      </c>
      <c r="F372" s="295">
        <v>72000</v>
      </c>
      <c r="G372" s="289">
        <v>72000</v>
      </c>
      <c r="H372" s="79" t="s">
        <v>1719</v>
      </c>
      <c r="I372" s="90" t="s">
        <v>1246</v>
      </c>
      <c r="K372" s="412" t="s">
        <v>1720</v>
      </c>
    </row>
    <row r="373" spans="1:11" hidden="1" x14ac:dyDescent="0.25">
      <c r="A373" s="48">
        <v>11</v>
      </c>
      <c r="B373" s="49" t="s">
        <v>1255</v>
      </c>
      <c r="C373" s="78" t="s">
        <v>1721</v>
      </c>
      <c r="D373" s="78" t="s">
        <v>1722</v>
      </c>
      <c r="E373" s="50">
        <v>1</v>
      </c>
      <c r="F373" s="295">
        <v>1149000</v>
      </c>
      <c r="G373" s="289">
        <v>1149000</v>
      </c>
      <c r="H373" s="79" t="s">
        <v>962</v>
      </c>
      <c r="I373" s="90" t="s">
        <v>1246</v>
      </c>
      <c r="K373" s="412" t="s">
        <v>1294</v>
      </c>
    </row>
    <row r="374" spans="1:11" hidden="1" x14ac:dyDescent="0.25">
      <c r="A374" s="48">
        <v>11</v>
      </c>
      <c r="B374" s="49" t="s">
        <v>1255</v>
      </c>
      <c r="C374" s="78" t="s">
        <v>1723</v>
      </c>
      <c r="D374" s="78" t="s">
        <v>1723</v>
      </c>
      <c r="E374" s="50">
        <v>1</v>
      </c>
      <c r="F374" s="295">
        <v>1200000</v>
      </c>
      <c r="G374" s="289">
        <v>1200000</v>
      </c>
      <c r="H374" s="85" t="s">
        <v>358</v>
      </c>
      <c r="I374" s="90" t="s">
        <v>1246</v>
      </c>
      <c r="K374" s="412" t="s">
        <v>967</v>
      </c>
    </row>
    <row r="375" spans="1:11" hidden="1" x14ac:dyDescent="0.25">
      <c r="A375" s="48">
        <v>11</v>
      </c>
      <c r="B375" s="49" t="s">
        <v>1255</v>
      </c>
      <c r="C375" s="78" t="s">
        <v>1724</v>
      </c>
      <c r="D375" s="78" t="s">
        <v>1724</v>
      </c>
      <c r="E375" s="50">
        <v>1</v>
      </c>
      <c r="F375" s="295">
        <v>432000</v>
      </c>
      <c r="G375" s="289">
        <v>432000</v>
      </c>
      <c r="H375" s="85" t="s">
        <v>358</v>
      </c>
      <c r="I375" s="90" t="s">
        <v>1246</v>
      </c>
      <c r="K375" s="412" t="s">
        <v>1294</v>
      </c>
    </row>
    <row r="376" spans="1:11" hidden="1" x14ac:dyDescent="0.25">
      <c r="A376" s="48">
        <v>11</v>
      </c>
      <c r="B376" s="49" t="s">
        <v>1255</v>
      </c>
      <c r="C376" s="78" t="s">
        <v>1725</v>
      </c>
      <c r="D376" s="78" t="s">
        <v>1725</v>
      </c>
      <c r="E376" s="50">
        <v>1</v>
      </c>
      <c r="F376" s="295">
        <v>19944200</v>
      </c>
      <c r="G376" s="289">
        <v>19944200</v>
      </c>
      <c r="H376" s="397" t="s">
        <v>358</v>
      </c>
      <c r="I376" s="90" t="s">
        <v>1246</v>
      </c>
      <c r="K376" s="412" t="s">
        <v>1266</v>
      </c>
    </row>
    <row r="377" spans="1:11" hidden="1" x14ac:dyDescent="0.25">
      <c r="A377" s="48">
        <v>11</v>
      </c>
      <c r="B377" s="49" t="s">
        <v>1255</v>
      </c>
      <c r="C377" s="78" t="s">
        <v>1726</v>
      </c>
      <c r="D377" s="78" t="s">
        <v>1727</v>
      </c>
      <c r="E377" s="50">
        <v>1</v>
      </c>
      <c r="F377" s="295">
        <v>16523800</v>
      </c>
      <c r="G377" s="289">
        <v>16523800</v>
      </c>
      <c r="H377" s="85" t="s">
        <v>971</v>
      </c>
      <c r="I377" s="90" t="s">
        <v>1246</v>
      </c>
      <c r="J377" t="s">
        <v>130</v>
      </c>
      <c r="K377" s="412" t="s">
        <v>1728</v>
      </c>
    </row>
    <row r="378" spans="1:11" hidden="1" x14ac:dyDescent="0.25">
      <c r="A378" s="48">
        <v>11</v>
      </c>
      <c r="B378" s="49" t="s">
        <v>1255</v>
      </c>
      <c r="C378" s="78" t="s">
        <v>1729</v>
      </c>
      <c r="D378" s="78" t="s">
        <v>1729</v>
      </c>
      <c r="E378" s="50">
        <v>1</v>
      </c>
      <c r="F378" s="295">
        <v>200000</v>
      </c>
      <c r="G378" s="289">
        <v>200000</v>
      </c>
      <c r="H378" s="85" t="s">
        <v>358</v>
      </c>
      <c r="I378" s="90" t="s">
        <v>1246</v>
      </c>
      <c r="K378" s="412" t="s">
        <v>1294</v>
      </c>
    </row>
    <row r="379" spans="1:11" hidden="1" x14ac:dyDescent="0.25">
      <c r="A379" s="48">
        <v>11</v>
      </c>
      <c r="B379" s="49" t="s">
        <v>1255</v>
      </c>
      <c r="C379" s="78" t="s">
        <v>1730</v>
      </c>
      <c r="D379" s="78" t="s">
        <v>1730</v>
      </c>
      <c r="E379" s="50">
        <v>1</v>
      </c>
      <c r="F379" s="295">
        <v>15000</v>
      </c>
      <c r="G379" s="289">
        <v>15000</v>
      </c>
      <c r="H379" s="85" t="s">
        <v>358</v>
      </c>
      <c r="I379" s="90" t="s">
        <v>1246</v>
      </c>
      <c r="K379" s="412" t="s">
        <v>1261</v>
      </c>
    </row>
    <row r="380" spans="1:11" hidden="1" x14ac:dyDescent="0.25">
      <c r="A380" s="48">
        <v>11</v>
      </c>
      <c r="B380" s="49" t="s">
        <v>1230</v>
      </c>
      <c r="C380" s="78" t="s">
        <v>359</v>
      </c>
      <c r="D380" s="78" t="s">
        <v>359</v>
      </c>
      <c r="E380" s="50">
        <v>1</v>
      </c>
      <c r="F380" s="295">
        <v>364000</v>
      </c>
      <c r="G380" s="289">
        <v>364000</v>
      </c>
      <c r="H380" s="85" t="s">
        <v>358</v>
      </c>
      <c r="I380" s="90" t="s">
        <v>1246</v>
      </c>
      <c r="K380" s="412" t="s">
        <v>1294</v>
      </c>
    </row>
    <row r="381" spans="1:11" hidden="1" x14ac:dyDescent="0.25">
      <c r="A381" s="48">
        <v>11</v>
      </c>
      <c r="B381" s="49" t="s">
        <v>1230</v>
      </c>
      <c r="C381" s="78" t="s">
        <v>359</v>
      </c>
      <c r="D381" s="78" t="s">
        <v>359</v>
      </c>
      <c r="E381" s="50">
        <v>1</v>
      </c>
      <c r="F381" s="295">
        <v>364000</v>
      </c>
      <c r="G381" s="289">
        <v>364000</v>
      </c>
      <c r="H381" s="85" t="s">
        <v>358</v>
      </c>
      <c r="I381" s="90" t="s">
        <v>1246</v>
      </c>
      <c r="K381" s="412" t="s">
        <v>1294</v>
      </c>
    </row>
    <row r="382" spans="1:11" hidden="1" x14ac:dyDescent="0.25">
      <c r="A382" s="48">
        <v>11</v>
      </c>
      <c r="B382" s="49" t="s">
        <v>1230</v>
      </c>
      <c r="C382" s="78" t="s">
        <v>360</v>
      </c>
      <c r="D382" s="78" t="s">
        <v>360</v>
      </c>
      <c r="E382" s="50">
        <v>1</v>
      </c>
      <c r="F382" s="295">
        <v>1124100</v>
      </c>
      <c r="G382" s="289">
        <v>1124100</v>
      </c>
      <c r="H382" s="85" t="s">
        <v>358</v>
      </c>
      <c r="I382" s="90" t="s">
        <v>1246</v>
      </c>
      <c r="K382" s="412" t="s">
        <v>1294</v>
      </c>
    </row>
    <row r="383" spans="1:11" hidden="1" x14ac:dyDescent="0.25">
      <c r="A383" s="48">
        <v>11</v>
      </c>
      <c r="B383" s="49" t="s">
        <v>1230</v>
      </c>
      <c r="C383" s="49" t="s">
        <v>359</v>
      </c>
      <c r="D383" s="49" t="s">
        <v>361</v>
      </c>
      <c r="E383" s="50">
        <v>2</v>
      </c>
      <c r="F383" s="289">
        <v>364000</v>
      </c>
      <c r="G383" s="289">
        <v>728000</v>
      </c>
      <c r="H383" s="106" t="s">
        <v>358</v>
      </c>
      <c r="I383" s="90" t="s">
        <v>1246</v>
      </c>
      <c r="K383" s="412" t="s">
        <v>1294</v>
      </c>
    </row>
    <row r="384" spans="1:11" hidden="1" x14ac:dyDescent="0.25">
      <c r="A384" s="48">
        <v>11</v>
      </c>
      <c r="B384" s="49" t="s">
        <v>1235</v>
      </c>
      <c r="C384" s="49" t="s">
        <v>1731</v>
      </c>
      <c r="D384" s="49" t="s">
        <v>1732</v>
      </c>
      <c r="E384" s="50">
        <v>1</v>
      </c>
      <c r="F384" s="289">
        <v>2288950</v>
      </c>
      <c r="G384" s="289">
        <v>2288950</v>
      </c>
      <c r="H384" s="106" t="s">
        <v>1733</v>
      </c>
      <c r="I384" s="90" t="s">
        <v>1246</v>
      </c>
      <c r="J384" t="s">
        <v>130</v>
      </c>
      <c r="K384" s="412" t="s">
        <v>1734</v>
      </c>
    </row>
    <row r="385" spans="1:11" hidden="1" x14ac:dyDescent="0.25">
      <c r="A385" s="48">
        <v>11</v>
      </c>
      <c r="B385" s="49" t="s">
        <v>1239</v>
      </c>
      <c r="C385" s="49" t="s">
        <v>1348</v>
      </c>
      <c r="D385" s="49" t="s">
        <v>1348</v>
      </c>
      <c r="E385" s="50">
        <v>1</v>
      </c>
      <c r="F385" s="289">
        <v>1076000</v>
      </c>
      <c r="G385" s="289">
        <v>1076000</v>
      </c>
      <c r="H385" s="106" t="s">
        <v>358</v>
      </c>
      <c r="I385" s="90" t="s">
        <v>1246</v>
      </c>
      <c r="K385" s="412" t="s">
        <v>1348</v>
      </c>
    </row>
    <row r="386" spans="1:11" hidden="1" x14ac:dyDescent="0.25">
      <c r="A386" s="48">
        <v>11</v>
      </c>
      <c r="B386" s="49" t="s">
        <v>1235</v>
      </c>
      <c r="C386" s="49" t="s">
        <v>1236</v>
      </c>
      <c r="D386" s="49" t="s">
        <v>1735</v>
      </c>
      <c r="E386" s="50">
        <v>1</v>
      </c>
      <c r="F386" s="289">
        <v>200000</v>
      </c>
      <c r="G386" s="289">
        <v>200000</v>
      </c>
      <c r="H386" s="106" t="s">
        <v>358</v>
      </c>
      <c r="I386" s="90" t="s">
        <v>1246</v>
      </c>
      <c r="K386" s="412" t="s">
        <v>1294</v>
      </c>
    </row>
    <row r="387" spans="1:11" hidden="1" x14ac:dyDescent="0.25">
      <c r="A387" s="48">
        <v>11</v>
      </c>
      <c r="B387" s="49" t="s">
        <v>1255</v>
      </c>
      <c r="C387" s="287" t="s">
        <v>1736</v>
      </c>
      <c r="D387" s="287" t="s">
        <v>1736</v>
      </c>
      <c r="E387" s="50">
        <v>1</v>
      </c>
      <c r="F387" s="290">
        <v>66000</v>
      </c>
      <c r="G387" s="289">
        <v>66000</v>
      </c>
      <c r="H387" s="86" t="s">
        <v>1511</v>
      </c>
      <c r="I387" s="89" t="s">
        <v>1231</v>
      </c>
      <c r="K387" s="412" t="s">
        <v>1261</v>
      </c>
    </row>
    <row r="388" spans="1:11" hidden="1" x14ac:dyDescent="0.25">
      <c r="A388" s="48">
        <v>11</v>
      </c>
      <c r="B388" s="49" t="s">
        <v>1255</v>
      </c>
      <c r="C388" s="287" t="s">
        <v>1737</v>
      </c>
      <c r="D388" s="287" t="s">
        <v>1737</v>
      </c>
      <c r="E388" s="50">
        <v>1</v>
      </c>
      <c r="F388" s="288">
        <v>66000</v>
      </c>
      <c r="G388" s="289">
        <v>66000</v>
      </c>
      <c r="H388" s="86" t="s">
        <v>1511</v>
      </c>
      <c r="I388" s="89" t="s">
        <v>1231</v>
      </c>
      <c r="K388" s="412" t="s">
        <v>1261</v>
      </c>
    </row>
    <row r="389" spans="1:11" hidden="1" x14ac:dyDescent="0.25">
      <c r="A389" s="48">
        <v>11</v>
      </c>
      <c r="B389" s="49" t="s">
        <v>1255</v>
      </c>
      <c r="C389" s="287" t="s">
        <v>1738</v>
      </c>
      <c r="D389" s="287" t="s">
        <v>1738</v>
      </c>
      <c r="E389" s="50">
        <v>1</v>
      </c>
      <c r="F389" s="290">
        <v>66000</v>
      </c>
      <c r="G389" s="289">
        <v>66000</v>
      </c>
      <c r="H389" s="86" t="s">
        <v>1511</v>
      </c>
      <c r="I389" s="89" t="s">
        <v>1231</v>
      </c>
      <c r="K389" s="412" t="s">
        <v>1261</v>
      </c>
    </row>
    <row r="390" spans="1:11" hidden="1" x14ac:dyDescent="0.25">
      <c r="A390" s="48">
        <v>11</v>
      </c>
      <c r="B390" s="49" t="s">
        <v>1230</v>
      </c>
      <c r="C390" s="287" t="s">
        <v>362</v>
      </c>
      <c r="D390" s="287" t="s">
        <v>362</v>
      </c>
      <c r="E390" s="50">
        <v>1</v>
      </c>
      <c r="F390" s="288">
        <v>377500</v>
      </c>
      <c r="G390" s="289">
        <v>377500</v>
      </c>
      <c r="H390" s="82" t="s">
        <v>318</v>
      </c>
      <c r="I390" s="89" t="s">
        <v>1231</v>
      </c>
      <c r="K390" s="412" t="s">
        <v>1261</v>
      </c>
    </row>
    <row r="391" spans="1:11" hidden="1" x14ac:dyDescent="0.25">
      <c r="A391" s="48">
        <v>11</v>
      </c>
      <c r="B391" s="49" t="s">
        <v>1255</v>
      </c>
      <c r="C391" s="287" t="s">
        <v>1739</v>
      </c>
      <c r="D391" s="287" t="s">
        <v>1739</v>
      </c>
      <c r="E391" s="50">
        <v>1</v>
      </c>
      <c r="F391" s="290">
        <v>30000</v>
      </c>
      <c r="G391" s="289">
        <v>30000</v>
      </c>
      <c r="H391" s="82" t="s">
        <v>318</v>
      </c>
      <c r="I391" s="89" t="s">
        <v>1231</v>
      </c>
      <c r="K391" s="412" t="s">
        <v>1258</v>
      </c>
    </row>
    <row r="392" spans="1:11" hidden="1" x14ac:dyDescent="0.25">
      <c r="A392" s="48">
        <v>11</v>
      </c>
      <c r="B392" s="49" t="s">
        <v>1255</v>
      </c>
      <c r="C392" s="287" t="s">
        <v>1740</v>
      </c>
      <c r="D392" s="287" t="s">
        <v>1740</v>
      </c>
      <c r="E392" s="50">
        <v>1</v>
      </c>
      <c r="F392" s="288">
        <v>300000</v>
      </c>
      <c r="G392" s="289">
        <v>300000</v>
      </c>
      <c r="H392" s="82" t="s">
        <v>318</v>
      </c>
      <c r="I392" s="89" t="s">
        <v>1231</v>
      </c>
      <c r="K392" s="412" t="s">
        <v>1261</v>
      </c>
    </row>
    <row r="393" spans="1:11" hidden="1" x14ac:dyDescent="0.25">
      <c r="A393" s="48">
        <v>11</v>
      </c>
      <c r="B393" s="49" t="s">
        <v>1255</v>
      </c>
      <c r="C393" s="287" t="s">
        <v>1741</v>
      </c>
      <c r="D393" s="287" t="s">
        <v>1741</v>
      </c>
      <c r="E393" s="50">
        <v>1</v>
      </c>
      <c r="F393" s="290">
        <v>85000</v>
      </c>
      <c r="G393" s="289">
        <v>85000</v>
      </c>
      <c r="H393" s="82" t="s">
        <v>318</v>
      </c>
      <c r="I393" s="89" t="s">
        <v>1231</v>
      </c>
      <c r="K393" s="412" t="s">
        <v>1261</v>
      </c>
    </row>
    <row r="394" spans="1:11" hidden="1" x14ac:dyDescent="0.25">
      <c r="A394" s="48">
        <v>11</v>
      </c>
      <c r="B394" s="49" t="s">
        <v>1101</v>
      </c>
      <c r="C394" s="287" t="s">
        <v>1742</v>
      </c>
      <c r="D394" s="287" t="s">
        <v>1742</v>
      </c>
      <c r="E394" s="50">
        <v>1</v>
      </c>
      <c r="F394" s="288">
        <v>29000</v>
      </c>
      <c r="G394" s="289">
        <v>29000</v>
      </c>
      <c r="H394" s="82" t="s">
        <v>318</v>
      </c>
      <c r="I394" s="89" t="s">
        <v>1231</v>
      </c>
      <c r="K394" s="412" t="s">
        <v>1261</v>
      </c>
    </row>
    <row r="395" spans="1:11" hidden="1" x14ac:dyDescent="0.25">
      <c r="A395" s="48">
        <v>11</v>
      </c>
      <c r="B395" s="49" t="s">
        <v>1235</v>
      </c>
      <c r="C395" s="287" t="s">
        <v>1743</v>
      </c>
      <c r="D395" s="287" t="s">
        <v>1743</v>
      </c>
      <c r="E395" s="50">
        <v>1</v>
      </c>
      <c r="F395" s="288">
        <v>77300</v>
      </c>
      <c r="G395" s="289">
        <v>77300</v>
      </c>
      <c r="H395" s="82" t="s">
        <v>318</v>
      </c>
      <c r="I395" s="89" t="s">
        <v>1231</v>
      </c>
      <c r="K395" s="412" t="s">
        <v>1261</v>
      </c>
    </row>
    <row r="396" spans="1:11" hidden="1" x14ac:dyDescent="0.25">
      <c r="A396" s="48">
        <v>11</v>
      </c>
      <c r="B396" s="49" t="s">
        <v>1235</v>
      </c>
      <c r="C396" s="287" t="s">
        <v>1744</v>
      </c>
      <c r="D396" s="287" t="s">
        <v>1744</v>
      </c>
      <c r="E396" s="50">
        <v>1</v>
      </c>
      <c r="F396" s="290">
        <v>46500</v>
      </c>
      <c r="G396" s="289">
        <v>46500</v>
      </c>
      <c r="H396" s="82" t="s">
        <v>318</v>
      </c>
      <c r="I396" s="89" t="s">
        <v>1231</v>
      </c>
      <c r="K396" s="412" t="s">
        <v>1261</v>
      </c>
    </row>
    <row r="397" spans="1:11" hidden="1" x14ac:dyDescent="0.25">
      <c r="A397" s="48">
        <v>11</v>
      </c>
      <c r="B397" s="49" t="s">
        <v>1745</v>
      </c>
      <c r="C397" s="94" t="s">
        <v>968</v>
      </c>
      <c r="D397" s="94" t="s">
        <v>1746</v>
      </c>
      <c r="E397" s="50">
        <v>1</v>
      </c>
      <c r="F397" s="290">
        <v>900000</v>
      </c>
      <c r="G397" s="289">
        <v>900000</v>
      </c>
      <c r="H397" s="95" t="s">
        <v>1747</v>
      </c>
      <c r="I397" s="96" t="s">
        <v>1231</v>
      </c>
      <c r="J397" s="97" t="s">
        <v>121</v>
      </c>
      <c r="K397" s="412" t="s">
        <v>967</v>
      </c>
    </row>
    <row r="398" spans="1:11" hidden="1" x14ac:dyDescent="0.25">
      <c r="A398" s="48">
        <v>11</v>
      </c>
      <c r="B398" s="49" t="s">
        <v>1520</v>
      </c>
      <c r="C398" s="94" t="s">
        <v>1240</v>
      </c>
      <c r="D398" s="94" t="s">
        <v>1240</v>
      </c>
      <c r="E398" s="50">
        <v>200</v>
      </c>
      <c r="F398" s="290">
        <v>150</v>
      </c>
      <c r="G398" s="289">
        <v>30000</v>
      </c>
      <c r="H398" s="95" t="s">
        <v>390</v>
      </c>
      <c r="I398" s="96" t="s">
        <v>1231</v>
      </c>
      <c r="J398" s="97" t="s">
        <v>121</v>
      </c>
      <c r="K398" s="412" t="s">
        <v>1243</v>
      </c>
    </row>
    <row r="399" spans="1:11" hidden="1" x14ac:dyDescent="0.25">
      <c r="A399" s="48">
        <v>11</v>
      </c>
      <c r="B399" s="49" t="s">
        <v>1520</v>
      </c>
      <c r="C399" s="94" t="s">
        <v>1748</v>
      </c>
      <c r="D399" s="94" t="s">
        <v>1749</v>
      </c>
      <c r="E399" s="50">
        <v>2</v>
      </c>
      <c r="F399" s="290">
        <v>9500</v>
      </c>
      <c r="G399" s="289">
        <v>19000</v>
      </c>
      <c r="H399" s="95" t="s">
        <v>1750</v>
      </c>
      <c r="I399" s="96" t="s">
        <v>1231</v>
      </c>
      <c r="J399" s="97" t="s">
        <v>121</v>
      </c>
      <c r="K399" s="412" t="s">
        <v>1252</v>
      </c>
    </row>
    <row r="400" spans="1:11" hidden="1" x14ac:dyDescent="0.25">
      <c r="A400" s="48">
        <v>11</v>
      </c>
      <c r="B400" s="49" t="s">
        <v>1520</v>
      </c>
      <c r="C400" s="94" t="s">
        <v>1751</v>
      </c>
      <c r="D400" s="94" t="s">
        <v>1752</v>
      </c>
      <c r="E400" s="50">
        <v>2</v>
      </c>
      <c r="F400" s="290">
        <v>5000</v>
      </c>
      <c r="G400" s="289">
        <v>10000</v>
      </c>
      <c r="H400" s="95" t="s">
        <v>1750</v>
      </c>
      <c r="I400" s="96" t="s">
        <v>1231</v>
      </c>
      <c r="J400" s="97" t="s">
        <v>121</v>
      </c>
      <c r="K400" s="412" t="s">
        <v>1252</v>
      </c>
    </row>
    <row r="401" spans="1:11" hidden="1" x14ac:dyDescent="0.25">
      <c r="A401" s="48">
        <v>11</v>
      </c>
      <c r="B401" s="49" t="s">
        <v>1745</v>
      </c>
      <c r="C401" s="94" t="s">
        <v>1753</v>
      </c>
      <c r="D401" s="94" t="s">
        <v>1753</v>
      </c>
      <c r="E401" s="50">
        <v>1</v>
      </c>
      <c r="F401" s="290">
        <v>30000</v>
      </c>
      <c r="G401" s="289">
        <v>30000</v>
      </c>
      <c r="H401" s="95" t="s">
        <v>390</v>
      </c>
      <c r="I401" s="96" t="s">
        <v>1231</v>
      </c>
      <c r="J401" s="97" t="s">
        <v>121</v>
      </c>
      <c r="K401" s="412" t="s">
        <v>1258</v>
      </c>
    </row>
    <row r="402" spans="1:11" hidden="1" x14ac:dyDescent="0.25">
      <c r="A402" s="48">
        <v>11</v>
      </c>
      <c r="B402" s="49" t="s">
        <v>1614</v>
      </c>
      <c r="C402" s="94" t="s">
        <v>1754</v>
      </c>
      <c r="D402" s="94" t="s">
        <v>1755</v>
      </c>
      <c r="E402" s="50">
        <v>1</v>
      </c>
      <c r="F402" s="290">
        <v>85000</v>
      </c>
      <c r="G402" s="289">
        <v>85000</v>
      </c>
      <c r="H402" s="95" t="s">
        <v>390</v>
      </c>
      <c r="I402" s="96" t="s">
        <v>1231</v>
      </c>
      <c r="J402" s="97" t="s">
        <v>121</v>
      </c>
      <c r="K402" s="412" t="s">
        <v>1294</v>
      </c>
    </row>
    <row r="403" spans="1:11" hidden="1" x14ac:dyDescent="0.25">
      <c r="A403" s="48">
        <v>11</v>
      </c>
      <c r="B403" s="49" t="s">
        <v>1658</v>
      </c>
      <c r="C403" s="94" t="s">
        <v>1756</v>
      </c>
      <c r="D403" s="94" t="s">
        <v>1757</v>
      </c>
      <c r="E403" s="50">
        <v>1</v>
      </c>
      <c r="F403" s="290">
        <v>25750</v>
      </c>
      <c r="G403" s="289">
        <v>25750</v>
      </c>
      <c r="H403" s="95" t="s">
        <v>363</v>
      </c>
      <c r="I403" s="96" t="s">
        <v>1231</v>
      </c>
      <c r="J403" s="97" t="s">
        <v>121</v>
      </c>
      <c r="K403" s="412" t="s">
        <v>1294</v>
      </c>
    </row>
    <row r="404" spans="1:11" hidden="1" x14ac:dyDescent="0.25">
      <c r="A404" s="48">
        <v>11</v>
      </c>
      <c r="B404" s="49" t="s">
        <v>1658</v>
      </c>
      <c r="C404" s="94" t="s">
        <v>1756</v>
      </c>
      <c r="D404" s="94" t="s">
        <v>1758</v>
      </c>
      <c r="E404" s="50">
        <v>1</v>
      </c>
      <c r="F404" s="290">
        <v>25750</v>
      </c>
      <c r="G404" s="289">
        <v>25750</v>
      </c>
      <c r="H404" s="95" t="s">
        <v>363</v>
      </c>
      <c r="I404" s="96" t="s">
        <v>1231</v>
      </c>
      <c r="J404" s="97" t="s">
        <v>121</v>
      </c>
      <c r="K404" s="412" t="s">
        <v>1294</v>
      </c>
    </row>
    <row r="405" spans="1:11" hidden="1" x14ac:dyDescent="0.25">
      <c r="A405" s="48">
        <v>11</v>
      </c>
      <c r="B405" s="49" t="s">
        <v>1520</v>
      </c>
      <c r="C405" s="94" t="s">
        <v>1759</v>
      </c>
      <c r="D405" s="94" t="s">
        <v>1760</v>
      </c>
      <c r="E405" s="50">
        <v>1</v>
      </c>
      <c r="F405" s="290">
        <v>300</v>
      </c>
      <c r="G405" s="289">
        <v>300</v>
      </c>
      <c r="H405" s="95" t="s">
        <v>363</v>
      </c>
      <c r="I405" s="96" t="s">
        <v>1231</v>
      </c>
      <c r="J405" s="97" t="s">
        <v>121</v>
      </c>
      <c r="K405" s="412" t="s">
        <v>1232</v>
      </c>
    </row>
    <row r="406" spans="1:11" hidden="1" x14ac:dyDescent="0.25">
      <c r="A406" s="48">
        <v>11</v>
      </c>
      <c r="B406" s="49" t="s">
        <v>1230</v>
      </c>
      <c r="C406" s="94" t="s">
        <v>364</v>
      </c>
      <c r="D406" s="94" t="s">
        <v>365</v>
      </c>
      <c r="E406" s="50">
        <v>1</v>
      </c>
      <c r="F406" s="290">
        <v>12750</v>
      </c>
      <c r="G406" s="289">
        <v>12750</v>
      </c>
      <c r="H406" s="95" t="s">
        <v>363</v>
      </c>
      <c r="I406" s="96" t="s">
        <v>1231</v>
      </c>
      <c r="J406" s="97" t="s">
        <v>121</v>
      </c>
      <c r="K406" s="412" t="s">
        <v>1294</v>
      </c>
    </row>
    <row r="407" spans="1:11" hidden="1" x14ac:dyDescent="0.25">
      <c r="A407" s="48">
        <v>11</v>
      </c>
      <c r="B407" s="49" t="s">
        <v>1230</v>
      </c>
      <c r="C407" s="94" t="s">
        <v>364</v>
      </c>
      <c r="D407" s="94" t="s">
        <v>366</v>
      </c>
      <c r="E407" s="50">
        <v>1</v>
      </c>
      <c r="F407" s="290">
        <v>12750</v>
      </c>
      <c r="G407" s="289">
        <v>12750</v>
      </c>
      <c r="H407" s="95" t="s">
        <v>363</v>
      </c>
      <c r="I407" s="96" t="s">
        <v>1231</v>
      </c>
      <c r="J407" s="97" t="s">
        <v>121</v>
      </c>
      <c r="K407" s="412" t="s">
        <v>1294</v>
      </c>
    </row>
    <row r="408" spans="1:11" hidden="1" x14ac:dyDescent="0.25">
      <c r="A408" s="48">
        <v>11</v>
      </c>
      <c r="B408" s="49" t="s">
        <v>1658</v>
      </c>
      <c r="C408" s="94" t="s">
        <v>1756</v>
      </c>
      <c r="D408" s="94" t="s">
        <v>1757</v>
      </c>
      <c r="E408" s="50">
        <v>1</v>
      </c>
      <c r="F408" s="290">
        <v>25750</v>
      </c>
      <c r="G408" s="289">
        <v>25750</v>
      </c>
      <c r="H408" s="95" t="s">
        <v>1761</v>
      </c>
      <c r="I408" s="96" t="s">
        <v>1231</v>
      </c>
      <c r="J408" s="97" t="s">
        <v>121</v>
      </c>
      <c r="K408" s="412" t="s">
        <v>1232</v>
      </c>
    </row>
    <row r="409" spans="1:11" hidden="1" x14ac:dyDescent="0.25">
      <c r="A409" s="48">
        <v>11</v>
      </c>
      <c r="B409" s="49" t="s">
        <v>1658</v>
      </c>
      <c r="C409" s="94" t="s">
        <v>1762</v>
      </c>
      <c r="D409" s="94" t="s">
        <v>1763</v>
      </c>
      <c r="E409" s="50">
        <v>1</v>
      </c>
      <c r="F409" s="290">
        <v>4150</v>
      </c>
      <c r="G409" s="289">
        <v>4150</v>
      </c>
      <c r="H409" s="95" t="s">
        <v>1761</v>
      </c>
      <c r="I409" s="96" t="s">
        <v>1231</v>
      </c>
      <c r="J409" s="97" t="s">
        <v>121</v>
      </c>
      <c r="K409" s="412" t="s">
        <v>1232</v>
      </c>
    </row>
    <row r="410" spans="1:11" hidden="1" x14ac:dyDescent="0.25">
      <c r="A410" s="48">
        <v>11</v>
      </c>
      <c r="B410" s="49" t="s">
        <v>1658</v>
      </c>
      <c r="C410" s="94" t="s">
        <v>1762</v>
      </c>
      <c r="D410" s="94" t="s">
        <v>1764</v>
      </c>
      <c r="E410" s="50">
        <v>1</v>
      </c>
      <c r="F410" s="290">
        <v>4150</v>
      </c>
      <c r="G410" s="289">
        <v>4150</v>
      </c>
      <c r="H410" s="95" t="s">
        <v>1761</v>
      </c>
      <c r="I410" s="96" t="s">
        <v>1231</v>
      </c>
      <c r="J410" s="97" t="s">
        <v>121</v>
      </c>
      <c r="K410" s="412" t="s">
        <v>1232</v>
      </c>
    </row>
    <row r="411" spans="1:11" hidden="1" x14ac:dyDescent="0.25">
      <c r="A411" s="48">
        <v>11</v>
      </c>
      <c r="B411" s="49" t="s">
        <v>1658</v>
      </c>
      <c r="C411" s="94" t="s">
        <v>1762</v>
      </c>
      <c r="D411" s="94" t="s">
        <v>1765</v>
      </c>
      <c r="E411" s="50">
        <v>1</v>
      </c>
      <c r="F411" s="290">
        <v>4150</v>
      </c>
      <c r="G411" s="289">
        <v>4150</v>
      </c>
      <c r="H411" s="95" t="s">
        <v>1761</v>
      </c>
      <c r="I411" s="96" t="s">
        <v>1231</v>
      </c>
      <c r="J411" s="97" t="s">
        <v>121</v>
      </c>
      <c r="K411" s="412" t="s">
        <v>1232</v>
      </c>
    </row>
    <row r="412" spans="1:11" hidden="1" x14ac:dyDescent="0.25">
      <c r="A412" s="48">
        <v>11</v>
      </c>
      <c r="B412" s="49" t="s">
        <v>1658</v>
      </c>
      <c r="C412" s="94" t="s">
        <v>1762</v>
      </c>
      <c r="D412" s="94" t="s">
        <v>1766</v>
      </c>
      <c r="E412" s="50">
        <v>1</v>
      </c>
      <c r="F412" s="290">
        <v>4150</v>
      </c>
      <c r="G412" s="289">
        <v>4150</v>
      </c>
      <c r="H412" s="95" t="s">
        <v>1761</v>
      </c>
      <c r="I412" s="96" t="s">
        <v>1231</v>
      </c>
      <c r="J412" s="97" t="s">
        <v>121</v>
      </c>
      <c r="K412" s="412" t="s">
        <v>1232</v>
      </c>
    </row>
    <row r="413" spans="1:11" hidden="1" x14ac:dyDescent="0.25">
      <c r="A413" s="48">
        <v>11</v>
      </c>
      <c r="B413" s="49" t="s">
        <v>1658</v>
      </c>
      <c r="C413" s="94" t="s">
        <v>1762</v>
      </c>
      <c r="D413" s="94" t="s">
        <v>1767</v>
      </c>
      <c r="E413" s="50">
        <v>1</v>
      </c>
      <c r="F413" s="290">
        <v>4150</v>
      </c>
      <c r="G413" s="289">
        <v>4150</v>
      </c>
      <c r="H413" s="95" t="s">
        <v>1761</v>
      </c>
      <c r="I413" s="96" t="s">
        <v>1231</v>
      </c>
      <c r="J413" s="97" t="s">
        <v>121</v>
      </c>
      <c r="K413" s="412" t="s">
        <v>1232</v>
      </c>
    </row>
    <row r="414" spans="1:11" hidden="1" x14ac:dyDescent="0.25">
      <c r="A414" s="48">
        <v>11</v>
      </c>
      <c r="B414" s="49" t="s">
        <v>1768</v>
      </c>
      <c r="C414" s="94" t="s">
        <v>1769</v>
      </c>
      <c r="D414" s="94" t="s">
        <v>1769</v>
      </c>
      <c r="E414" s="50">
        <v>1</v>
      </c>
      <c r="F414" s="290">
        <v>66000</v>
      </c>
      <c r="G414" s="289">
        <v>66000</v>
      </c>
      <c r="H414" s="95" t="s">
        <v>390</v>
      </c>
      <c r="I414" s="96" t="s">
        <v>1231</v>
      </c>
      <c r="J414" s="97" t="s">
        <v>121</v>
      </c>
      <c r="K414" s="412" t="s">
        <v>1261</v>
      </c>
    </row>
    <row r="415" spans="1:11" hidden="1" x14ac:dyDescent="0.25">
      <c r="A415" s="48">
        <v>11</v>
      </c>
      <c r="B415" s="49" t="s">
        <v>1768</v>
      </c>
      <c r="C415" s="94" t="s">
        <v>1770</v>
      </c>
      <c r="D415" s="94" t="s">
        <v>1770</v>
      </c>
      <c r="E415" s="50">
        <v>1</v>
      </c>
      <c r="F415" s="290">
        <v>49500</v>
      </c>
      <c r="G415" s="289">
        <v>49500</v>
      </c>
      <c r="H415" s="95" t="s">
        <v>390</v>
      </c>
      <c r="I415" s="96" t="s">
        <v>1231</v>
      </c>
      <c r="J415" s="97" t="s">
        <v>121</v>
      </c>
      <c r="K415" s="412" t="s">
        <v>1294</v>
      </c>
    </row>
    <row r="416" spans="1:11" hidden="1" x14ac:dyDescent="0.25">
      <c r="A416" s="48">
        <v>11</v>
      </c>
      <c r="B416" s="49" t="s">
        <v>1333</v>
      </c>
      <c r="C416" s="94" t="s">
        <v>1333</v>
      </c>
      <c r="D416" s="94" t="s">
        <v>1333</v>
      </c>
      <c r="E416" s="50">
        <v>1</v>
      </c>
      <c r="F416" s="290">
        <v>20000</v>
      </c>
      <c r="G416" s="289">
        <v>20000</v>
      </c>
      <c r="H416" s="95" t="s">
        <v>390</v>
      </c>
      <c r="I416" s="96" t="s">
        <v>1231</v>
      </c>
      <c r="J416" s="97" t="s">
        <v>121</v>
      </c>
      <c r="K416" s="412" t="s">
        <v>1294</v>
      </c>
    </row>
    <row r="417" spans="1:11" hidden="1" x14ac:dyDescent="0.25">
      <c r="A417" s="48">
        <v>11</v>
      </c>
      <c r="B417" s="49" t="s">
        <v>1333</v>
      </c>
      <c r="C417" s="94" t="s">
        <v>1333</v>
      </c>
      <c r="D417" s="94" t="s">
        <v>1333</v>
      </c>
      <c r="E417" s="50">
        <v>1</v>
      </c>
      <c r="F417" s="290">
        <v>50000</v>
      </c>
      <c r="G417" s="289">
        <v>50000</v>
      </c>
      <c r="H417" s="95" t="s">
        <v>390</v>
      </c>
      <c r="I417" s="96" t="s">
        <v>1231</v>
      </c>
      <c r="J417" s="97" t="s">
        <v>121</v>
      </c>
      <c r="K417" s="412" t="s">
        <v>1294</v>
      </c>
    </row>
    <row r="418" spans="1:11" hidden="1" x14ac:dyDescent="0.25">
      <c r="A418" s="48">
        <v>11</v>
      </c>
      <c r="B418" s="49" t="s">
        <v>1333</v>
      </c>
      <c r="C418" s="94" t="s">
        <v>1333</v>
      </c>
      <c r="D418" s="94" t="s">
        <v>1333</v>
      </c>
      <c r="E418" s="50">
        <v>1</v>
      </c>
      <c r="F418" s="290">
        <v>40000</v>
      </c>
      <c r="G418" s="289">
        <v>40000</v>
      </c>
      <c r="H418" s="95" t="s">
        <v>390</v>
      </c>
      <c r="I418" s="96" t="s">
        <v>1231</v>
      </c>
      <c r="J418" s="97" t="s">
        <v>121</v>
      </c>
      <c r="K418" s="412" t="s">
        <v>1294</v>
      </c>
    </row>
    <row r="419" spans="1:11" hidden="1" x14ac:dyDescent="0.25">
      <c r="A419" s="48">
        <v>11</v>
      </c>
      <c r="B419" s="49" t="s">
        <v>1333</v>
      </c>
      <c r="C419" s="94" t="s">
        <v>1333</v>
      </c>
      <c r="D419" s="94" t="s">
        <v>1333</v>
      </c>
      <c r="E419" s="50">
        <v>1</v>
      </c>
      <c r="F419" s="290">
        <v>26700</v>
      </c>
      <c r="G419" s="289">
        <v>26700</v>
      </c>
      <c r="H419" s="95" t="s">
        <v>390</v>
      </c>
      <c r="I419" s="96" t="s">
        <v>1231</v>
      </c>
      <c r="J419" s="97" t="s">
        <v>121</v>
      </c>
      <c r="K419" s="412" t="s">
        <v>1294</v>
      </c>
    </row>
    <row r="420" spans="1:11" hidden="1" x14ac:dyDescent="0.25">
      <c r="A420" s="48">
        <v>11</v>
      </c>
      <c r="B420" s="49" t="s">
        <v>1658</v>
      </c>
      <c r="C420" s="94" t="s">
        <v>1771</v>
      </c>
      <c r="D420" s="94" t="s">
        <v>1772</v>
      </c>
      <c r="E420" s="50">
        <v>1</v>
      </c>
      <c r="F420" s="290">
        <v>20900</v>
      </c>
      <c r="G420" s="289">
        <v>20900</v>
      </c>
      <c r="H420" s="95" t="s">
        <v>1773</v>
      </c>
      <c r="I420" s="96" t="s">
        <v>1231</v>
      </c>
      <c r="J420" s="97" t="s">
        <v>121</v>
      </c>
      <c r="K420" s="412" t="s">
        <v>1294</v>
      </c>
    </row>
    <row r="421" spans="1:11" hidden="1" x14ac:dyDescent="0.25">
      <c r="A421" s="48">
        <v>11</v>
      </c>
      <c r="B421" s="49" t="s">
        <v>1658</v>
      </c>
      <c r="C421" s="94" t="s">
        <v>1774</v>
      </c>
      <c r="D421" s="94" t="s">
        <v>1775</v>
      </c>
      <c r="E421" s="50">
        <v>5</v>
      </c>
      <c r="F421" s="290">
        <v>21900</v>
      </c>
      <c r="G421" s="289">
        <v>109500</v>
      </c>
      <c r="H421" s="95" t="s">
        <v>1773</v>
      </c>
      <c r="I421" s="96" t="s">
        <v>1231</v>
      </c>
      <c r="J421" s="97" t="s">
        <v>121</v>
      </c>
      <c r="K421" s="412" t="s">
        <v>1294</v>
      </c>
    </row>
    <row r="422" spans="1:11" hidden="1" x14ac:dyDescent="0.25">
      <c r="A422" s="48">
        <v>11</v>
      </c>
      <c r="B422" s="49" t="s">
        <v>1520</v>
      </c>
      <c r="C422" s="94" t="s">
        <v>1776</v>
      </c>
      <c r="D422" s="94" t="s">
        <v>1777</v>
      </c>
      <c r="E422" s="50">
        <v>2</v>
      </c>
      <c r="F422" s="290">
        <v>73</v>
      </c>
      <c r="G422" s="289">
        <v>146</v>
      </c>
      <c r="H422" s="95" t="s">
        <v>1773</v>
      </c>
      <c r="I422" s="96" t="s">
        <v>1231</v>
      </c>
      <c r="J422" s="97" t="s">
        <v>121</v>
      </c>
      <c r="K422" s="412" t="s">
        <v>1294</v>
      </c>
    </row>
    <row r="423" spans="1:11" hidden="1" x14ac:dyDescent="0.25">
      <c r="A423" s="48">
        <v>11</v>
      </c>
      <c r="B423" s="49" t="s">
        <v>1658</v>
      </c>
      <c r="C423" s="94" t="s">
        <v>1702</v>
      </c>
      <c r="D423" s="94" t="s">
        <v>1778</v>
      </c>
      <c r="E423" s="50">
        <v>1</v>
      </c>
      <c r="F423" s="290">
        <v>29900</v>
      </c>
      <c r="G423" s="289">
        <v>29900</v>
      </c>
      <c r="H423" s="95" t="s">
        <v>390</v>
      </c>
      <c r="I423" s="96" t="s">
        <v>1231</v>
      </c>
      <c r="J423" s="97" t="s">
        <v>121</v>
      </c>
      <c r="K423" s="412" t="s">
        <v>1294</v>
      </c>
    </row>
    <row r="424" spans="1:11" hidden="1" x14ac:dyDescent="0.25">
      <c r="A424" s="48">
        <v>11</v>
      </c>
      <c r="B424" s="49" t="s">
        <v>1658</v>
      </c>
      <c r="C424" s="94" t="s">
        <v>1779</v>
      </c>
      <c r="D424" s="94" t="s">
        <v>1780</v>
      </c>
      <c r="E424" s="50">
        <v>2</v>
      </c>
      <c r="F424" s="290">
        <v>3000</v>
      </c>
      <c r="G424" s="289">
        <v>6000</v>
      </c>
      <c r="H424" s="95" t="s">
        <v>390</v>
      </c>
      <c r="I424" s="96" t="s">
        <v>1231</v>
      </c>
      <c r="J424" s="97" t="s">
        <v>121</v>
      </c>
      <c r="K424" s="412" t="s">
        <v>1294</v>
      </c>
    </row>
    <row r="425" spans="1:11" hidden="1" x14ac:dyDescent="0.25">
      <c r="A425" s="48">
        <v>12</v>
      </c>
      <c r="B425" s="49" t="s">
        <v>1230</v>
      </c>
      <c r="C425" s="94" t="s">
        <v>214</v>
      </c>
      <c r="D425" s="94" t="s">
        <v>372</v>
      </c>
      <c r="E425" s="50">
        <v>26.73</v>
      </c>
      <c r="F425" s="290">
        <v>25900</v>
      </c>
      <c r="G425" s="289">
        <v>692307</v>
      </c>
      <c r="H425" s="400" t="s">
        <v>371</v>
      </c>
      <c r="I425" s="96" t="s">
        <v>1231</v>
      </c>
      <c r="J425" s="97" t="s">
        <v>121</v>
      </c>
      <c r="K425" s="412" t="s">
        <v>1266</v>
      </c>
    </row>
    <row r="426" spans="1:11" hidden="1" x14ac:dyDescent="0.25">
      <c r="A426" s="48">
        <v>12</v>
      </c>
      <c r="B426" s="49" t="s">
        <v>1230</v>
      </c>
      <c r="C426" s="94" t="s">
        <v>373</v>
      </c>
      <c r="D426" s="94" t="s">
        <v>374</v>
      </c>
      <c r="E426" s="50">
        <v>106.3</v>
      </c>
      <c r="F426" s="290">
        <v>21900</v>
      </c>
      <c r="G426" s="289">
        <v>2327970</v>
      </c>
      <c r="H426" s="400" t="s">
        <v>371</v>
      </c>
      <c r="I426" s="96" t="s">
        <v>1231</v>
      </c>
      <c r="J426" s="97" t="s">
        <v>121</v>
      </c>
      <c r="K426" s="412" t="s">
        <v>1266</v>
      </c>
    </row>
    <row r="427" spans="1:11" hidden="1" x14ac:dyDescent="0.25">
      <c r="A427" s="48">
        <v>12</v>
      </c>
      <c r="B427" s="49" t="s">
        <v>1230</v>
      </c>
      <c r="C427" s="94" t="s">
        <v>375</v>
      </c>
      <c r="D427" s="94" t="s">
        <v>376</v>
      </c>
      <c r="E427" s="50">
        <v>29.9</v>
      </c>
      <c r="F427" s="290">
        <v>34500</v>
      </c>
      <c r="G427" s="289">
        <v>1031550</v>
      </c>
      <c r="H427" s="400" t="s">
        <v>371</v>
      </c>
      <c r="I427" s="96" t="s">
        <v>1231</v>
      </c>
      <c r="J427" s="97" t="s">
        <v>121</v>
      </c>
      <c r="K427" s="412" t="s">
        <v>1266</v>
      </c>
    </row>
    <row r="428" spans="1:11" hidden="1" x14ac:dyDescent="0.25">
      <c r="A428" s="48">
        <v>12</v>
      </c>
      <c r="B428" s="49" t="s">
        <v>1235</v>
      </c>
      <c r="C428" s="94" t="s">
        <v>1781</v>
      </c>
      <c r="D428" s="94" t="s">
        <v>1782</v>
      </c>
      <c r="E428" s="50">
        <v>8</v>
      </c>
      <c r="F428" s="290">
        <v>17500</v>
      </c>
      <c r="G428" s="289">
        <v>140000</v>
      </c>
      <c r="H428" s="400" t="s">
        <v>371</v>
      </c>
      <c r="I428" s="96" t="s">
        <v>1231</v>
      </c>
      <c r="J428" s="97" t="s">
        <v>121</v>
      </c>
      <c r="K428" s="412" t="s">
        <v>1266</v>
      </c>
    </row>
    <row r="429" spans="1:11" hidden="1" x14ac:dyDescent="0.25">
      <c r="A429" s="48">
        <v>12</v>
      </c>
      <c r="B429" s="49" t="s">
        <v>1230</v>
      </c>
      <c r="C429" s="94" t="s">
        <v>283</v>
      </c>
      <c r="D429" s="94" t="s">
        <v>377</v>
      </c>
      <c r="E429" s="50">
        <v>11</v>
      </c>
      <c r="F429" s="290">
        <v>44000</v>
      </c>
      <c r="G429" s="289">
        <v>484000</v>
      </c>
      <c r="H429" s="400" t="s">
        <v>371</v>
      </c>
      <c r="I429" s="96" t="s">
        <v>1231</v>
      </c>
      <c r="J429" s="97" t="s">
        <v>121</v>
      </c>
      <c r="K429" s="412" t="s">
        <v>1266</v>
      </c>
    </row>
    <row r="430" spans="1:11" hidden="1" x14ac:dyDescent="0.25">
      <c r="A430" s="48">
        <v>12</v>
      </c>
      <c r="B430" s="49" t="s">
        <v>1230</v>
      </c>
      <c r="C430" s="94" t="s">
        <v>250</v>
      </c>
      <c r="D430" s="94" t="s">
        <v>378</v>
      </c>
      <c r="E430" s="50">
        <v>41.6</v>
      </c>
      <c r="F430" s="290">
        <v>18900</v>
      </c>
      <c r="G430" s="289">
        <v>786240</v>
      </c>
      <c r="H430" s="400" t="s">
        <v>371</v>
      </c>
      <c r="I430" s="96" t="s">
        <v>1231</v>
      </c>
      <c r="J430" s="97" t="s">
        <v>121</v>
      </c>
      <c r="K430" s="412" t="s">
        <v>1266</v>
      </c>
    </row>
    <row r="431" spans="1:11" hidden="1" x14ac:dyDescent="0.25">
      <c r="A431" s="48">
        <v>12</v>
      </c>
      <c r="B431" s="49" t="s">
        <v>1235</v>
      </c>
      <c r="C431" s="94" t="s">
        <v>1783</v>
      </c>
      <c r="D431" s="94" t="s">
        <v>1784</v>
      </c>
      <c r="E431" s="50">
        <v>20</v>
      </c>
      <c r="F431" s="290">
        <v>5200</v>
      </c>
      <c r="G431" s="289">
        <v>104000</v>
      </c>
      <c r="H431" s="400" t="s">
        <v>371</v>
      </c>
      <c r="I431" s="96" t="s">
        <v>1231</v>
      </c>
      <c r="J431" s="97" t="s">
        <v>121</v>
      </c>
      <c r="K431" s="412" t="s">
        <v>1266</v>
      </c>
    </row>
    <row r="432" spans="1:11" hidden="1" x14ac:dyDescent="0.25">
      <c r="A432" s="48">
        <v>12</v>
      </c>
      <c r="B432" s="49" t="s">
        <v>1230</v>
      </c>
      <c r="C432" s="94" t="s">
        <v>301</v>
      </c>
      <c r="D432" s="94" t="s">
        <v>379</v>
      </c>
      <c r="E432" s="50">
        <v>19.23</v>
      </c>
      <c r="F432" s="290">
        <v>26900</v>
      </c>
      <c r="G432" s="289">
        <v>517287</v>
      </c>
      <c r="H432" s="400" t="s">
        <v>371</v>
      </c>
      <c r="I432" s="96" t="s">
        <v>1231</v>
      </c>
      <c r="J432" s="97" t="s">
        <v>121</v>
      </c>
      <c r="K432" s="412" t="s">
        <v>1266</v>
      </c>
    </row>
    <row r="433" spans="1:11" hidden="1" x14ac:dyDescent="0.25">
      <c r="A433" s="48">
        <v>12</v>
      </c>
      <c r="B433" s="49" t="s">
        <v>1230</v>
      </c>
      <c r="C433" s="94" t="s">
        <v>381</v>
      </c>
      <c r="D433" s="94" t="s">
        <v>382</v>
      </c>
      <c r="E433" s="50">
        <v>9.19</v>
      </c>
      <c r="F433" s="290">
        <v>20400</v>
      </c>
      <c r="G433" s="289">
        <v>187476</v>
      </c>
      <c r="H433" s="420" t="s">
        <v>380</v>
      </c>
      <c r="I433" s="96" t="s">
        <v>1231</v>
      </c>
      <c r="J433" s="97" t="s">
        <v>121</v>
      </c>
      <c r="K433" s="412" t="s">
        <v>1344</v>
      </c>
    </row>
    <row r="434" spans="1:11" hidden="1" x14ac:dyDescent="0.25">
      <c r="A434" s="48">
        <v>12</v>
      </c>
      <c r="B434" s="49" t="s">
        <v>1230</v>
      </c>
      <c r="C434" s="94" t="s">
        <v>375</v>
      </c>
      <c r="D434" s="94" t="s">
        <v>384</v>
      </c>
      <c r="E434" s="50">
        <v>39.75</v>
      </c>
      <c r="F434" s="290">
        <v>30000</v>
      </c>
      <c r="G434" s="289">
        <v>1192500</v>
      </c>
      <c r="H434" s="420" t="s">
        <v>383</v>
      </c>
      <c r="I434" s="96" t="s">
        <v>1231</v>
      </c>
      <c r="J434" s="97" t="s">
        <v>121</v>
      </c>
      <c r="K434" s="412" t="s">
        <v>1344</v>
      </c>
    </row>
    <row r="435" spans="1:11" hidden="1" x14ac:dyDescent="0.25">
      <c r="A435" s="48">
        <v>12</v>
      </c>
      <c r="B435" s="49" t="s">
        <v>1230</v>
      </c>
      <c r="C435" s="94" t="s">
        <v>381</v>
      </c>
      <c r="D435" s="94" t="s">
        <v>382</v>
      </c>
      <c r="E435" s="50">
        <v>4.6500000000000004</v>
      </c>
      <c r="F435" s="290">
        <v>18600</v>
      </c>
      <c r="G435" s="289">
        <v>86490</v>
      </c>
      <c r="H435" s="420" t="s">
        <v>383</v>
      </c>
      <c r="I435" s="96" t="s">
        <v>1231</v>
      </c>
      <c r="J435" s="97" t="s">
        <v>121</v>
      </c>
      <c r="K435" s="412" t="s">
        <v>1344</v>
      </c>
    </row>
    <row r="436" spans="1:11" hidden="1" x14ac:dyDescent="0.25">
      <c r="A436" s="48">
        <v>12</v>
      </c>
      <c r="B436" s="49" t="s">
        <v>1235</v>
      </c>
      <c r="C436" s="94" t="s">
        <v>1785</v>
      </c>
      <c r="D436" s="94" t="s">
        <v>1786</v>
      </c>
      <c r="E436" s="50">
        <v>73.599999999999994</v>
      </c>
      <c r="F436" s="290">
        <v>1400</v>
      </c>
      <c r="G436" s="289">
        <v>103040</v>
      </c>
      <c r="H436" s="95" t="s">
        <v>1787</v>
      </c>
      <c r="I436" s="96" t="s">
        <v>1231</v>
      </c>
      <c r="J436" s="97" t="s">
        <v>121</v>
      </c>
      <c r="K436" s="412" t="s">
        <v>1294</v>
      </c>
    </row>
    <row r="437" spans="1:11" hidden="1" x14ac:dyDescent="0.25">
      <c r="A437" s="48">
        <v>12</v>
      </c>
      <c r="B437" s="49" t="s">
        <v>1235</v>
      </c>
      <c r="C437" s="94" t="s">
        <v>1532</v>
      </c>
      <c r="D437" s="94" t="s">
        <v>1788</v>
      </c>
      <c r="E437" s="50">
        <v>19.5</v>
      </c>
      <c r="F437" s="290">
        <v>2800</v>
      </c>
      <c r="G437" s="289">
        <v>54600</v>
      </c>
      <c r="H437" s="95" t="s">
        <v>1787</v>
      </c>
      <c r="I437" s="96" t="s">
        <v>1231</v>
      </c>
      <c r="J437" s="97" t="s">
        <v>121</v>
      </c>
      <c r="K437" s="412" t="s">
        <v>1294</v>
      </c>
    </row>
    <row r="438" spans="1:11" hidden="1" x14ac:dyDescent="0.25">
      <c r="A438" s="48">
        <v>12</v>
      </c>
      <c r="B438" s="49" t="s">
        <v>1235</v>
      </c>
      <c r="C438" s="94" t="s">
        <v>1789</v>
      </c>
      <c r="D438" s="94" t="s">
        <v>1790</v>
      </c>
      <c r="E438" s="50">
        <v>2</v>
      </c>
      <c r="F438" s="290">
        <v>2000</v>
      </c>
      <c r="G438" s="289">
        <v>4000</v>
      </c>
      <c r="H438" s="95" t="s">
        <v>1787</v>
      </c>
      <c r="I438" s="96" t="s">
        <v>1231</v>
      </c>
      <c r="J438" s="97" t="s">
        <v>121</v>
      </c>
      <c r="K438" s="412" t="s">
        <v>1294</v>
      </c>
    </row>
    <row r="439" spans="1:11" hidden="1" x14ac:dyDescent="0.25">
      <c r="A439" s="48">
        <v>12</v>
      </c>
      <c r="B439" s="49" t="s">
        <v>1235</v>
      </c>
      <c r="C439" s="94" t="s">
        <v>1791</v>
      </c>
      <c r="D439" s="94" t="s">
        <v>1791</v>
      </c>
      <c r="E439" s="50">
        <v>1</v>
      </c>
      <c r="F439" s="290">
        <v>10000</v>
      </c>
      <c r="G439" s="289">
        <v>10000</v>
      </c>
      <c r="H439" s="95" t="s">
        <v>1787</v>
      </c>
      <c r="I439" s="96" t="s">
        <v>1231</v>
      </c>
      <c r="J439" s="97" t="s">
        <v>121</v>
      </c>
      <c r="K439" s="412" t="s">
        <v>1294</v>
      </c>
    </row>
    <row r="440" spans="1:11" hidden="1" x14ac:dyDescent="0.25">
      <c r="A440" s="48">
        <v>12</v>
      </c>
      <c r="B440" s="49" t="s">
        <v>1235</v>
      </c>
      <c r="C440" s="94" t="s">
        <v>1792</v>
      </c>
      <c r="D440" s="94" t="s">
        <v>1792</v>
      </c>
      <c r="E440" s="50">
        <v>4.3</v>
      </c>
      <c r="F440" s="290">
        <v>3500</v>
      </c>
      <c r="G440" s="289">
        <v>15050</v>
      </c>
      <c r="H440" s="95" t="s">
        <v>1787</v>
      </c>
      <c r="I440" s="96" t="s">
        <v>1231</v>
      </c>
      <c r="J440" s="97" t="s">
        <v>121</v>
      </c>
      <c r="K440" s="412" t="s">
        <v>1294</v>
      </c>
    </row>
    <row r="441" spans="1:11" hidden="1" x14ac:dyDescent="0.25">
      <c r="A441" s="48">
        <v>12</v>
      </c>
      <c r="B441" s="49" t="s">
        <v>1235</v>
      </c>
      <c r="C441" s="94" t="s">
        <v>1556</v>
      </c>
      <c r="D441" s="94" t="s">
        <v>1793</v>
      </c>
      <c r="E441" s="50">
        <v>7.9</v>
      </c>
      <c r="F441" s="290">
        <v>2000</v>
      </c>
      <c r="G441" s="289">
        <v>15800</v>
      </c>
      <c r="H441" s="95" t="s">
        <v>1787</v>
      </c>
      <c r="I441" s="96" t="s">
        <v>1231</v>
      </c>
      <c r="J441" s="97" t="s">
        <v>121</v>
      </c>
      <c r="K441" s="412" t="s">
        <v>1294</v>
      </c>
    </row>
    <row r="442" spans="1:11" hidden="1" x14ac:dyDescent="0.25">
      <c r="A442" s="48">
        <v>12</v>
      </c>
      <c r="B442" s="49" t="s">
        <v>1235</v>
      </c>
      <c r="C442" s="94" t="s">
        <v>1794</v>
      </c>
      <c r="D442" s="94" t="s">
        <v>1795</v>
      </c>
      <c r="E442" s="50">
        <v>2.4</v>
      </c>
      <c r="F442" s="290">
        <v>2800</v>
      </c>
      <c r="G442" s="289">
        <v>6720</v>
      </c>
      <c r="H442" s="95" t="s">
        <v>1787</v>
      </c>
      <c r="I442" s="96" t="s">
        <v>1231</v>
      </c>
      <c r="J442" s="97" t="s">
        <v>121</v>
      </c>
      <c r="K442" s="412" t="s">
        <v>1294</v>
      </c>
    </row>
    <row r="443" spans="1:11" hidden="1" x14ac:dyDescent="0.25">
      <c r="A443" s="48">
        <v>12</v>
      </c>
      <c r="B443" s="49" t="s">
        <v>1235</v>
      </c>
      <c r="C443" s="94" t="s">
        <v>1530</v>
      </c>
      <c r="D443" s="94" t="s">
        <v>1796</v>
      </c>
      <c r="E443" s="50">
        <v>8</v>
      </c>
      <c r="F443" s="290">
        <v>3800</v>
      </c>
      <c r="G443" s="289">
        <v>30400</v>
      </c>
      <c r="H443" s="95" t="s">
        <v>1787</v>
      </c>
      <c r="I443" s="96" t="s">
        <v>1231</v>
      </c>
      <c r="J443" s="97" t="s">
        <v>121</v>
      </c>
      <c r="K443" s="412" t="s">
        <v>1294</v>
      </c>
    </row>
    <row r="444" spans="1:11" hidden="1" x14ac:dyDescent="0.25">
      <c r="A444" s="48">
        <v>12</v>
      </c>
      <c r="B444" s="49" t="s">
        <v>1235</v>
      </c>
      <c r="C444" s="94" t="s">
        <v>1552</v>
      </c>
      <c r="D444" s="94" t="s">
        <v>1797</v>
      </c>
      <c r="E444" s="50">
        <v>7.4</v>
      </c>
      <c r="F444" s="290">
        <v>4800</v>
      </c>
      <c r="G444" s="289">
        <v>35520</v>
      </c>
      <c r="H444" s="95" t="s">
        <v>1787</v>
      </c>
      <c r="I444" s="96" t="s">
        <v>1231</v>
      </c>
      <c r="J444" s="97" t="s">
        <v>121</v>
      </c>
      <c r="K444" s="412" t="s">
        <v>1294</v>
      </c>
    </row>
    <row r="445" spans="1:11" hidden="1" x14ac:dyDescent="0.25">
      <c r="A445" s="48">
        <v>12</v>
      </c>
      <c r="B445" s="49" t="s">
        <v>1235</v>
      </c>
      <c r="C445" s="94" t="s">
        <v>1798</v>
      </c>
      <c r="D445" s="94" t="s">
        <v>1799</v>
      </c>
      <c r="E445" s="50">
        <v>1</v>
      </c>
      <c r="F445" s="290">
        <v>60000</v>
      </c>
      <c r="G445" s="289">
        <v>60000</v>
      </c>
      <c r="H445" s="95" t="s">
        <v>1787</v>
      </c>
      <c r="I445" s="96" t="s">
        <v>1231</v>
      </c>
      <c r="J445" s="97" t="s">
        <v>121</v>
      </c>
      <c r="K445" s="412" t="s">
        <v>1294</v>
      </c>
    </row>
    <row r="446" spans="1:11" hidden="1" x14ac:dyDescent="0.25">
      <c r="A446" s="48">
        <v>12</v>
      </c>
      <c r="B446" s="49" t="s">
        <v>1235</v>
      </c>
      <c r="C446" s="94" t="s">
        <v>1554</v>
      </c>
      <c r="D446" s="94" t="s">
        <v>1800</v>
      </c>
      <c r="E446" s="50">
        <v>4</v>
      </c>
      <c r="F446" s="290">
        <v>4800</v>
      </c>
      <c r="G446" s="289">
        <v>19200</v>
      </c>
      <c r="H446" s="95" t="s">
        <v>1787</v>
      </c>
      <c r="I446" s="96" t="s">
        <v>1231</v>
      </c>
      <c r="J446" s="97" t="s">
        <v>121</v>
      </c>
      <c r="K446" s="412" t="s">
        <v>1294</v>
      </c>
    </row>
    <row r="447" spans="1:11" hidden="1" x14ac:dyDescent="0.25">
      <c r="A447" s="48">
        <v>12</v>
      </c>
      <c r="B447" s="49" t="s">
        <v>1235</v>
      </c>
      <c r="C447" s="94" t="s">
        <v>1801</v>
      </c>
      <c r="D447" s="94" t="s">
        <v>1802</v>
      </c>
      <c r="E447" s="50">
        <v>45.2</v>
      </c>
      <c r="F447" s="290">
        <v>3400</v>
      </c>
      <c r="G447" s="289">
        <v>153680</v>
      </c>
      <c r="H447" s="95" t="s">
        <v>1787</v>
      </c>
      <c r="I447" s="96" t="s">
        <v>1231</v>
      </c>
      <c r="J447" s="97" t="s">
        <v>121</v>
      </c>
      <c r="K447" s="412" t="s">
        <v>1294</v>
      </c>
    </row>
    <row r="448" spans="1:11" hidden="1" x14ac:dyDescent="0.25">
      <c r="A448" s="48">
        <v>12</v>
      </c>
      <c r="B448" s="49" t="s">
        <v>1235</v>
      </c>
      <c r="C448" s="94" t="s">
        <v>1803</v>
      </c>
      <c r="D448" s="94" t="s">
        <v>1804</v>
      </c>
      <c r="E448" s="50">
        <v>56.4</v>
      </c>
      <c r="F448" s="290">
        <v>1400</v>
      </c>
      <c r="G448" s="289">
        <v>78960</v>
      </c>
      <c r="H448" s="95" t="s">
        <v>1787</v>
      </c>
      <c r="I448" s="96" t="s">
        <v>1231</v>
      </c>
      <c r="J448" s="97" t="s">
        <v>121</v>
      </c>
      <c r="K448" s="412" t="s">
        <v>1294</v>
      </c>
    </row>
    <row r="449" spans="1:11" hidden="1" x14ac:dyDescent="0.25">
      <c r="A449" s="48">
        <v>12</v>
      </c>
      <c r="B449" s="49" t="s">
        <v>1235</v>
      </c>
      <c r="C449" s="94" t="s">
        <v>1803</v>
      </c>
      <c r="D449" s="94" t="s">
        <v>1804</v>
      </c>
      <c r="E449" s="50">
        <v>12</v>
      </c>
      <c r="F449" s="290">
        <v>1400</v>
      </c>
      <c r="G449" s="289">
        <v>16800</v>
      </c>
      <c r="H449" s="95" t="s">
        <v>1787</v>
      </c>
      <c r="I449" s="96" t="s">
        <v>1231</v>
      </c>
      <c r="J449" s="97" t="s">
        <v>121</v>
      </c>
      <c r="K449" s="412" t="s">
        <v>1294</v>
      </c>
    </row>
    <row r="450" spans="1:11" hidden="1" x14ac:dyDescent="0.25">
      <c r="A450" s="48">
        <v>12</v>
      </c>
      <c r="B450" s="49" t="s">
        <v>1805</v>
      </c>
      <c r="C450" s="94" t="s">
        <v>1806</v>
      </c>
      <c r="D450" s="94" t="s">
        <v>1807</v>
      </c>
      <c r="E450" s="50">
        <v>1</v>
      </c>
      <c r="F450" s="290">
        <v>20000</v>
      </c>
      <c r="G450" s="289">
        <v>20000</v>
      </c>
      <c r="H450" s="95" t="s">
        <v>390</v>
      </c>
      <c r="I450" s="96" t="s">
        <v>1231</v>
      </c>
      <c r="J450" s="97" t="s">
        <v>121</v>
      </c>
      <c r="K450" s="412" t="s">
        <v>1258</v>
      </c>
    </row>
    <row r="451" spans="1:11" hidden="1" x14ac:dyDescent="0.25">
      <c r="A451" s="48">
        <v>12</v>
      </c>
      <c r="B451" s="49" t="s">
        <v>1520</v>
      </c>
      <c r="C451" s="94" t="s">
        <v>1808</v>
      </c>
      <c r="D451" s="94" t="s">
        <v>1808</v>
      </c>
      <c r="E451" s="50">
        <v>10</v>
      </c>
      <c r="F451" s="290">
        <v>14700</v>
      </c>
      <c r="G451" s="289">
        <v>147000</v>
      </c>
      <c r="H451" s="95" t="s">
        <v>390</v>
      </c>
      <c r="I451" s="96" t="s">
        <v>1231</v>
      </c>
      <c r="J451" s="97" t="s">
        <v>121</v>
      </c>
      <c r="K451" s="412" t="s">
        <v>1294</v>
      </c>
    </row>
    <row r="452" spans="1:11" hidden="1" x14ac:dyDescent="0.25">
      <c r="A452" s="48">
        <v>12</v>
      </c>
      <c r="B452" s="49" t="s">
        <v>1658</v>
      </c>
      <c r="C452" s="94" t="s">
        <v>1809</v>
      </c>
      <c r="D452" s="94" t="s">
        <v>1660</v>
      </c>
      <c r="E452" s="50">
        <v>6</v>
      </c>
      <c r="F452" s="290">
        <v>22990</v>
      </c>
      <c r="G452" s="289">
        <v>137940</v>
      </c>
      <c r="H452" s="95" t="s">
        <v>1810</v>
      </c>
      <c r="I452" s="96" t="s">
        <v>1231</v>
      </c>
      <c r="J452" s="97" t="s">
        <v>121</v>
      </c>
      <c r="K452" s="412" t="s">
        <v>1294</v>
      </c>
    </row>
    <row r="453" spans="1:11" hidden="1" x14ac:dyDescent="0.25">
      <c r="A453" s="48">
        <v>12</v>
      </c>
      <c r="B453" s="49" t="s">
        <v>1235</v>
      </c>
      <c r="C453" s="94" t="s">
        <v>1811</v>
      </c>
      <c r="D453" s="94" t="s">
        <v>1812</v>
      </c>
      <c r="E453" s="50">
        <v>20</v>
      </c>
      <c r="F453" s="290">
        <v>4500</v>
      </c>
      <c r="G453" s="289">
        <v>90000</v>
      </c>
      <c r="H453" s="95" t="s">
        <v>390</v>
      </c>
      <c r="I453" s="96" t="s">
        <v>1231</v>
      </c>
      <c r="J453" s="97" t="s">
        <v>121</v>
      </c>
      <c r="K453" s="412" t="s">
        <v>1294</v>
      </c>
    </row>
    <row r="454" spans="1:11" hidden="1" x14ac:dyDescent="0.25">
      <c r="A454" s="48">
        <v>12</v>
      </c>
      <c r="B454" s="49" t="s">
        <v>1520</v>
      </c>
      <c r="C454" s="94" t="s">
        <v>1240</v>
      </c>
      <c r="D454" s="94" t="s">
        <v>1521</v>
      </c>
      <c r="E454" s="50">
        <v>1200</v>
      </c>
      <c r="F454" s="290">
        <v>150</v>
      </c>
      <c r="G454" s="289">
        <v>180000</v>
      </c>
      <c r="H454" s="95" t="s">
        <v>1813</v>
      </c>
      <c r="I454" s="96" t="s">
        <v>1231</v>
      </c>
      <c r="J454" s="97" t="s">
        <v>121</v>
      </c>
      <c r="K454" s="412" t="s">
        <v>1243</v>
      </c>
    </row>
    <row r="455" spans="1:11" hidden="1" x14ac:dyDescent="0.25">
      <c r="A455" s="48">
        <v>12</v>
      </c>
      <c r="B455" s="49" t="s">
        <v>1520</v>
      </c>
      <c r="C455" s="94" t="s">
        <v>1240</v>
      </c>
      <c r="D455" s="94" t="s">
        <v>1240</v>
      </c>
      <c r="E455" s="50">
        <v>600</v>
      </c>
      <c r="F455" s="290">
        <v>150</v>
      </c>
      <c r="G455" s="289">
        <v>90000</v>
      </c>
      <c r="H455" s="95" t="s">
        <v>390</v>
      </c>
      <c r="I455" s="96" t="s">
        <v>1231</v>
      </c>
      <c r="J455" s="97" t="s">
        <v>121</v>
      </c>
      <c r="K455" s="412" t="s">
        <v>1243</v>
      </c>
    </row>
    <row r="456" spans="1:11" hidden="1" x14ac:dyDescent="0.25">
      <c r="A456" s="48">
        <v>12</v>
      </c>
      <c r="B456" s="49" t="s">
        <v>1520</v>
      </c>
      <c r="C456" s="94" t="s">
        <v>1748</v>
      </c>
      <c r="D456" s="94" t="s">
        <v>1749</v>
      </c>
      <c r="E456" s="50">
        <v>2</v>
      </c>
      <c r="F456" s="290">
        <v>9500</v>
      </c>
      <c r="G456" s="289">
        <v>19000</v>
      </c>
      <c r="H456" s="95" t="s">
        <v>1814</v>
      </c>
      <c r="I456" s="96" t="s">
        <v>1231</v>
      </c>
      <c r="J456" s="97" t="s">
        <v>121</v>
      </c>
      <c r="K456" s="412" t="s">
        <v>1252</v>
      </c>
    </row>
    <row r="457" spans="1:11" hidden="1" x14ac:dyDescent="0.25">
      <c r="A457" s="48">
        <v>12</v>
      </c>
      <c r="B457" s="49" t="s">
        <v>1520</v>
      </c>
      <c r="C457" s="94" t="s">
        <v>1751</v>
      </c>
      <c r="D457" s="94" t="s">
        <v>1752</v>
      </c>
      <c r="E457" s="50">
        <v>3</v>
      </c>
      <c r="F457" s="290">
        <v>5000</v>
      </c>
      <c r="G457" s="289">
        <v>15000</v>
      </c>
      <c r="H457" s="95" t="s">
        <v>1814</v>
      </c>
      <c r="I457" s="96" t="s">
        <v>1231</v>
      </c>
      <c r="J457" s="97" t="s">
        <v>121</v>
      </c>
      <c r="K457" s="412" t="s">
        <v>1252</v>
      </c>
    </row>
    <row r="458" spans="1:11" x14ac:dyDescent="0.25">
      <c r="A458" s="48">
        <v>12</v>
      </c>
      <c r="B458" s="49" t="s">
        <v>1230</v>
      </c>
      <c r="C458" s="94" t="s">
        <v>386</v>
      </c>
      <c r="D458" s="94" t="s">
        <v>387</v>
      </c>
      <c r="E458" s="50">
        <v>5</v>
      </c>
      <c r="F458" s="290">
        <v>48000</v>
      </c>
      <c r="G458" s="289">
        <v>240000</v>
      </c>
      <c r="H458" s="95" t="s">
        <v>385</v>
      </c>
      <c r="I458" s="96" t="s">
        <v>1231</v>
      </c>
      <c r="J458" s="97" t="s">
        <v>121</v>
      </c>
      <c r="K458" s="412" t="s">
        <v>1294</v>
      </c>
    </row>
    <row r="459" spans="1:11" x14ac:dyDescent="0.25">
      <c r="A459" s="48">
        <v>12</v>
      </c>
      <c r="B459" s="49" t="s">
        <v>1230</v>
      </c>
      <c r="C459" s="94" t="s">
        <v>388</v>
      </c>
      <c r="D459" s="94" t="s">
        <v>389</v>
      </c>
      <c r="E459" s="50">
        <v>2</v>
      </c>
      <c r="F459" s="290">
        <v>46000</v>
      </c>
      <c r="G459" s="289">
        <v>92000</v>
      </c>
      <c r="H459" s="95" t="s">
        <v>385</v>
      </c>
      <c r="I459" s="96" t="s">
        <v>1231</v>
      </c>
      <c r="J459" s="97" t="s">
        <v>121</v>
      </c>
      <c r="K459" s="412" t="s">
        <v>1294</v>
      </c>
    </row>
    <row r="460" spans="1:11" hidden="1" x14ac:dyDescent="0.25">
      <c r="A460" s="48">
        <v>12</v>
      </c>
      <c r="B460" s="49" t="s">
        <v>91</v>
      </c>
      <c r="C460" s="94" t="s">
        <v>731</v>
      </c>
      <c r="D460" s="94" t="s">
        <v>732</v>
      </c>
      <c r="E460" s="50">
        <v>1</v>
      </c>
      <c r="F460" s="290">
        <v>20750</v>
      </c>
      <c r="G460" s="289">
        <v>20750</v>
      </c>
      <c r="H460" s="95" t="s">
        <v>730</v>
      </c>
      <c r="I460" s="96" t="s">
        <v>1231</v>
      </c>
      <c r="J460" s="97" t="s">
        <v>121</v>
      </c>
      <c r="K460" s="412" t="s">
        <v>1294</v>
      </c>
    </row>
    <row r="461" spans="1:11" hidden="1" x14ac:dyDescent="0.25">
      <c r="A461" s="48">
        <v>12</v>
      </c>
      <c r="B461" s="49" t="s">
        <v>91</v>
      </c>
      <c r="C461" s="94" t="s">
        <v>731</v>
      </c>
      <c r="D461" s="94" t="s">
        <v>733</v>
      </c>
      <c r="E461" s="50">
        <v>1</v>
      </c>
      <c r="F461" s="290">
        <v>20750</v>
      </c>
      <c r="G461" s="289">
        <v>20750</v>
      </c>
      <c r="H461" s="95" t="s">
        <v>730</v>
      </c>
      <c r="I461" s="96" t="s">
        <v>1231</v>
      </c>
      <c r="J461" s="97" t="s">
        <v>121</v>
      </c>
      <c r="K461" s="412" t="s">
        <v>1294</v>
      </c>
    </row>
    <row r="462" spans="1:11" hidden="1" x14ac:dyDescent="0.25">
      <c r="A462" s="48">
        <v>12</v>
      </c>
      <c r="B462" s="49" t="s">
        <v>91</v>
      </c>
      <c r="C462" s="94" t="s">
        <v>731</v>
      </c>
      <c r="D462" s="94" t="s">
        <v>734</v>
      </c>
      <c r="E462" s="50">
        <v>1</v>
      </c>
      <c r="F462" s="290">
        <v>20750</v>
      </c>
      <c r="G462" s="289">
        <v>20750</v>
      </c>
      <c r="H462" s="95" t="s">
        <v>730</v>
      </c>
      <c r="I462" s="96" t="s">
        <v>1231</v>
      </c>
      <c r="J462" s="97" t="s">
        <v>121</v>
      </c>
      <c r="K462" s="412" t="s">
        <v>1294</v>
      </c>
    </row>
    <row r="463" spans="1:11" hidden="1" x14ac:dyDescent="0.25">
      <c r="A463" s="48">
        <v>12</v>
      </c>
      <c r="B463" s="49" t="s">
        <v>91</v>
      </c>
      <c r="C463" s="94" t="s">
        <v>731</v>
      </c>
      <c r="D463" s="94" t="s">
        <v>735</v>
      </c>
      <c r="E463" s="50">
        <v>1</v>
      </c>
      <c r="F463" s="290">
        <v>20750</v>
      </c>
      <c r="G463" s="289">
        <v>20750</v>
      </c>
      <c r="H463" s="95" t="s">
        <v>730</v>
      </c>
      <c r="I463" s="96" t="s">
        <v>1231</v>
      </c>
      <c r="J463" s="97" t="s">
        <v>121</v>
      </c>
      <c r="K463" s="412" t="s">
        <v>1294</v>
      </c>
    </row>
    <row r="464" spans="1:11" hidden="1" x14ac:dyDescent="0.25">
      <c r="A464" s="48">
        <v>12</v>
      </c>
      <c r="B464" s="49" t="s">
        <v>1658</v>
      </c>
      <c r="C464" s="94" t="s">
        <v>1345</v>
      </c>
      <c r="D464" s="94" t="s">
        <v>1815</v>
      </c>
      <c r="E464" s="50">
        <v>3</v>
      </c>
      <c r="F464" s="290">
        <v>254000</v>
      </c>
      <c r="G464" s="289">
        <v>762000</v>
      </c>
      <c r="H464" s="95" t="s">
        <v>1816</v>
      </c>
      <c r="I464" s="96" t="s">
        <v>1817</v>
      </c>
      <c r="J464" s="97" t="s">
        <v>124</v>
      </c>
      <c r="K464" s="412" t="s">
        <v>1348</v>
      </c>
    </row>
    <row r="465" spans="1:11" hidden="1" x14ac:dyDescent="0.25">
      <c r="A465" s="48">
        <v>12</v>
      </c>
      <c r="B465" s="49" t="s">
        <v>1658</v>
      </c>
      <c r="C465" s="94" t="s">
        <v>1818</v>
      </c>
      <c r="D465" s="94" t="s">
        <v>1819</v>
      </c>
      <c r="E465" s="50">
        <v>1</v>
      </c>
      <c r="F465" s="290">
        <v>160000</v>
      </c>
      <c r="G465" s="289">
        <v>160000</v>
      </c>
      <c r="H465" s="95" t="s">
        <v>1816</v>
      </c>
      <c r="I465" s="96" t="s">
        <v>1817</v>
      </c>
      <c r="J465" s="97" t="s">
        <v>124</v>
      </c>
      <c r="K465" s="412" t="s">
        <v>1348</v>
      </c>
    </row>
    <row r="466" spans="1:11" hidden="1" x14ac:dyDescent="0.25">
      <c r="A466" s="48">
        <v>12</v>
      </c>
      <c r="B466" s="49" t="s">
        <v>1658</v>
      </c>
      <c r="C466" s="94" t="s">
        <v>1820</v>
      </c>
      <c r="D466" s="94" t="s">
        <v>1821</v>
      </c>
      <c r="E466" s="50">
        <v>2</v>
      </c>
      <c r="F466" s="290">
        <v>86000</v>
      </c>
      <c r="G466" s="289">
        <v>172000</v>
      </c>
      <c r="H466" s="95" t="s">
        <v>1816</v>
      </c>
      <c r="I466" s="96" t="s">
        <v>1817</v>
      </c>
      <c r="J466" s="97" t="s">
        <v>124</v>
      </c>
      <c r="K466" s="412" t="s">
        <v>1348</v>
      </c>
    </row>
    <row r="467" spans="1:11" hidden="1" x14ac:dyDescent="0.25">
      <c r="A467" s="48">
        <v>12</v>
      </c>
      <c r="B467" s="49" t="s">
        <v>1520</v>
      </c>
      <c r="C467" s="94" t="s">
        <v>1822</v>
      </c>
      <c r="D467" s="94" t="s">
        <v>1823</v>
      </c>
      <c r="E467" s="50">
        <v>1</v>
      </c>
      <c r="F467" s="290">
        <v>36000</v>
      </c>
      <c r="G467" s="289">
        <v>36000</v>
      </c>
      <c r="H467" s="95" t="s">
        <v>1816</v>
      </c>
      <c r="I467" s="96" t="s">
        <v>1817</v>
      </c>
      <c r="J467" s="97" t="s">
        <v>124</v>
      </c>
      <c r="K467" s="412" t="s">
        <v>1348</v>
      </c>
    </row>
    <row r="468" spans="1:11" hidden="1" x14ac:dyDescent="0.25">
      <c r="A468" s="48">
        <v>13</v>
      </c>
      <c r="B468" s="49" t="s">
        <v>91</v>
      </c>
      <c r="C468" s="94" t="s">
        <v>738</v>
      </c>
      <c r="D468" s="94" t="s">
        <v>739</v>
      </c>
      <c r="E468" s="50">
        <v>2</v>
      </c>
      <c r="F468" s="290">
        <v>32000</v>
      </c>
      <c r="G468" s="289">
        <v>64000</v>
      </c>
      <c r="H468" s="95" t="s">
        <v>737</v>
      </c>
      <c r="I468" s="96" t="s">
        <v>1824</v>
      </c>
      <c r="J468" s="97" t="s">
        <v>121</v>
      </c>
      <c r="K468" s="412" t="s">
        <v>1294</v>
      </c>
    </row>
    <row r="469" spans="1:11" hidden="1" x14ac:dyDescent="0.25">
      <c r="A469" s="48">
        <v>13</v>
      </c>
      <c r="B469" s="49" t="s">
        <v>91</v>
      </c>
      <c r="C469" s="94" t="s">
        <v>741</v>
      </c>
      <c r="D469" s="94" t="s">
        <v>742</v>
      </c>
      <c r="E469" s="50">
        <v>1</v>
      </c>
      <c r="F469" s="290">
        <v>62500</v>
      </c>
      <c r="G469" s="289">
        <v>62500</v>
      </c>
      <c r="H469" s="95" t="s">
        <v>740</v>
      </c>
      <c r="I469" s="96" t="s">
        <v>1824</v>
      </c>
      <c r="J469" s="97" t="s">
        <v>121</v>
      </c>
      <c r="K469" s="412" t="s">
        <v>1341</v>
      </c>
    </row>
    <row r="470" spans="1:11" hidden="1" x14ac:dyDescent="0.25">
      <c r="A470" s="48">
        <v>13</v>
      </c>
      <c r="B470" s="49" t="s">
        <v>1520</v>
      </c>
      <c r="C470" s="94" t="s">
        <v>1751</v>
      </c>
      <c r="D470" s="94" t="s">
        <v>1752</v>
      </c>
      <c r="E470" s="50">
        <v>4</v>
      </c>
      <c r="F470" s="290">
        <v>5000</v>
      </c>
      <c r="G470" s="289">
        <v>20000</v>
      </c>
      <c r="H470" s="95" t="s">
        <v>1825</v>
      </c>
      <c r="I470" s="96" t="s">
        <v>1231</v>
      </c>
      <c r="J470" s="97" t="s">
        <v>121</v>
      </c>
      <c r="K470" s="412" t="s">
        <v>1252</v>
      </c>
    </row>
    <row r="471" spans="1:11" hidden="1" x14ac:dyDescent="0.25">
      <c r="A471" s="48">
        <v>13</v>
      </c>
      <c r="B471" s="49" t="s">
        <v>1235</v>
      </c>
      <c r="C471" s="94" t="s">
        <v>1826</v>
      </c>
      <c r="D471" s="94" t="s">
        <v>1827</v>
      </c>
      <c r="E471" s="50">
        <v>15</v>
      </c>
      <c r="F471" s="290">
        <v>7000</v>
      </c>
      <c r="G471" s="289">
        <v>105000</v>
      </c>
      <c r="H471" s="95" t="s">
        <v>390</v>
      </c>
      <c r="I471" s="96" t="s">
        <v>1231</v>
      </c>
      <c r="J471" s="97" t="s">
        <v>121</v>
      </c>
      <c r="K471" s="412" t="s">
        <v>1294</v>
      </c>
    </row>
    <row r="472" spans="1:11" hidden="1" x14ac:dyDescent="0.25">
      <c r="A472" s="48">
        <v>13</v>
      </c>
      <c r="B472" s="49" t="s">
        <v>1230</v>
      </c>
      <c r="C472" s="94" t="s">
        <v>396</v>
      </c>
      <c r="D472" s="94" t="s">
        <v>397</v>
      </c>
      <c r="E472" s="50">
        <v>7</v>
      </c>
      <c r="F472" s="290">
        <v>9714.2900000000009</v>
      </c>
      <c r="G472" s="289">
        <v>68000.03</v>
      </c>
      <c r="H472" s="95" t="s">
        <v>390</v>
      </c>
      <c r="I472" s="96" t="s">
        <v>1231</v>
      </c>
      <c r="J472" s="97" t="s">
        <v>121</v>
      </c>
      <c r="K472" s="412" t="s">
        <v>1294</v>
      </c>
    </row>
    <row r="473" spans="1:11" hidden="1" x14ac:dyDescent="0.25">
      <c r="A473" s="48">
        <v>13</v>
      </c>
      <c r="B473" s="49" t="s">
        <v>1230</v>
      </c>
      <c r="C473" s="94" t="s">
        <v>398</v>
      </c>
      <c r="D473" s="94" t="s">
        <v>399</v>
      </c>
      <c r="E473" s="50">
        <v>7</v>
      </c>
      <c r="F473" s="290">
        <v>4028.57</v>
      </c>
      <c r="G473" s="289">
        <v>28199.99</v>
      </c>
      <c r="H473" s="95" t="s">
        <v>390</v>
      </c>
      <c r="I473" s="96" t="s">
        <v>1231</v>
      </c>
      <c r="J473" s="97" t="s">
        <v>121</v>
      </c>
      <c r="K473" s="412" t="s">
        <v>1294</v>
      </c>
    </row>
    <row r="474" spans="1:11" hidden="1" x14ac:dyDescent="0.25">
      <c r="A474" s="48">
        <v>13</v>
      </c>
      <c r="B474" s="49" t="s">
        <v>1235</v>
      </c>
      <c r="C474" s="94" t="s">
        <v>1828</v>
      </c>
      <c r="D474" s="94" t="s">
        <v>1828</v>
      </c>
      <c r="E474" s="50">
        <v>1</v>
      </c>
      <c r="F474" s="290">
        <v>3000</v>
      </c>
      <c r="G474" s="289">
        <v>3000</v>
      </c>
      <c r="H474" s="95" t="s">
        <v>390</v>
      </c>
      <c r="I474" s="96" t="s">
        <v>1231</v>
      </c>
      <c r="J474" s="97" t="s">
        <v>121</v>
      </c>
      <c r="K474" s="412" t="s">
        <v>1294</v>
      </c>
    </row>
    <row r="475" spans="1:11" hidden="1" x14ac:dyDescent="0.25">
      <c r="A475" s="48">
        <v>13</v>
      </c>
      <c r="B475" s="49" t="s">
        <v>1658</v>
      </c>
      <c r="C475" s="94" t="s">
        <v>1829</v>
      </c>
      <c r="D475" s="94" t="s">
        <v>1830</v>
      </c>
      <c r="E475" s="50">
        <v>1</v>
      </c>
      <c r="F475" s="290">
        <v>6200</v>
      </c>
      <c r="G475" s="289">
        <v>6200</v>
      </c>
      <c r="H475" s="95" t="s">
        <v>390</v>
      </c>
      <c r="I475" s="96" t="s">
        <v>1231</v>
      </c>
      <c r="J475" s="97" t="s">
        <v>121</v>
      </c>
      <c r="K475" s="412" t="s">
        <v>1294</v>
      </c>
    </row>
    <row r="476" spans="1:11" hidden="1" x14ac:dyDescent="0.25">
      <c r="A476" s="48">
        <v>14</v>
      </c>
      <c r="B476" s="49" t="s">
        <v>1230</v>
      </c>
      <c r="C476" s="94" t="s">
        <v>410</v>
      </c>
      <c r="D476" s="94" t="s">
        <v>411</v>
      </c>
      <c r="E476" s="50">
        <v>4.0999999999999996</v>
      </c>
      <c r="F476" s="290">
        <v>34000</v>
      </c>
      <c r="G476" s="289">
        <v>139400</v>
      </c>
      <c r="H476" s="420" t="s">
        <v>409</v>
      </c>
      <c r="I476" s="96" t="s">
        <v>1231</v>
      </c>
      <c r="J476" s="97" t="s">
        <v>121</v>
      </c>
      <c r="K476" s="412" t="s">
        <v>1344</v>
      </c>
    </row>
    <row r="477" spans="1:11" hidden="1" x14ac:dyDescent="0.25">
      <c r="A477" s="48">
        <v>14</v>
      </c>
      <c r="B477" s="49" t="s">
        <v>1230</v>
      </c>
      <c r="C477" s="94" t="s">
        <v>277</v>
      </c>
      <c r="D477" s="94" t="s">
        <v>412</v>
      </c>
      <c r="E477" s="50">
        <v>20.399999999999999</v>
      </c>
      <c r="F477" s="290">
        <v>20000</v>
      </c>
      <c r="G477" s="289">
        <v>408000</v>
      </c>
      <c r="H477" s="420" t="s">
        <v>409</v>
      </c>
      <c r="I477" s="96" t="s">
        <v>1231</v>
      </c>
      <c r="J477" s="97" t="s">
        <v>121</v>
      </c>
      <c r="K477" s="412" t="s">
        <v>1344</v>
      </c>
    </row>
    <row r="478" spans="1:11" hidden="1" x14ac:dyDescent="0.25">
      <c r="A478" s="48">
        <v>14</v>
      </c>
      <c r="B478" s="49" t="s">
        <v>1230</v>
      </c>
      <c r="C478" s="94" t="s">
        <v>214</v>
      </c>
      <c r="D478" s="94" t="s">
        <v>372</v>
      </c>
      <c r="E478" s="50">
        <v>19.422000000000001</v>
      </c>
      <c r="F478" s="290">
        <v>25900</v>
      </c>
      <c r="G478" s="289">
        <v>503029.8</v>
      </c>
      <c r="H478" s="95" t="s">
        <v>413</v>
      </c>
      <c r="I478" s="96" t="s">
        <v>1231</v>
      </c>
      <c r="J478" s="97" t="s">
        <v>121</v>
      </c>
      <c r="K478" s="412" t="s">
        <v>1266</v>
      </c>
    </row>
    <row r="479" spans="1:11" hidden="1" x14ac:dyDescent="0.25">
      <c r="A479" s="48">
        <v>14</v>
      </c>
      <c r="B479" s="49" t="s">
        <v>1230</v>
      </c>
      <c r="C479" s="94" t="s">
        <v>414</v>
      </c>
      <c r="D479" s="94" t="s">
        <v>415</v>
      </c>
      <c r="E479" s="50">
        <v>5.3220000000000001</v>
      </c>
      <c r="F479" s="290">
        <v>29500</v>
      </c>
      <c r="G479" s="289">
        <v>156999</v>
      </c>
      <c r="H479" s="95" t="s">
        <v>413</v>
      </c>
      <c r="I479" s="96" t="s">
        <v>1231</v>
      </c>
      <c r="J479" s="97" t="s">
        <v>121</v>
      </c>
      <c r="K479" s="412" t="s">
        <v>1266</v>
      </c>
    </row>
    <row r="480" spans="1:11" hidden="1" x14ac:dyDescent="0.25">
      <c r="A480" s="48">
        <v>14</v>
      </c>
      <c r="B480" s="49" t="s">
        <v>1235</v>
      </c>
      <c r="C480" s="94" t="s">
        <v>1785</v>
      </c>
      <c r="D480" s="94" t="s">
        <v>1786</v>
      </c>
      <c r="E480" s="50">
        <v>20.6</v>
      </c>
      <c r="F480" s="290">
        <v>1800</v>
      </c>
      <c r="G480" s="289">
        <v>37080</v>
      </c>
      <c r="H480" s="95" t="s">
        <v>390</v>
      </c>
      <c r="I480" s="96" t="s">
        <v>1231</v>
      </c>
      <c r="J480" s="97" t="s">
        <v>121</v>
      </c>
      <c r="K480" s="412" t="s">
        <v>1294</v>
      </c>
    </row>
    <row r="481" spans="1:11" hidden="1" x14ac:dyDescent="0.25">
      <c r="A481" s="48">
        <v>14</v>
      </c>
      <c r="B481" s="49" t="s">
        <v>1520</v>
      </c>
      <c r="C481" s="94" t="s">
        <v>722</v>
      </c>
      <c r="D481" s="94" t="s">
        <v>1749</v>
      </c>
      <c r="E481" s="50">
        <v>2</v>
      </c>
      <c r="F481" s="290">
        <v>9500</v>
      </c>
      <c r="G481" s="289">
        <v>19000</v>
      </c>
      <c r="H481" s="95" t="s">
        <v>1831</v>
      </c>
      <c r="I481" s="96" t="s">
        <v>1231</v>
      </c>
      <c r="J481" s="97" t="s">
        <v>121</v>
      </c>
      <c r="K481" s="412" t="s">
        <v>1252</v>
      </c>
    </row>
    <row r="482" spans="1:11" hidden="1" x14ac:dyDescent="0.25">
      <c r="A482" s="48">
        <v>14</v>
      </c>
      <c r="B482" s="49" t="s">
        <v>1520</v>
      </c>
      <c r="C482" s="94" t="s">
        <v>1832</v>
      </c>
      <c r="D482" s="94" t="s">
        <v>1752</v>
      </c>
      <c r="E482" s="50">
        <v>2</v>
      </c>
      <c r="F482" s="290">
        <v>5000</v>
      </c>
      <c r="G482" s="289">
        <v>10000</v>
      </c>
      <c r="H482" s="95" t="s">
        <v>1831</v>
      </c>
      <c r="I482" s="96" t="s">
        <v>1231</v>
      </c>
      <c r="J482" s="97" t="s">
        <v>121</v>
      </c>
      <c r="K482" s="412" t="s">
        <v>1252</v>
      </c>
    </row>
    <row r="483" spans="1:11" hidden="1" x14ac:dyDescent="0.25">
      <c r="A483" s="48">
        <v>14</v>
      </c>
      <c r="B483" s="49" t="s">
        <v>1520</v>
      </c>
      <c r="C483" s="94" t="s">
        <v>1833</v>
      </c>
      <c r="D483" s="94" t="s">
        <v>1834</v>
      </c>
      <c r="E483" s="50">
        <v>9</v>
      </c>
      <c r="F483" s="290">
        <v>15333.33</v>
      </c>
      <c r="G483" s="289">
        <v>137999.97</v>
      </c>
      <c r="H483" s="95" t="s">
        <v>1835</v>
      </c>
      <c r="I483" s="96" t="s">
        <v>1231</v>
      </c>
      <c r="J483" s="97" t="s">
        <v>121</v>
      </c>
      <c r="K483" s="412" t="s">
        <v>1294</v>
      </c>
    </row>
    <row r="484" spans="1:11" hidden="1" x14ac:dyDescent="0.25">
      <c r="A484" s="48">
        <v>14</v>
      </c>
      <c r="B484" s="49" t="s">
        <v>1745</v>
      </c>
      <c r="C484" s="94" t="s">
        <v>1836</v>
      </c>
      <c r="D484" s="94" t="s">
        <v>1837</v>
      </c>
      <c r="E484" s="50">
        <v>1</v>
      </c>
      <c r="F484" s="290">
        <v>300000</v>
      </c>
      <c r="G484" s="289">
        <v>300000</v>
      </c>
      <c r="H484" s="95" t="s">
        <v>1838</v>
      </c>
      <c r="I484" s="96" t="s">
        <v>1231</v>
      </c>
      <c r="J484" s="97" t="s">
        <v>121</v>
      </c>
      <c r="K484" s="412" t="s">
        <v>1294</v>
      </c>
    </row>
    <row r="485" spans="1:11" hidden="1" x14ac:dyDescent="0.25">
      <c r="A485" s="48">
        <v>14</v>
      </c>
      <c r="B485" s="49" t="s">
        <v>1230</v>
      </c>
      <c r="C485" s="94" t="s">
        <v>417</v>
      </c>
      <c r="D485" s="94" t="s">
        <v>418</v>
      </c>
      <c r="E485" s="50">
        <v>18.25</v>
      </c>
      <c r="F485" s="290">
        <v>19500</v>
      </c>
      <c r="G485" s="289">
        <v>355875</v>
      </c>
      <c r="H485" s="95" t="s">
        <v>416</v>
      </c>
      <c r="I485" s="96" t="s">
        <v>1839</v>
      </c>
      <c r="J485" s="97" t="s">
        <v>124</v>
      </c>
      <c r="K485" s="412" t="s">
        <v>1456</v>
      </c>
    </row>
    <row r="486" spans="1:11" hidden="1" x14ac:dyDescent="0.25">
      <c r="A486" s="48">
        <v>14</v>
      </c>
      <c r="B486" s="49" t="s">
        <v>1614</v>
      </c>
      <c r="C486" s="94" t="s">
        <v>1840</v>
      </c>
      <c r="D486" s="94" t="s">
        <v>1841</v>
      </c>
      <c r="E486" s="50">
        <v>1</v>
      </c>
      <c r="F486" s="290">
        <v>3400000</v>
      </c>
      <c r="G486" s="289">
        <v>3400000</v>
      </c>
      <c r="H486" s="95" t="s">
        <v>390</v>
      </c>
      <c r="I486" s="96" t="s">
        <v>1842</v>
      </c>
      <c r="J486" s="97" t="s">
        <v>124</v>
      </c>
      <c r="K486" s="412" t="s">
        <v>1843</v>
      </c>
    </row>
    <row r="487" spans="1:11" hidden="1" x14ac:dyDescent="0.25">
      <c r="A487" s="48">
        <v>14</v>
      </c>
      <c r="B487" s="49" t="s">
        <v>1230</v>
      </c>
      <c r="C487" s="94" t="s">
        <v>420</v>
      </c>
      <c r="D487" s="94" t="s">
        <v>421</v>
      </c>
      <c r="E487" s="50">
        <v>17.100000000000001</v>
      </c>
      <c r="F487" s="290">
        <v>18500</v>
      </c>
      <c r="G487" s="289">
        <v>316350</v>
      </c>
      <c r="H487" s="400" t="s">
        <v>419</v>
      </c>
      <c r="I487" s="96" t="s">
        <v>1844</v>
      </c>
      <c r="J487" s="97" t="s">
        <v>124</v>
      </c>
      <c r="K487" s="412" t="s">
        <v>1245</v>
      </c>
    </row>
    <row r="488" spans="1:11" hidden="1" x14ac:dyDescent="0.25">
      <c r="A488" s="48">
        <v>14</v>
      </c>
      <c r="B488" s="49" t="s">
        <v>1230</v>
      </c>
      <c r="C488" s="94" t="s">
        <v>420</v>
      </c>
      <c r="D488" s="94" t="s">
        <v>423</v>
      </c>
      <c r="E488" s="50">
        <v>28.3</v>
      </c>
      <c r="F488" s="290">
        <v>18500</v>
      </c>
      <c r="G488" s="289">
        <v>523550</v>
      </c>
      <c r="H488" s="400" t="s">
        <v>422</v>
      </c>
      <c r="I488" s="96" t="s">
        <v>1845</v>
      </c>
      <c r="J488" s="97" t="s">
        <v>124</v>
      </c>
      <c r="K488" s="412" t="s">
        <v>1245</v>
      </c>
    </row>
    <row r="489" spans="1:11" hidden="1" x14ac:dyDescent="0.25">
      <c r="A489" s="48">
        <v>15</v>
      </c>
      <c r="B489" s="49" t="s">
        <v>1235</v>
      </c>
      <c r="C489" s="94" t="s">
        <v>1785</v>
      </c>
      <c r="D489" s="94" t="s">
        <v>1846</v>
      </c>
      <c r="E489" s="50">
        <v>22</v>
      </c>
      <c r="F489" s="290">
        <v>1800</v>
      </c>
      <c r="G489" s="289">
        <v>39600</v>
      </c>
      <c r="H489" s="95" t="s">
        <v>962</v>
      </c>
      <c r="I489" s="96" t="s">
        <v>1847</v>
      </c>
      <c r="J489" s="97" t="s">
        <v>121</v>
      </c>
      <c r="K489" s="412" t="s">
        <v>1261</v>
      </c>
    </row>
    <row r="490" spans="1:11" hidden="1" x14ac:dyDescent="0.25">
      <c r="A490" s="48">
        <v>15</v>
      </c>
      <c r="B490" s="49" t="s">
        <v>1267</v>
      </c>
      <c r="C490" s="94" t="s">
        <v>1848</v>
      </c>
      <c r="D490" s="94" t="s">
        <v>1269</v>
      </c>
      <c r="E490" s="50">
        <v>1</v>
      </c>
      <c r="F490" s="290">
        <v>95820</v>
      </c>
      <c r="G490" s="289">
        <v>95820</v>
      </c>
      <c r="H490" s="95" t="s">
        <v>1849</v>
      </c>
      <c r="I490" s="96" t="s">
        <v>1231</v>
      </c>
      <c r="J490" s="97" t="s">
        <v>121</v>
      </c>
      <c r="K490" s="412" t="s">
        <v>1294</v>
      </c>
    </row>
    <row r="491" spans="1:11" hidden="1" x14ac:dyDescent="0.25">
      <c r="A491" s="48">
        <v>16</v>
      </c>
      <c r="B491" s="49" t="s">
        <v>1805</v>
      </c>
      <c r="C491" s="94" t="s">
        <v>1850</v>
      </c>
      <c r="D491" s="94" t="s">
        <v>1851</v>
      </c>
      <c r="E491" s="50">
        <v>1</v>
      </c>
      <c r="F491" s="290">
        <v>100000</v>
      </c>
      <c r="G491" s="289">
        <v>100000</v>
      </c>
      <c r="H491" s="95" t="s">
        <v>390</v>
      </c>
      <c r="I491" s="96" t="s">
        <v>1231</v>
      </c>
      <c r="J491" s="97" t="s">
        <v>121</v>
      </c>
      <c r="K491" s="412" t="s">
        <v>1294</v>
      </c>
    </row>
    <row r="492" spans="1:11" hidden="1" x14ac:dyDescent="0.25">
      <c r="A492" s="48">
        <v>16</v>
      </c>
      <c r="B492" s="49" t="s">
        <v>1805</v>
      </c>
      <c r="C492" s="94" t="s">
        <v>1852</v>
      </c>
      <c r="D492" s="94" t="s">
        <v>1053</v>
      </c>
      <c r="E492" s="50">
        <v>1</v>
      </c>
      <c r="F492" s="290">
        <v>800000</v>
      </c>
      <c r="G492" s="289">
        <v>800000</v>
      </c>
      <c r="H492" s="95" t="s">
        <v>390</v>
      </c>
      <c r="I492" s="96" t="s">
        <v>1853</v>
      </c>
      <c r="J492" s="97" t="s">
        <v>121</v>
      </c>
      <c r="K492" s="412" t="s">
        <v>1294</v>
      </c>
    </row>
    <row r="493" spans="1:11" hidden="1" x14ac:dyDescent="0.25">
      <c r="A493" s="48">
        <v>16</v>
      </c>
      <c r="B493" s="49" t="s">
        <v>1805</v>
      </c>
      <c r="C493" s="94" t="s">
        <v>1333</v>
      </c>
      <c r="D493" s="94" t="s">
        <v>1854</v>
      </c>
      <c r="E493" s="50">
        <v>1</v>
      </c>
      <c r="F493" s="290">
        <v>30000</v>
      </c>
      <c r="G493" s="289">
        <v>30000</v>
      </c>
      <c r="H493" s="95" t="s">
        <v>390</v>
      </c>
      <c r="I493" s="96" t="s">
        <v>1231</v>
      </c>
      <c r="J493" s="97" t="s">
        <v>121</v>
      </c>
      <c r="K493" s="412" t="s">
        <v>1258</v>
      </c>
    </row>
    <row r="494" spans="1:11" hidden="1" x14ac:dyDescent="0.25">
      <c r="A494" s="48">
        <v>16</v>
      </c>
      <c r="B494" s="49" t="s">
        <v>1805</v>
      </c>
      <c r="C494" s="94" t="s">
        <v>1333</v>
      </c>
      <c r="D494" s="94" t="s">
        <v>1855</v>
      </c>
      <c r="E494" s="50">
        <v>1</v>
      </c>
      <c r="F494" s="290">
        <v>30000</v>
      </c>
      <c r="G494" s="289">
        <v>30000</v>
      </c>
      <c r="H494" s="95" t="s">
        <v>390</v>
      </c>
      <c r="I494" s="96" t="s">
        <v>1231</v>
      </c>
      <c r="J494" s="97" t="s">
        <v>121</v>
      </c>
      <c r="K494" s="412" t="s">
        <v>1294</v>
      </c>
    </row>
    <row r="495" spans="1:11" hidden="1" x14ac:dyDescent="0.25">
      <c r="A495" s="48">
        <v>16</v>
      </c>
      <c r="B495" s="49" t="s">
        <v>1805</v>
      </c>
      <c r="C495" s="94" t="s">
        <v>1333</v>
      </c>
      <c r="D495" s="94" t="s">
        <v>1856</v>
      </c>
      <c r="E495" s="50">
        <v>1</v>
      </c>
      <c r="F495" s="290">
        <v>50000</v>
      </c>
      <c r="G495" s="289">
        <v>50000</v>
      </c>
      <c r="H495" s="95" t="s">
        <v>390</v>
      </c>
      <c r="I495" s="96" t="s">
        <v>1231</v>
      </c>
      <c r="J495" s="97" t="s">
        <v>121</v>
      </c>
      <c r="K495" s="412" t="s">
        <v>1294</v>
      </c>
    </row>
    <row r="496" spans="1:11" hidden="1" x14ac:dyDescent="0.25">
      <c r="A496" s="48">
        <v>16</v>
      </c>
      <c r="B496" s="49" t="s">
        <v>1805</v>
      </c>
      <c r="C496" s="94" t="s">
        <v>1333</v>
      </c>
      <c r="D496" s="94" t="s">
        <v>1856</v>
      </c>
      <c r="E496" s="50">
        <v>1</v>
      </c>
      <c r="F496" s="290">
        <v>27500</v>
      </c>
      <c r="G496" s="289">
        <v>27500</v>
      </c>
      <c r="H496" s="95" t="s">
        <v>390</v>
      </c>
      <c r="I496" s="96" t="s">
        <v>1231</v>
      </c>
      <c r="J496" s="97" t="s">
        <v>121</v>
      </c>
      <c r="K496" s="412" t="s">
        <v>1294</v>
      </c>
    </row>
    <row r="497" spans="1:11" hidden="1" x14ac:dyDescent="0.25">
      <c r="A497" s="48">
        <v>16</v>
      </c>
      <c r="B497" s="49" t="s">
        <v>1805</v>
      </c>
      <c r="C497" s="94" t="s">
        <v>1333</v>
      </c>
      <c r="D497" s="94" t="s">
        <v>1856</v>
      </c>
      <c r="E497" s="50">
        <v>1</v>
      </c>
      <c r="F497" s="290">
        <v>40000</v>
      </c>
      <c r="G497" s="289">
        <v>40000</v>
      </c>
      <c r="H497" s="95" t="s">
        <v>390</v>
      </c>
      <c r="I497" s="96" t="s">
        <v>1231</v>
      </c>
      <c r="J497" s="97" t="s">
        <v>121</v>
      </c>
      <c r="K497" s="412" t="s">
        <v>1294</v>
      </c>
    </row>
    <row r="498" spans="1:11" hidden="1" x14ac:dyDescent="0.25">
      <c r="A498" s="170">
        <v>11</v>
      </c>
      <c r="B498" s="171" t="s">
        <v>91</v>
      </c>
      <c r="C498" s="172" t="s">
        <v>727</v>
      </c>
      <c r="D498" s="172" t="s">
        <v>601</v>
      </c>
      <c r="E498" s="173">
        <v>2</v>
      </c>
      <c r="F498" s="299">
        <v>9500</v>
      </c>
      <c r="G498" s="300">
        <v>19000</v>
      </c>
      <c r="H498" s="174" t="s">
        <v>726</v>
      </c>
      <c r="I498" s="172" t="s">
        <v>1231</v>
      </c>
      <c r="J498" s="175" t="s">
        <v>127</v>
      </c>
      <c r="K498" s="412" t="s">
        <v>1252</v>
      </c>
    </row>
    <row r="499" spans="1:11" hidden="1" x14ac:dyDescent="0.25">
      <c r="A499" s="176">
        <v>11</v>
      </c>
      <c r="B499" s="177" t="s">
        <v>91</v>
      </c>
      <c r="C499" s="178" t="s">
        <v>728</v>
      </c>
      <c r="D499" s="178" t="s">
        <v>637</v>
      </c>
      <c r="E499" s="179">
        <v>3</v>
      </c>
      <c r="F499" s="301">
        <v>5000</v>
      </c>
      <c r="G499" s="302">
        <v>15000</v>
      </c>
      <c r="H499" s="180" t="s">
        <v>726</v>
      </c>
      <c r="I499" s="178" t="s">
        <v>1231</v>
      </c>
      <c r="J499" s="181" t="s">
        <v>127</v>
      </c>
      <c r="K499" s="412" t="s">
        <v>1252</v>
      </c>
    </row>
    <row r="500" spans="1:11" hidden="1" x14ac:dyDescent="0.25">
      <c r="A500" s="170">
        <v>11</v>
      </c>
      <c r="B500" s="171" t="s">
        <v>1230</v>
      </c>
      <c r="C500" s="172" t="s">
        <v>265</v>
      </c>
      <c r="D500" s="172" t="s">
        <v>368</v>
      </c>
      <c r="E500" s="173">
        <v>20.97</v>
      </c>
      <c r="F500" s="299">
        <v>18000</v>
      </c>
      <c r="G500" s="300">
        <v>377460</v>
      </c>
      <c r="H500" s="174" t="s">
        <v>367</v>
      </c>
      <c r="I500" s="172" t="s">
        <v>1231</v>
      </c>
      <c r="J500" s="175" t="s">
        <v>127</v>
      </c>
      <c r="K500" s="412" t="s">
        <v>1247</v>
      </c>
    </row>
    <row r="501" spans="1:11" hidden="1" x14ac:dyDescent="0.25">
      <c r="A501" s="176">
        <v>10</v>
      </c>
      <c r="B501" s="177" t="s">
        <v>91</v>
      </c>
      <c r="C501" s="178" t="s">
        <v>716</v>
      </c>
      <c r="D501" s="178" t="s">
        <v>717</v>
      </c>
      <c r="E501" s="179">
        <v>1</v>
      </c>
      <c r="F501" s="301">
        <v>264500</v>
      </c>
      <c r="G501" s="302">
        <v>264500</v>
      </c>
      <c r="H501" s="180" t="s">
        <v>715</v>
      </c>
      <c r="I501" s="178" t="s">
        <v>1231</v>
      </c>
      <c r="J501" s="181" t="s">
        <v>127</v>
      </c>
      <c r="K501" s="412" t="s">
        <v>1294</v>
      </c>
    </row>
    <row r="502" spans="1:11" hidden="1" x14ac:dyDescent="0.25">
      <c r="A502" s="170">
        <v>10</v>
      </c>
      <c r="B502" s="171" t="s">
        <v>91</v>
      </c>
      <c r="C502" s="172" t="s">
        <v>719</v>
      </c>
      <c r="D502" s="172" t="s">
        <v>720</v>
      </c>
      <c r="E502" s="173">
        <v>1</v>
      </c>
      <c r="F502" s="299">
        <v>65000</v>
      </c>
      <c r="G502" s="300">
        <v>65000</v>
      </c>
      <c r="H502" s="174" t="s">
        <v>718</v>
      </c>
      <c r="I502" s="172" t="s">
        <v>1231</v>
      </c>
      <c r="J502" s="175" t="s">
        <v>127</v>
      </c>
      <c r="K502" s="412" t="s">
        <v>1294</v>
      </c>
    </row>
    <row r="503" spans="1:11" hidden="1" x14ac:dyDescent="0.25">
      <c r="A503" s="176">
        <v>11</v>
      </c>
      <c r="B503" s="177" t="s">
        <v>1230</v>
      </c>
      <c r="C503" s="178" t="s">
        <v>250</v>
      </c>
      <c r="D503" s="178" t="s">
        <v>251</v>
      </c>
      <c r="E503" s="179">
        <v>40</v>
      </c>
      <c r="F503" s="301">
        <v>18200</v>
      </c>
      <c r="G503" s="302">
        <v>728000</v>
      </c>
      <c r="H503" s="180" t="s">
        <v>369</v>
      </c>
      <c r="I503" s="178" t="s">
        <v>1231</v>
      </c>
      <c r="J503" s="181" t="s">
        <v>127</v>
      </c>
      <c r="K503" s="412" t="s">
        <v>1857</v>
      </c>
    </row>
    <row r="504" spans="1:11" hidden="1" x14ac:dyDescent="0.25">
      <c r="A504" s="170">
        <v>3</v>
      </c>
      <c r="B504" s="171" t="s">
        <v>1230</v>
      </c>
      <c r="C504" s="172" t="s">
        <v>250</v>
      </c>
      <c r="D504" s="172" t="s">
        <v>251</v>
      </c>
      <c r="E504" s="173">
        <v>20</v>
      </c>
      <c r="F504" s="299">
        <v>18200</v>
      </c>
      <c r="G504" s="300">
        <v>364000</v>
      </c>
      <c r="H504" s="174" t="s">
        <v>249</v>
      </c>
      <c r="I504" s="172" t="s">
        <v>1231</v>
      </c>
      <c r="J504" s="175" t="s">
        <v>127</v>
      </c>
      <c r="K504" s="412" t="s">
        <v>1294</v>
      </c>
    </row>
    <row r="505" spans="1:11" hidden="1" x14ac:dyDescent="0.25">
      <c r="A505" s="176">
        <v>5</v>
      </c>
      <c r="B505" s="177" t="s">
        <v>1230</v>
      </c>
      <c r="C505" s="178" t="s">
        <v>250</v>
      </c>
      <c r="D505" s="178" t="s">
        <v>251</v>
      </c>
      <c r="E505" s="179">
        <v>20</v>
      </c>
      <c r="F505" s="301">
        <v>18200</v>
      </c>
      <c r="G505" s="302">
        <v>364000</v>
      </c>
      <c r="H505" s="180" t="s">
        <v>289</v>
      </c>
      <c r="I505" s="178" t="s">
        <v>1231</v>
      </c>
      <c r="J505" s="181" t="s">
        <v>127</v>
      </c>
      <c r="K505" s="412" t="s">
        <v>1294</v>
      </c>
    </row>
    <row r="506" spans="1:11" hidden="1" x14ac:dyDescent="0.25">
      <c r="A506" s="170">
        <v>10</v>
      </c>
      <c r="B506" s="171" t="s">
        <v>91</v>
      </c>
      <c r="C506" s="172" t="s">
        <v>722</v>
      </c>
      <c r="D506" s="172" t="s">
        <v>723</v>
      </c>
      <c r="E506" s="173">
        <v>2</v>
      </c>
      <c r="F506" s="299">
        <v>9500</v>
      </c>
      <c r="G506" s="300">
        <v>19000</v>
      </c>
      <c r="H506" s="174" t="s">
        <v>721</v>
      </c>
      <c r="I506" s="172" t="s">
        <v>1231</v>
      </c>
      <c r="J506" s="175" t="s">
        <v>127</v>
      </c>
      <c r="K506" s="412" t="s">
        <v>1252</v>
      </c>
    </row>
    <row r="507" spans="1:11" hidden="1" x14ac:dyDescent="0.25">
      <c r="A507" s="176">
        <v>9</v>
      </c>
      <c r="B507" s="177" t="s">
        <v>1239</v>
      </c>
      <c r="C507" s="178" t="s">
        <v>1858</v>
      </c>
      <c r="D507" s="178" t="s">
        <v>1859</v>
      </c>
      <c r="E507" s="179">
        <v>1</v>
      </c>
      <c r="F507" s="301">
        <v>84000</v>
      </c>
      <c r="G507" s="302">
        <v>84000</v>
      </c>
      <c r="H507" s="180" t="s">
        <v>1860</v>
      </c>
      <c r="I507" s="178" t="s">
        <v>1231</v>
      </c>
      <c r="J507" s="181" t="s">
        <v>127</v>
      </c>
      <c r="K507" s="412" t="s">
        <v>1348</v>
      </c>
    </row>
    <row r="508" spans="1:11" hidden="1" x14ac:dyDescent="0.25">
      <c r="A508" s="170">
        <v>9</v>
      </c>
      <c r="B508" s="171" t="s">
        <v>1239</v>
      </c>
      <c r="C508" s="172" t="s">
        <v>1861</v>
      </c>
      <c r="D508" s="172" t="s">
        <v>1862</v>
      </c>
      <c r="E508" s="173">
        <v>2</v>
      </c>
      <c r="F508" s="299">
        <v>102000</v>
      </c>
      <c r="G508" s="300">
        <v>204000</v>
      </c>
      <c r="H508" s="174" t="s">
        <v>1860</v>
      </c>
      <c r="I508" s="172" t="s">
        <v>1231</v>
      </c>
      <c r="J508" s="175" t="s">
        <v>127</v>
      </c>
      <c r="K508" s="412" t="s">
        <v>1348</v>
      </c>
    </row>
    <row r="509" spans="1:11" hidden="1" x14ac:dyDescent="0.25">
      <c r="A509" s="176">
        <v>9</v>
      </c>
      <c r="B509" s="177" t="s">
        <v>1239</v>
      </c>
      <c r="C509" s="178" t="s">
        <v>1863</v>
      </c>
      <c r="D509" s="178" t="s">
        <v>1864</v>
      </c>
      <c r="E509" s="179">
        <v>3</v>
      </c>
      <c r="F509" s="301">
        <v>254000</v>
      </c>
      <c r="G509" s="302">
        <v>762000</v>
      </c>
      <c r="H509" s="180" t="s">
        <v>1860</v>
      </c>
      <c r="I509" s="178" t="s">
        <v>1231</v>
      </c>
      <c r="J509" s="181" t="s">
        <v>127</v>
      </c>
      <c r="K509" s="412" t="s">
        <v>1348</v>
      </c>
    </row>
    <row r="510" spans="1:11" hidden="1" x14ac:dyDescent="0.25">
      <c r="A510" s="170">
        <v>9</v>
      </c>
      <c r="B510" s="171" t="s">
        <v>1239</v>
      </c>
      <c r="C510" s="172" t="s">
        <v>1865</v>
      </c>
      <c r="D510" s="172" t="s">
        <v>1866</v>
      </c>
      <c r="E510" s="173">
        <v>1</v>
      </c>
      <c r="F510" s="299">
        <v>26000</v>
      </c>
      <c r="G510" s="300">
        <v>26000</v>
      </c>
      <c r="H510" s="174" t="s">
        <v>1860</v>
      </c>
      <c r="I510" s="172" t="s">
        <v>1231</v>
      </c>
      <c r="J510" s="175" t="s">
        <v>127</v>
      </c>
      <c r="K510" s="412" t="s">
        <v>1348</v>
      </c>
    </row>
    <row r="511" spans="1:11" hidden="1" x14ac:dyDescent="0.25">
      <c r="A511" s="176">
        <v>10</v>
      </c>
      <c r="B511" s="177" t="s">
        <v>1230</v>
      </c>
      <c r="C511" s="178" t="s">
        <v>355</v>
      </c>
      <c r="D511" s="178" t="s">
        <v>356</v>
      </c>
      <c r="E511" s="179">
        <v>4.1500000000000004</v>
      </c>
      <c r="F511" s="301">
        <v>33000</v>
      </c>
      <c r="G511" s="302">
        <v>136950</v>
      </c>
      <c r="H511" s="421" t="s">
        <v>354</v>
      </c>
      <c r="I511" s="178" t="s">
        <v>1231</v>
      </c>
      <c r="J511" s="181" t="s">
        <v>127</v>
      </c>
      <c r="K511" s="412" t="s">
        <v>1344</v>
      </c>
    </row>
    <row r="512" spans="1:11" hidden="1" x14ac:dyDescent="0.25">
      <c r="A512" s="170">
        <v>5</v>
      </c>
      <c r="B512" s="171" t="s">
        <v>91</v>
      </c>
      <c r="C512" s="172" t="s">
        <v>604</v>
      </c>
      <c r="D512" s="172" t="s">
        <v>605</v>
      </c>
      <c r="E512" s="173">
        <v>5</v>
      </c>
      <c r="F512" s="299">
        <v>1820.73</v>
      </c>
      <c r="G512" s="300">
        <v>9103.65</v>
      </c>
      <c r="H512" s="174" t="s">
        <v>603</v>
      </c>
      <c r="I512" s="172" t="s">
        <v>1231</v>
      </c>
      <c r="J512" s="175" t="s">
        <v>127</v>
      </c>
      <c r="K512" s="412" t="s">
        <v>1640</v>
      </c>
    </row>
    <row r="513" spans="1:11" hidden="1" x14ac:dyDescent="0.25">
      <c r="A513" s="176">
        <v>5</v>
      </c>
      <c r="B513" s="177" t="s">
        <v>91</v>
      </c>
      <c r="C513" s="178" t="s">
        <v>606</v>
      </c>
      <c r="D513" s="178" t="s">
        <v>607</v>
      </c>
      <c r="E513" s="179">
        <v>5</v>
      </c>
      <c r="F513" s="301">
        <v>1820.73</v>
      </c>
      <c r="G513" s="302">
        <v>9103.65</v>
      </c>
      <c r="H513" s="180" t="s">
        <v>603</v>
      </c>
      <c r="I513" s="178" t="s">
        <v>1231</v>
      </c>
      <c r="J513" s="181" t="s">
        <v>127</v>
      </c>
      <c r="K513" s="412" t="s">
        <v>1640</v>
      </c>
    </row>
    <row r="514" spans="1:11" hidden="1" x14ac:dyDescent="0.25">
      <c r="A514" s="170">
        <v>5</v>
      </c>
      <c r="B514" s="171" t="s">
        <v>91</v>
      </c>
      <c r="C514" s="172" t="s">
        <v>608</v>
      </c>
      <c r="D514" s="172" t="s">
        <v>609</v>
      </c>
      <c r="E514" s="173">
        <v>5</v>
      </c>
      <c r="F514" s="299">
        <v>1820.73</v>
      </c>
      <c r="G514" s="300">
        <v>9103.65</v>
      </c>
      <c r="H514" s="174" t="s">
        <v>603</v>
      </c>
      <c r="I514" s="172" t="s">
        <v>1231</v>
      </c>
      <c r="J514" s="175" t="s">
        <v>127</v>
      </c>
      <c r="K514" s="412" t="s">
        <v>1640</v>
      </c>
    </row>
    <row r="515" spans="1:11" hidden="1" x14ac:dyDescent="0.25">
      <c r="A515" s="176">
        <v>5</v>
      </c>
      <c r="B515" s="177" t="s">
        <v>91</v>
      </c>
      <c r="C515" s="178" t="s">
        <v>610</v>
      </c>
      <c r="D515" s="178" t="s">
        <v>611</v>
      </c>
      <c r="E515" s="179">
        <v>6</v>
      </c>
      <c r="F515" s="301">
        <v>1890.76</v>
      </c>
      <c r="G515" s="302">
        <v>11344.56</v>
      </c>
      <c r="H515" s="180" t="s">
        <v>603</v>
      </c>
      <c r="I515" s="178" t="s">
        <v>1231</v>
      </c>
      <c r="J515" s="181" t="s">
        <v>127</v>
      </c>
      <c r="K515" s="412" t="s">
        <v>1640</v>
      </c>
    </row>
    <row r="516" spans="1:11" hidden="1" x14ac:dyDescent="0.25">
      <c r="A516" s="170">
        <v>5</v>
      </c>
      <c r="B516" s="171" t="s">
        <v>91</v>
      </c>
      <c r="C516" s="172" t="s">
        <v>612</v>
      </c>
      <c r="D516" s="172" t="s">
        <v>613</v>
      </c>
      <c r="E516" s="173">
        <v>6</v>
      </c>
      <c r="F516" s="299">
        <v>1890.76</v>
      </c>
      <c r="G516" s="300">
        <v>11344.56</v>
      </c>
      <c r="H516" s="174" t="s">
        <v>603</v>
      </c>
      <c r="I516" s="172" t="s">
        <v>1231</v>
      </c>
      <c r="J516" s="175" t="s">
        <v>127</v>
      </c>
      <c r="K516" s="412" t="s">
        <v>1640</v>
      </c>
    </row>
    <row r="517" spans="1:11" hidden="1" x14ac:dyDescent="0.25">
      <c r="A517" s="176">
        <v>5</v>
      </c>
      <c r="B517" s="177" t="s">
        <v>91</v>
      </c>
      <c r="C517" s="178" t="s">
        <v>614</v>
      </c>
      <c r="D517" s="178" t="s">
        <v>615</v>
      </c>
      <c r="E517" s="179">
        <v>6</v>
      </c>
      <c r="F517" s="301">
        <v>3151.26</v>
      </c>
      <c r="G517" s="302">
        <v>18907.560000000001</v>
      </c>
      <c r="H517" s="180" t="s">
        <v>603</v>
      </c>
      <c r="I517" s="178" t="s">
        <v>1231</v>
      </c>
      <c r="J517" s="181" t="s">
        <v>127</v>
      </c>
      <c r="K517" s="412" t="s">
        <v>1640</v>
      </c>
    </row>
    <row r="518" spans="1:11" hidden="1" x14ac:dyDescent="0.25">
      <c r="A518" s="170">
        <v>5</v>
      </c>
      <c r="B518" s="171" t="s">
        <v>91</v>
      </c>
      <c r="C518" s="172" t="s">
        <v>616</v>
      </c>
      <c r="D518" s="172" t="s">
        <v>617</v>
      </c>
      <c r="E518" s="173">
        <v>6</v>
      </c>
      <c r="F518" s="299">
        <v>3151.26</v>
      </c>
      <c r="G518" s="300">
        <v>18907.560000000001</v>
      </c>
      <c r="H518" s="174" t="s">
        <v>603</v>
      </c>
      <c r="I518" s="172" t="s">
        <v>1231</v>
      </c>
      <c r="J518" s="175" t="s">
        <v>127</v>
      </c>
      <c r="K518" s="412" t="s">
        <v>1640</v>
      </c>
    </row>
    <row r="519" spans="1:11" hidden="1" x14ac:dyDescent="0.25">
      <c r="A519" s="176">
        <v>5</v>
      </c>
      <c r="B519" s="177" t="s">
        <v>91</v>
      </c>
      <c r="C519" s="178" t="s">
        <v>618</v>
      </c>
      <c r="D519" s="178" t="s">
        <v>619</v>
      </c>
      <c r="E519" s="179">
        <v>15</v>
      </c>
      <c r="F519" s="301">
        <v>1450.98</v>
      </c>
      <c r="G519" s="302">
        <v>21764.7</v>
      </c>
      <c r="H519" s="180" t="s">
        <v>603</v>
      </c>
      <c r="I519" s="178" t="s">
        <v>1231</v>
      </c>
      <c r="J519" s="181" t="s">
        <v>127</v>
      </c>
      <c r="K519" s="412" t="s">
        <v>1640</v>
      </c>
    </row>
    <row r="520" spans="1:11" hidden="1" x14ac:dyDescent="0.25">
      <c r="A520" s="170">
        <v>5</v>
      </c>
      <c r="B520" s="171" t="s">
        <v>91</v>
      </c>
      <c r="C520" s="172" t="s">
        <v>620</v>
      </c>
      <c r="D520" s="172" t="s">
        <v>621</v>
      </c>
      <c r="E520" s="173">
        <v>15</v>
      </c>
      <c r="F520" s="299">
        <v>1450.98</v>
      </c>
      <c r="G520" s="300">
        <v>21764.7</v>
      </c>
      <c r="H520" s="174" t="s">
        <v>603</v>
      </c>
      <c r="I520" s="172" t="s">
        <v>1231</v>
      </c>
      <c r="J520" s="175" t="s">
        <v>127</v>
      </c>
      <c r="K520" s="412" t="s">
        <v>1640</v>
      </c>
    </row>
    <row r="521" spans="1:11" hidden="1" x14ac:dyDescent="0.25">
      <c r="A521" s="176">
        <v>5</v>
      </c>
      <c r="B521" s="177" t="s">
        <v>91</v>
      </c>
      <c r="C521" s="178" t="s">
        <v>622</v>
      </c>
      <c r="D521" s="178" t="s">
        <v>623</v>
      </c>
      <c r="E521" s="179">
        <v>15</v>
      </c>
      <c r="F521" s="301">
        <v>1450.98</v>
      </c>
      <c r="G521" s="302">
        <v>21764.7</v>
      </c>
      <c r="H521" s="180" t="s">
        <v>603</v>
      </c>
      <c r="I521" s="178" t="s">
        <v>1231</v>
      </c>
      <c r="J521" s="181" t="s">
        <v>127</v>
      </c>
      <c r="K521" s="412" t="s">
        <v>1640</v>
      </c>
    </row>
    <row r="522" spans="1:11" hidden="1" x14ac:dyDescent="0.25">
      <c r="A522" s="170">
        <v>5</v>
      </c>
      <c r="B522" s="171" t="s">
        <v>91</v>
      </c>
      <c r="C522" s="172" t="s">
        <v>624</v>
      </c>
      <c r="D522" s="172" t="s">
        <v>625</v>
      </c>
      <c r="E522" s="173">
        <v>15</v>
      </c>
      <c r="F522" s="299">
        <v>1450.98</v>
      </c>
      <c r="G522" s="300">
        <v>21764.7</v>
      </c>
      <c r="H522" s="174" t="s">
        <v>603</v>
      </c>
      <c r="I522" s="172" t="s">
        <v>1231</v>
      </c>
      <c r="J522" s="175" t="s">
        <v>127</v>
      </c>
      <c r="K522" s="412" t="s">
        <v>1640</v>
      </c>
    </row>
    <row r="523" spans="1:11" hidden="1" x14ac:dyDescent="0.25">
      <c r="A523" s="176">
        <v>5</v>
      </c>
      <c r="B523" s="177" t="s">
        <v>91</v>
      </c>
      <c r="C523" s="178" t="s">
        <v>626</v>
      </c>
      <c r="D523" s="178" t="s">
        <v>627</v>
      </c>
      <c r="E523" s="179">
        <v>12</v>
      </c>
      <c r="F523" s="301">
        <v>3151.26</v>
      </c>
      <c r="G523" s="302">
        <v>37815.120000000003</v>
      </c>
      <c r="H523" s="180" t="s">
        <v>603</v>
      </c>
      <c r="I523" s="178" t="s">
        <v>1231</v>
      </c>
      <c r="J523" s="181" t="s">
        <v>127</v>
      </c>
      <c r="K523" s="412" t="s">
        <v>1640</v>
      </c>
    </row>
    <row r="524" spans="1:11" hidden="1" x14ac:dyDescent="0.25">
      <c r="A524" s="170">
        <v>5</v>
      </c>
      <c r="B524" s="171" t="s">
        <v>91</v>
      </c>
      <c r="C524" s="172" t="s">
        <v>628</v>
      </c>
      <c r="D524" s="172" t="s">
        <v>629</v>
      </c>
      <c r="E524" s="173">
        <v>12</v>
      </c>
      <c r="F524" s="299">
        <v>3151.26</v>
      </c>
      <c r="G524" s="300">
        <v>37815.120000000003</v>
      </c>
      <c r="H524" s="174" t="s">
        <v>603</v>
      </c>
      <c r="I524" s="172" t="s">
        <v>1231</v>
      </c>
      <c r="J524" s="175" t="s">
        <v>127</v>
      </c>
      <c r="K524" s="412" t="s">
        <v>1640</v>
      </c>
    </row>
    <row r="525" spans="1:11" hidden="1" x14ac:dyDescent="0.25">
      <c r="A525" s="176">
        <v>5</v>
      </c>
      <c r="B525" s="177" t="s">
        <v>91</v>
      </c>
      <c r="C525" s="178" t="s">
        <v>630</v>
      </c>
      <c r="D525" s="178" t="s">
        <v>631</v>
      </c>
      <c r="E525" s="179">
        <v>48</v>
      </c>
      <c r="F525" s="301">
        <v>1333.33</v>
      </c>
      <c r="G525" s="302">
        <v>63999.839999999997</v>
      </c>
      <c r="H525" s="180" t="s">
        <v>603</v>
      </c>
      <c r="I525" s="178" t="s">
        <v>1231</v>
      </c>
      <c r="J525" s="181" t="s">
        <v>127</v>
      </c>
      <c r="K525" s="412" t="s">
        <v>1640</v>
      </c>
    </row>
    <row r="526" spans="1:11" hidden="1" x14ac:dyDescent="0.25">
      <c r="A526" s="170">
        <v>5</v>
      </c>
      <c r="B526" s="171" t="s">
        <v>91</v>
      </c>
      <c r="C526" s="172" t="s">
        <v>632</v>
      </c>
      <c r="D526" s="172" t="s">
        <v>633</v>
      </c>
      <c r="E526" s="173">
        <v>48</v>
      </c>
      <c r="F526" s="299">
        <v>1500</v>
      </c>
      <c r="G526" s="300">
        <v>72000</v>
      </c>
      <c r="H526" s="174" t="s">
        <v>603</v>
      </c>
      <c r="I526" s="172" t="s">
        <v>1231</v>
      </c>
      <c r="J526" s="175" t="s">
        <v>127</v>
      </c>
      <c r="K526" s="412" t="s">
        <v>1640</v>
      </c>
    </row>
    <row r="527" spans="1:11" hidden="1" x14ac:dyDescent="0.25">
      <c r="A527" s="176">
        <v>10</v>
      </c>
      <c r="B527" s="177" t="s">
        <v>91</v>
      </c>
      <c r="C527" s="178" t="s">
        <v>597</v>
      </c>
      <c r="D527" s="178" t="s">
        <v>598</v>
      </c>
      <c r="E527" s="179">
        <v>6</v>
      </c>
      <c r="F527" s="301">
        <v>24395</v>
      </c>
      <c r="G527" s="302">
        <v>146370</v>
      </c>
      <c r="H527" s="180" t="s">
        <v>724</v>
      </c>
      <c r="I527" s="178" t="s">
        <v>1231</v>
      </c>
      <c r="J527" s="181" t="s">
        <v>127</v>
      </c>
      <c r="K527" s="412" t="s">
        <v>1294</v>
      </c>
    </row>
    <row r="528" spans="1:11" hidden="1" x14ac:dyDescent="0.25">
      <c r="A528" s="170">
        <v>4</v>
      </c>
      <c r="B528" s="171" t="s">
        <v>91</v>
      </c>
      <c r="C528" s="172" t="s">
        <v>597</v>
      </c>
      <c r="D528" s="172" t="s">
        <v>598</v>
      </c>
      <c r="E528" s="173">
        <v>5</v>
      </c>
      <c r="F528" s="299">
        <v>24395</v>
      </c>
      <c r="G528" s="300">
        <v>121975</v>
      </c>
      <c r="H528" s="174" t="s">
        <v>596</v>
      </c>
      <c r="I528" s="172" t="s">
        <v>1231</v>
      </c>
      <c r="J528" s="175" t="s">
        <v>127</v>
      </c>
      <c r="K528" s="412" t="s">
        <v>1294</v>
      </c>
    </row>
    <row r="529" spans="1:11" hidden="1" x14ac:dyDescent="0.25">
      <c r="A529" s="176">
        <v>4</v>
      </c>
      <c r="B529" s="177" t="s">
        <v>1230</v>
      </c>
      <c r="C529" s="178" t="s">
        <v>265</v>
      </c>
      <c r="D529" s="178" t="s">
        <v>266</v>
      </c>
      <c r="E529" s="179">
        <v>20.74</v>
      </c>
      <c r="F529" s="301">
        <v>18000</v>
      </c>
      <c r="G529" s="302">
        <v>373320</v>
      </c>
      <c r="H529" s="180" t="s">
        <v>264</v>
      </c>
      <c r="I529" s="178" t="s">
        <v>1231</v>
      </c>
      <c r="J529" s="181" t="s">
        <v>127</v>
      </c>
      <c r="K529" s="412" t="s">
        <v>1247</v>
      </c>
    </row>
    <row r="530" spans="1:11" hidden="1" x14ac:dyDescent="0.25">
      <c r="A530" s="170">
        <v>4</v>
      </c>
      <c r="B530" s="171" t="s">
        <v>1230</v>
      </c>
      <c r="C530" s="172" t="s">
        <v>267</v>
      </c>
      <c r="D530" s="172" t="s">
        <v>268</v>
      </c>
      <c r="E530" s="173">
        <v>6.7649999999999997</v>
      </c>
      <c r="F530" s="299">
        <v>55000</v>
      </c>
      <c r="G530" s="300">
        <v>372075</v>
      </c>
      <c r="H530" s="174" t="s">
        <v>264</v>
      </c>
      <c r="I530" s="172" t="s">
        <v>1231</v>
      </c>
      <c r="J530" s="175" t="s">
        <v>127</v>
      </c>
      <c r="K530" s="412" t="s">
        <v>1247</v>
      </c>
    </row>
    <row r="531" spans="1:11" hidden="1" x14ac:dyDescent="0.25">
      <c r="A531" s="176">
        <v>4</v>
      </c>
      <c r="B531" s="177" t="s">
        <v>1230</v>
      </c>
      <c r="C531" s="178" t="s">
        <v>269</v>
      </c>
      <c r="D531" s="178" t="s">
        <v>270</v>
      </c>
      <c r="E531" s="179">
        <v>9.16</v>
      </c>
      <c r="F531" s="301">
        <v>23000</v>
      </c>
      <c r="G531" s="302">
        <v>210680</v>
      </c>
      <c r="H531" s="180" t="s">
        <v>264</v>
      </c>
      <c r="I531" s="178" t="s">
        <v>1231</v>
      </c>
      <c r="J531" s="181" t="s">
        <v>127</v>
      </c>
      <c r="K531" s="412" t="s">
        <v>1247</v>
      </c>
    </row>
    <row r="532" spans="1:11" hidden="1" x14ac:dyDescent="0.25">
      <c r="A532" s="170">
        <v>4</v>
      </c>
      <c r="B532" s="171" t="s">
        <v>1230</v>
      </c>
      <c r="C532" s="172" t="s">
        <v>271</v>
      </c>
      <c r="D532" s="172" t="s">
        <v>272</v>
      </c>
      <c r="E532" s="173">
        <v>7</v>
      </c>
      <c r="F532" s="299">
        <v>24000</v>
      </c>
      <c r="G532" s="300">
        <v>168000</v>
      </c>
      <c r="H532" s="174" t="s">
        <v>264</v>
      </c>
      <c r="I532" s="172" t="s">
        <v>1231</v>
      </c>
      <c r="J532" s="175" t="s">
        <v>127</v>
      </c>
      <c r="K532" s="412" t="s">
        <v>1247</v>
      </c>
    </row>
    <row r="533" spans="1:11" hidden="1" x14ac:dyDescent="0.25">
      <c r="A533" s="176">
        <v>8</v>
      </c>
      <c r="B533" s="177" t="s">
        <v>1255</v>
      </c>
      <c r="C533" s="178" t="s">
        <v>1867</v>
      </c>
      <c r="D533" s="178" t="s">
        <v>1868</v>
      </c>
      <c r="E533" s="179">
        <v>1</v>
      </c>
      <c r="F533" s="301">
        <v>29512</v>
      </c>
      <c r="G533" s="302">
        <v>29512</v>
      </c>
      <c r="H533" s="180" t="s">
        <v>1869</v>
      </c>
      <c r="I533" s="178" t="s">
        <v>1231</v>
      </c>
      <c r="J533" s="181" t="s">
        <v>127</v>
      </c>
      <c r="K533" s="412" t="s">
        <v>1294</v>
      </c>
    </row>
    <row r="534" spans="1:11" hidden="1" x14ac:dyDescent="0.25">
      <c r="A534" s="170">
        <v>9</v>
      </c>
      <c r="B534" s="171" t="s">
        <v>91</v>
      </c>
      <c r="C534" s="172" t="s">
        <v>643</v>
      </c>
      <c r="D534" s="172" t="s">
        <v>637</v>
      </c>
      <c r="E534" s="173">
        <v>2</v>
      </c>
      <c r="F534" s="299">
        <v>5000</v>
      </c>
      <c r="G534" s="300">
        <v>10000</v>
      </c>
      <c r="H534" s="174" t="s">
        <v>677</v>
      </c>
      <c r="I534" s="172" t="s">
        <v>1231</v>
      </c>
      <c r="J534" s="175" t="s">
        <v>127</v>
      </c>
      <c r="K534" s="412" t="s">
        <v>1252</v>
      </c>
    </row>
    <row r="535" spans="1:11" hidden="1" x14ac:dyDescent="0.25">
      <c r="A535" s="176">
        <v>9</v>
      </c>
      <c r="B535" s="177" t="s">
        <v>91</v>
      </c>
      <c r="C535" s="178" t="s">
        <v>679</v>
      </c>
      <c r="D535" s="178" t="s">
        <v>680</v>
      </c>
      <c r="E535" s="179">
        <v>5</v>
      </c>
      <c r="F535" s="301">
        <v>26000</v>
      </c>
      <c r="G535" s="302">
        <v>130000</v>
      </c>
      <c r="H535" s="180" t="s">
        <v>678</v>
      </c>
      <c r="I535" s="178" t="s">
        <v>1231</v>
      </c>
      <c r="J535" s="181" t="s">
        <v>127</v>
      </c>
      <c r="K535" s="412" t="s">
        <v>1294</v>
      </c>
    </row>
    <row r="536" spans="1:11" hidden="1" x14ac:dyDescent="0.25">
      <c r="A536" s="170">
        <v>9</v>
      </c>
      <c r="B536" s="171" t="s">
        <v>1255</v>
      </c>
      <c r="C536" s="172" t="s">
        <v>1870</v>
      </c>
      <c r="D536" s="172" t="s">
        <v>1871</v>
      </c>
      <c r="E536" s="173">
        <v>1</v>
      </c>
      <c r="F536" s="299">
        <v>1439070</v>
      </c>
      <c r="G536" s="300">
        <v>1439070</v>
      </c>
      <c r="H536" s="174" t="s">
        <v>681</v>
      </c>
      <c r="I536" s="172" t="s">
        <v>1231</v>
      </c>
      <c r="J536" s="175" t="s">
        <v>127</v>
      </c>
      <c r="K536" s="412" t="s">
        <v>1501</v>
      </c>
    </row>
    <row r="537" spans="1:11" hidden="1" x14ac:dyDescent="0.25">
      <c r="A537" s="176">
        <v>9</v>
      </c>
      <c r="B537" s="177" t="s">
        <v>1255</v>
      </c>
      <c r="C537" s="178" t="s">
        <v>1872</v>
      </c>
      <c r="D537" s="178" t="s">
        <v>1873</v>
      </c>
      <c r="E537" s="179">
        <v>1</v>
      </c>
      <c r="F537" s="301">
        <v>45900</v>
      </c>
      <c r="G537" s="302">
        <v>45900</v>
      </c>
      <c r="H537" s="180" t="s">
        <v>681</v>
      </c>
      <c r="I537" s="178" t="s">
        <v>1231</v>
      </c>
      <c r="J537" s="181" t="s">
        <v>127</v>
      </c>
      <c r="K537" s="412" t="s">
        <v>1501</v>
      </c>
    </row>
    <row r="538" spans="1:11" hidden="1" x14ac:dyDescent="0.25">
      <c r="A538" s="170">
        <v>9</v>
      </c>
      <c r="B538" s="171" t="s">
        <v>1255</v>
      </c>
      <c r="C538" s="172" t="s">
        <v>1874</v>
      </c>
      <c r="D538" s="172" t="s">
        <v>1875</v>
      </c>
      <c r="E538" s="173">
        <v>1</v>
      </c>
      <c r="F538" s="299">
        <v>27900</v>
      </c>
      <c r="G538" s="300">
        <v>27900</v>
      </c>
      <c r="H538" s="174" t="s">
        <v>681</v>
      </c>
      <c r="I538" s="172" t="s">
        <v>1231</v>
      </c>
      <c r="J538" s="175" t="s">
        <v>127</v>
      </c>
      <c r="K538" s="412" t="s">
        <v>1501</v>
      </c>
    </row>
    <row r="539" spans="1:11" hidden="1" x14ac:dyDescent="0.25">
      <c r="A539" s="176">
        <v>9</v>
      </c>
      <c r="B539" s="177" t="s">
        <v>1239</v>
      </c>
      <c r="C539" s="178" t="s">
        <v>1876</v>
      </c>
      <c r="D539" s="178" t="s">
        <v>1877</v>
      </c>
      <c r="E539" s="179">
        <v>1</v>
      </c>
      <c r="F539" s="301">
        <v>14800</v>
      </c>
      <c r="G539" s="302">
        <v>14800</v>
      </c>
      <c r="H539" s="180" t="s">
        <v>681</v>
      </c>
      <c r="I539" s="178" t="s">
        <v>1231</v>
      </c>
      <c r="J539" s="181" t="s">
        <v>127</v>
      </c>
      <c r="K539" s="412" t="s">
        <v>1501</v>
      </c>
    </row>
    <row r="540" spans="1:11" hidden="1" x14ac:dyDescent="0.25">
      <c r="A540" s="170">
        <v>9</v>
      </c>
      <c r="B540" s="171" t="s">
        <v>91</v>
      </c>
      <c r="C540" s="172" t="s">
        <v>682</v>
      </c>
      <c r="D540" s="172" t="s">
        <v>683</v>
      </c>
      <c r="E540" s="173">
        <v>1</v>
      </c>
      <c r="F540" s="299">
        <v>44900</v>
      </c>
      <c r="G540" s="300">
        <v>44900</v>
      </c>
      <c r="H540" s="174" t="s">
        <v>681</v>
      </c>
      <c r="I540" s="172" t="s">
        <v>1231</v>
      </c>
      <c r="J540" s="175" t="s">
        <v>127</v>
      </c>
      <c r="K540" s="412" t="s">
        <v>1501</v>
      </c>
    </row>
    <row r="541" spans="1:11" hidden="1" x14ac:dyDescent="0.25">
      <c r="A541" s="176">
        <v>9</v>
      </c>
      <c r="B541" s="177" t="s">
        <v>1101</v>
      </c>
      <c r="C541" s="178" t="s">
        <v>1878</v>
      </c>
      <c r="D541" s="178" t="s">
        <v>1879</v>
      </c>
      <c r="E541" s="179">
        <v>1</v>
      </c>
      <c r="F541" s="301">
        <v>73</v>
      </c>
      <c r="G541" s="302">
        <v>73</v>
      </c>
      <c r="H541" s="180" t="s">
        <v>681</v>
      </c>
      <c r="I541" s="178" t="s">
        <v>1231</v>
      </c>
      <c r="J541" s="181" t="s">
        <v>127</v>
      </c>
      <c r="K541" s="412" t="s">
        <v>1501</v>
      </c>
    </row>
    <row r="542" spans="1:11" hidden="1" x14ac:dyDescent="0.25">
      <c r="A542" s="170">
        <v>9</v>
      </c>
      <c r="B542" s="171" t="s">
        <v>91</v>
      </c>
      <c r="C542" s="172" t="s">
        <v>685</v>
      </c>
      <c r="D542" s="172" t="s">
        <v>686</v>
      </c>
      <c r="E542" s="173">
        <v>5</v>
      </c>
      <c r="F542" s="299">
        <v>3160</v>
      </c>
      <c r="G542" s="300">
        <v>15800</v>
      </c>
      <c r="H542" s="174" t="s">
        <v>684</v>
      </c>
      <c r="I542" s="172" t="s">
        <v>1231</v>
      </c>
      <c r="J542" s="175" t="s">
        <v>127</v>
      </c>
      <c r="K542" s="412" t="s">
        <v>1344</v>
      </c>
    </row>
    <row r="543" spans="1:11" hidden="1" x14ac:dyDescent="0.25">
      <c r="A543" s="176">
        <v>9</v>
      </c>
      <c r="B543" s="177" t="s">
        <v>91</v>
      </c>
      <c r="C543" s="178" t="s">
        <v>687</v>
      </c>
      <c r="D543" s="178" t="s">
        <v>688</v>
      </c>
      <c r="E543" s="179">
        <v>5</v>
      </c>
      <c r="F543" s="301">
        <v>2510</v>
      </c>
      <c r="G543" s="302">
        <v>12550</v>
      </c>
      <c r="H543" s="180" t="s">
        <v>684</v>
      </c>
      <c r="I543" s="178" t="s">
        <v>1231</v>
      </c>
      <c r="J543" s="181" t="s">
        <v>127</v>
      </c>
      <c r="K543" s="412" t="s">
        <v>1344</v>
      </c>
    </row>
    <row r="544" spans="1:11" hidden="1" x14ac:dyDescent="0.25">
      <c r="A544" s="170">
        <v>9</v>
      </c>
      <c r="B544" s="171" t="s">
        <v>91</v>
      </c>
      <c r="C544" s="172" t="s">
        <v>689</v>
      </c>
      <c r="D544" s="172" t="s">
        <v>690</v>
      </c>
      <c r="E544" s="173">
        <v>2</v>
      </c>
      <c r="F544" s="299">
        <v>18200</v>
      </c>
      <c r="G544" s="300">
        <v>36400</v>
      </c>
      <c r="H544" s="174" t="s">
        <v>684</v>
      </c>
      <c r="I544" s="172" t="s">
        <v>1231</v>
      </c>
      <c r="J544" s="175" t="s">
        <v>127</v>
      </c>
      <c r="K544" s="412" t="s">
        <v>1344</v>
      </c>
    </row>
    <row r="545" spans="1:11" hidden="1" x14ac:dyDescent="0.25">
      <c r="A545" s="176">
        <v>9</v>
      </c>
      <c r="B545" s="177" t="s">
        <v>91</v>
      </c>
      <c r="C545" s="178" t="s">
        <v>691</v>
      </c>
      <c r="D545" s="178" t="s">
        <v>692</v>
      </c>
      <c r="E545" s="179">
        <v>70</v>
      </c>
      <c r="F545" s="301">
        <v>4180</v>
      </c>
      <c r="G545" s="302">
        <v>292600</v>
      </c>
      <c r="H545" s="180" t="s">
        <v>684</v>
      </c>
      <c r="I545" s="178" t="s">
        <v>1231</v>
      </c>
      <c r="J545" s="181" t="s">
        <v>127</v>
      </c>
      <c r="K545" s="412" t="s">
        <v>1344</v>
      </c>
    </row>
    <row r="546" spans="1:11" hidden="1" x14ac:dyDescent="0.25">
      <c r="A546" s="170">
        <v>9</v>
      </c>
      <c r="B546" s="171" t="s">
        <v>91</v>
      </c>
      <c r="C546" s="172" t="s">
        <v>693</v>
      </c>
      <c r="D546" s="172" t="s">
        <v>694</v>
      </c>
      <c r="E546" s="173">
        <v>6</v>
      </c>
      <c r="F546" s="299">
        <v>1100</v>
      </c>
      <c r="G546" s="300">
        <v>6600</v>
      </c>
      <c r="H546" s="174" t="s">
        <v>684</v>
      </c>
      <c r="I546" s="172" t="s">
        <v>1231</v>
      </c>
      <c r="J546" s="175" t="s">
        <v>127</v>
      </c>
      <c r="K546" s="412" t="s">
        <v>1344</v>
      </c>
    </row>
    <row r="547" spans="1:11" hidden="1" x14ac:dyDescent="0.25">
      <c r="A547" s="176">
        <v>9</v>
      </c>
      <c r="B547" s="177" t="s">
        <v>91</v>
      </c>
      <c r="C547" s="178" t="s">
        <v>695</v>
      </c>
      <c r="D547" s="178" t="s">
        <v>696</v>
      </c>
      <c r="E547" s="179">
        <v>6</v>
      </c>
      <c r="F547" s="301">
        <v>2510</v>
      </c>
      <c r="G547" s="302">
        <v>15060</v>
      </c>
      <c r="H547" s="180" t="s">
        <v>684</v>
      </c>
      <c r="I547" s="178" t="s">
        <v>1231</v>
      </c>
      <c r="J547" s="181" t="s">
        <v>127</v>
      </c>
      <c r="K547" s="412" t="s">
        <v>1344</v>
      </c>
    </row>
    <row r="548" spans="1:11" hidden="1" x14ac:dyDescent="0.25">
      <c r="A548" s="170">
        <v>9</v>
      </c>
      <c r="B548" s="171" t="s">
        <v>91</v>
      </c>
      <c r="C548" s="172" t="s">
        <v>697</v>
      </c>
      <c r="D548" s="172" t="s">
        <v>698</v>
      </c>
      <c r="E548" s="173">
        <v>5</v>
      </c>
      <c r="F548" s="299">
        <v>3160</v>
      </c>
      <c r="G548" s="300">
        <v>15800</v>
      </c>
      <c r="H548" s="174" t="s">
        <v>684</v>
      </c>
      <c r="I548" s="172" t="s">
        <v>1231</v>
      </c>
      <c r="J548" s="175" t="s">
        <v>127</v>
      </c>
      <c r="K548" s="412" t="s">
        <v>1344</v>
      </c>
    </row>
    <row r="549" spans="1:11" hidden="1" x14ac:dyDescent="0.25">
      <c r="A549" s="176">
        <v>9</v>
      </c>
      <c r="B549" s="177" t="s">
        <v>91</v>
      </c>
      <c r="C549" s="178" t="s">
        <v>699</v>
      </c>
      <c r="D549" s="178" t="s">
        <v>700</v>
      </c>
      <c r="E549" s="179">
        <v>6</v>
      </c>
      <c r="F549" s="301">
        <v>3160</v>
      </c>
      <c r="G549" s="302">
        <v>18960</v>
      </c>
      <c r="H549" s="180" t="s">
        <v>684</v>
      </c>
      <c r="I549" s="178" t="s">
        <v>1231</v>
      </c>
      <c r="J549" s="181" t="s">
        <v>127</v>
      </c>
      <c r="K549" s="412" t="s">
        <v>1344</v>
      </c>
    </row>
    <row r="550" spans="1:11" hidden="1" x14ac:dyDescent="0.25">
      <c r="A550" s="170">
        <v>8</v>
      </c>
      <c r="B550" s="171" t="s">
        <v>91</v>
      </c>
      <c r="C550" s="172" t="s">
        <v>641</v>
      </c>
      <c r="D550" s="172" t="s">
        <v>601</v>
      </c>
      <c r="E550" s="173">
        <v>2</v>
      </c>
      <c r="F550" s="299">
        <v>9500</v>
      </c>
      <c r="G550" s="300">
        <v>19000</v>
      </c>
      <c r="H550" s="174" t="s">
        <v>640</v>
      </c>
      <c r="I550" s="172" t="s">
        <v>1231</v>
      </c>
      <c r="J550" s="175" t="s">
        <v>127</v>
      </c>
      <c r="K550" s="412" t="s">
        <v>1252</v>
      </c>
    </row>
    <row r="551" spans="1:11" hidden="1" x14ac:dyDescent="0.25">
      <c r="A551" s="176">
        <v>8</v>
      </c>
      <c r="B551" s="177" t="s">
        <v>91</v>
      </c>
      <c r="C551" s="178" t="s">
        <v>643</v>
      </c>
      <c r="D551" s="178" t="s">
        <v>637</v>
      </c>
      <c r="E551" s="179">
        <v>2</v>
      </c>
      <c r="F551" s="301">
        <v>5000</v>
      </c>
      <c r="G551" s="302">
        <v>10000</v>
      </c>
      <c r="H551" s="180" t="s">
        <v>642</v>
      </c>
      <c r="I551" s="178" t="s">
        <v>1231</v>
      </c>
      <c r="J551" s="181" t="s">
        <v>127</v>
      </c>
      <c r="K551" s="412" t="s">
        <v>1252</v>
      </c>
    </row>
    <row r="552" spans="1:11" hidden="1" x14ac:dyDescent="0.25">
      <c r="A552" s="170">
        <v>8</v>
      </c>
      <c r="B552" s="171" t="s">
        <v>1235</v>
      </c>
      <c r="C552" s="172" t="s">
        <v>1880</v>
      </c>
      <c r="D552" s="172" t="s">
        <v>1881</v>
      </c>
      <c r="E552" s="173">
        <v>2.0099999999999998</v>
      </c>
      <c r="F552" s="299">
        <v>13000</v>
      </c>
      <c r="G552" s="300">
        <v>26130</v>
      </c>
      <c r="H552" s="174" t="s">
        <v>320</v>
      </c>
      <c r="I552" s="172" t="s">
        <v>1231</v>
      </c>
      <c r="J552" s="175" t="s">
        <v>127</v>
      </c>
      <c r="K552" s="412" t="s">
        <v>1232</v>
      </c>
    </row>
    <row r="553" spans="1:11" hidden="1" x14ac:dyDescent="0.25">
      <c r="A553" s="176">
        <v>8</v>
      </c>
      <c r="B553" s="177" t="s">
        <v>1235</v>
      </c>
      <c r="C553" s="178" t="s">
        <v>1880</v>
      </c>
      <c r="D553" s="178" t="s">
        <v>1881</v>
      </c>
      <c r="E553" s="179">
        <v>1</v>
      </c>
      <c r="F553" s="301">
        <v>13000</v>
      </c>
      <c r="G553" s="302">
        <v>13000</v>
      </c>
      <c r="H553" s="180" t="s">
        <v>320</v>
      </c>
      <c r="I553" s="178" t="s">
        <v>1231</v>
      </c>
      <c r="J553" s="181" t="s">
        <v>127</v>
      </c>
      <c r="K553" s="412" t="s">
        <v>1232</v>
      </c>
    </row>
    <row r="554" spans="1:11" hidden="1" x14ac:dyDescent="0.25">
      <c r="A554" s="170">
        <v>8</v>
      </c>
      <c r="B554" s="171" t="s">
        <v>1239</v>
      </c>
      <c r="C554" s="172" t="s">
        <v>1882</v>
      </c>
      <c r="D554" s="172" t="s">
        <v>1883</v>
      </c>
      <c r="E554" s="173">
        <v>1</v>
      </c>
      <c r="F554" s="299">
        <v>3700</v>
      </c>
      <c r="G554" s="300">
        <v>3700</v>
      </c>
      <c r="H554" s="174" t="s">
        <v>320</v>
      </c>
      <c r="I554" s="172" t="s">
        <v>1231</v>
      </c>
      <c r="J554" s="175" t="s">
        <v>127</v>
      </c>
      <c r="K554" s="412" t="s">
        <v>1232</v>
      </c>
    </row>
    <row r="555" spans="1:11" hidden="1" x14ac:dyDescent="0.25">
      <c r="A555" s="176">
        <v>8</v>
      </c>
      <c r="B555" s="177" t="s">
        <v>1239</v>
      </c>
      <c r="C555" s="178" t="s">
        <v>1882</v>
      </c>
      <c r="D555" s="178" t="s">
        <v>1883</v>
      </c>
      <c r="E555" s="179">
        <v>1</v>
      </c>
      <c r="F555" s="301">
        <v>3700</v>
      </c>
      <c r="G555" s="302">
        <v>3700</v>
      </c>
      <c r="H555" s="180" t="s">
        <v>320</v>
      </c>
      <c r="I555" s="178" t="s">
        <v>1231</v>
      </c>
      <c r="J555" s="181" t="s">
        <v>127</v>
      </c>
      <c r="K555" s="412" t="s">
        <v>1232</v>
      </c>
    </row>
    <row r="556" spans="1:11" hidden="1" x14ac:dyDescent="0.25">
      <c r="A556" s="170">
        <v>8</v>
      </c>
      <c r="B556" s="171" t="s">
        <v>1239</v>
      </c>
      <c r="C556" s="172" t="s">
        <v>1882</v>
      </c>
      <c r="D556" s="172" t="s">
        <v>1883</v>
      </c>
      <c r="E556" s="173">
        <v>1</v>
      </c>
      <c r="F556" s="299">
        <v>3700</v>
      </c>
      <c r="G556" s="300">
        <v>3700</v>
      </c>
      <c r="H556" s="174" t="s">
        <v>320</v>
      </c>
      <c r="I556" s="172" t="s">
        <v>1231</v>
      </c>
      <c r="J556" s="175" t="s">
        <v>127</v>
      </c>
      <c r="K556" s="412" t="s">
        <v>1232</v>
      </c>
    </row>
    <row r="557" spans="1:11" hidden="1" x14ac:dyDescent="0.25">
      <c r="A557" s="176">
        <v>8</v>
      </c>
      <c r="B557" s="177" t="s">
        <v>1239</v>
      </c>
      <c r="C557" s="178" t="s">
        <v>1882</v>
      </c>
      <c r="D557" s="178" t="s">
        <v>1883</v>
      </c>
      <c r="E557" s="179">
        <v>1</v>
      </c>
      <c r="F557" s="301">
        <v>3700</v>
      </c>
      <c r="G557" s="302">
        <v>3700</v>
      </c>
      <c r="H557" s="180" t="s">
        <v>320</v>
      </c>
      <c r="I557" s="178" t="s">
        <v>1231</v>
      </c>
      <c r="J557" s="181" t="s">
        <v>127</v>
      </c>
      <c r="K557" s="412" t="s">
        <v>1232</v>
      </c>
    </row>
    <row r="558" spans="1:11" hidden="1" x14ac:dyDescent="0.25">
      <c r="A558" s="170">
        <v>8</v>
      </c>
      <c r="B558" s="171" t="s">
        <v>1230</v>
      </c>
      <c r="C558" s="172" t="s">
        <v>321</v>
      </c>
      <c r="D558" s="172" t="s">
        <v>322</v>
      </c>
      <c r="E558" s="173">
        <v>2</v>
      </c>
      <c r="F558" s="299">
        <v>3050</v>
      </c>
      <c r="G558" s="300">
        <v>6100</v>
      </c>
      <c r="H558" s="174" t="s">
        <v>320</v>
      </c>
      <c r="I558" s="172" t="s">
        <v>1231</v>
      </c>
      <c r="J558" s="175" t="s">
        <v>127</v>
      </c>
      <c r="K558" s="412" t="s">
        <v>1232</v>
      </c>
    </row>
    <row r="559" spans="1:11" hidden="1" x14ac:dyDescent="0.25">
      <c r="A559" s="176">
        <v>8</v>
      </c>
      <c r="B559" s="177" t="s">
        <v>1230</v>
      </c>
      <c r="C559" s="178" t="s">
        <v>321</v>
      </c>
      <c r="D559" s="178" t="s">
        <v>322</v>
      </c>
      <c r="E559" s="179">
        <v>2</v>
      </c>
      <c r="F559" s="301">
        <v>3050</v>
      </c>
      <c r="G559" s="302">
        <v>6100</v>
      </c>
      <c r="H559" s="180" t="s">
        <v>320</v>
      </c>
      <c r="I559" s="178" t="s">
        <v>1231</v>
      </c>
      <c r="J559" s="181" t="s">
        <v>127</v>
      </c>
      <c r="K559" s="412" t="s">
        <v>1232</v>
      </c>
    </row>
    <row r="560" spans="1:11" hidden="1" x14ac:dyDescent="0.25">
      <c r="A560" s="170">
        <v>8</v>
      </c>
      <c r="B560" s="171" t="s">
        <v>1230</v>
      </c>
      <c r="C560" s="172" t="s">
        <v>321</v>
      </c>
      <c r="D560" s="172" t="s">
        <v>322</v>
      </c>
      <c r="E560" s="173">
        <v>2</v>
      </c>
      <c r="F560" s="299">
        <v>3050</v>
      </c>
      <c r="G560" s="300">
        <v>6100</v>
      </c>
      <c r="H560" s="174" t="s">
        <v>320</v>
      </c>
      <c r="I560" s="172" t="s">
        <v>1231</v>
      </c>
      <c r="J560" s="175" t="s">
        <v>127</v>
      </c>
      <c r="K560" s="412" t="s">
        <v>1232</v>
      </c>
    </row>
    <row r="561" spans="1:11" hidden="1" x14ac:dyDescent="0.25">
      <c r="A561" s="176">
        <v>8</v>
      </c>
      <c r="B561" s="177" t="s">
        <v>1230</v>
      </c>
      <c r="C561" s="178" t="s">
        <v>321</v>
      </c>
      <c r="D561" s="178" t="s">
        <v>322</v>
      </c>
      <c r="E561" s="179">
        <v>2</v>
      </c>
      <c r="F561" s="301">
        <v>3050</v>
      </c>
      <c r="G561" s="302">
        <v>6100</v>
      </c>
      <c r="H561" s="180" t="s">
        <v>320</v>
      </c>
      <c r="I561" s="178" t="s">
        <v>1231</v>
      </c>
      <c r="J561" s="181" t="s">
        <v>127</v>
      </c>
      <c r="K561" s="412" t="s">
        <v>1232</v>
      </c>
    </row>
    <row r="562" spans="1:11" hidden="1" x14ac:dyDescent="0.25">
      <c r="A562" s="170">
        <v>8</v>
      </c>
      <c r="B562" s="171" t="s">
        <v>1230</v>
      </c>
      <c r="C562" s="172" t="s">
        <v>321</v>
      </c>
      <c r="D562" s="172" t="s">
        <v>322</v>
      </c>
      <c r="E562" s="173">
        <v>2</v>
      </c>
      <c r="F562" s="299">
        <v>3050</v>
      </c>
      <c r="G562" s="300">
        <v>6100</v>
      </c>
      <c r="H562" s="174" t="s">
        <v>320</v>
      </c>
      <c r="I562" s="172" t="s">
        <v>1231</v>
      </c>
      <c r="J562" s="175" t="s">
        <v>127</v>
      </c>
      <c r="K562" s="412" t="s">
        <v>1232</v>
      </c>
    </row>
    <row r="563" spans="1:11" hidden="1" x14ac:dyDescent="0.25">
      <c r="A563" s="176">
        <v>8</v>
      </c>
      <c r="B563" s="177" t="s">
        <v>1101</v>
      </c>
      <c r="C563" s="178" t="s">
        <v>1884</v>
      </c>
      <c r="D563" s="178" t="s">
        <v>1885</v>
      </c>
      <c r="E563" s="179">
        <v>1</v>
      </c>
      <c r="F563" s="301">
        <v>2200</v>
      </c>
      <c r="G563" s="302">
        <v>2200</v>
      </c>
      <c r="H563" s="180" t="s">
        <v>320</v>
      </c>
      <c r="I563" s="178" t="s">
        <v>1231</v>
      </c>
      <c r="J563" s="181" t="s">
        <v>127</v>
      </c>
      <c r="K563" s="412" t="s">
        <v>1232</v>
      </c>
    </row>
    <row r="564" spans="1:11" hidden="1" x14ac:dyDescent="0.25">
      <c r="A564" s="170">
        <v>7</v>
      </c>
      <c r="B564" s="171" t="s">
        <v>91</v>
      </c>
      <c r="C564" s="172" t="s">
        <v>600</v>
      </c>
      <c r="D564" s="172" t="s">
        <v>601</v>
      </c>
      <c r="E564" s="173">
        <v>2</v>
      </c>
      <c r="F564" s="299">
        <v>9500</v>
      </c>
      <c r="G564" s="300">
        <v>19000</v>
      </c>
      <c r="H564" s="174" t="s">
        <v>635</v>
      </c>
      <c r="I564" s="172" t="s">
        <v>1231</v>
      </c>
      <c r="J564" s="175" t="s">
        <v>127</v>
      </c>
      <c r="K564" s="412" t="s">
        <v>1252</v>
      </c>
    </row>
    <row r="565" spans="1:11" hidden="1" x14ac:dyDescent="0.25">
      <c r="A565" s="176">
        <v>7</v>
      </c>
      <c r="B565" s="177" t="s">
        <v>91</v>
      </c>
      <c r="C565" s="178" t="s">
        <v>636</v>
      </c>
      <c r="D565" s="178" t="s">
        <v>637</v>
      </c>
      <c r="E565" s="179">
        <v>4</v>
      </c>
      <c r="F565" s="301">
        <v>5000</v>
      </c>
      <c r="G565" s="302">
        <v>20000</v>
      </c>
      <c r="H565" s="180" t="s">
        <v>635</v>
      </c>
      <c r="I565" s="178" t="s">
        <v>1231</v>
      </c>
      <c r="J565" s="181" t="s">
        <v>127</v>
      </c>
      <c r="K565" s="412" t="s">
        <v>1252</v>
      </c>
    </row>
    <row r="566" spans="1:11" hidden="1" x14ac:dyDescent="0.25">
      <c r="A566" s="170">
        <v>7</v>
      </c>
      <c r="B566" s="171" t="s">
        <v>91</v>
      </c>
      <c r="C566" s="172" t="s">
        <v>600</v>
      </c>
      <c r="D566" s="172" t="s">
        <v>601</v>
      </c>
      <c r="E566" s="173">
        <v>2</v>
      </c>
      <c r="F566" s="299">
        <v>9500</v>
      </c>
      <c r="G566" s="300">
        <v>19000</v>
      </c>
      <c r="H566" s="174" t="s">
        <v>638</v>
      </c>
      <c r="I566" s="172" t="s">
        <v>1231</v>
      </c>
      <c r="J566" s="175" t="s">
        <v>127</v>
      </c>
      <c r="K566" s="412" t="s">
        <v>1252</v>
      </c>
    </row>
    <row r="567" spans="1:11" hidden="1" x14ac:dyDescent="0.25">
      <c r="A567" s="176">
        <v>7</v>
      </c>
      <c r="B567" s="177" t="s">
        <v>91</v>
      </c>
      <c r="C567" s="178" t="s">
        <v>636</v>
      </c>
      <c r="D567" s="178" t="s">
        <v>637</v>
      </c>
      <c r="E567" s="179">
        <v>3</v>
      </c>
      <c r="F567" s="301">
        <v>5000</v>
      </c>
      <c r="G567" s="302">
        <v>15000</v>
      </c>
      <c r="H567" s="180" t="s">
        <v>638</v>
      </c>
      <c r="I567" s="178" t="s">
        <v>1231</v>
      </c>
      <c r="J567" s="181" t="s">
        <v>127</v>
      </c>
      <c r="K567" s="412" t="s">
        <v>1252</v>
      </c>
    </row>
    <row r="568" spans="1:11" hidden="1" x14ac:dyDescent="0.25">
      <c r="A568" s="170">
        <v>4</v>
      </c>
      <c r="B568" s="171" t="s">
        <v>91</v>
      </c>
      <c r="C568" s="172" t="s">
        <v>600</v>
      </c>
      <c r="D568" s="172" t="s">
        <v>601</v>
      </c>
      <c r="E568" s="173">
        <v>2</v>
      </c>
      <c r="F568" s="299">
        <v>9500</v>
      </c>
      <c r="G568" s="300">
        <v>19000</v>
      </c>
      <c r="H568" s="174" t="s">
        <v>599</v>
      </c>
      <c r="I568" s="172" t="s">
        <v>1231</v>
      </c>
      <c r="J568" s="175" t="s">
        <v>127</v>
      </c>
      <c r="K568" s="412" t="s">
        <v>1252</v>
      </c>
    </row>
    <row r="569" spans="1:11" hidden="1" x14ac:dyDescent="0.25">
      <c r="A569" s="185">
        <v>9</v>
      </c>
      <c r="B569" s="186" t="s">
        <v>1745</v>
      </c>
      <c r="C569" s="186" t="s">
        <v>1886</v>
      </c>
      <c r="D569" s="186" t="s">
        <v>1887</v>
      </c>
      <c r="E569" s="187">
        <v>1</v>
      </c>
      <c r="F569" s="267">
        <v>376852</v>
      </c>
      <c r="G569" s="267">
        <v>376852</v>
      </c>
      <c r="H569" s="188" t="s">
        <v>1888</v>
      </c>
      <c r="I569" s="186" t="s">
        <v>1889</v>
      </c>
      <c r="J569" s="188" t="s">
        <v>130</v>
      </c>
      <c r="K569" s="412" t="s">
        <v>1890</v>
      </c>
    </row>
    <row r="570" spans="1:11" hidden="1" x14ac:dyDescent="0.25">
      <c r="A570" s="185">
        <v>15</v>
      </c>
      <c r="B570" s="186" t="s">
        <v>1267</v>
      </c>
      <c r="C570" s="186" t="s">
        <v>1891</v>
      </c>
      <c r="D570" s="186" t="s">
        <v>1892</v>
      </c>
      <c r="E570" s="187">
        <v>1</v>
      </c>
      <c r="F570" s="267">
        <v>4920175</v>
      </c>
      <c r="G570" s="267">
        <v>4920175</v>
      </c>
      <c r="H570" s="188" t="s">
        <v>1893</v>
      </c>
      <c r="I570" s="186" t="s">
        <v>1894</v>
      </c>
      <c r="J570" s="188" t="s">
        <v>130</v>
      </c>
      <c r="K570" s="412" t="s">
        <v>1895</v>
      </c>
    </row>
    <row r="571" spans="1:11" hidden="1" x14ac:dyDescent="0.25">
      <c r="A571" s="185">
        <v>9</v>
      </c>
      <c r="B571" s="186" t="s">
        <v>1267</v>
      </c>
      <c r="C571" s="186" t="s">
        <v>1896</v>
      </c>
      <c r="D571" s="186" t="s">
        <v>1897</v>
      </c>
      <c r="E571" s="187">
        <v>1</v>
      </c>
      <c r="F571" s="267">
        <v>106180</v>
      </c>
      <c r="G571" s="267">
        <v>106180</v>
      </c>
      <c r="H571" s="188" t="s">
        <v>1898</v>
      </c>
      <c r="I571" s="186" t="s">
        <v>1899</v>
      </c>
      <c r="J571" s="188" t="s">
        <v>130</v>
      </c>
      <c r="K571" s="412" t="s">
        <v>1271</v>
      </c>
    </row>
    <row r="572" spans="1:11" hidden="1" x14ac:dyDescent="0.25">
      <c r="A572" s="185">
        <v>15</v>
      </c>
      <c r="B572" s="186" t="s">
        <v>1520</v>
      </c>
      <c r="C572" s="186" t="s">
        <v>1900</v>
      </c>
      <c r="D572" s="186" t="s">
        <v>1901</v>
      </c>
      <c r="E572" s="187">
        <v>2</v>
      </c>
      <c r="F572" s="267">
        <v>18200</v>
      </c>
      <c r="G572" s="267">
        <v>36400</v>
      </c>
      <c r="H572" s="188" t="s">
        <v>744</v>
      </c>
      <c r="I572" s="186" t="s">
        <v>1902</v>
      </c>
      <c r="J572" s="188" t="s">
        <v>130</v>
      </c>
      <c r="K572" s="412" t="s">
        <v>1284</v>
      </c>
    </row>
    <row r="573" spans="1:11" hidden="1" x14ac:dyDescent="0.25">
      <c r="A573" s="185">
        <v>15</v>
      </c>
      <c r="B573" s="186" t="s">
        <v>1520</v>
      </c>
      <c r="C573" s="186" t="s">
        <v>1903</v>
      </c>
      <c r="D573" s="186" t="s">
        <v>1904</v>
      </c>
      <c r="E573" s="187">
        <v>70</v>
      </c>
      <c r="F573" s="267">
        <v>4180</v>
      </c>
      <c r="G573" s="267">
        <v>292600</v>
      </c>
      <c r="H573" s="188" t="s">
        <v>744</v>
      </c>
      <c r="I573" s="186" t="s">
        <v>1902</v>
      </c>
      <c r="J573" s="188" t="s">
        <v>130</v>
      </c>
      <c r="K573" s="412" t="s">
        <v>1284</v>
      </c>
    </row>
    <row r="574" spans="1:11" hidden="1" x14ac:dyDescent="0.25">
      <c r="A574" s="185">
        <v>15</v>
      </c>
      <c r="B574" s="186" t="s">
        <v>91</v>
      </c>
      <c r="C574" s="186" t="s">
        <v>745</v>
      </c>
      <c r="D574" s="186" t="s">
        <v>746</v>
      </c>
      <c r="E574" s="187">
        <v>4</v>
      </c>
      <c r="F574" s="267">
        <v>1309</v>
      </c>
      <c r="G574" s="267">
        <v>5236</v>
      </c>
      <c r="H574" s="188" t="s">
        <v>744</v>
      </c>
      <c r="I574" s="186" t="s">
        <v>1902</v>
      </c>
      <c r="J574" s="188" t="s">
        <v>130</v>
      </c>
      <c r="K574" s="412" t="s">
        <v>1284</v>
      </c>
    </row>
    <row r="575" spans="1:11" hidden="1" x14ac:dyDescent="0.25">
      <c r="A575" s="185">
        <v>15</v>
      </c>
      <c r="B575" s="186" t="s">
        <v>1768</v>
      </c>
      <c r="C575" s="186" t="s">
        <v>1905</v>
      </c>
      <c r="D575" s="186" t="s">
        <v>1026</v>
      </c>
      <c r="E575" s="187">
        <v>1</v>
      </c>
      <c r="F575" s="267">
        <v>897464</v>
      </c>
      <c r="G575" s="267">
        <v>897464</v>
      </c>
      <c r="H575" s="188" t="s">
        <v>1023</v>
      </c>
      <c r="I575" s="186" t="s">
        <v>1906</v>
      </c>
      <c r="J575" s="188" t="s">
        <v>130</v>
      </c>
      <c r="K575" s="412" t="s">
        <v>1907</v>
      </c>
    </row>
    <row r="576" spans="1:11" hidden="1" x14ac:dyDescent="0.25">
      <c r="A576" s="185">
        <v>15</v>
      </c>
      <c r="B576" s="186" t="s">
        <v>1768</v>
      </c>
      <c r="C576" s="186" t="s">
        <v>1908</v>
      </c>
      <c r="D576" s="186" t="s">
        <v>1026</v>
      </c>
      <c r="E576" s="187">
        <v>1</v>
      </c>
      <c r="F576" s="267">
        <v>892864</v>
      </c>
      <c r="G576" s="267">
        <v>892864</v>
      </c>
      <c r="H576" s="188" t="s">
        <v>1023</v>
      </c>
      <c r="I576" s="186" t="s">
        <v>1906</v>
      </c>
      <c r="J576" s="188" t="s">
        <v>130</v>
      </c>
      <c r="K576" s="412" t="s">
        <v>1907</v>
      </c>
    </row>
    <row r="577" spans="1:11" hidden="1" x14ac:dyDescent="0.25">
      <c r="A577" s="185">
        <v>15</v>
      </c>
      <c r="B577" s="186" t="s">
        <v>1768</v>
      </c>
      <c r="C577" s="186" t="s">
        <v>1909</v>
      </c>
      <c r="D577" s="186" t="s">
        <v>1026</v>
      </c>
      <c r="E577" s="187">
        <v>1</v>
      </c>
      <c r="F577" s="267">
        <v>897464</v>
      </c>
      <c r="G577" s="267">
        <v>897464</v>
      </c>
      <c r="H577" s="188" t="s">
        <v>1023</v>
      </c>
      <c r="I577" s="186" t="s">
        <v>1906</v>
      </c>
      <c r="J577" s="188" t="s">
        <v>130</v>
      </c>
      <c r="K577" s="412" t="s">
        <v>1907</v>
      </c>
    </row>
    <row r="578" spans="1:11" hidden="1" x14ac:dyDescent="0.25">
      <c r="A578" s="185">
        <v>15</v>
      </c>
      <c r="B578" s="186" t="s">
        <v>1768</v>
      </c>
      <c r="C578" s="186" t="s">
        <v>1910</v>
      </c>
      <c r="D578" s="186" t="s">
        <v>1026</v>
      </c>
      <c r="E578" s="187">
        <v>1</v>
      </c>
      <c r="F578" s="267">
        <v>1615060</v>
      </c>
      <c r="G578" s="267">
        <v>1615060</v>
      </c>
      <c r="H578" s="188" t="s">
        <v>1023</v>
      </c>
      <c r="I578" s="186" t="s">
        <v>1906</v>
      </c>
      <c r="J578" s="188" t="s">
        <v>130</v>
      </c>
      <c r="K578" s="412" t="s">
        <v>1907</v>
      </c>
    </row>
    <row r="579" spans="1:11" hidden="1" x14ac:dyDescent="0.25">
      <c r="A579" s="185">
        <v>16</v>
      </c>
      <c r="B579" s="186" t="s">
        <v>1230</v>
      </c>
      <c r="C579" s="186" t="s">
        <v>195</v>
      </c>
      <c r="D579" s="186" t="s">
        <v>431</v>
      </c>
      <c r="E579" s="187">
        <v>20</v>
      </c>
      <c r="F579" s="267">
        <v>16500</v>
      </c>
      <c r="G579" s="267">
        <v>330000</v>
      </c>
      <c r="H579" s="188" t="s">
        <v>430</v>
      </c>
      <c r="I579" s="186" t="s">
        <v>1911</v>
      </c>
      <c r="J579" s="188" t="s">
        <v>130</v>
      </c>
      <c r="K579" s="412" t="s">
        <v>1244</v>
      </c>
    </row>
    <row r="580" spans="1:11" hidden="1" x14ac:dyDescent="0.25">
      <c r="A580" s="185">
        <v>17</v>
      </c>
      <c r="B580" s="186" t="s">
        <v>91</v>
      </c>
      <c r="C580" s="186" t="s">
        <v>758</v>
      </c>
      <c r="D580" s="186" t="s">
        <v>759</v>
      </c>
      <c r="E580" s="187">
        <v>2</v>
      </c>
      <c r="F580" s="267">
        <v>57800</v>
      </c>
      <c r="G580" s="267">
        <v>115600</v>
      </c>
      <c r="H580" s="188" t="s">
        <v>757</v>
      </c>
      <c r="I580" s="186" t="s">
        <v>1912</v>
      </c>
      <c r="J580" s="188" t="s">
        <v>130</v>
      </c>
      <c r="K580" s="412" t="s">
        <v>1341</v>
      </c>
    </row>
    <row r="581" spans="1:11" hidden="1" x14ac:dyDescent="0.25">
      <c r="A581" s="185">
        <v>17</v>
      </c>
      <c r="B581" s="186" t="s">
        <v>91</v>
      </c>
      <c r="C581" s="186" t="s">
        <v>760</v>
      </c>
      <c r="D581" s="186" t="s">
        <v>761</v>
      </c>
      <c r="E581" s="187">
        <v>3</v>
      </c>
      <c r="F581" s="267">
        <v>34800</v>
      </c>
      <c r="G581" s="267">
        <v>104400</v>
      </c>
      <c r="H581" s="188" t="s">
        <v>757</v>
      </c>
      <c r="I581" s="186" t="s">
        <v>1912</v>
      </c>
      <c r="J581" s="188" t="s">
        <v>130</v>
      </c>
      <c r="K581" s="412" t="s">
        <v>1341</v>
      </c>
    </row>
    <row r="582" spans="1:11" hidden="1" x14ac:dyDescent="0.25">
      <c r="A582" s="185">
        <v>18</v>
      </c>
      <c r="B582" s="186" t="s">
        <v>91</v>
      </c>
      <c r="C582" s="186" t="s">
        <v>766</v>
      </c>
      <c r="D582" s="186" t="s">
        <v>767</v>
      </c>
      <c r="E582" s="187">
        <v>2</v>
      </c>
      <c r="F582" s="267">
        <v>74500</v>
      </c>
      <c r="G582" s="267">
        <v>149000</v>
      </c>
      <c r="H582" s="188" t="s">
        <v>765</v>
      </c>
      <c r="I582" s="186" t="s">
        <v>1913</v>
      </c>
      <c r="J582" s="188" t="s">
        <v>130</v>
      </c>
      <c r="K582" s="412" t="s">
        <v>1263</v>
      </c>
    </row>
    <row r="583" spans="1:11" hidden="1" x14ac:dyDescent="0.25">
      <c r="A583" s="185">
        <v>18</v>
      </c>
      <c r="B583" s="186" t="s">
        <v>91</v>
      </c>
      <c r="C583" s="186" t="s">
        <v>768</v>
      </c>
      <c r="D583" s="186" t="s">
        <v>769</v>
      </c>
      <c r="E583" s="187">
        <v>1</v>
      </c>
      <c r="F583" s="267">
        <v>77500</v>
      </c>
      <c r="G583" s="267">
        <v>77500</v>
      </c>
      <c r="H583" s="188" t="s">
        <v>765</v>
      </c>
      <c r="I583" s="186" t="s">
        <v>1913</v>
      </c>
      <c r="J583" s="188" t="s">
        <v>130</v>
      </c>
      <c r="K583" s="412" t="s">
        <v>1263</v>
      </c>
    </row>
    <row r="584" spans="1:11" hidden="1" x14ac:dyDescent="0.25">
      <c r="A584" s="185">
        <v>18</v>
      </c>
      <c r="B584" s="186" t="s">
        <v>91</v>
      </c>
      <c r="C584" s="186" t="s">
        <v>770</v>
      </c>
      <c r="D584" s="186" t="s">
        <v>771</v>
      </c>
      <c r="E584" s="187">
        <v>1</v>
      </c>
      <c r="F584" s="267">
        <v>92200</v>
      </c>
      <c r="G584" s="267">
        <v>92200</v>
      </c>
      <c r="H584" s="188" t="s">
        <v>765</v>
      </c>
      <c r="I584" s="186" t="s">
        <v>1913</v>
      </c>
      <c r="J584" s="188" t="s">
        <v>130</v>
      </c>
      <c r="K584" s="412" t="s">
        <v>1263</v>
      </c>
    </row>
    <row r="585" spans="1:11" hidden="1" x14ac:dyDescent="0.25">
      <c r="A585" s="185">
        <v>18</v>
      </c>
      <c r="B585" s="186" t="s">
        <v>91</v>
      </c>
      <c r="C585" s="186" t="s">
        <v>772</v>
      </c>
      <c r="D585" s="186" t="s">
        <v>773</v>
      </c>
      <c r="E585" s="187">
        <v>1</v>
      </c>
      <c r="F585" s="267">
        <v>93000</v>
      </c>
      <c r="G585" s="267">
        <v>93000</v>
      </c>
      <c r="H585" s="188" t="s">
        <v>765</v>
      </c>
      <c r="I585" s="186" t="s">
        <v>1913</v>
      </c>
      <c r="J585" s="188" t="s">
        <v>130</v>
      </c>
      <c r="K585" s="412" t="s">
        <v>1263</v>
      </c>
    </row>
    <row r="586" spans="1:11" hidden="1" x14ac:dyDescent="0.25">
      <c r="A586" s="185">
        <v>18</v>
      </c>
      <c r="B586" s="186" t="s">
        <v>91</v>
      </c>
      <c r="C586" s="186" t="s">
        <v>774</v>
      </c>
      <c r="D586" s="186" t="s">
        <v>775</v>
      </c>
      <c r="E586" s="187">
        <v>1</v>
      </c>
      <c r="F586" s="267">
        <v>51600</v>
      </c>
      <c r="G586" s="267">
        <v>51600</v>
      </c>
      <c r="H586" s="188" t="s">
        <v>765</v>
      </c>
      <c r="I586" s="186" t="s">
        <v>1913</v>
      </c>
      <c r="J586" s="188" t="s">
        <v>130</v>
      </c>
      <c r="K586" s="412" t="s">
        <v>1263</v>
      </c>
    </row>
    <row r="587" spans="1:11" hidden="1" x14ac:dyDescent="0.25">
      <c r="A587" s="185">
        <v>18</v>
      </c>
      <c r="B587" s="186" t="s">
        <v>91</v>
      </c>
      <c r="C587" s="186" t="s">
        <v>776</v>
      </c>
      <c r="D587" s="186" t="s">
        <v>777</v>
      </c>
      <c r="E587" s="187">
        <v>1</v>
      </c>
      <c r="F587" s="267">
        <v>60900</v>
      </c>
      <c r="G587" s="267">
        <v>60900</v>
      </c>
      <c r="H587" s="188" t="s">
        <v>765</v>
      </c>
      <c r="I587" s="186" t="s">
        <v>1913</v>
      </c>
      <c r="J587" s="188" t="s">
        <v>130</v>
      </c>
      <c r="K587" s="412" t="s">
        <v>1263</v>
      </c>
    </row>
    <row r="588" spans="1:11" hidden="1" x14ac:dyDescent="0.25">
      <c r="A588" s="185">
        <v>18</v>
      </c>
      <c r="B588" s="186" t="s">
        <v>1230</v>
      </c>
      <c r="C588" s="186" t="s">
        <v>468</v>
      </c>
      <c r="D588" s="186" t="s">
        <v>469</v>
      </c>
      <c r="E588" s="187">
        <v>25</v>
      </c>
      <c r="F588" s="267">
        <v>15120</v>
      </c>
      <c r="G588" s="267">
        <v>378000</v>
      </c>
      <c r="H588" s="188" t="s">
        <v>467</v>
      </c>
      <c r="I588" s="186" t="s">
        <v>1914</v>
      </c>
      <c r="J588" s="188" t="s">
        <v>130</v>
      </c>
      <c r="K588" s="412" t="s">
        <v>1261</v>
      </c>
    </row>
    <row r="589" spans="1:11" hidden="1" x14ac:dyDescent="0.25">
      <c r="A589" s="185">
        <v>15</v>
      </c>
      <c r="B589" s="186" t="s">
        <v>1768</v>
      </c>
      <c r="C589" s="186" t="s">
        <v>1915</v>
      </c>
      <c r="D589" s="186" t="s">
        <v>1031</v>
      </c>
      <c r="E589" s="187">
        <v>1</v>
      </c>
      <c r="F589" s="267">
        <v>66000</v>
      </c>
      <c r="G589" s="267">
        <v>66000</v>
      </c>
      <c r="H589" s="188" t="s">
        <v>390</v>
      </c>
      <c r="I589" s="186" t="s">
        <v>911</v>
      </c>
      <c r="J589" s="188" t="s">
        <v>130</v>
      </c>
      <c r="K589" s="412" t="s">
        <v>1261</v>
      </c>
    </row>
    <row r="590" spans="1:11" hidden="1" x14ac:dyDescent="0.25">
      <c r="A590" s="185">
        <v>15</v>
      </c>
      <c r="B590" s="186" t="s">
        <v>1768</v>
      </c>
      <c r="C590" s="186" t="s">
        <v>1916</v>
      </c>
      <c r="D590" s="186" t="s">
        <v>1032</v>
      </c>
      <c r="E590" s="187">
        <v>1</v>
      </c>
      <c r="F590" s="267">
        <v>66000</v>
      </c>
      <c r="G590" s="267">
        <v>66000</v>
      </c>
      <c r="H590" s="188" t="s">
        <v>390</v>
      </c>
      <c r="I590" s="186" t="s">
        <v>921</v>
      </c>
      <c r="J590" s="188" t="s">
        <v>130</v>
      </c>
      <c r="K590" s="412" t="s">
        <v>1261</v>
      </c>
    </row>
    <row r="591" spans="1:11" hidden="1" x14ac:dyDescent="0.25">
      <c r="A591" s="185">
        <v>15</v>
      </c>
      <c r="B591" s="186" t="s">
        <v>1768</v>
      </c>
      <c r="C591" s="186" t="s">
        <v>1917</v>
      </c>
      <c r="D591" s="186" t="s">
        <v>1033</v>
      </c>
      <c r="E591" s="187">
        <v>1</v>
      </c>
      <c r="F591" s="267">
        <v>66000</v>
      </c>
      <c r="G591" s="267">
        <v>66000</v>
      </c>
      <c r="H591" s="188" t="s">
        <v>390</v>
      </c>
      <c r="I591" s="186" t="s">
        <v>934</v>
      </c>
      <c r="J591" s="188" t="s">
        <v>130</v>
      </c>
      <c r="K591" s="412" t="s">
        <v>1261</v>
      </c>
    </row>
    <row r="592" spans="1:11" hidden="1" x14ac:dyDescent="0.25">
      <c r="A592" s="185">
        <v>15</v>
      </c>
      <c r="B592" s="186" t="s">
        <v>1333</v>
      </c>
      <c r="C592" s="186" t="s">
        <v>1918</v>
      </c>
      <c r="D592" s="186" t="s">
        <v>1919</v>
      </c>
      <c r="E592" s="187">
        <v>1</v>
      </c>
      <c r="F592" s="267">
        <v>30000</v>
      </c>
      <c r="G592" s="267">
        <v>30000</v>
      </c>
      <c r="H592" s="188" t="s">
        <v>390</v>
      </c>
      <c r="I592" s="186" t="s">
        <v>1256</v>
      </c>
      <c r="J592" s="188" t="s">
        <v>130</v>
      </c>
      <c r="K592" s="412" t="s">
        <v>1258</v>
      </c>
    </row>
    <row r="593" spans="1:11" hidden="1" x14ac:dyDescent="0.25">
      <c r="A593" s="185">
        <v>15</v>
      </c>
      <c r="B593" s="186" t="s">
        <v>1805</v>
      </c>
      <c r="C593" s="186" t="s">
        <v>1920</v>
      </c>
      <c r="D593" s="186" t="s">
        <v>1035</v>
      </c>
      <c r="E593" s="187">
        <v>1</v>
      </c>
      <c r="F593" s="267">
        <v>5000</v>
      </c>
      <c r="G593" s="267">
        <v>5000</v>
      </c>
      <c r="H593" s="188" t="s">
        <v>390</v>
      </c>
      <c r="I593" s="186" t="s">
        <v>1034</v>
      </c>
      <c r="J593" s="188" t="s">
        <v>130</v>
      </c>
      <c r="K593" s="412" t="s">
        <v>1294</v>
      </c>
    </row>
    <row r="594" spans="1:11" hidden="1" x14ac:dyDescent="0.25">
      <c r="A594" s="185">
        <v>15</v>
      </c>
      <c r="B594" s="186" t="s">
        <v>91</v>
      </c>
      <c r="C594" s="186" t="s">
        <v>748</v>
      </c>
      <c r="D594" s="186" t="s">
        <v>749</v>
      </c>
      <c r="E594" s="187">
        <v>1</v>
      </c>
      <c r="F594" s="267">
        <v>19000</v>
      </c>
      <c r="G594" s="267">
        <v>19000</v>
      </c>
      <c r="H594" s="188" t="s">
        <v>747</v>
      </c>
      <c r="I594" s="186" t="s">
        <v>1921</v>
      </c>
      <c r="J594" s="188" t="s">
        <v>130</v>
      </c>
      <c r="K594" s="412" t="s">
        <v>1252</v>
      </c>
    </row>
    <row r="595" spans="1:11" hidden="1" x14ac:dyDescent="0.25">
      <c r="A595" s="185">
        <v>15</v>
      </c>
      <c r="B595" s="186" t="s">
        <v>91</v>
      </c>
      <c r="C595" s="186" t="s">
        <v>751</v>
      </c>
      <c r="D595" s="186" t="s">
        <v>752</v>
      </c>
      <c r="E595" s="187">
        <v>1</v>
      </c>
      <c r="F595" s="267">
        <v>14200</v>
      </c>
      <c r="G595" s="267">
        <v>14200</v>
      </c>
      <c r="H595" s="188" t="s">
        <v>750</v>
      </c>
      <c r="I595" s="186" t="s">
        <v>1232</v>
      </c>
      <c r="J595" s="188" t="s">
        <v>130</v>
      </c>
      <c r="K595" s="412" t="s">
        <v>1232</v>
      </c>
    </row>
    <row r="596" spans="1:11" hidden="1" x14ac:dyDescent="0.25">
      <c r="A596" s="185">
        <v>15</v>
      </c>
      <c r="B596" s="186" t="s">
        <v>1614</v>
      </c>
      <c r="C596" s="186" t="s">
        <v>1922</v>
      </c>
      <c r="D596" s="186" t="s">
        <v>1923</v>
      </c>
      <c r="E596" s="187">
        <v>1</v>
      </c>
      <c r="F596" s="267">
        <v>110000</v>
      </c>
      <c r="G596" s="267">
        <v>110000</v>
      </c>
      <c r="H596" s="188" t="s">
        <v>1924</v>
      </c>
      <c r="I596" s="186" t="s">
        <v>1925</v>
      </c>
      <c r="J596" s="188" t="s">
        <v>130</v>
      </c>
      <c r="K596" s="412" t="s">
        <v>1843</v>
      </c>
    </row>
    <row r="597" spans="1:11" hidden="1" x14ac:dyDescent="0.25">
      <c r="A597" s="185">
        <v>15</v>
      </c>
      <c r="B597" s="186" t="s">
        <v>1745</v>
      </c>
      <c r="C597" s="186" t="s">
        <v>1926</v>
      </c>
      <c r="D597" s="186" t="s">
        <v>1927</v>
      </c>
      <c r="E597" s="187">
        <v>1</v>
      </c>
      <c r="F597" s="267">
        <v>3500</v>
      </c>
      <c r="G597" s="267">
        <v>3500</v>
      </c>
      <c r="H597" s="188" t="s">
        <v>1928</v>
      </c>
      <c r="I597" s="186" t="s">
        <v>1929</v>
      </c>
      <c r="J597" s="188" t="s">
        <v>130</v>
      </c>
      <c r="K597" s="412" t="s">
        <v>1294</v>
      </c>
    </row>
    <row r="598" spans="1:11" hidden="1" x14ac:dyDescent="0.25">
      <c r="A598" s="185">
        <v>15</v>
      </c>
      <c r="B598" s="186" t="s">
        <v>1230</v>
      </c>
      <c r="C598" s="186" t="s">
        <v>426</v>
      </c>
      <c r="D598" s="186" t="s">
        <v>427</v>
      </c>
      <c r="E598" s="187">
        <v>1</v>
      </c>
      <c r="F598" s="267">
        <v>144700</v>
      </c>
      <c r="G598" s="267">
        <v>144700</v>
      </c>
      <c r="H598" s="188" t="s">
        <v>425</v>
      </c>
      <c r="I598" s="186" t="s">
        <v>1930</v>
      </c>
      <c r="J598" s="188" t="s">
        <v>130</v>
      </c>
      <c r="K598" s="412" t="s">
        <v>1294</v>
      </c>
    </row>
    <row r="599" spans="1:11" hidden="1" x14ac:dyDescent="0.25">
      <c r="A599" s="185">
        <v>15</v>
      </c>
      <c r="B599" s="186" t="s">
        <v>1658</v>
      </c>
      <c r="C599" s="186" t="s">
        <v>1302</v>
      </c>
      <c r="D599" s="186" t="s">
        <v>1931</v>
      </c>
      <c r="E599" s="187">
        <v>1</v>
      </c>
      <c r="F599" s="267">
        <v>16550</v>
      </c>
      <c r="G599" s="267">
        <v>16550</v>
      </c>
      <c r="H599" s="188" t="s">
        <v>1932</v>
      </c>
      <c r="I599" s="186" t="s">
        <v>1232</v>
      </c>
      <c r="J599" s="188" t="s">
        <v>130</v>
      </c>
      <c r="K599" s="412" t="s">
        <v>1232</v>
      </c>
    </row>
    <row r="600" spans="1:11" hidden="1" x14ac:dyDescent="0.25">
      <c r="A600" s="185">
        <v>15</v>
      </c>
      <c r="B600" s="186" t="s">
        <v>1520</v>
      </c>
      <c r="C600" s="186" t="s">
        <v>1933</v>
      </c>
      <c r="D600" s="186" t="s">
        <v>1934</v>
      </c>
      <c r="E600" s="187">
        <v>1</v>
      </c>
      <c r="F600" s="267">
        <v>14000</v>
      </c>
      <c r="G600" s="267">
        <v>14000</v>
      </c>
      <c r="H600" s="188" t="s">
        <v>1935</v>
      </c>
      <c r="I600" s="186" t="s">
        <v>1457</v>
      </c>
      <c r="J600" s="188" t="s">
        <v>130</v>
      </c>
      <c r="K600" s="412" t="s">
        <v>1457</v>
      </c>
    </row>
    <row r="601" spans="1:11" hidden="1" x14ac:dyDescent="0.25">
      <c r="A601" s="185">
        <v>15</v>
      </c>
      <c r="B601" s="186" t="s">
        <v>1663</v>
      </c>
      <c r="C601" s="186" t="s">
        <v>1936</v>
      </c>
      <c r="D601" s="186" t="s">
        <v>1937</v>
      </c>
      <c r="E601" s="187">
        <v>1</v>
      </c>
      <c r="F601" s="267">
        <v>11100</v>
      </c>
      <c r="G601" s="267">
        <v>11100</v>
      </c>
      <c r="H601" s="188" t="s">
        <v>1938</v>
      </c>
      <c r="I601" s="186" t="s">
        <v>1939</v>
      </c>
      <c r="J601" s="188" t="s">
        <v>130</v>
      </c>
      <c r="K601" s="412" t="s">
        <v>1340</v>
      </c>
    </row>
    <row r="602" spans="1:11" hidden="1" x14ac:dyDescent="0.25">
      <c r="A602" s="185">
        <v>15</v>
      </c>
      <c r="B602" s="186" t="s">
        <v>1230</v>
      </c>
      <c r="C602" s="186" t="s">
        <v>259</v>
      </c>
      <c r="D602" s="186" t="s">
        <v>428</v>
      </c>
      <c r="E602" s="187">
        <v>1</v>
      </c>
      <c r="F602" s="267">
        <v>90000</v>
      </c>
      <c r="G602" s="267">
        <v>90000</v>
      </c>
      <c r="H602" s="188" t="s">
        <v>390</v>
      </c>
      <c r="I602" s="186" t="s">
        <v>1940</v>
      </c>
      <c r="J602" s="188" t="s">
        <v>130</v>
      </c>
      <c r="K602" s="412" t="s">
        <v>1294</v>
      </c>
    </row>
    <row r="603" spans="1:11" hidden="1" x14ac:dyDescent="0.25">
      <c r="A603" s="185">
        <v>15</v>
      </c>
      <c r="B603" s="186" t="s">
        <v>1768</v>
      </c>
      <c r="C603" s="186" t="s">
        <v>1941</v>
      </c>
      <c r="D603" s="186" t="s">
        <v>1036</v>
      </c>
      <c r="E603" s="187">
        <v>1</v>
      </c>
      <c r="F603" s="267">
        <v>66000</v>
      </c>
      <c r="G603" s="267">
        <v>66000</v>
      </c>
      <c r="H603" s="188" t="s">
        <v>390</v>
      </c>
      <c r="I603" s="186" t="s">
        <v>887</v>
      </c>
      <c r="J603" s="188" t="s">
        <v>130</v>
      </c>
      <c r="K603" s="412" t="s">
        <v>1261</v>
      </c>
    </row>
    <row r="604" spans="1:11" hidden="1" x14ac:dyDescent="0.25">
      <c r="A604" s="185">
        <v>16</v>
      </c>
      <c r="B604" s="186" t="s">
        <v>1768</v>
      </c>
      <c r="C604" s="186" t="s">
        <v>1915</v>
      </c>
      <c r="D604" s="186" t="s">
        <v>1056</v>
      </c>
      <c r="E604" s="187">
        <v>1</v>
      </c>
      <c r="F604" s="267">
        <v>66000</v>
      </c>
      <c r="G604" s="267">
        <v>66000</v>
      </c>
      <c r="H604" s="188" t="s">
        <v>390</v>
      </c>
      <c r="I604" s="186" t="s">
        <v>911</v>
      </c>
      <c r="J604" s="188" t="s">
        <v>130</v>
      </c>
      <c r="K604" s="412" t="s">
        <v>1261</v>
      </c>
    </row>
    <row r="605" spans="1:11" hidden="1" x14ac:dyDescent="0.25">
      <c r="A605" s="185">
        <v>16</v>
      </c>
      <c r="B605" s="186" t="s">
        <v>1658</v>
      </c>
      <c r="C605" s="186" t="s">
        <v>1117</v>
      </c>
      <c r="D605" s="186" t="s">
        <v>1942</v>
      </c>
      <c r="E605" s="187">
        <v>1</v>
      </c>
      <c r="F605" s="267">
        <v>30000</v>
      </c>
      <c r="G605" s="267">
        <v>30000</v>
      </c>
      <c r="H605" s="188" t="s">
        <v>390</v>
      </c>
      <c r="I605" s="186" t="s">
        <v>1940</v>
      </c>
      <c r="J605" s="188" t="s">
        <v>130</v>
      </c>
      <c r="K605" s="412" t="s">
        <v>1294</v>
      </c>
    </row>
    <row r="606" spans="1:11" hidden="1" x14ac:dyDescent="0.25">
      <c r="A606" s="185">
        <v>16</v>
      </c>
      <c r="B606" s="186" t="s">
        <v>91</v>
      </c>
      <c r="C606" s="186" t="s">
        <v>748</v>
      </c>
      <c r="D606" s="186" t="s">
        <v>755</v>
      </c>
      <c r="E606" s="187">
        <v>1</v>
      </c>
      <c r="F606" s="267">
        <v>34000</v>
      </c>
      <c r="G606" s="267">
        <v>34000</v>
      </c>
      <c r="H606" s="188" t="s">
        <v>754</v>
      </c>
      <c r="I606" s="186" t="s">
        <v>1921</v>
      </c>
      <c r="J606" s="188" t="s">
        <v>130</v>
      </c>
      <c r="K606" s="412" t="s">
        <v>1252</v>
      </c>
    </row>
    <row r="607" spans="1:11" hidden="1" x14ac:dyDescent="0.25">
      <c r="A607" s="185">
        <v>16</v>
      </c>
      <c r="B607" s="186" t="s">
        <v>1235</v>
      </c>
      <c r="C607" s="186" t="s">
        <v>1785</v>
      </c>
      <c r="D607" s="186" t="s">
        <v>1943</v>
      </c>
      <c r="E607" s="187">
        <v>1</v>
      </c>
      <c r="F607" s="267">
        <v>76700</v>
      </c>
      <c r="G607" s="267">
        <v>76700</v>
      </c>
      <c r="H607" s="188" t="s">
        <v>390</v>
      </c>
      <c r="I607" s="186" t="s">
        <v>1940</v>
      </c>
      <c r="J607" s="188" t="s">
        <v>130</v>
      </c>
      <c r="K607" s="412" t="s">
        <v>1294</v>
      </c>
    </row>
    <row r="608" spans="1:11" hidden="1" x14ac:dyDescent="0.25">
      <c r="A608" s="185">
        <v>16</v>
      </c>
      <c r="B608" s="186" t="s">
        <v>1745</v>
      </c>
      <c r="C608" s="186" t="s">
        <v>1944</v>
      </c>
      <c r="D608" s="186" t="s">
        <v>1945</v>
      </c>
      <c r="E608" s="187">
        <v>1</v>
      </c>
      <c r="F608" s="267">
        <v>69000</v>
      </c>
      <c r="G608" s="267">
        <v>69000</v>
      </c>
      <c r="H608" s="188" t="s">
        <v>1946</v>
      </c>
      <c r="I608" s="186" t="s">
        <v>1947</v>
      </c>
      <c r="J608" s="188" t="s">
        <v>130</v>
      </c>
      <c r="K608" s="412" t="s">
        <v>1294</v>
      </c>
    </row>
    <row r="609" spans="1:11" hidden="1" x14ac:dyDescent="0.25">
      <c r="A609" s="185">
        <v>16</v>
      </c>
      <c r="B609" s="186" t="s">
        <v>1614</v>
      </c>
      <c r="C609" s="186" t="s">
        <v>1948</v>
      </c>
      <c r="D609" s="186" t="s">
        <v>1949</v>
      </c>
      <c r="E609" s="187">
        <v>1</v>
      </c>
      <c r="F609" s="267">
        <v>109400</v>
      </c>
      <c r="G609" s="267">
        <v>109400</v>
      </c>
      <c r="H609" s="188" t="s">
        <v>1950</v>
      </c>
      <c r="I609" s="186" t="s">
        <v>1951</v>
      </c>
      <c r="J609" s="188" t="s">
        <v>130</v>
      </c>
      <c r="K609" s="412" t="s">
        <v>1952</v>
      </c>
    </row>
    <row r="610" spans="1:11" hidden="1" x14ac:dyDescent="0.25">
      <c r="A610" s="185">
        <v>16</v>
      </c>
      <c r="B610" s="186" t="s">
        <v>1805</v>
      </c>
      <c r="C610" s="186" t="s">
        <v>1953</v>
      </c>
      <c r="D610" s="186" t="s">
        <v>1058</v>
      </c>
      <c r="E610" s="187">
        <v>1</v>
      </c>
      <c r="F610" s="267">
        <v>3800</v>
      </c>
      <c r="G610" s="267">
        <v>3800</v>
      </c>
      <c r="H610" s="188" t="s">
        <v>390</v>
      </c>
      <c r="I610" s="186" t="s">
        <v>1057</v>
      </c>
      <c r="J610" s="188" t="s">
        <v>130</v>
      </c>
      <c r="K610" s="412" t="s">
        <v>1294</v>
      </c>
    </row>
    <row r="611" spans="1:11" hidden="1" x14ac:dyDescent="0.25">
      <c r="A611" s="185">
        <v>16</v>
      </c>
      <c r="B611" s="186" t="s">
        <v>1768</v>
      </c>
      <c r="C611" s="186" t="s">
        <v>1941</v>
      </c>
      <c r="D611" s="186" t="s">
        <v>1036</v>
      </c>
      <c r="E611" s="187">
        <v>1</v>
      </c>
      <c r="F611" s="267">
        <v>66000</v>
      </c>
      <c r="G611" s="267">
        <v>66000</v>
      </c>
      <c r="H611" s="188" t="s">
        <v>390</v>
      </c>
      <c r="I611" s="186" t="s">
        <v>887</v>
      </c>
      <c r="J611" s="188" t="s">
        <v>130</v>
      </c>
      <c r="K611" s="412" t="s">
        <v>1261</v>
      </c>
    </row>
    <row r="612" spans="1:11" hidden="1" x14ac:dyDescent="0.25">
      <c r="A612" s="185">
        <v>16</v>
      </c>
      <c r="B612" s="186" t="s">
        <v>1614</v>
      </c>
      <c r="C612" s="186" t="s">
        <v>1954</v>
      </c>
      <c r="D612" s="186" t="s">
        <v>1955</v>
      </c>
      <c r="E612" s="187">
        <v>1</v>
      </c>
      <c r="F612" s="267">
        <v>6900</v>
      </c>
      <c r="G612" s="267">
        <v>6900</v>
      </c>
      <c r="H612" s="188" t="s">
        <v>1956</v>
      </c>
      <c r="I612" s="186" t="s">
        <v>1957</v>
      </c>
      <c r="J612" s="188" t="s">
        <v>130</v>
      </c>
      <c r="K612" s="412" t="s">
        <v>1958</v>
      </c>
    </row>
    <row r="613" spans="1:11" hidden="1" x14ac:dyDescent="0.25">
      <c r="A613" s="185">
        <v>16</v>
      </c>
      <c r="B613" s="186" t="s">
        <v>1230</v>
      </c>
      <c r="C613" s="186" t="s">
        <v>433</v>
      </c>
      <c r="D613" s="186" t="s">
        <v>434</v>
      </c>
      <c r="E613" s="187">
        <v>1</v>
      </c>
      <c r="F613" s="267">
        <v>70900</v>
      </c>
      <c r="G613" s="267">
        <v>70900</v>
      </c>
      <c r="H613" s="188" t="s">
        <v>432</v>
      </c>
      <c r="I613" s="186" t="s">
        <v>1232</v>
      </c>
      <c r="J613" s="188" t="s">
        <v>130</v>
      </c>
      <c r="K613" s="412" t="s">
        <v>1232</v>
      </c>
    </row>
    <row r="614" spans="1:11" hidden="1" x14ac:dyDescent="0.25">
      <c r="A614" s="185">
        <v>17</v>
      </c>
      <c r="B614" s="186" t="s">
        <v>1768</v>
      </c>
      <c r="C614" s="186" t="s">
        <v>1917</v>
      </c>
      <c r="D614" s="186" t="s">
        <v>1060</v>
      </c>
      <c r="E614" s="187">
        <v>1</v>
      </c>
      <c r="F614" s="267">
        <v>66000</v>
      </c>
      <c r="G614" s="267">
        <v>66000</v>
      </c>
      <c r="H614" s="188" t="s">
        <v>390</v>
      </c>
      <c r="I614" s="186" t="s">
        <v>934</v>
      </c>
      <c r="J614" s="188" t="s">
        <v>130</v>
      </c>
      <c r="K614" s="412" t="s">
        <v>1261</v>
      </c>
    </row>
    <row r="615" spans="1:11" hidden="1" x14ac:dyDescent="0.25">
      <c r="A615" s="185">
        <v>17</v>
      </c>
      <c r="B615" s="186" t="s">
        <v>91</v>
      </c>
      <c r="C615" s="186" t="s">
        <v>748</v>
      </c>
      <c r="D615" s="186" t="s">
        <v>763</v>
      </c>
      <c r="E615" s="187">
        <v>1</v>
      </c>
      <c r="F615" s="267">
        <v>29000</v>
      </c>
      <c r="G615" s="267">
        <v>29000</v>
      </c>
      <c r="H615" s="188" t="s">
        <v>762</v>
      </c>
      <c r="I615" s="186" t="s">
        <v>1921</v>
      </c>
      <c r="J615" s="188" t="s">
        <v>130</v>
      </c>
      <c r="K615" s="412" t="s">
        <v>1252</v>
      </c>
    </row>
    <row r="616" spans="1:11" hidden="1" x14ac:dyDescent="0.25">
      <c r="A616" s="185">
        <v>17</v>
      </c>
      <c r="B616" s="186" t="s">
        <v>1333</v>
      </c>
      <c r="C616" s="186" t="s">
        <v>1918</v>
      </c>
      <c r="D616" s="186" t="s">
        <v>1959</v>
      </c>
      <c r="E616" s="187">
        <v>1</v>
      </c>
      <c r="F616" s="267">
        <v>30000</v>
      </c>
      <c r="G616" s="267">
        <v>30000</v>
      </c>
      <c r="H616" s="188" t="s">
        <v>1960</v>
      </c>
      <c r="I616" s="186" t="s">
        <v>1961</v>
      </c>
      <c r="J616" s="188" t="s">
        <v>130</v>
      </c>
      <c r="K616" s="412" t="s">
        <v>1258</v>
      </c>
    </row>
    <row r="617" spans="1:11" hidden="1" x14ac:dyDescent="0.25">
      <c r="A617" s="185">
        <v>17</v>
      </c>
      <c r="B617" s="186" t="s">
        <v>1768</v>
      </c>
      <c r="C617" s="186" t="s">
        <v>1941</v>
      </c>
      <c r="D617" s="186" t="s">
        <v>1036</v>
      </c>
      <c r="E617" s="187">
        <v>1</v>
      </c>
      <c r="F617" s="267">
        <v>66000</v>
      </c>
      <c r="G617" s="267">
        <v>66000</v>
      </c>
      <c r="H617" s="188" t="s">
        <v>390</v>
      </c>
      <c r="I617" s="186" t="s">
        <v>887</v>
      </c>
      <c r="J617" s="188" t="s">
        <v>130</v>
      </c>
      <c r="K617" s="412" t="s">
        <v>1261</v>
      </c>
    </row>
    <row r="618" spans="1:11" hidden="1" x14ac:dyDescent="0.25">
      <c r="A618" s="185">
        <v>17</v>
      </c>
      <c r="B618" s="186" t="s">
        <v>1768</v>
      </c>
      <c r="C618" s="186" t="s">
        <v>1962</v>
      </c>
      <c r="D618" s="186" t="s">
        <v>1963</v>
      </c>
      <c r="E618" s="187">
        <v>1</v>
      </c>
      <c r="F618" s="267">
        <v>37700</v>
      </c>
      <c r="G618" s="267">
        <v>37700</v>
      </c>
      <c r="H618" s="188" t="s">
        <v>1061</v>
      </c>
      <c r="I618" s="186" t="s">
        <v>1964</v>
      </c>
      <c r="J618" s="188" t="s">
        <v>130</v>
      </c>
      <c r="K618" s="412" t="s">
        <v>1261</v>
      </c>
    </row>
    <row r="619" spans="1:11" hidden="1" x14ac:dyDescent="0.25">
      <c r="A619" s="185">
        <v>17</v>
      </c>
      <c r="B619" s="186" t="s">
        <v>1768</v>
      </c>
      <c r="C619" s="186" t="s">
        <v>1965</v>
      </c>
      <c r="D619" s="186" t="s">
        <v>1066</v>
      </c>
      <c r="E619" s="187">
        <v>1</v>
      </c>
      <c r="F619" s="267">
        <v>70000</v>
      </c>
      <c r="G619" s="267">
        <v>70000</v>
      </c>
      <c r="H619" s="188" t="s">
        <v>390</v>
      </c>
      <c r="I619" s="186" t="s">
        <v>1966</v>
      </c>
      <c r="J619" s="188" t="s">
        <v>130</v>
      </c>
      <c r="K619" s="412" t="s">
        <v>1261</v>
      </c>
    </row>
    <row r="620" spans="1:11" hidden="1" x14ac:dyDescent="0.25">
      <c r="A620" s="185">
        <v>17</v>
      </c>
      <c r="B620" s="186" t="s">
        <v>1520</v>
      </c>
      <c r="C620" s="186" t="s">
        <v>1967</v>
      </c>
      <c r="D620" s="186" t="s">
        <v>1968</v>
      </c>
      <c r="E620" s="187">
        <v>1</v>
      </c>
      <c r="F620" s="267">
        <v>75000</v>
      </c>
      <c r="G620" s="267">
        <v>75000</v>
      </c>
      <c r="H620" s="188" t="s">
        <v>1969</v>
      </c>
      <c r="I620" s="186" t="s">
        <v>1970</v>
      </c>
      <c r="J620" s="188" t="s">
        <v>130</v>
      </c>
      <c r="K620" s="412" t="s">
        <v>1294</v>
      </c>
    </row>
    <row r="621" spans="1:11" hidden="1" x14ac:dyDescent="0.25">
      <c r="A621" s="185">
        <v>17</v>
      </c>
      <c r="B621" s="186" t="s">
        <v>1520</v>
      </c>
      <c r="C621" s="186" t="s">
        <v>1971</v>
      </c>
      <c r="D621" s="186" t="s">
        <v>1972</v>
      </c>
      <c r="E621" s="187">
        <v>1</v>
      </c>
      <c r="F621" s="267">
        <v>31500</v>
      </c>
      <c r="G621" s="267">
        <v>31500</v>
      </c>
      <c r="H621" s="188" t="s">
        <v>1969</v>
      </c>
      <c r="I621" s="186" t="s">
        <v>1970</v>
      </c>
      <c r="J621" s="188" t="s">
        <v>130</v>
      </c>
      <c r="K621" s="412" t="s">
        <v>1294</v>
      </c>
    </row>
    <row r="622" spans="1:11" hidden="1" x14ac:dyDescent="0.25">
      <c r="A622" s="185">
        <v>17</v>
      </c>
      <c r="B622" s="186" t="s">
        <v>1235</v>
      </c>
      <c r="C622" s="186" t="s">
        <v>1973</v>
      </c>
      <c r="D622" s="186" t="s">
        <v>1974</v>
      </c>
      <c r="E622" s="187">
        <v>1</v>
      </c>
      <c r="F622" s="267">
        <v>40000</v>
      </c>
      <c r="G622" s="267">
        <v>40000</v>
      </c>
      <c r="H622" s="188" t="s">
        <v>1969</v>
      </c>
      <c r="I622" s="186" t="s">
        <v>1970</v>
      </c>
      <c r="J622" s="188" t="s">
        <v>130</v>
      </c>
      <c r="K622" s="412" t="s">
        <v>1294</v>
      </c>
    </row>
    <row r="623" spans="1:11" hidden="1" x14ac:dyDescent="0.25">
      <c r="A623" s="185">
        <v>17</v>
      </c>
      <c r="B623" s="186" t="s">
        <v>1520</v>
      </c>
      <c r="C623" s="186" t="s">
        <v>1975</v>
      </c>
      <c r="D623" s="186" t="s">
        <v>1976</v>
      </c>
      <c r="E623" s="187">
        <v>1</v>
      </c>
      <c r="F623" s="267">
        <v>44000</v>
      </c>
      <c r="G623" s="267">
        <v>44000</v>
      </c>
      <c r="H623" s="188" t="s">
        <v>1969</v>
      </c>
      <c r="I623" s="186" t="s">
        <v>1970</v>
      </c>
      <c r="J623" s="188" t="s">
        <v>130</v>
      </c>
      <c r="K623" s="412" t="s">
        <v>1294</v>
      </c>
    </row>
    <row r="624" spans="1:11" hidden="1" x14ac:dyDescent="0.25">
      <c r="A624" s="185">
        <v>17</v>
      </c>
      <c r="B624" s="186" t="s">
        <v>1235</v>
      </c>
      <c r="C624" s="186" t="s">
        <v>1977</v>
      </c>
      <c r="D624" s="186" t="s">
        <v>1978</v>
      </c>
      <c r="E624" s="187">
        <v>1</v>
      </c>
      <c r="F624" s="267">
        <v>4000</v>
      </c>
      <c r="G624" s="267">
        <v>4000</v>
      </c>
      <c r="H624" s="188" t="s">
        <v>1969</v>
      </c>
      <c r="I624" s="186" t="s">
        <v>1970</v>
      </c>
      <c r="J624" s="188" t="s">
        <v>130</v>
      </c>
      <c r="K624" s="412" t="s">
        <v>1294</v>
      </c>
    </row>
    <row r="625" spans="1:11" hidden="1" x14ac:dyDescent="0.25">
      <c r="A625" s="185">
        <v>17</v>
      </c>
      <c r="B625" s="186" t="s">
        <v>1235</v>
      </c>
      <c r="C625" s="186" t="s">
        <v>1979</v>
      </c>
      <c r="D625" s="186" t="s">
        <v>1980</v>
      </c>
      <c r="E625" s="187">
        <v>1</v>
      </c>
      <c r="F625" s="267">
        <v>4000</v>
      </c>
      <c r="G625" s="267">
        <v>4000</v>
      </c>
      <c r="H625" s="188" t="s">
        <v>1981</v>
      </c>
      <c r="I625" s="186" t="s">
        <v>1232</v>
      </c>
      <c r="J625" s="188" t="s">
        <v>130</v>
      </c>
      <c r="K625" s="412" t="s">
        <v>1232</v>
      </c>
    </row>
    <row r="626" spans="1:11" hidden="1" x14ac:dyDescent="0.25">
      <c r="A626" s="185">
        <v>17</v>
      </c>
      <c r="B626" s="186" t="s">
        <v>1658</v>
      </c>
      <c r="C626" s="186" t="s">
        <v>1982</v>
      </c>
      <c r="D626" s="186" t="s">
        <v>1983</v>
      </c>
      <c r="E626" s="187">
        <v>1</v>
      </c>
      <c r="F626" s="267">
        <v>8000</v>
      </c>
      <c r="G626" s="267">
        <v>8000</v>
      </c>
      <c r="H626" s="188" t="s">
        <v>390</v>
      </c>
      <c r="I626" s="186" t="s">
        <v>1940</v>
      </c>
      <c r="J626" s="188" t="s">
        <v>130</v>
      </c>
      <c r="K626" s="412" t="s">
        <v>1294</v>
      </c>
    </row>
    <row r="627" spans="1:11" hidden="1" x14ac:dyDescent="0.25">
      <c r="A627" s="185">
        <v>18</v>
      </c>
      <c r="B627" s="186" t="s">
        <v>1658</v>
      </c>
      <c r="C627" s="186" t="s">
        <v>1117</v>
      </c>
      <c r="D627" s="186" t="s">
        <v>1984</v>
      </c>
      <c r="E627" s="187">
        <v>1</v>
      </c>
      <c r="F627" s="267">
        <v>30000</v>
      </c>
      <c r="G627" s="267">
        <v>30000</v>
      </c>
      <c r="H627" s="188" t="s">
        <v>1985</v>
      </c>
      <c r="I627" s="186" t="s">
        <v>1986</v>
      </c>
      <c r="J627" s="188" t="s">
        <v>130</v>
      </c>
      <c r="K627" s="412" t="s">
        <v>1294</v>
      </c>
    </row>
    <row r="628" spans="1:11" hidden="1" x14ac:dyDescent="0.25">
      <c r="A628" s="185">
        <v>18</v>
      </c>
      <c r="B628" s="186" t="s">
        <v>91</v>
      </c>
      <c r="C628" s="186" t="s">
        <v>748</v>
      </c>
      <c r="D628" s="186" t="s">
        <v>779</v>
      </c>
      <c r="E628" s="187">
        <v>1</v>
      </c>
      <c r="F628" s="267">
        <v>24000</v>
      </c>
      <c r="G628" s="267">
        <v>24000</v>
      </c>
      <c r="H628" s="188" t="s">
        <v>778</v>
      </c>
      <c r="I628" s="186" t="s">
        <v>1921</v>
      </c>
      <c r="J628" s="188" t="s">
        <v>130</v>
      </c>
      <c r="K628" s="412" t="s">
        <v>1252</v>
      </c>
    </row>
    <row r="629" spans="1:11" hidden="1" x14ac:dyDescent="0.25">
      <c r="A629" s="185">
        <v>18</v>
      </c>
      <c r="B629" s="186" t="s">
        <v>1333</v>
      </c>
      <c r="C629" s="186" t="s">
        <v>1918</v>
      </c>
      <c r="D629" s="186" t="s">
        <v>1959</v>
      </c>
      <c r="E629" s="187">
        <v>1</v>
      </c>
      <c r="F629" s="267">
        <v>30000</v>
      </c>
      <c r="G629" s="267">
        <v>30000</v>
      </c>
      <c r="H629" s="188" t="s">
        <v>1960</v>
      </c>
      <c r="I629" s="186" t="s">
        <v>1961</v>
      </c>
      <c r="J629" s="188" t="s">
        <v>130</v>
      </c>
      <c r="K629" s="412" t="s">
        <v>1258</v>
      </c>
    </row>
    <row r="630" spans="1:11" hidden="1" x14ac:dyDescent="0.25">
      <c r="A630" s="185">
        <v>18</v>
      </c>
      <c r="B630" s="186" t="s">
        <v>1768</v>
      </c>
      <c r="C630" s="186" t="s">
        <v>1917</v>
      </c>
      <c r="D630" s="186" t="s">
        <v>1060</v>
      </c>
      <c r="E630" s="187">
        <v>1</v>
      </c>
      <c r="F630" s="267">
        <v>66000</v>
      </c>
      <c r="G630" s="267">
        <v>66000</v>
      </c>
      <c r="H630" s="188" t="s">
        <v>390</v>
      </c>
      <c r="I630" s="186" t="s">
        <v>934</v>
      </c>
      <c r="J630" s="188" t="s">
        <v>130</v>
      </c>
      <c r="K630" s="412" t="s">
        <v>1261</v>
      </c>
    </row>
    <row r="631" spans="1:11" hidden="1" x14ac:dyDescent="0.25">
      <c r="A631" s="185">
        <v>18</v>
      </c>
      <c r="B631" s="186" t="s">
        <v>1768</v>
      </c>
      <c r="C631" s="186" t="s">
        <v>1915</v>
      </c>
      <c r="D631" s="186" t="s">
        <v>1056</v>
      </c>
      <c r="E631" s="187">
        <v>1</v>
      </c>
      <c r="F631" s="267">
        <v>66000</v>
      </c>
      <c r="G631" s="267">
        <v>66000</v>
      </c>
      <c r="H631" s="188" t="s">
        <v>390</v>
      </c>
      <c r="I631" s="186" t="s">
        <v>911</v>
      </c>
      <c r="J631" s="188" t="s">
        <v>130</v>
      </c>
      <c r="K631" s="412" t="s">
        <v>1261</v>
      </c>
    </row>
    <row r="632" spans="1:11" hidden="1" x14ac:dyDescent="0.25">
      <c r="A632" s="185">
        <v>18</v>
      </c>
      <c r="B632" s="186" t="s">
        <v>1267</v>
      </c>
      <c r="C632" s="186" t="s">
        <v>1987</v>
      </c>
      <c r="D632" s="186" t="s">
        <v>1988</v>
      </c>
      <c r="E632" s="187">
        <v>1</v>
      </c>
      <c r="F632" s="267">
        <v>70000</v>
      </c>
      <c r="G632" s="267">
        <v>70000</v>
      </c>
      <c r="H632" s="188" t="s">
        <v>1989</v>
      </c>
      <c r="I632" s="186" t="s">
        <v>1990</v>
      </c>
      <c r="J632" s="188" t="s">
        <v>130</v>
      </c>
      <c r="K632" s="412" t="s">
        <v>1991</v>
      </c>
    </row>
    <row r="633" spans="1:11" hidden="1" x14ac:dyDescent="0.25">
      <c r="A633" s="185">
        <v>18</v>
      </c>
      <c r="B633" s="186" t="s">
        <v>1658</v>
      </c>
      <c r="C633" s="186" t="s">
        <v>1992</v>
      </c>
      <c r="D633" s="186" t="s">
        <v>1993</v>
      </c>
      <c r="E633" s="187">
        <v>1</v>
      </c>
      <c r="F633" s="267">
        <v>8000</v>
      </c>
      <c r="G633" s="267">
        <v>8000</v>
      </c>
      <c r="H633" s="188" t="s">
        <v>1994</v>
      </c>
      <c r="I633" s="186" t="s">
        <v>1995</v>
      </c>
      <c r="J633" s="188" t="s">
        <v>130</v>
      </c>
      <c r="K633" s="412" t="s">
        <v>1294</v>
      </c>
    </row>
    <row r="634" spans="1:11" hidden="1" x14ac:dyDescent="0.25">
      <c r="A634" s="185">
        <v>18</v>
      </c>
      <c r="B634" s="186" t="s">
        <v>1235</v>
      </c>
      <c r="C634" s="186" t="s">
        <v>1236</v>
      </c>
      <c r="D634" s="186" t="s">
        <v>1996</v>
      </c>
      <c r="E634" s="187">
        <v>1</v>
      </c>
      <c r="F634" s="267">
        <v>250000</v>
      </c>
      <c r="G634" s="267">
        <v>250000</v>
      </c>
      <c r="H634" s="188" t="s">
        <v>390</v>
      </c>
      <c r="I634" s="186" t="s">
        <v>1997</v>
      </c>
      <c r="J634" s="188" t="s">
        <v>130</v>
      </c>
      <c r="K634" s="412" t="s">
        <v>1294</v>
      </c>
    </row>
    <row r="635" spans="1:11" hidden="1" x14ac:dyDescent="0.25">
      <c r="A635" s="185">
        <v>18</v>
      </c>
      <c r="B635" s="186" t="s">
        <v>1768</v>
      </c>
      <c r="C635" s="186" t="s">
        <v>1941</v>
      </c>
      <c r="D635" s="186" t="s">
        <v>1036</v>
      </c>
      <c r="E635" s="187">
        <v>1</v>
      </c>
      <c r="F635" s="267">
        <v>66000</v>
      </c>
      <c r="G635" s="267">
        <v>66000</v>
      </c>
      <c r="H635" s="188" t="s">
        <v>390</v>
      </c>
      <c r="I635" s="186" t="s">
        <v>887</v>
      </c>
      <c r="J635" s="188" t="s">
        <v>130</v>
      </c>
      <c r="K635" s="412" t="s">
        <v>1261</v>
      </c>
    </row>
    <row r="636" spans="1:11" hidden="1" x14ac:dyDescent="0.25">
      <c r="A636" s="314">
        <v>15</v>
      </c>
      <c r="B636" s="315" t="s">
        <v>1745</v>
      </c>
      <c r="C636" s="315" t="s">
        <v>1998</v>
      </c>
      <c r="D636" s="315" t="s">
        <v>1999</v>
      </c>
      <c r="E636" s="316">
        <v>1</v>
      </c>
      <c r="F636" s="317">
        <v>11000</v>
      </c>
      <c r="G636" s="318">
        <v>11000</v>
      </c>
      <c r="H636" s="319" t="s">
        <v>1037</v>
      </c>
      <c r="I636" s="315" t="s">
        <v>1231</v>
      </c>
      <c r="J636" s="319" t="s">
        <v>130</v>
      </c>
      <c r="K636" s="412" t="s">
        <v>1038</v>
      </c>
    </row>
    <row r="637" spans="1:11" hidden="1" x14ac:dyDescent="0.25">
      <c r="A637" s="314">
        <v>15</v>
      </c>
      <c r="B637" s="315" t="s">
        <v>1745</v>
      </c>
      <c r="C637" s="315" t="s">
        <v>2000</v>
      </c>
      <c r="D637" s="315" t="s">
        <v>2001</v>
      </c>
      <c r="E637" s="316">
        <v>1</v>
      </c>
      <c r="F637" s="317">
        <v>11000</v>
      </c>
      <c r="G637" s="318">
        <v>11000</v>
      </c>
      <c r="H637" s="319" t="s">
        <v>1037</v>
      </c>
      <c r="I637" s="315" t="s">
        <v>1231</v>
      </c>
      <c r="J637" s="319" t="s">
        <v>130</v>
      </c>
      <c r="K637" s="412" t="s">
        <v>1038</v>
      </c>
    </row>
    <row r="638" spans="1:11" hidden="1" x14ac:dyDescent="0.25">
      <c r="A638" s="314">
        <v>15</v>
      </c>
      <c r="B638" s="315" t="s">
        <v>1745</v>
      </c>
      <c r="C638" s="315" t="s">
        <v>2002</v>
      </c>
      <c r="D638" s="315" t="s">
        <v>2003</v>
      </c>
      <c r="E638" s="316">
        <v>1</v>
      </c>
      <c r="F638" s="317">
        <v>11000</v>
      </c>
      <c r="G638" s="318">
        <v>11000</v>
      </c>
      <c r="H638" s="319" t="s">
        <v>1037</v>
      </c>
      <c r="I638" s="315" t="s">
        <v>1231</v>
      </c>
      <c r="J638" s="319" t="s">
        <v>130</v>
      </c>
      <c r="K638" s="412" t="s">
        <v>1038</v>
      </c>
    </row>
    <row r="639" spans="1:11" hidden="1" x14ac:dyDescent="0.25">
      <c r="A639" s="314">
        <v>15</v>
      </c>
      <c r="B639" s="315" t="s">
        <v>1745</v>
      </c>
      <c r="C639" s="315" t="s">
        <v>2004</v>
      </c>
      <c r="D639" s="315" t="s">
        <v>2005</v>
      </c>
      <c r="E639" s="316">
        <v>1</v>
      </c>
      <c r="F639" s="317">
        <v>63000</v>
      </c>
      <c r="G639" s="318">
        <v>63000</v>
      </c>
      <c r="H639" s="319" t="s">
        <v>1037</v>
      </c>
      <c r="I639" s="315" t="s">
        <v>1231</v>
      </c>
      <c r="J639" s="319" t="s">
        <v>130</v>
      </c>
      <c r="K639" s="412" t="s">
        <v>1038</v>
      </c>
    </row>
    <row r="640" spans="1:11" hidden="1" x14ac:dyDescent="0.25">
      <c r="A640" s="314">
        <v>15</v>
      </c>
      <c r="B640" s="315" t="s">
        <v>1745</v>
      </c>
      <c r="C640" s="315" t="s">
        <v>2006</v>
      </c>
      <c r="D640" s="315" t="s">
        <v>2007</v>
      </c>
      <c r="E640" s="316">
        <v>1</v>
      </c>
      <c r="F640" s="317">
        <v>46500</v>
      </c>
      <c r="G640" s="318">
        <v>46500</v>
      </c>
      <c r="H640" s="319" t="s">
        <v>1037</v>
      </c>
      <c r="I640" s="315" t="s">
        <v>1231</v>
      </c>
      <c r="J640" s="319" t="s">
        <v>130</v>
      </c>
      <c r="K640" s="412" t="s">
        <v>1038</v>
      </c>
    </row>
    <row r="641" spans="1:11" hidden="1" x14ac:dyDescent="0.25">
      <c r="A641" s="314">
        <v>15</v>
      </c>
      <c r="B641" s="315" t="s">
        <v>1745</v>
      </c>
      <c r="C641" s="315" t="s">
        <v>2008</v>
      </c>
      <c r="D641" s="315" t="s">
        <v>2009</v>
      </c>
      <c r="E641" s="316">
        <v>1</v>
      </c>
      <c r="F641" s="317">
        <v>107000</v>
      </c>
      <c r="G641" s="318">
        <v>107000</v>
      </c>
      <c r="H641" s="319" t="s">
        <v>1037</v>
      </c>
      <c r="I641" s="315" t="s">
        <v>1231</v>
      </c>
      <c r="J641" s="319" t="s">
        <v>130</v>
      </c>
      <c r="K641" s="412" t="s">
        <v>1038</v>
      </c>
    </row>
    <row r="642" spans="1:11" hidden="1" x14ac:dyDescent="0.25">
      <c r="A642" s="314">
        <v>14</v>
      </c>
      <c r="B642" s="315" t="s">
        <v>1768</v>
      </c>
      <c r="C642" s="315" t="s">
        <v>2010</v>
      </c>
      <c r="D642" s="315" t="s">
        <v>2011</v>
      </c>
      <c r="E642" s="316">
        <v>1</v>
      </c>
      <c r="F642" s="317">
        <v>16246091</v>
      </c>
      <c r="G642" s="318">
        <v>16246091</v>
      </c>
      <c r="H642" s="319" t="s">
        <v>1019</v>
      </c>
      <c r="I642" s="315" t="s">
        <v>1231</v>
      </c>
      <c r="J642" s="319" t="s">
        <v>130</v>
      </c>
      <c r="K642" s="412" t="s">
        <v>1728</v>
      </c>
    </row>
    <row r="643" spans="1:11" hidden="1" x14ac:dyDescent="0.25">
      <c r="A643" s="314">
        <v>14</v>
      </c>
      <c r="B643" s="315" t="s">
        <v>1768</v>
      </c>
      <c r="C643" s="315" t="s">
        <v>2012</v>
      </c>
      <c r="D643" s="315" t="s">
        <v>2013</v>
      </c>
      <c r="E643" s="316">
        <v>1</v>
      </c>
      <c r="F643" s="317">
        <v>2148094</v>
      </c>
      <c r="G643" s="318">
        <v>2148094</v>
      </c>
      <c r="H643" s="319" t="s">
        <v>1019</v>
      </c>
      <c r="I643" s="315" t="s">
        <v>1231</v>
      </c>
      <c r="J643" s="319" t="s">
        <v>130</v>
      </c>
      <c r="K643" s="412" t="s">
        <v>1728</v>
      </c>
    </row>
    <row r="644" spans="1:11" hidden="1" x14ac:dyDescent="0.25">
      <c r="A644" s="314">
        <v>16</v>
      </c>
      <c r="B644" s="315" t="s">
        <v>1230</v>
      </c>
      <c r="C644" s="315" t="s">
        <v>271</v>
      </c>
      <c r="D644" s="315" t="s">
        <v>436</v>
      </c>
      <c r="E644" s="316">
        <v>5</v>
      </c>
      <c r="F644" s="317">
        <v>24000</v>
      </c>
      <c r="G644" s="318">
        <v>120000</v>
      </c>
      <c r="H644" s="319" t="s">
        <v>435</v>
      </c>
      <c r="I644" s="315" t="s">
        <v>1231</v>
      </c>
      <c r="J644" s="319" t="s">
        <v>130</v>
      </c>
      <c r="K644" s="412" t="s">
        <v>1247</v>
      </c>
    </row>
    <row r="645" spans="1:11" hidden="1" x14ac:dyDescent="0.25">
      <c r="A645" s="314">
        <v>16</v>
      </c>
      <c r="B645" s="315" t="s">
        <v>1230</v>
      </c>
      <c r="C645" s="315" t="s">
        <v>267</v>
      </c>
      <c r="D645" s="315" t="s">
        <v>437</v>
      </c>
      <c r="E645" s="316">
        <v>4.9050000000000002</v>
      </c>
      <c r="F645" s="317">
        <v>55000</v>
      </c>
      <c r="G645" s="318">
        <v>269775</v>
      </c>
      <c r="H645" s="319" t="s">
        <v>435</v>
      </c>
      <c r="I645" s="315" t="s">
        <v>1231</v>
      </c>
      <c r="J645" s="319" t="s">
        <v>130</v>
      </c>
      <c r="K645" s="412" t="s">
        <v>1247</v>
      </c>
    </row>
    <row r="646" spans="1:11" hidden="1" x14ac:dyDescent="0.25">
      <c r="A646" s="314">
        <v>17</v>
      </c>
      <c r="B646" s="315" t="s">
        <v>1230</v>
      </c>
      <c r="C646" s="315" t="s">
        <v>214</v>
      </c>
      <c r="D646" s="315" t="s">
        <v>442</v>
      </c>
      <c r="E646" s="316">
        <v>22.71</v>
      </c>
      <c r="F646" s="317">
        <v>25900</v>
      </c>
      <c r="G646" s="318">
        <v>588189</v>
      </c>
      <c r="H646" s="319" t="s">
        <v>441</v>
      </c>
      <c r="I646" s="315" t="s">
        <v>1231</v>
      </c>
      <c r="J646" s="319" t="s">
        <v>130</v>
      </c>
      <c r="K646" s="412" t="s">
        <v>1266</v>
      </c>
    </row>
    <row r="647" spans="1:11" hidden="1" x14ac:dyDescent="0.25">
      <c r="A647" s="314">
        <v>17</v>
      </c>
      <c r="B647" s="315" t="s">
        <v>1230</v>
      </c>
      <c r="C647" s="315" t="s">
        <v>443</v>
      </c>
      <c r="D647" s="315" t="s">
        <v>444</v>
      </c>
      <c r="E647" s="316">
        <v>25.2</v>
      </c>
      <c r="F647" s="317">
        <v>23900</v>
      </c>
      <c r="G647" s="318">
        <v>602280</v>
      </c>
      <c r="H647" s="319" t="s">
        <v>441</v>
      </c>
      <c r="I647" s="315" t="s">
        <v>1231</v>
      </c>
      <c r="J647" s="319" t="s">
        <v>130</v>
      </c>
      <c r="K647" s="412" t="s">
        <v>1266</v>
      </c>
    </row>
    <row r="648" spans="1:11" hidden="1" x14ac:dyDescent="0.25">
      <c r="A648" s="314">
        <v>17</v>
      </c>
      <c r="B648" s="315" t="s">
        <v>1658</v>
      </c>
      <c r="C648" s="315" t="s">
        <v>2014</v>
      </c>
      <c r="D648" s="315" t="s">
        <v>2015</v>
      </c>
      <c r="E648" s="316">
        <v>8</v>
      </c>
      <c r="F648" s="317">
        <v>17500</v>
      </c>
      <c r="G648" s="318">
        <v>140000</v>
      </c>
      <c r="H648" s="319" t="s">
        <v>441</v>
      </c>
      <c r="I648" s="315" t="s">
        <v>1231</v>
      </c>
      <c r="J648" s="319" t="s">
        <v>130</v>
      </c>
      <c r="K648" s="412" t="s">
        <v>1266</v>
      </c>
    </row>
    <row r="649" spans="1:11" hidden="1" x14ac:dyDescent="0.25">
      <c r="A649" s="314">
        <v>17</v>
      </c>
      <c r="B649" s="315" t="s">
        <v>1230</v>
      </c>
      <c r="C649" s="315" t="s">
        <v>445</v>
      </c>
      <c r="D649" s="315" t="s">
        <v>446</v>
      </c>
      <c r="E649" s="316">
        <v>13.55</v>
      </c>
      <c r="F649" s="317">
        <v>44000</v>
      </c>
      <c r="G649" s="318">
        <v>596200</v>
      </c>
      <c r="H649" s="319" t="s">
        <v>441</v>
      </c>
      <c r="I649" s="315" t="s">
        <v>1231</v>
      </c>
      <c r="J649" s="319" t="s">
        <v>130</v>
      </c>
      <c r="K649" s="412" t="s">
        <v>1266</v>
      </c>
    </row>
    <row r="650" spans="1:11" hidden="1" x14ac:dyDescent="0.25">
      <c r="A650" s="314">
        <v>17</v>
      </c>
      <c r="B650" s="315" t="s">
        <v>1230</v>
      </c>
      <c r="C650" s="315" t="s">
        <v>447</v>
      </c>
      <c r="D650" s="315" t="s">
        <v>448</v>
      </c>
      <c r="E650" s="316">
        <v>10.7</v>
      </c>
      <c r="F650" s="317">
        <v>44000</v>
      </c>
      <c r="G650" s="318">
        <v>470800</v>
      </c>
      <c r="H650" s="319" t="s">
        <v>441</v>
      </c>
      <c r="I650" s="315" t="s">
        <v>1231</v>
      </c>
      <c r="J650" s="319" t="s">
        <v>130</v>
      </c>
      <c r="K650" s="412" t="s">
        <v>1266</v>
      </c>
    </row>
    <row r="651" spans="1:11" hidden="1" x14ac:dyDescent="0.25">
      <c r="A651" s="314">
        <v>17</v>
      </c>
      <c r="B651" s="315" t="s">
        <v>1230</v>
      </c>
      <c r="C651" s="315" t="s">
        <v>449</v>
      </c>
      <c r="D651" s="315" t="s">
        <v>450</v>
      </c>
      <c r="E651" s="316">
        <v>70.2</v>
      </c>
      <c r="F651" s="317">
        <v>21900</v>
      </c>
      <c r="G651" s="318">
        <v>1537380</v>
      </c>
      <c r="H651" s="319" t="s">
        <v>441</v>
      </c>
      <c r="I651" s="315" t="s">
        <v>1231</v>
      </c>
      <c r="J651" s="319" t="s">
        <v>130</v>
      </c>
      <c r="K651" s="412" t="s">
        <v>1266</v>
      </c>
    </row>
    <row r="652" spans="1:11" hidden="1" x14ac:dyDescent="0.25">
      <c r="A652" s="314">
        <v>17</v>
      </c>
      <c r="B652" s="315" t="s">
        <v>1230</v>
      </c>
      <c r="C652" s="315" t="s">
        <v>451</v>
      </c>
      <c r="D652" s="315" t="s">
        <v>452</v>
      </c>
      <c r="E652" s="316">
        <v>27.6</v>
      </c>
      <c r="F652" s="317">
        <v>14500</v>
      </c>
      <c r="G652" s="318">
        <v>400200</v>
      </c>
      <c r="H652" s="319" t="s">
        <v>441</v>
      </c>
      <c r="I652" s="315" t="s">
        <v>1231</v>
      </c>
      <c r="J652" s="319" t="s">
        <v>130</v>
      </c>
      <c r="K652" s="412" t="s">
        <v>1266</v>
      </c>
    </row>
    <row r="653" spans="1:11" hidden="1" x14ac:dyDescent="0.25">
      <c r="A653" s="314">
        <v>17</v>
      </c>
      <c r="B653" s="315" t="s">
        <v>1230</v>
      </c>
      <c r="C653" s="315" t="s">
        <v>454</v>
      </c>
      <c r="D653" s="315" t="s">
        <v>455</v>
      </c>
      <c r="E653" s="316">
        <v>43.5</v>
      </c>
      <c r="F653" s="317">
        <v>6500</v>
      </c>
      <c r="G653" s="318">
        <v>282750</v>
      </c>
      <c r="H653" s="319" t="s">
        <v>453</v>
      </c>
      <c r="I653" s="315" t="s">
        <v>1231</v>
      </c>
      <c r="J653" s="319" t="s">
        <v>130</v>
      </c>
      <c r="K653" s="412" t="s">
        <v>2016</v>
      </c>
    </row>
    <row r="654" spans="1:11" hidden="1" x14ac:dyDescent="0.25">
      <c r="A654" s="314">
        <v>17</v>
      </c>
      <c r="B654" s="315" t="s">
        <v>1235</v>
      </c>
      <c r="C654" s="315" t="s">
        <v>2017</v>
      </c>
      <c r="D654" s="315" t="s">
        <v>2018</v>
      </c>
      <c r="E654" s="316">
        <v>2.8</v>
      </c>
      <c r="F654" s="317">
        <v>15000</v>
      </c>
      <c r="G654" s="318">
        <v>42000</v>
      </c>
      <c r="H654" s="319" t="s">
        <v>2019</v>
      </c>
      <c r="I654" s="315" t="s">
        <v>1231</v>
      </c>
      <c r="J654" s="319" t="s">
        <v>130</v>
      </c>
      <c r="K654" s="412" t="s">
        <v>1734</v>
      </c>
    </row>
    <row r="655" spans="1:11" hidden="1" x14ac:dyDescent="0.25">
      <c r="A655" s="314">
        <v>17</v>
      </c>
      <c r="B655" s="315" t="s">
        <v>1235</v>
      </c>
      <c r="C655" s="315" t="s">
        <v>2020</v>
      </c>
      <c r="D655" s="315" t="s">
        <v>2021</v>
      </c>
      <c r="E655" s="316">
        <v>3</v>
      </c>
      <c r="F655" s="317">
        <v>9000</v>
      </c>
      <c r="G655" s="318">
        <v>27000</v>
      </c>
      <c r="H655" s="319" t="s">
        <v>2019</v>
      </c>
      <c r="I655" s="315" t="s">
        <v>1231</v>
      </c>
      <c r="J655" s="319" t="s">
        <v>130</v>
      </c>
      <c r="K655" s="412" t="s">
        <v>1734</v>
      </c>
    </row>
    <row r="656" spans="1:11" hidden="1" x14ac:dyDescent="0.25">
      <c r="A656" s="314">
        <v>17</v>
      </c>
      <c r="B656" s="315" t="s">
        <v>1235</v>
      </c>
      <c r="C656" s="315" t="s">
        <v>1791</v>
      </c>
      <c r="D656" s="315" t="s">
        <v>2022</v>
      </c>
      <c r="E656" s="316">
        <v>1</v>
      </c>
      <c r="F656" s="317">
        <v>10000</v>
      </c>
      <c r="G656" s="318">
        <v>10000</v>
      </c>
      <c r="H656" s="319" t="s">
        <v>2019</v>
      </c>
      <c r="I656" s="315" t="s">
        <v>1231</v>
      </c>
      <c r="J656" s="319" t="s">
        <v>130</v>
      </c>
      <c r="K656" s="412" t="s">
        <v>1734</v>
      </c>
    </row>
    <row r="657" spans="1:11" hidden="1" x14ac:dyDescent="0.25">
      <c r="A657" s="314">
        <v>17</v>
      </c>
      <c r="B657" s="315" t="s">
        <v>1235</v>
      </c>
      <c r="C657" s="315" t="s">
        <v>1880</v>
      </c>
      <c r="D657" s="315" t="s">
        <v>2023</v>
      </c>
      <c r="E657" s="316">
        <v>9.1</v>
      </c>
      <c r="F657" s="317">
        <v>7800</v>
      </c>
      <c r="G657" s="318">
        <v>70980</v>
      </c>
      <c r="H657" s="319" t="s">
        <v>2019</v>
      </c>
      <c r="I657" s="315" t="s">
        <v>1231</v>
      </c>
      <c r="J657" s="319" t="s">
        <v>130</v>
      </c>
      <c r="K657" s="412" t="s">
        <v>1734</v>
      </c>
    </row>
    <row r="658" spans="1:11" hidden="1" x14ac:dyDescent="0.25">
      <c r="A658" s="314">
        <v>17</v>
      </c>
      <c r="B658" s="315" t="s">
        <v>1235</v>
      </c>
      <c r="C658" s="315" t="s">
        <v>1556</v>
      </c>
      <c r="D658" s="315" t="s">
        <v>2024</v>
      </c>
      <c r="E658" s="316">
        <v>11.4</v>
      </c>
      <c r="F658" s="317">
        <v>2000</v>
      </c>
      <c r="G658" s="318">
        <v>22800</v>
      </c>
      <c r="H658" s="319" t="s">
        <v>2019</v>
      </c>
      <c r="I658" s="315" t="s">
        <v>1231</v>
      </c>
      <c r="J658" s="319" t="s">
        <v>130</v>
      </c>
      <c r="K658" s="412" t="s">
        <v>1734</v>
      </c>
    </row>
    <row r="659" spans="1:11" hidden="1" x14ac:dyDescent="0.25">
      <c r="A659" s="314">
        <v>17</v>
      </c>
      <c r="B659" s="315" t="s">
        <v>1235</v>
      </c>
      <c r="C659" s="315" t="s">
        <v>2025</v>
      </c>
      <c r="D659" s="315" t="s">
        <v>2026</v>
      </c>
      <c r="E659" s="316">
        <v>100</v>
      </c>
      <c r="F659" s="317">
        <v>2800</v>
      </c>
      <c r="G659" s="318">
        <v>280000</v>
      </c>
      <c r="H659" s="319" t="s">
        <v>2019</v>
      </c>
      <c r="I659" s="315" t="s">
        <v>1231</v>
      </c>
      <c r="J659" s="319" t="s">
        <v>130</v>
      </c>
      <c r="K659" s="412" t="s">
        <v>1734</v>
      </c>
    </row>
    <row r="660" spans="1:11" hidden="1" x14ac:dyDescent="0.25">
      <c r="A660" s="314">
        <v>17</v>
      </c>
      <c r="B660" s="315" t="s">
        <v>1235</v>
      </c>
      <c r="C660" s="315" t="s">
        <v>2027</v>
      </c>
      <c r="D660" s="315" t="s">
        <v>2028</v>
      </c>
      <c r="E660" s="316">
        <v>1</v>
      </c>
      <c r="F660" s="317">
        <v>60000</v>
      </c>
      <c r="G660" s="318">
        <v>60000</v>
      </c>
      <c r="H660" s="319" t="s">
        <v>2019</v>
      </c>
      <c r="I660" s="315" t="s">
        <v>1231</v>
      </c>
      <c r="J660" s="319" t="s">
        <v>130</v>
      </c>
      <c r="K660" s="412" t="s">
        <v>1734</v>
      </c>
    </row>
    <row r="661" spans="1:11" hidden="1" x14ac:dyDescent="0.25">
      <c r="A661" s="314">
        <v>17</v>
      </c>
      <c r="B661" s="315" t="s">
        <v>1235</v>
      </c>
      <c r="C661" s="315" t="s">
        <v>2029</v>
      </c>
      <c r="D661" s="315" t="s">
        <v>2030</v>
      </c>
      <c r="E661" s="316">
        <v>51.3</v>
      </c>
      <c r="F661" s="317">
        <v>1400</v>
      </c>
      <c r="G661" s="318">
        <v>71820</v>
      </c>
      <c r="H661" s="319" t="s">
        <v>2019</v>
      </c>
      <c r="I661" s="315" t="s">
        <v>1231</v>
      </c>
      <c r="J661" s="319" t="s">
        <v>130</v>
      </c>
      <c r="K661" s="412" t="s">
        <v>1734</v>
      </c>
    </row>
    <row r="662" spans="1:11" hidden="1" x14ac:dyDescent="0.25">
      <c r="A662" s="314">
        <v>17</v>
      </c>
      <c r="B662" s="315" t="s">
        <v>1235</v>
      </c>
      <c r="C662" s="315" t="s">
        <v>2031</v>
      </c>
      <c r="D662" s="315" t="s">
        <v>2032</v>
      </c>
      <c r="E662" s="316">
        <v>1</v>
      </c>
      <c r="F662" s="317">
        <v>130000</v>
      </c>
      <c r="G662" s="318">
        <v>130000</v>
      </c>
      <c r="H662" s="319" t="s">
        <v>2019</v>
      </c>
      <c r="I662" s="315" t="s">
        <v>1231</v>
      </c>
      <c r="J662" s="319" t="s">
        <v>130</v>
      </c>
      <c r="K662" s="412" t="s">
        <v>1734</v>
      </c>
    </row>
    <row r="663" spans="1:11" hidden="1" x14ac:dyDescent="0.25">
      <c r="A663" s="314">
        <v>17</v>
      </c>
      <c r="B663" s="315" t="s">
        <v>1235</v>
      </c>
      <c r="C663" s="315" t="s">
        <v>2033</v>
      </c>
      <c r="D663" s="315" t="s">
        <v>2034</v>
      </c>
      <c r="E663" s="316">
        <v>70</v>
      </c>
      <c r="F663" s="317">
        <v>1400</v>
      </c>
      <c r="G663" s="318">
        <v>98000</v>
      </c>
      <c r="H663" s="319" t="s">
        <v>2019</v>
      </c>
      <c r="I663" s="315" t="s">
        <v>1231</v>
      </c>
      <c r="J663" s="319" t="s">
        <v>130</v>
      </c>
      <c r="K663" s="412" t="s">
        <v>1734</v>
      </c>
    </row>
    <row r="664" spans="1:11" hidden="1" x14ac:dyDescent="0.25">
      <c r="A664" s="314">
        <v>17</v>
      </c>
      <c r="B664" s="315" t="s">
        <v>1235</v>
      </c>
      <c r="C664" s="315" t="s">
        <v>2035</v>
      </c>
      <c r="D664" s="315" t="s">
        <v>2036</v>
      </c>
      <c r="E664" s="316">
        <v>3</v>
      </c>
      <c r="F664" s="317">
        <v>28000</v>
      </c>
      <c r="G664" s="318">
        <v>84000</v>
      </c>
      <c r="H664" s="319" t="s">
        <v>2037</v>
      </c>
      <c r="I664" s="315" t="s">
        <v>1231</v>
      </c>
      <c r="J664" s="319" t="s">
        <v>130</v>
      </c>
      <c r="K664" s="412" t="s">
        <v>1734</v>
      </c>
    </row>
    <row r="665" spans="1:11" hidden="1" x14ac:dyDescent="0.25">
      <c r="A665" s="314">
        <v>17</v>
      </c>
      <c r="B665" s="315" t="s">
        <v>1235</v>
      </c>
      <c r="C665" s="315" t="s">
        <v>2038</v>
      </c>
      <c r="D665" s="315" t="s">
        <v>2039</v>
      </c>
      <c r="E665" s="316">
        <v>17.3</v>
      </c>
      <c r="F665" s="317">
        <v>4000</v>
      </c>
      <c r="G665" s="318">
        <v>69200</v>
      </c>
      <c r="H665" s="319" t="s">
        <v>2037</v>
      </c>
      <c r="I665" s="315" t="s">
        <v>1231</v>
      </c>
      <c r="J665" s="319" t="s">
        <v>130</v>
      </c>
      <c r="K665" s="412" t="s">
        <v>1734</v>
      </c>
    </row>
    <row r="666" spans="1:11" hidden="1" x14ac:dyDescent="0.25">
      <c r="A666" s="314">
        <v>17</v>
      </c>
      <c r="B666" s="315" t="s">
        <v>1235</v>
      </c>
      <c r="C666" s="315" t="s">
        <v>2040</v>
      </c>
      <c r="D666" s="315" t="s">
        <v>2041</v>
      </c>
      <c r="E666" s="316">
        <v>4.2</v>
      </c>
      <c r="F666" s="317">
        <v>3000</v>
      </c>
      <c r="G666" s="318">
        <v>12600</v>
      </c>
      <c r="H666" s="319" t="s">
        <v>2037</v>
      </c>
      <c r="I666" s="315" t="s">
        <v>1231</v>
      </c>
      <c r="J666" s="319" t="s">
        <v>130</v>
      </c>
      <c r="K666" s="412" t="s">
        <v>1734</v>
      </c>
    </row>
    <row r="667" spans="1:11" hidden="1" x14ac:dyDescent="0.25">
      <c r="A667" s="314">
        <v>17</v>
      </c>
      <c r="B667" s="315" t="s">
        <v>1235</v>
      </c>
      <c r="C667" s="315" t="s">
        <v>2029</v>
      </c>
      <c r="D667" s="315" t="s">
        <v>2042</v>
      </c>
      <c r="E667" s="316">
        <v>70.5</v>
      </c>
      <c r="F667" s="317">
        <v>1400</v>
      </c>
      <c r="G667" s="318">
        <v>98700</v>
      </c>
      <c r="H667" s="319" t="s">
        <v>2037</v>
      </c>
      <c r="I667" s="315" t="s">
        <v>1231</v>
      </c>
      <c r="J667" s="319" t="s">
        <v>130</v>
      </c>
      <c r="K667" s="412" t="s">
        <v>1734</v>
      </c>
    </row>
    <row r="668" spans="1:11" hidden="1" x14ac:dyDescent="0.25">
      <c r="A668" s="314">
        <v>17</v>
      </c>
      <c r="B668" s="315" t="s">
        <v>1235</v>
      </c>
      <c r="C668" s="315" t="s">
        <v>2043</v>
      </c>
      <c r="D668" s="315" t="s">
        <v>2044</v>
      </c>
      <c r="E668" s="316">
        <v>15.8</v>
      </c>
      <c r="F668" s="317">
        <v>3500</v>
      </c>
      <c r="G668" s="318">
        <v>55300</v>
      </c>
      <c r="H668" s="319" t="s">
        <v>2037</v>
      </c>
      <c r="I668" s="315" t="s">
        <v>1231</v>
      </c>
      <c r="J668" s="319" t="s">
        <v>130</v>
      </c>
      <c r="K668" s="412" t="s">
        <v>1734</v>
      </c>
    </row>
    <row r="669" spans="1:11" hidden="1" x14ac:dyDescent="0.25">
      <c r="A669" s="314">
        <v>17</v>
      </c>
      <c r="B669" s="315" t="s">
        <v>1235</v>
      </c>
      <c r="C669" s="315" t="s">
        <v>2025</v>
      </c>
      <c r="D669" s="315" t="s">
        <v>2045</v>
      </c>
      <c r="E669" s="316">
        <v>50</v>
      </c>
      <c r="F669" s="317">
        <v>2500</v>
      </c>
      <c r="G669" s="318">
        <v>125000</v>
      </c>
      <c r="H669" s="319" t="s">
        <v>2037</v>
      </c>
      <c r="I669" s="315" t="s">
        <v>1231</v>
      </c>
      <c r="J669" s="319" t="s">
        <v>130</v>
      </c>
      <c r="K669" s="412" t="s">
        <v>1734</v>
      </c>
    </row>
    <row r="670" spans="1:11" hidden="1" x14ac:dyDescent="0.25">
      <c r="A670" s="314">
        <v>17</v>
      </c>
      <c r="B670" s="315" t="s">
        <v>1235</v>
      </c>
      <c r="C670" s="315" t="s">
        <v>2020</v>
      </c>
      <c r="D670" s="315" t="s">
        <v>2046</v>
      </c>
      <c r="E670" s="316">
        <v>3</v>
      </c>
      <c r="F670" s="317">
        <v>9000</v>
      </c>
      <c r="G670" s="318">
        <v>27000</v>
      </c>
      <c r="H670" s="319" t="s">
        <v>2037</v>
      </c>
      <c r="I670" s="315" t="s">
        <v>1231</v>
      </c>
      <c r="J670" s="319" t="s">
        <v>130</v>
      </c>
      <c r="K670" s="412" t="s">
        <v>1734</v>
      </c>
    </row>
    <row r="671" spans="1:11" hidden="1" x14ac:dyDescent="0.25">
      <c r="A671" s="314">
        <v>17</v>
      </c>
      <c r="B671" s="315" t="s">
        <v>1235</v>
      </c>
      <c r="C671" s="315" t="s">
        <v>1542</v>
      </c>
      <c r="D671" s="315" t="s">
        <v>2047</v>
      </c>
      <c r="E671" s="316">
        <v>2</v>
      </c>
      <c r="F671" s="317">
        <v>10000</v>
      </c>
      <c r="G671" s="318">
        <v>20000</v>
      </c>
      <c r="H671" s="319" t="s">
        <v>2037</v>
      </c>
      <c r="I671" s="315" t="s">
        <v>1231</v>
      </c>
      <c r="J671" s="319" t="s">
        <v>130</v>
      </c>
      <c r="K671" s="412" t="s">
        <v>1734</v>
      </c>
    </row>
    <row r="672" spans="1:11" hidden="1" x14ac:dyDescent="0.25">
      <c r="A672" s="314">
        <v>17</v>
      </c>
      <c r="B672" s="315" t="s">
        <v>1235</v>
      </c>
      <c r="C672" s="315" t="s">
        <v>2048</v>
      </c>
      <c r="D672" s="315" t="s">
        <v>2049</v>
      </c>
      <c r="E672" s="316">
        <v>48.4</v>
      </c>
      <c r="F672" s="317">
        <v>1800</v>
      </c>
      <c r="G672" s="318">
        <v>87120</v>
      </c>
      <c r="H672" s="319" t="s">
        <v>2037</v>
      </c>
      <c r="I672" s="315" t="s">
        <v>1231</v>
      </c>
      <c r="J672" s="319" t="s">
        <v>130</v>
      </c>
      <c r="K672" s="412" t="s">
        <v>1734</v>
      </c>
    </row>
    <row r="673" spans="1:11" hidden="1" x14ac:dyDescent="0.25">
      <c r="A673" s="314">
        <v>17</v>
      </c>
      <c r="B673" s="315" t="s">
        <v>1235</v>
      </c>
      <c r="C673" s="315" t="s">
        <v>2050</v>
      </c>
      <c r="D673" s="315" t="s">
        <v>2051</v>
      </c>
      <c r="E673" s="316">
        <v>3.8</v>
      </c>
      <c r="F673" s="317">
        <v>7000</v>
      </c>
      <c r="G673" s="318">
        <v>26600</v>
      </c>
      <c r="H673" s="319" t="s">
        <v>2037</v>
      </c>
      <c r="I673" s="315" t="s">
        <v>1231</v>
      </c>
      <c r="J673" s="319" t="s">
        <v>130</v>
      </c>
      <c r="K673" s="412" t="s">
        <v>1734</v>
      </c>
    </row>
    <row r="674" spans="1:11" hidden="1" x14ac:dyDescent="0.25">
      <c r="A674" s="314">
        <v>17</v>
      </c>
      <c r="B674" s="315" t="s">
        <v>1235</v>
      </c>
      <c r="C674" s="315" t="s">
        <v>2052</v>
      </c>
      <c r="D674" s="315" t="s">
        <v>2053</v>
      </c>
      <c r="E674" s="316">
        <v>3.9</v>
      </c>
      <c r="F674" s="317">
        <v>7000</v>
      </c>
      <c r="G674" s="318">
        <v>27300</v>
      </c>
      <c r="H674" s="319" t="s">
        <v>2037</v>
      </c>
      <c r="I674" s="315" t="s">
        <v>1231</v>
      </c>
      <c r="J674" s="319" t="s">
        <v>130</v>
      </c>
      <c r="K674" s="412" t="s">
        <v>1734</v>
      </c>
    </row>
    <row r="675" spans="1:11" hidden="1" x14ac:dyDescent="0.25">
      <c r="A675" s="314">
        <v>17</v>
      </c>
      <c r="B675" s="315" t="s">
        <v>1235</v>
      </c>
      <c r="C675" s="315" t="s">
        <v>2027</v>
      </c>
      <c r="D675" s="315" t="s">
        <v>2054</v>
      </c>
      <c r="E675" s="316">
        <v>1</v>
      </c>
      <c r="F675" s="317">
        <v>60000</v>
      </c>
      <c r="G675" s="318">
        <v>60000</v>
      </c>
      <c r="H675" s="319" t="s">
        <v>2037</v>
      </c>
      <c r="I675" s="315" t="s">
        <v>1231</v>
      </c>
      <c r="J675" s="319" t="s">
        <v>130</v>
      </c>
      <c r="K675" s="412" t="s">
        <v>1734</v>
      </c>
    </row>
    <row r="676" spans="1:11" hidden="1" x14ac:dyDescent="0.25">
      <c r="A676" s="314">
        <v>17</v>
      </c>
      <c r="B676" s="315" t="s">
        <v>1235</v>
      </c>
      <c r="C676" s="315" t="s">
        <v>2033</v>
      </c>
      <c r="D676" s="315" t="s">
        <v>2055</v>
      </c>
      <c r="E676" s="316">
        <v>61</v>
      </c>
      <c r="F676" s="317">
        <v>1400</v>
      </c>
      <c r="G676" s="318">
        <v>85400</v>
      </c>
      <c r="H676" s="319" t="s">
        <v>2037</v>
      </c>
      <c r="I676" s="315" t="s">
        <v>1231</v>
      </c>
      <c r="J676" s="319" t="s">
        <v>130</v>
      </c>
      <c r="K676" s="412" t="s">
        <v>1734</v>
      </c>
    </row>
    <row r="677" spans="1:11" hidden="1" x14ac:dyDescent="0.25">
      <c r="A677" s="314">
        <v>17</v>
      </c>
      <c r="B677" s="315" t="s">
        <v>1235</v>
      </c>
      <c r="C677" s="315" t="s">
        <v>2031</v>
      </c>
      <c r="D677" s="315" t="s">
        <v>2056</v>
      </c>
      <c r="E677" s="316">
        <v>1</v>
      </c>
      <c r="F677" s="317">
        <v>115000</v>
      </c>
      <c r="G677" s="318">
        <v>115000</v>
      </c>
      <c r="H677" s="319" t="s">
        <v>2037</v>
      </c>
      <c r="I677" s="315" t="s">
        <v>1231</v>
      </c>
      <c r="J677" s="319" t="s">
        <v>130</v>
      </c>
      <c r="K677" s="412" t="s">
        <v>1734</v>
      </c>
    </row>
    <row r="678" spans="1:11" hidden="1" x14ac:dyDescent="0.25">
      <c r="A678" s="314">
        <v>17</v>
      </c>
      <c r="B678" s="315" t="s">
        <v>1235</v>
      </c>
      <c r="C678" s="315" t="s">
        <v>1556</v>
      </c>
      <c r="D678" s="315" t="s">
        <v>2057</v>
      </c>
      <c r="E678" s="316">
        <v>8.1</v>
      </c>
      <c r="F678" s="317">
        <v>2000</v>
      </c>
      <c r="G678" s="318">
        <v>16200</v>
      </c>
      <c r="H678" s="319" t="s">
        <v>2037</v>
      </c>
      <c r="I678" s="315" t="s">
        <v>1231</v>
      </c>
      <c r="J678" s="319" t="s">
        <v>130</v>
      </c>
      <c r="K678" s="412" t="s">
        <v>1734</v>
      </c>
    </row>
    <row r="679" spans="1:11" hidden="1" x14ac:dyDescent="0.25">
      <c r="A679" s="314">
        <v>17</v>
      </c>
      <c r="B679" s="315" t="s">
        <v>1235</v>
      </c>
      <c r="C679" s="315" t="s">
        <v>1795</v>
      </c>
      <c r="D679" s="315" t="s">
        <v>2058</v>
      </c>
      <c r="E679" s="316">
        <v>2</v>
      </c>
      <c r="F679" s="317">
        <v>3000</v>
      </c>
      <c r="G679" s="318">
        <v>6000</v>
      </c>
      <c r="H679" s="319" t="s">
        <v>2037</v>
      </c>
      <c r="I679" s="315" t="s">
        <v>1231</v>
      </c>
      <c r="J679" s="319" t="s">
        <v>130</v>
      </c>
      <c r="K679" s="412" t="s">
        <v>1734</v>
      </c>
    </row>
    <row r="680" spans="1:11" hidden="1" x14ac:dyDescent="0.25">
      <c r="A680" s="314">
        <v>17</v>
      </c>
      <c r="B680" s="315" t="s">
        <v>1235</v>
      </c>
      <c r="C680" s="315" t="s">
        <v>2059</v>
      </c>
      <c r="D680" s="315" t="s">
        <v>2060</v>
      </c>
      <c r="E680" s="316">
        <v>3</v>
      </c>
      <c r="F680" s="317">
        <v>2000</v>
      </c>
      <c r="G680" s="318">
        <v>6000</v>
      </c>
      <c r="H680" s="319" t="s">
        <v>2037</v>
      </c>
      <c r="I680" s="315" t="s">
        <v>1231</v>
      </c>
      <c r="J680" s="319" t="s">
        <v>130</v>
      </c>
      <c r="K680" s="412" t="s">
        <v>1734</v>
      </c>
    </row>
    <row r="681" spans="1:11" hidden="1" x14ac:dyDescent="0.25">
      <c r="A681" s="314">
        <v>17</v>
      </c>
      <c r="B681" s="315" t="s">
        <v>1235</v>
      </c>
      <c r="C681" s="315" t="s">
        <v>2061</v>
      </c>
      <c r="D681" s="315" t="s">
        <v>2062</v>
      </c>
      <c r="E681" s="316">
        <v>3.3</v>
      </c>
      <c r="F681" s="317">
        <v>4500</v>
      </c>
      <c r="G681" s="318">
        <v>14850</v>
      </c>
      <c r="H681" s="319" t="s">
        <v>2037</v>
      </c>
      <c r="I681" s="315" t="s">
        <v>1231</v>
      </c>
      <c r="J681" s="319" t="s">
        <v>130</v>
      </c>
      <c r="K681" s="412" t="s">
        <v>1734</v>
      </c>
    </row>
    <row r="682" spans="1:11" hidden="1" x14ac:dyDescent="0.25">
      <c r="A682" s="314">
        <v>17</v>
      </c>
      <c r="B682" s="315" t="s">
        <v>1235</v>
      </c>
      <c r="C682" s="315" t="s">
        <v>2063</v>
      </c>
      <c r="D682" s="315" t="s">
        <v>2064</v>
      </c>
      <c r="E682" s="316">
        <v>4.2</v>
      </c>
      <c r="F682" s="317">
        <v>5800</v>
      </c>
      <c r="G682" s="318">
        <v>24360</v>
      </c>
      <c r="H682" s="319" t="s">
        <v>2037</v>
      </c>
      <c r="I682" s="315" t="s">
        <v>1231</v>
      </c>
      <c r="J682" s="319" t="s">
        <v>130</v>
      </c>
      <c r="K682" s="412" t="s">
        <v>1734</v>
      </c>
    </row>
    <row r="683" spans="1:11" hidden="1" x14ac:dyDescent="0.25">
      <c r="A683" s="314">
        <v>17</v>
      </c>
      <c r="B683" s="315" t="s">
        <v>1230</v>
      </c>
      <c r="C683" s="315" t="s">
        <v>457</v>
      </c>
      <c r="D683" s="315" t="s">
        <v>458</v>
      </c>
      <c r="E683" s="316">
        <v>5</v>
      </c>
      <c r="F683" s="317">
        <v>21500</v>
      </c>
      <c r="G683" s="318">
        <v>107500</v>
      </c>
      <c r="H683" s="422" t="s">
        <v>456</v>
      </c>
      <c r="I683" s="315" t="s">
        <v>1231</v>
      </c>
      <c r="J683" s="319" t="s">
        <v>130</v>
      </c>
      <c r="K683" s="412" t="s">
        <v>1344</v>
      </c>
    </row>
    <row r="684" spans="1:11" hidden="1" x14ac:dyDescent="0.25">
      <c r="A684" s="320">
        <v>14</v>
      </c>
      <c r="B684" s="321" t="s">
        <v>1235</v>
      </c>
      <c r="C684" s="321" t="s">
        <v>2033</v>
      </c>
      <c r="D684" s="321" t="s">
        <v>2065</v>
      </c>
      <c r="E684" s="322">
        <v>20.6</v>
      </c>
      <c r="F684" s="323">
        <v>1800</v>
      </c>
      <c r="G684" s="324">
        <v>37100</v>
      </c>
      <c r="H684" s="325" t="s">
        <v>962</v>
      </c>
      <c r="I684" s="321" t="s">
        <v>1847</v>
      </c>
      <c r="J684" s="325" t="s">
        <v>130</v>
      </c>
      <c r="K684" s="412" t="s">
        <v>1261</v>
      </c>
    </row>
    <row r="685" spans="1:11" hidden="1" x14ac:dyDescent="0.25">
      <c r="A685" s="320">
        <v>19</v>
      </c>
      <c r="B685" s="321" t="s">
        <v>1768</v>
      </c>
      <c r="C685" s="321" t="s">
        <v>2066</v>
      </c>
      <c r="D685" s="321" t="s">
        <v>2067</v>
      </c>
      <c r="E685" s="322">
        <v>2</v>
      </c>
      <c r="F685" s="323">
        <v>100000</v>
      </c>
      <c r="G685" s="324">
        <v>200000</v>
      </c>
      <c r="H685" s="325" t="s">
        <v>1069</v>
      </c>
      <c r="I685" s="321" t="s">
        <v>1070</v>
      </c>
      <c r="J685" s="325" t="s">
        <v>130</v>
      </c>
      <c r="K685" s="412" t="s">
        <v>1261</v>
      </c>
    </row>
    <row r="686" spans="1:11" hidden="1" x14ac:dyDescent="0.25">
      <c r="A686" s="320">
        <v>19</v>
      </c>
      <c r="B686" s="321" t="s">
        <v>1235</v>
      </c>
      <c r="C686" s="321" t="s">
        <v>1236</v>
      </c>
      <c r="D686" s="321" t="s">
        <v>2068</v>
      </c>
      <c r="E686" s="322">
        <v>50</v>
      </c>
      <c r="F686" s="323">
        <v>1000</v>
      </c>
      <c r="G686" s="324">
        <v>50000</v>
      </c>
      <c r="H686" s="325" t="s">
        <v>1069</v>
      </c>
      <c r="I686" s="321" t="s">
        <v>1070</v>
      </c>
      <c r="J686" s="325" t="s">
        <v>130</v>
      </c>
      <c r="K686" s="412" t="s">
        <v>1261</v>
      </c>
    </row>
    <row r="687" spans="1:11" hidden="1" x14ac:dyDescent="0.25">
      <c r="A687" s="326">
        <v>11</v>
      </c>
      <c r="B687" s="327" t="s">
        <v>1768</v>
      </c>
      <c r="C687" s="328" t="s">
        <v>2069</v>
      </c>
      <c r="D687" s="328" t="s">
        <v>2070</v>
      </c>
      <c r="E687" s="329">
        <v>1</v>
      </c>
      <c r="F687" s="330">
        <v>345000</v>
      </c>
      <c r="G687" s="330">
        <v>345000</v>
      </c>
      <c r="H687" s="327" t="s">
        <v>390</v>
      </c>
      <c r="I687" s="327" t="s">
        <v>2071</v>
      </c>
      <c r="J687" s="327" t="s">
        <v>130</v>
      </c>
      <c r="K687" s="412" t="s">
        <v>1262</v>
      </c>
    </row>
    <row r="688" spans="1:11" hidden="1" x14ac:dyDescent="0.25">
      <c r="A688" s="326">
        <v>11</v>
      </c>
      <c r="B688" s="327" t="s">
        <v>1235</v>
      </c>
      <c r="C688" s="328" t="s">
        <v>1826</v>
      </c>
      <c r="D688" s="328" t="s">
        <v>2072</v>
      </c>
      <c r="E688" s="329">
        <v>1</v>
      </c>
      <c r="F688" s="330">
        <v>190000</v>
      </c>
      <c r="G688" s="330">
        <v>190000</v>
      </c>
      <c r="H688" s="327" t="s">
        <v>390</v>
      </c>
      <c r="I688" s="327" t="s">
        <v>2071</v>
      </c>
      <c r="J688" s="327" t="s">
        <v>130</v>
      </c>
      <c r="K688" s="412" t="s">
        <v>1262</v>
      </c>
    </row>
    <row r="689" spans="1:11" hidden="1" x14ac:dyDescent="0.25">
      <c r="A689" s="326">
        <v>12</v>
      </c>
      <c r="B689" s="327" t="s">
        <v>1768</v>
      </c>
      <c r="C689" s="328" t="s">
        <v>1916</v>
      </c>
      <c r="D689" s="328" t="s">
        <v>2073</v>
      </c>
      <c r="E689" s="329">
        <v>1</v>
      </c>
      <c r="F689" s="330">
        <v>66000</v>
      </c>
      <c r="G689" s="330">
        <v>66000</v>
      </c>
      <c r="H689" s="327" t="s">
        <v>390</v>
      </c>
      <c r="I689" s="327" t="s">
        <v>2071</v>
      </c>
      <c r="J689" s="327" t="s">
        <v>130</v>
      </c>
      <c r="K689" s="412" t="s">
        <v>1261</v>
      </c>
    </row>
    <row r="690" spans="1:11" hidden="1" x14ac:dyDescent="0.25">
      <c r="A690" s="326">
        <v>12</v>
      </c>
      <c r="B690" s="327" t="s">
        <v>1768</v>
      </c>
      <c r="C690" s="328" t="s">
        <v>1915</v>
      </c>
      <c r="D690" s="328" t="s">
        <v>2074</v>
      </c>
      <c r="E690" s="329">
        <v>1</v>
      </c>
      <c r="F690" s="330">
        <v>66000</v>
      </c>
      <c r="G690" s="330">
        <v>66000</v>
      </c>
      <c r="H690" s="327" t="s">
        <v>390</v>
      </c>
      <c r="I690" s="327" t="s">
        <v>2071</v>
      </c>
      <c r="J690" s="327" t="s">
        <v>130</v>
      </c>
      <c r="K690" s="412" t="s">
        <v>1261</v>
      </c>
    </row>
    <row r="691" spans="1:11" hidden="1" x14ac:dyDescent="0.25">
      <c r="A691" s="326">
        <v>12</v>
      </c>
      <c r="B691" s="327" t="s">
        <v>1768</v>
      </c>
      <c r="C691" s="328" t="s">
        <v>1917</v>
      </c>
      <c r="D691" s="328" t="s">
        <v>2075</v>
      </c>
      <c r="E691" s="329">
        <v>1</v>
      </c>
      <c r="F691" s="330">
        <v>66000</v>
      </c>
      <c r="G691" s="330">
        <v>66000</v>
      </c>
      <c r="H691" s="327" t="s">
        <v>390</v>
      </c>
      <c r="I691" s="327" t="s">
        <v>2071</v>
      </c>
      <c r="J691" s="327" t="s">
        <v>130</v>
      </c>
      <c r="K691" s="412" t="s">
        <v>1261</v>
      </c>
    </row>
    <row r="692" spans="1:11" hidden="1" x14ac:dyDescent="0.25">
      <c r="A692" s="326">
        <v>12</v>
      </c>
      <c r="B692" s="327" t="s">
        <v>1255</v>
      </c>
      <c r="C692" s="328" t="s">
        <v>2076</v>
      </c>
      <c r="D692" s="328" t="s">
        <v>2077</v>
      </c>
      <c r="E692" s="329">
        <v>1</v>
      </c>
      <c r="F692" s="330">
        <v>750000</v>
      </c>
      <c r="G692" s="330">
        <v>750000</v>
      </c>
      <c r="H692" s="327" t="s">
        <v>390</v>
      </c>
      <c r="I692" s="327" t="s">
        <v>2071</v>
      </c>
      <c r="J692" s="327" t="s">
        <v>130</v>
      </c>
      <c r="K692" s="412" t="s">
        <v>1262</v>
      </c>
    </row>
    <row r="693" spans="1:11" hidden="1" x14ac:dyDescent="0.25">
      <c r="A693" s="326">
        <v>12</v>
      </c>
      <c r="B693" s="327" t="s">
        <v>1805</v>
      </c>
      <c r="C693" s="328" t="s">
        <v>2078</v>
      </c>
      <c r="D693" s="328" t="s">
        <v>996</v>
      </c>
      <c r="E693" s="329">
        <v>1</v>
      </c>
      <c r="F693" s="330">
        <v>241800</v>
      </c>
      <c r="G693" s="330">
        <v>241800</v>
      </c>
      <c r="H693" s="327" t="s">
        <v>390</v>
      </c>
      <c r="I693" s="327" t="s">
        <v>2071</v>
      </c>
      <c r="J693" s="327" t="s">
        <v>130</v>
      </c>
      <c r="K693" s="412" t="s">
        <v>1262</v>
      </c>
    </row>
    <row r="694" spans="1:11" x14ac:dyDescent="0.25">
      <c r="A694" s="326">
        <v>12</v>
      </c>
      <c r="B694" s="327" t="s">
        <v>1230</v>
      </c>
      <c r="C694" s="328" t="s">
        <v>391</v>
      </c>
      <c r="D694" s="328" t="s">
        <v>392</v>
      </c>
      <c r="E694" s="329">
        <v>1</v>
      </c>
      <c r="F694" s="330">
        <v>38200</v>
      </c>
      <c r="G694" s="330">
        <v>38200</v>
      </c>
      <c r="H694" s="327" t="s">
        <v>390</v>
      </c>
      <c r="I694" s="327" t="s">
        <v>2071</v>
      </c>
      <c r="J694" s="327" t="s">
        <v>130</v>
      </c>
      <c r="K694" s="412" t="s">
        <v>1262</v>
      </c>
    </row>
    <row r="695" spans="1:11" hidden="1" x14ac:dyDescent="0.25">
      <c r="A695" s="326">
        <v>12</v>
      </c>
      <c r="B695" s="327" t="s">
        <v>1230</v>
      </c>
      <c r="C695" s="328" t="s">
        <v>393</v>
      </c>
      <c r="D695" s="328" t="s">
        <v>394</v>
      </c>
      <c r="E695" s="329">
        <v>1</v>
      </c>
      <c r="F695" s="330">
        <v>100000</v>
      </c>
      <c r="G695" s="330">
        <v>100000</v>
      </c>
      <c r="H695" s="327" t="s">
        <v>390</v>
      </c>
      <c r="I695" s="327" t="s">
        <v>2071</v>
      </c>
      <c r="J695" s="327" t="s">
        <v>130</v>
      </c>
      <c r="K695" s="412" t="s">
        <v>1262</v>
      </c>
    </row>
    <row r="696" spans="1:11" hidden="1" x14ac:dyDescent="0.25">
      <c r="A696" s="326">
        <v>12</v>
      </c>
      <c r="B696" s="327" t="s">
        <v>1768</v>
      </c>
      <c r="C696" s="328" t="s">
        <v>1941</v>
      </c>
      <c r="D696" s="328" t="s">
        <v>2079</v>
      </c>
      <c r="E696" s="329">
        <v>1</v>
      </c>
      <c r="F696" s="330">
        <v>66000</v>
      </c>
      <c r="G696" s="330">
        <v>66000</v>
      </c>
      <c r="H696" s="327" t="s">
        <v>390</v>
      </c>
      <c r="I696" s="327" t="s">
        <v>2071</v>
      </c>
      <c r="J696" s="327" t="s">
        <v>130</v>
      </c>
      <c r="K696" s="412" t="s">
        <v>1261</v>
      </c>
    </row>
    <row r="697" spans="1:11" hidden="1" x14ac:dyDescent="0.25">
      <c r="A697" s="326">
        <v>12</v>
      </c>
      <c r="B697" s="327" t="s">
        <v>1768</v>
      </c>
      <c r="C697" s="328" t="s">
        <v>1917</v>
      </c>
      <c r="D697" s="328" t="s">
        <v>2080</v>
      </c>
      <c r="E697" s="329">
        <v>1</v>
      </c>
      <c r="F697" s="330">
        <v>66000</v>
      </c>
      <c r="G697" s="330">
        <v>66000</v>
      </c>
      <c r="H697" s="327" t="s">
        <v>390</v>
      </c>
      <c r="I697" s="327" t="s">
        <v>2071</v>
      </c>
      <c r="J697" s="327" t="s">
        <v>130</v>
      </c>
      <c r="K697" s="412" t="s">
        <v>1261</v>
      </c>
    </row>
    <row r="698" spans="1:11" hidden="1" x14ac:dyDescent="0.25">
      <c r="A698" s="326">
        <v>12</v>
      </c>
      <c r="B698" s="327" t="s">
        <v>1333</v>
      </c>
      <c r="C698" s="328" t="s">
        <v>2081</v>
      </c>
      <c r="D698" s="328" t="s">
        <v>1001</v>
      </c>
      <c r="E698" s="329">
        <v>1</v>
      </c>
      <c r="F698" s="330">
        <v>40000</v>
      </c>
      <c r="G698" s="330">
        <v>40000</v>
      </c>
      <c r="H698" s="327" t="s">
        <v>390</v>
      </c>
      <c r="I698" s="327" t="s">
        <v>2071</v>
      </c>
      <c r="J698" s="327" t="s">
        <v>130</v>
      </c>
      <c r="K698" s="412" t="s">
        <v>1261</v>
      </c>
    </row>
    <row r="699" spans="1:11" hidden="1" x14ac:dyDescent="0.25">
      <c r="A699" s="326">
        <v>12</v>
      </c>
      <c r="B699" s="327" t="s">
        <v>1333</v>
      </c>
      <c r="C699" s="328" t="s">
        <v>1730</v>
      </c>
      <c r="D699" s="328" t="s">
        <v>1002</v>
      </c>
      <c r="E699" s="329">
        <v>1</v>
      </c>
      <c r="F699" s="330">
        <v>30000</v>
      </c>
      <c r="G699" s="330">
        <v>30000</v>
      </c>
      <c r="H699" s="327" t="s">
        <v>390</v>
      </c>
      <c r="I699" s="327" t="s">
        <v>2071</v>
      </c>
      <c r="J699" s="327" t="s">
        <v>130</v>
      </c>
      <c r="K699" s="412" t="s">
        <v>1261</v>
      </c>
    </row>
    <row r="700" spans="1:11" hidden="1" x14ac:dyDescent="0.25">
      <c r="A700" s="326">
        <v>12</v>
      </c>
      <c r="B700" s="327" t="s">
        <v>1333</v>
      </c>
      <c r="C700" s="328" t="s">
        <v>2082</v>
      </c>
      <c r="D700" s="328" t="s">
        <v>1004</v>
      </c>
      <c r="E700" s="329">
        <v>1</v>
      </c>
      <c r="F700" s="330">
        <v>27500</v>
      </c>
      <c r="G700" s="330">
        <v>27500</v>
      </c>
      <c r="H700" s="327" t="s">
        <v>390</v>
      </c>
      <c r="I700" s="327" t="s">
        <v>2071</v>
      </c>
      <c r="J700" s="327" t="s">
        <v>130</v>
      </c>
      <c r="K700" s="412" t="s">
        <v>1261</v>
      </c>
    </row>
    <row r="701" spans="1:11" hidden="1" x14ac:dyDescent="0.25">
      <c r="A701" s="326">
        <v>12</v>
      </c>
      <c r="B701" s="327" t="s">
        <v>1333</v>
      </c>
      <c r="C701" s="328" t="s">
        <v>2083</v>
      </c>
      <c r="D701" s="328" t="s">
        <v>1006</v>
      </c>
      <c r="E701" s="329">
        <v>1</v>
      </c>
      <c r="F701" s="330">
        <v>50000</v>
      </c>
      <c r="G701" s="330">
        <v>50000</v>
      </c>
      <c r="H701" s="327" t="s">
        <v>390</v>
      </c>
      <c r="I701" s="327" t="s">
        <v>2071</v>
      </c>
      <c r="J701" s="327" t="s">
        <v>130</v>
      </c>
      <c r="K701" s="412" t="s">
        <v>1261</v>
      </c>
    </row>
    <row r="702" spans="1:11" hidden="1" x14ac:dyDescent="0.25">
      <c r="A702" s="326">
        <v>13</v>
      </c>
      <c r="B702" s="327" t="s">
        <v>1768</v>
      </c>
      <c r="C702" s="328" t="s">
        <v>1917</v>
      </c>
      <c r="D702" s="328" t="s">
        <v>2075</v>
      </c>
      <c r="E702" s="329">
        <v>1</v>
      </c>
      <c r="F702" s="330">
        <v>66000</v>
      </c>
      <c r="G702" s="330">
        <v>66000</v>
      </c>
      <c r="H702" s="327" t="s">
        <v>390</v>
      </c>
      <c r="I702" s="327" t="s">
        <v>2071</v>
      </c>
      <c r="J702" s="327" t="s">
        <v>130</v>
      </c>
      <c r="K702" s="412" t="s">
        <v>1261</v>
      </c>
    </row>
    <row r="703" spans="1:11" hidden="1" x14ac:dyDescent="0.25">
      <c r="A703" s="326">
        <v>13</v>
      </c>
      <c r="B703" s="327" t="s">
        <v>1768</v>
      </c>
      <c r="C703" s="328" t="s">
        <v>1916</v>
      </c>
      <c r="D703" s="328" t="s">
        <v>2073</v>
      </c>
      <c r="E703" s="329">
        <v>1</v>
      </c>
      <c r="F703" s="330">
        <v>66000</v>
      </c>
      <c r="G703" s="330">
        <v>66000</v>
      </c>
      <c r="H703" s="327" t="s">
        <v>390</v>
      </c>
      <c r="I703" s="327" t="s">
        <v>2071</v>
      </c>
      <c r="J703" s="327" t="s">
        <v>130</v>
      </c>
      <c r="K703" s="412" t="s">
        <v>1261</v>
      </c>
    </row>
    <row r="704" spans="1:11" hidden="1" x14ac:dyDescent="0.25">
      <c r="A704" s="326">
        <v>13</v>
      </c>
      <c r="B704" s="327" t="s">
        <v>1658</v>
      </c>
      <c r="C704" s="328" t="s">
        <v>1117</v>
      </c>
      <c r="D704" s="328" t="s">
        <v>2084</v>
      </c>
      <c r="E704" s="329">
        <v>1</v>
      </c>
      <c r="F704" s="330">
        <v>20000</v>
      </c>
      <c r="G704" s="330">
        <v>20000</v>
      </c>
      <c r="H704" s="327" t="s">
        <v>390</v>
      </c>
      <c r="I704" s="327" t="s">
        <v>2071</v>
      </c>
      <c r="J704" s="327" t="s">
        <v>130</v>
      </c>
      <c r="K704" s="412" t="s">
        <v>1262</v>
      </c>
    </row>
    <row r="705" spans="1:11" hidden="1" x14ac:dyDescent="0.25">
      <c r="A705" s="326">
        <v>13</v>
      </c>
      <c r="B705" s="327" t="s">
        <v>1230</v>
      </c>
      <c r="C705" s="328" t="s">
        <v>192</v>
      </c>
      <c r="D705" s="328" t="s">
        <v>400</v>
      </c>
      <c r="E705" s="329">
        <v>1</v>
      </c>
      <c r="F705" s="330">
        <v>81100</v>
      </c>
      <c r="G705" s="330">
        <v>81100</v>
      </c>
      <c r="H705" s="327" t="s">
        <v>390</v>
      </c>
      <c r="I705" s="327" t="s">
        <v>2071</v>
      </c>
      <c r="J705" s="327" t="s">
        <v>130</v>
      </c>
      <c r="K705" s="412" t="s">
        <v>1262</v>
      </c>
    </row>
    <row r="706" spans="1:11" hidden="1" x14ac:dyDescent="0.25">
      <c r="A706" s="326">
        <v>13</v>
      </c>
      <c r="B706" s="327" t="s">
        <v>1768</v>
      </c>
      <c r="C706" s="328" t="s">
        <v>2085</v>
      </c>
      <c r="D706" s="328" t="s">
        <v>2086</v>
      </c>
      <c r="E706" s="329">
        <v>1</v>
      </c>
      <c r="F706" s="330">
        <v>70000</v>
      </c>
      <c r="G706" s="330">
        <v>70000</v>
      </c>
      <c r="H706" s="327" t="s">
        <v>390</v>
      </c>
      <c r="I706" s="327" t="s">
        <v>2071</v>
      </c>
      <c r="J706" s="327" t="s">
        <v>130</v>
      </c>
      <c r="K706" s="412" t="s">
        <v>1261</v>
      </c>
    </row>
    <row r="707" spans="1:11" hidden="1" x14ac:dyDescent="0.25">
      <c r="A707" s="326">
        <v>13</v>
      </c>
      <c r="B707" s="327" t="s">
        <v>1805</v>
      </c>
      <c r="C707" s="328" t="s">
        <v>2087</v>
      </c>
      <c r="D707" s="328" t="s">
        <v>1010</v>
      </c>
      <c r="E707" s="329">
        <v>1</v>
      </c>
      <c r="F707" s="330">
        <v>22500</v>
      </c>
      <c r="G707" s="330">
        <v>22500</v>
      </c>
      <c r="H707" s="327" t="s">
        <v>390</v>
      </c>
      <c r="I707" s="327" t="s">
        <v>2071</v>
      </c>
      <c r="J707" s="327" t="s">
        <v>130</v>
      </c>
      <c r="K707" s="412" t="s">
        <v>1261</v>
      </c>
    </row>
    <row r="708" spans="1:11" hidden="1" x14ac:dyDescent="0.25">
      <c r="A708" s="326">
        <v>13</v>
      </c>
      <c r="B708" s="327" t="s">
        <v>1805</v>
      </c>
      <c r="C708" s="328" t="s">
        <v>2088</v>
      </c>
      <c r="D708" s="328" t="s">
        <v>1012</v>
      </c>
      <c r="E708" s="329">
        <v>1</v>
      </c>
      <c r="F708" s="330">
        <v>9000</v>
      </c>
      <c r="G708" s="330">
        <v>9000</v>
      </c>
      <c r="H708" s="327" t="s">
        <v>390</v>
      </c>
      <c r="I708" s="327" t="s">
        <v>2071</v>
      </c>
      <c r="J708" s="327" t="s">
        <v>130</v>
      </c>
      <c r="K708" s="412" t="s">
        <v>1262</v>
      </c>
    </row>
    <row r="709" spans="1:11" hidden="1" x14ac:dyDescent="0.25">
      <c r="A709" s="326">
        <v>13</v>
      </c>
      <c r="B709" s="327" t="s">
        <v>1805</v>
      </c>
      <c r="C709" s="328" t="s">
        <v>2089</v>
      </c>
      <c r="D709" s="328" t="s">
        <v>1014</v>
      </c>
      <c r="E709" s="329">
        <v>1</v>
      </c>
      <c r="F709" s="330">
        <v>24500</v>
      </c>
      <c r="G709" s="330">
        <v>24500</v>
      </c>
      <c r="H709" s="327" t="s">
        <v>390</v>
      </c>
      <c r="I709" s="327" t="s">
        <v>2071</v>
      </c>
      <c r="J709" s="327" t="s">
        <v>130</v>
      </c>
      <c r="K709" s="412" t="s">
        <v>1262</v>
      </c>
    </row>
    <row r="710" spans="1:11" hidden="1" x14ac:dyDescent="0.25">
      <c r="A710" s="326">
        <v>13</v>
      </c>
      <c r="B710" s="327" t="s">
        <v>1768</v>
      </c>
      <c r="C710" s="328" t="s">
        <v>1941</v>
      </c>
      <c r="D710" s="328" t="s">
        <v>2090</v>
      </c>
      <c r="E710" s="329">
        <v>1</v>
      </c>
      <c r="F710" s="330">
        <v>66000</v>
      </c>
      <c r="G710" s="330">
        <v>66000</v>
      </c>
      <c r="H710" s="327" t="s">
        <v>390</v>
      </c>
      <c r="I710" s="327" t="s">
        <v>2071</v>
      </c>
      <c r="J710" s="327" t="s">
        <v>130</v>
      </c>
      <c r="K710" s="412" t="s">
        <v>1261</v>
      </c>
    </row>
    <row r="711" spans="1:11" hidden="1" x14ac:dyDescent="0.25">
      <c r="A711" s="326">
        <v>14</v>
      </c>
      <c r="B711" s="327" t="s">
        <v>1768</v>
      </c>
      <c r="C711" s="328" t="s">
        <v>1915</v>
      </c>
      <c r="D711" s="328" t="s">
        <v>2074</v>
      </c>
      <c r="E711" s="329">
        <v>1</v>
      </c>
      <c r="F711" s="330">
        <v>66000</v>
      </c>
      <c r="G711" s="330">
        <v>66000</v>
      </c>
      <c r="H711" s="327" t="s">
        <v>390</v>
      </c>
      <c r="I711" s="327" t="s">
        <v>2071</v>
      </c>
      <c r="J711" s="327" t="s">
        <v>130</v>
      </c>
      <c r="K711" s="412" t="s">
        <v>1261</v>
      </c>
    </row>
    <row r="712" spans="1:11" hidden="1" x14ac:dyDescent="0.25">
      <c r="A712" s="326">
        <v>14</v>
      </c>
      <c r="B712" s="327" t="s">
        <v>1768</v>
      </c>
      <c r="C712" s="328" t="s">
        <v>1917</v>
      </c>
      <c r="D712" s="328" t="s">
        <v>2075</v>
      </c>
      <c r="E712" s="329">
        <v>1</v>
      </c>
      <c r="F712" s="330">
        <v>66000</v>
      </c>
      <c r="G712" s="330">
        <v>66000</v>
      </c>
      <c r="H712" s="327" t="s">
        <v>390</v>
      </c>
      <c r="I712" s="327" t="s">
        <v>2071</v>
      </c>
      <c r="J712" s="327" t="s">
        <v>130</v>
      </c>
      <c r="K712" s="412" t="s">
        <v>1261</v>
      </c>
    </row>
    <row r="713" spans="1:11" hidden="1" x14ac:dyDescent="0.25">
      <c r="A713" s="326">
        <v>14</v>
      </c>
      <c r="B713" s="327" t="s">
        <v>1768</v>
      </c>
      <c r="C713" s="328" t="s">
        <v>1916</v>
      </c>
      <c r="D713" s="328" t="s">
        <v>2073</v>
      </c>
      <c r="E713" s="329">
        <v>1</v>
      </c>
      <c r="F713" s="330">
        <v>66000</v>
      </c>
      <c r="G713" s="330">
        <v>66000</v>
      </c>
      <c r="H713" s="327" t="s">
        <v>390</v>
      </c>
      <c r="I713" s="327" t="s">
        <v>2071</v>
      </c>
      <c r="J713" s="327" t="s">
        <v>130</v>
      </c>
      <c r="K713" s="412" t="s">
        <v>1261</v>
      </c>
    </row>
    <row r="714" spans="1:11" hidden="1" x14ac:dyDescent="0.25">
      <c r="A714" s="326">
        <v>14</v>
      </c>
      <c r="B714" s="327" t="s">
        <v>1333</v>
      </c>
      <c r="C714" s="328" t="s">
        <v>1918</v>
      </c>
      <c r="D714" s="328" t="s">
        <v>2091</v>
      </c>
      <c r="E714" s="329">
        <v>1</v>
      </c>
      <c r="F714" s="330">
        <v>30000</v>
      </c>
      <c r="G714" s="330">
        <v>30000</v>
      </c>
      <c r="H714" s="327" t="s">
        <v>390</v>
      </c>
      <c r="I714" s="327" t="s">
        <v>2071</v>
      </c>
      <c r="J714" s="327" t="s">
        <v>130</v>
      </c>
      <c r="K714" s="412" t="s">
        <v>1258</v>
      </c>
    </row>
    <row r="715" spans="1:11" hidden="1" x14ac:dyDescent="0.25">
      <c r="A715" s="354">
        <v>15</v>
      </c>
      <c r="B715" s="355" t="s">
        <v>1614</v>
      </c>
      <c r="C715" s="355" t="s">
        <v>2092</v>
      </c>
      <c r="D715" s="355" t="s">
        <v>2093</v>
      </c>
      <c r="E715" s="356">
        <v>1</v>
      </c>
      <c r="F715" s="357">
        <v>240000</v>
      </c>
      <c r="G715" s="357">
        <v>240000</v>
      </c>
      <c r="H715" s="358" t="s">
        <v>390</v>
      </c>
      <c r="I715" s="359" t="s">
        <v>2094</v>
      </c>
      <c r="J715" s="360" t="s">
        <v>2095</v>
      </c>
      <c r="K715" s="412" t="s">
        <v>2096</v>
      </c>
    </row>
    <row r="716" spans="1:11" hidden="1" x14ac:dyDescent="0.25">
      <c r="A716" s="354">
        <v>15</v>
      </c>
      <c r="B716" s="355" t="s">
        <v>1267</v>
      </c>
      <c r="C716" s="355" t="s">
        <v>2097</v>
      </c>
      <c r="D716" s="355" t="s">
        <v>2098</v>
      </c>
      <c r="E716" s="356">
        <v>1</v>
      </c>
      <c r="F716" s="357">
        <v>118900</v>
      </c>
      <c r="G716" s="357">
        <v>118900</v>
      </c>
      <c r="H716" s="358" t="s">
        <v>390</v>
      </c>
      <c r="I716" s="359" t="s">
        <v>2099</v>
      </c>
      <c r="J716" s="360" t="s">
        <v>2100</v>
      </c>
      <c r="K716" s="412" t="s">
        <v>2100</v>
      </c>
    </row>
    <row r="717" spans="1:11" hidden="1" x14ac:dyDescent="0.25">
      <c r="A717" s="354">
        <v>15</v>
      </c>
      <c r="B717" s="355" t="s">
        <v>1333</v>
      </c>
      <c r="C717" s="355" t="s">
        <v>2101</v>
      </c>
      <c r="D717" s="355" t="s">
        <v>2102</v>
      </c>
      <c r="E717" s="356">
        <v>1</v>
      </c>
      <c r="F717" s="357">
        <v>20000</v>
      </c>
      <c r="G717" s="357">
        <v>20000</v>
      </c>
      <c r="H717" s="358" t="s">
        <v>390</v>
      </c>
      <c r="I717" s="359" t="s">
        <v>2103</v>
      </c>
      <c r="J717" s="360" t="s">
        <v>2104</v>
      </c>
      <c r="K717" s="412" t="s">
        <v>1258</v>
      </c>
    </row>
    <row r="718" spans="1:11" hidden="1" x14ac:dyDescent="0.25">
      <c r="A718" s="354">
        <v>13</v>
      </c>
      <c r="B718" s="355" t="s">
        <v>1230</v>
      </c>
      <c r="C718" s="355" t="s">
        <v>402</v>
      </c>
      <c r="D718" s="355" t="s">
        <v>403</v>
      </c>
      <c r="E718" s="361">
        <v>43.4</v>
      </c>
      <c r="F718" s="357">
        <v>7500</v>
      </c>
      <c r="G718" s="357">
        <v>325500</v>
      </c>
      <c r="H718" s="359" t="s">
        <v>401</v>
      </c>
      <c r="I718" s="359" t="s">
        <v>2105</v>
      </c>
      <c r="J718" s="360" t="s">
        <v>2106</v>
      </c>
      <c r="K718" s="412" t="s">
        <v>1245</v>
      </c>
    </row>
    <row r="719" spans="1:11" hidden="1" x14ac:dyDescent="0.25">
      <c r="A719" s="354">
        <v>13</v>
      </c>
      <c r="B719" s="355" t="s">
        <v>1230</v>
      </c>
      <c r="C719" s="355" t="s">
        <v>404</v>
      </c>
      <c r="D719" s="355" t="s">
        <v>405</v>
      </c>
      <c r="E719" s="361">
        <v>13.6</v>
      </c>
      <c r="F719" s="357">
        <v>18500</v>
      </c>
      <c r="G719" s="357">
        <v>251600</v>
      </c>
      <c r="H719" s="359" t="s">
        <v>401</v>
      </c>
      <c r="I719" s="359" t="s">
        <v>2105</v>
      </c>
      <c r="J719" s="360" t="s">
        <v>2106</v>
      </c>
      <c r="K719" s="412" t="s">
        <v>1245</v>
      </c>
    </row>
    <row r="720" spans="1:11" hidden="1" x14ac:dyDescent="0.25">
      <c r="A720" s="354">
        <v>13</v>
      </c>
      <c r="B720" s="355" t="s">
        <v>1230</v>
      </c>
      <c r="C720" s="355" t="s">
        <v>402</v>
      </c>
      <c r="D720" s="355" t="s">
        <v>407</v>
      </c>
      <c r="E720" s="361">
        <v>14.9</v>
      </c>
      <c r="F720" s="357">
        <v>7500</v>
      </c>
      <c r="G720" s="357">
        <v>111750</v>
      </c>
      <c r="H720" s="359" t="s">
        <v>406</v>
      </c>
      <c r="I720" s="359" t="s">
        <v>2107</v>
      </c>
      <c r="J720" s="360" t="s">
        <v>2106</v>
      </c>
      <c r="K720" s="412" t="s">
        <v>1245</v>
      </c>
    </row>
    <row r="721" spans="1:11" hidden="1" x14ac:dyDescent="0.25">
      <c r="A721" s="354">
        <v>15</v>
      </c>
      <c r="B721" s="355" t="s">
        <v>1805</v>
      </c>
      <c r="C721" s="355" t="s">
        <v>2108</v>
      </c>
      <c r="D721" s="355" t="s">
        <v>2109</v>
      </c>
      <c r="E721" s="356">
        <v>1</v>
      </c>
      <c r="F721" s="357">
        <v>95800</v>
      </c>
      <c r="G721" s="357">
        <v>95800</v>
      </c>
      <c r="H721" s="358" t="s">
        <v>390</v>
      </c>
      <c r="I721" s="359" t="s">
        <v>2110</v>
      </c>
      <c r="J721" s="360" t="s">
        <v>2111</v>
      </c>
      <c r="K721" s="412" t="s">
        <v>2112</v>
      </c>
    </row>
    <row r="722" spans="1:11" hidden="1" x14ac:dyDescent="0.25">
      <c r="A722" s="354">
        <v>16</v>
      </c>
      <c r="B722" s="355" t="s">
        <v>1230</v>
      </c>
      <c r="C722" s="355" t="s">
        <v>438</v>
      </c>
      <c r="D722" s="355" t="s">
        <v>439</v>
      </c>
      <c r="E722" s="356">
        <v>1</v>
      </c>
      <c r="F722" s="357">
        <v>532000</v>
      </c>
      <c r="G722" s="357">
        <v>532000</v>
      </c>
      <c r="H722" s="358" t="s">
        <v>390</v>
      </c>
      <c r="I722" s="359" t="s">
        <v>2113</v>
      </c>
      <c r="J722" s="360" t="s">
        <v>2114</v>
      </c>
      <c r="K722" s="412" t="s">
        <v>1507</v>
      </c>
    </row>
    <row r="723" spans="1:11" hidden="1" x14ac:dyDescent="0.25">
      <c r="A723" s="354">
        <v>16</v>
      </c>
      <c r="B723" s="355" t="s">
        <v>1520</v>
      </c>
      <c r="C723" s="355" t="s">
        <v>2115</v>
      </c>
      <c r="D723" s="355" t="s">
        <v>2116</v>
      </c>
      <c r="E723" s="356">
        <v>1</v>
      </c>
      <c r="F723" s="357">
        <v>1851300</v>
      </c>
      <c r="G723" s="357">
        <v>1851300</v>
      </c>
      <c r="H723" s="358" t="s">
        <v>390</v>
      </c>
      <c r="I723" s="359" t="s">
        <v>2117</v>
      </c>
      <c r="J723" s="360" t="s">
        <v>2118</v>
      </c>
      <c r="K723" s="412" t="s">
        <v>2119</v>
      </c>
    </row>
    <row r="724" spans="1:11" hidden="1" x14ac:dyDescent="0.25">
      <c r="A724" s="465">
        <v>17</v>
      </c>
      <c r="B724" s="466" t="s">
        <v>1230</v>
      </c>
      <c r="C724" s="466" t="s">
        <v>460</v>
      </c>
      <c r="D724" s="466" t="s">
        <v>461</v>
      </c>
      <c r="E724" s="467">
        <v>15.2</v>
      </c>
      <c r="F724" s="468">
        <v>18500</v>
      </c>
      <c r="G724" s="468">
        <v>281200</v>
      </c>
      <c r="H724" s="469" t="s">
        <v>459</v>
      </c>
      <c r="I724" s="466" t="s">
        <v>1231</v>
      </c>
      <c r="J724" s="469" t="s">
        <v>139</v>
      </c>
      <c r="K724" s="466" t="s">
        <v>1245</v>
      </c>
    </row>
    <row r="725" spans="1:11" hidden="1" x14ac:dyDescent="0.25">
      <c r="A725" s="465">
        <v>18</v>
      </c>
      <c r="B725" s="466" t="s">
        <v>1235</v>
      </c>
      <c r="C725" s="466" t="s">
        <v>2120</v>
      </c>
      <c r="D725" s="466" t="s">
        <v>2121</v>
      </c>
      <c r="E725" s="470">
        <v>1</v>
      </c>
      <c r="F725" s="468">
        <v>130000</v>
      </c>
      <c r="G725" s="468">
        <v>130000</v>
      </c>
      <c r="H725" s="469" t="s">
        <v>2122</v>
      </c>
      <c r="I725" s="466" t="s">
        <v>1231</v>
      </c>
      <c r="J725" s="469" t="s">
        <v>139</v>
      </c>
      <c r="K725" s="466" t="s">
        <v>1734</v>
      </c>
    </row>
    <row r="726" spans="1:11" hidden="1" x14ac:dyDescent="0.25">
      <c r="A726" s="465">
        <v>18</v>
      </c>
      <c r="B726" s="466" t="s">
        <v>1255</v>
      </c>
      <c r="C726" s="466" t="s">
        <v>2123</v>
      </c>
      <c r="D726" s="466" t="s">
        <v>2124</v>
      </c>
      <c r="E726" s="470">
        <v>2</v>
      </c>
      <c r="F726" s="468">
        <v>40000</v>
      </c>
      <c r="G726" s="468">
        <v>80000</v>
      </c>
      <c r="H726" s="469" t="s">
        <v>2122</v>
      </c>
      <c r="I726" s="466" t="s">
        <v>1231</v>
      </c>
      <c r="J726" s="469" t="s">
        <v>139</v>
      </c>
      <c r="K726" s="466" t="s">
        <v>1734</v>
      </c>
    </row>
    <row r="727" spans="1:11" hidden="1" x14ac:dyDescent="0.25">
      <c r="A727" s="465">
        <v>18</v>
      </c>
      <c r="B727" s="466" t="s">
        <v>1235</v>
      </c>
      <c r="C727" s="466" t="s">
        <v>2029</v>
      </c>
      <c r="D727" s="466" t="s">
        <v>2125</v>
      </c>
      <c r="E727" s="467">
        <v>54.6</v>
      </c>
      <c r="F727" s="468">
        <v>1300</v>
      </c>
      <c r="G727" s="468">
        <v>70980</v>
      </c>
      <c r="H727" s="469" t="s">
        <v>2122</v>
      </c>
      <c r="I727" s="466" t="s">
        <v>1231</v>
      </c>
      <c r="J727" s="469" t="s">
        <v>139</v>
      </c>
      <c r="K727" s="466" t="s">
        <v>1734</v>
      </c>
    </row>
    <row r="728" spans="1:11" hidden="1" x14ac:dyDescent="0.25">
      <c r="A728" s="465">
        <v>18</v>
      </c>
      <c r="B728" s="466" t="s">
        <v>1235</v>
      </c>
      <c r="C728" s="466" t="s">
        <v>2033</v>
      </c>
      <c r="D728" s="466" t="s">
        <v>2126</v>
      </c>
      <c r="E728" s="470">
        <v>85</v>
      </c>
      <c r="F728" s="468">
        <v>1300</v>
      </c>
      <c r="G728" s="468">
        <v>110500</v>
      </c>
      <c r="H728" s="469" t="s">
        <v>2122</v>
      </c>
      <c r="I728" s="466" t="s">
        <v>1231</v>
      </c>
      <c r="J728" s="469" t="s">
        <v>139</v>
      </c>
      <c r="K728" s="466" t="s">
        <v>1734</v>
      </c>
    </row>
    <row r="729" spans="1:11" hidden="1" x14ac:dyDescent="0.25">
      <c r="A729" s="465">
        <v>18</v>
      </c>
      <c r="B729" s="466" t="s">
        <v>1235</v>
      </c>
      <c r="C729" s="466" t="s">
        <v>1556</v>
      </c>
      <c r="D729" s="466" t="s">
        <v>2127</v>
      </c>
      <c r="E729" s="467">
        <v>9.5</v>
      </c>
      <c r="F729" s="468">
        <v>2000</v>
      </c>
      <c r="G729" s="468">
        <v>19000</v>
      </c>
      <c r="H729" s="469" t="s">
        <v>2122</v>
      </c>
      <c r="I729" s="466" t="s">
        <v>1231</v>
      </c>
      <c r="J729" s="469" t="s">
        <v>139</v>
      </c>
      <c r="K729" s="466" t="s">
        <v>1734</v>
      </c>
    </row>
    <row r="730" spans="1:11" hidden="1" x14ac:dyDescent="0.25">
      <c r="A730" s="465">
        <v>18</v>
      </c>
      <c r="B730" s="466" t="s">
        <v>1235</v>
      </c>
      <c r="C730" s="466" t="s">
        <v>2063</v>
      </c>
      <c r="D730" s="466" t="s">
        <v>2128</v>
      </c>
      <c r="E730" s="467">
        <v>6.6</v>
      </c>
      <c r="F730" s="468">
        <v>6000</v>
      </c>
      <c r="G730" s="468">
        <v>39600</v>
      </c>
      <c r="H730" s="469" t="s">
        <v>2122</v>
      </c>
      <c r="I730" s="466" t="s">
        <v>1231</v>
      </c>
      <c r="J730" s="469" t="s">
        <v>139</v>
      </c>
      <c r="K730" s="466" t="s">
        <v>1734</v>
      </c>
    </row>
    <row r="731" spans="1:11" hidden="1" x14ac:dyDescent="0.25">
      <c r="A731" s="465">
        <v>18</v>
      </c>
      <c r="B731" s="466" t="s">
        <v>1235</v>
      </c>
      <c r="C731" s="466" t="s">
        <v>2059</v>
      </c>
      <c r="D731" s="466" t="s">
        <v>2129</v>
      </c>
      <c r="E731" s="467">
        <v>4.7</v>
      </c>
      <c r="F731" s="468">
        <v>2000</v>
      </c>
      <c r="G731" s="468">
        <v>9400</v>
      </c>
      <c r="H731" s="469" t="s">
        <v>2122</v>
      </c>
      <c r="I731" s="466" t="s">
        <v>1231</v>
      </c>
      <c r="J731" s="469" t="s">
        <v>139</v>
      </c>
      <c r="K731" s="466" t="s">
        <v>1734</v>
      </c>
    </row>
    <row r="732" spans="1:11" hidden="1" x14ac:dyDescent="0.25">
      <c r="A732" s="465">
        <v>18</v>
      </c>
      <c r="B732" s="466" t="s">
        <v>1235</v>
      </c>
      <c r="C732" s="466" t="s">
        <v>2040</v>
      </c>
      <c r="D732" s="466" t="s">
        <v>2130</v>
      </c>
      <c r="E732" s="467">
        <v>6.6</v>
      </c>
      <c r="F732" s="468">
        <v>3500</v>
      </c>
      <c r="G732" s="468">
        <v>23100</v>
      </c>
      <c r="H732" s="469" t="s">
        <v>2122</v>
      </c>
      <c r="I732" s="466" t="s">
        <v>1231</v>
      </c>
      <c r="J732" s="469" t="s">
        <v>139</v>
      </c>
      <c r="K732" s="466" t="s">
        <v>1734</v>
      </c>
    </row>
    <row r="733" spans="1:11" hidden="1" x14ac:dyDescent="0.25">
      <c r="A733" s="465">
        <v>18</v>
      </c>
      <c r="B733" s="466" t="s">
        <v>1235</v>
      </c>
      <c r="C733" s="466" t="s">
        <v>2131</v>
      </c>
      <c r="D733" s="466" t="s">
        <v>2132</v>
      </c>
      <c r="E733" s="470">
        <v>30</v>
      </c>
      <c r="F733" s="468">
        <v>1500</v>
      </c>
      <c r="G733" s="468">
        <v>45000</v>
      </c>
      <c r="H733" s="469" t="s">
        <v>2122</v>
      </c>
      <c r="I733" s="466" t="s">
        <v>1231</v>
      </c>
      <c r="J733" s="469" t="s">
        <v>139</v>
      </c>
      <c r="K733" s="466" t="s">
        <v>1734</v>
      </c>
    </row>
    <row r="734" spans="1:11" hidden="1" x14ac:dyDescent="0.25">
      <c r="A734" s="465">
        <v>18</v>
      </c>
      <c r="B734" s="466" t="s">
        <v>1235</v>
      </c>
      <c r="C734" s="466" t="s">
        <v>2133</v>
      </c>
      <c r="D734" s="466" t="s">
        <v>2134</v>
      </c>
      <c r="E734" s="470">
        <v>3</v>
      </c>
      <c r="F734" s="468">
        <v>2000</v>
      </c>
      <c r="G734" s="468">
        <v>6000</v>
      </c>
      <c r="H734" s="469" t="s">
        <v>2122</v>
      </c>
      <c r="I734" s="466" t="s">
        <v>1231</v>
      </c>
      <c r="J734" s="469" t="s">
        <v>139</v>
      </c>
      <c r="K734" s="466" t="s">
        <v>1734</v>
      </c>
    </row>
    <row r="735" spans="1:11" hidden="1" x14ac:dyDescent="0.25">
      <c r="A735" s="465">
        <v>18</v>
      </c>
      <c r="B735" s="466" t="s">
        <v>1235</v>
      </c>
      <c r="C735" s="466" t="s">
        <v>2020</v>
      </c>
      <c r="D735" s="466" t="s">
        <v>2135</v>
      </c>
      <c r="E735" s="470">
        <v>2</v>
      </c>
      <c r="F735" s="468">
        <v>9000</v>
      </c>
      <c r="G735" s="468">
        <v>18000</v>
      </c>
      <c r="H735" s="469" t="s">
        <v>2122</v>
      </c>
      <c r="I735" s="466" t="s">
        <v>1231</v>
      </c>
      <c r="J735" s="469" t="s">
        <v>139</v>
      </c>
      <c r="K735" s="466" t="s">
        <v>1734</v>
      </c>
    </row>
    <row r="736" spans="1:11" hidden="1" x14ac:dyDescent="0.25">
      <c r="A736" s="465">
        <v>18</v>
      </c>
      <c r="B736" s="466" t="s">
        <v>1235</v>
      </c>
      <c r="C736" s="466" t="s">
        <v>2038</v>
      </c>
      <c r="D736" s="466" t="s">
        <v>2136</v>
      </c>
      <c r="E736" s="467">
        <v>6.3</v>
      </c>
      <c r="F736" s="468">
        <v>4500</v>
      </c>
      <c r="G736" s="468">
        <v>28350</v>
      </c>
      <c r="H736" s="469" t="s">
        <v>2122</v>
      </c>
      <c r="I736" s="466" t="s">
        <v>1231</v>
      </c>
      <c r="J736" s="469" t="s">
        <v>139</v>
      </c>
      <c r="K736" s="466" t="s">
        <v>1734</v>
      </c>
    </row>
    <row r="737" spans="1:11" hidden="1" x14ac:dyDescent="0.25">
      <c r="A737" s="465">
        <v>18</v>
      </c>
      <c r="B737" s="466" t="s">
        <v>1235</v>
      </c>
      <c r="C737" s="466" t="s">
        <v>1795</v>
      </c>
      <c r="D737" s="466" t="s">
        <v>2137</v>
      </c>
      <c r="E737" s="467">
        <v>3.7</v>
      </c>
      <c r="F737" s="468">
        <v>3000</v>
      </c>
      <c r="G737" s="468">
        <v>11100</v>
      </c>
      <c r="H737" s="469" t="s">
        <v>2122</v>
      </c>
      <c r="I737" s="466" t="s">
        <v>1231</v>
      </c>
      <c r="J737" s="469" t="s">
        <v>139</v>
      </c>
      <c r="K737" s="466" t="s">
        <v>1734</v>
      </c>
    </row>
    <row r="738" spans="1:11" hidden="1" x14ac:dyDescent="0.25">
      <c r="A738" s="465">
        <v>18</v>
      </c>
      <c r="B738" s="466" t="s">
        <v>1235</v>
      </c>
      <c r="C738" s="466" t="s">
        <v>2043</v>
      </c>
      <c r="D738" s="466" t="s">
        <v>2138</v>
      </c>
      <c r="E738" s="467">
        <v>9.9</v>
      </c>
      <c r="F738" s="468">
        <v>3800</v>
      </c>
      <c r="G738" s="468">
        <v>37620</v>
      </c>
      <c r="H738" s="469" t="s">
        <v>2122</v>
      </c>
      <c r="I738" s="466" t="s">
        <v>1231</v>
      </c>
      <c r="J738" s="469" t="s">
        <v>139</v>
      </c>
      <c r="K738" s="466" t="s">
        <v>1734</v>
      </c>
    </row>
    <row r="739" spans="1:11" hidden="1" x14ac:dyDescent="0.25">
      <c r="A739" s="465">
        <v>18</v>
      </c>
      <c r="B739" s="466" t="s">
        <v>1235</v>
      </c>
      <c r="C739" s="466" t="s">
        <v>2035</v>
      </c>
      <c r="D739" s="466" t="s">
        <v>2139</v>
      </c>
      <c r="E739" s="467">
        <v>24.5</v>
      </c>
      <c r="F739" s="468">
        <v>2800</v>
      </c>
      <c r="G739" s="468">
        <v>68600</v>
      </c>
      <c r="H739" s="469" t="s">
        <v>2122</v>
      </c>
      <c r="I739" s="466" t="s">
        <v>1231</v>
      </c>
      <c r="J739" s="469" t="s">
        <v>139</v>
      </c>
      <c r="K739" s="466" t="s">
        <v>1734</v>
      </c>
    </row>
    <row r="740" spans="1:11" hidden="1" x14ac:dyDescent="0.25">
      <c r="A740" s="465">
        <v>17</v>
      </c>
      <c r="B740" s="466" t="s">
        <v>1230</v>
      </c>
      <c r="C740" s="466" t="s">
        <v>457</v>
      </c>
      <c r="D740" s="466" t="s">
        <v>463</v>
      </c>
      <c r="E740" s="467">
        <v>5.0449999999999999</v>
      </c>
      <c r="F740" s="468">
        <v>22000</v>
      </c>
      <c r="G740" s="468">
        <v>110990</v>
      </c>
      <c r="H740" s="469" t="s">
        <v>462</v>
      </c>
      <c r="I740" s="466" t="s">
        <v>1231</v>
      </c>
      <c r="J740" s="469" t="s">
        <v>139</v>
      </c>
      <c r="K740" s="466" t="s">
        <v>1344</v>
      </c>
    </row>
    <row r="741" spans="1:11" hidden="1" x14ac:dyDescent="0.25">
      <c r="A741" s="465">
        <v>17</v>
      </c>
      <c r="B741" s="466" t="s">
        <v>1230</v>
      </c>
      <c r="C741" s="466" t="s">
        <v>454</v>
      </c>
      <c r="D741" s="466" t="s">
        <v>464</v>
      </c>
      <c r="E741" s="467">
        <v>6.0750000000000002</v>
      </c>
      <c r="F741" s="468">
        <v>18000</v>
      </c>
      <c r="G741" s="468">
        <v>109350</v>
      </c>
      <c r="H741" s="469" t="s">
        <v>462</v>
      </c>
      <c r="I741" s="466" t="s">
        <v>1231</v>
      </c>
      <c r="J741" s="469" t="s">
        <v>139</v>
      </c>
      <c r="K741" s="466" t="s">
        <v>1344</v>
      </c>
    </row>
    <row r="742" spans="1:11" hidden="1" x14ac:dyDescent="0.25">
      <c r="A742" s="465">
        <v>17</v>
      </c>
      <c r="B742" s="466" t="s">
        <v>1230</v>
      </c>
      <c r="C742" s="466" t="s">
        <v>417</v>
      </c>
      <c r="D742" s="466" t="s">
        <v>465</v>
      </c>
      <c r="E742" s="467">
        <v>16.399999999999999</v>
      </c>
      <c r="F742" s="468">
        <v>19000</v>
      </c>
      <c r="G742" s="468">
        <v>311600</v>
      </c>
      <c r="H742" s="469" t="s">
        <v>462</v>
      </c>
      <c r="I742" s="466" t="s">
        <v>1231</v>
      </c>
      <c r="J742" s="469" t="s">
        <v>139</v>
      </c>
      <c r="K742" s="466" t="s">
        <v>1344</v>
      </c>
    </row>
    <row r="743" spans="1:11" hidden="1" x14ac:dyDescent="0.25">
      <c r="A743" s="465">
        <v>18</v>
      </c>
      <c r="B743" s="466" t="s">
        <v>1235</v>
      </c>
      <c r="C743" s="466" t="s">
        <v>2033</v>
      </c>
      <c r="D743" s="466" t="s">
        <v>2126</v>
      </c>
      <c r="E743" s="467">
        <v>83.7</v>
      </c>
      <c r="F743" s="468">
        <v>1500</v>
      </c>
      <c r="G743" s="468">
        <v>125550</v>
      </c>
      <c r="H743" s="469" t="s">
        <v>2140</v>
      </c>
      <c r="I743" s="466" t="s">
        <v>1231</v>
      </c>
      <c r="J743" s="469" t="s">
        <v>139</v>
      </c>
      <c r="K743" s="466" t="s">
        <v>1734</v>
      </c>
    </row>
    <row r="744" spans="1:11" hidden="1" x14ac:dyDescent="0.25">
      <c r="A744" s="465">
        <v>18</v>
      </c>
      <c r="B744" s="466" t="s">
        <v>1235</v>
      </c>
      <c r="C744" s="466" t="s">
        <v>2120</v>
      </c>
      <c r="D744" s="466" t="s">
        <v>2121</v>
      </c>
      <c r="E744" s="470">
        <v>1</v>
      </c>
      <c r="F744" s="468">
        <v>130000</v>
      </c>
      <c r="G744" s="468">
        <v>130000</v>
      </c>
      <c r="H744" s="469" t="s">
        <v>2140</v>
      </c>
      <c r="I744" s="466" t="s">
        <v>1231</v>
      </c>
      <c r="J744" s="469" t="s">
        <v>139</v>
      </c>
      <c r="K744" s="466" t="s">
        <v>1734</v>
      </c>
    </row>
    <row r="745" spans="1:11" hidden="1" x14ac:dyDescent="0.25">
      <c r="A745" s="465">
        <v>18</v>
      </c>
      <c r="B745" s="466" t="s">
        <v>1235</v>
      </c>
      <c r="C745" s="466" t="s">
        <v>1528</v>
      </c>
      <c r="D745" s="466" t="s">
        <v>2141</v>
      </c>
      <c r="E745" s="470">
        <v>1</v>
      </c>
      <c r="F745" s="468">
        <v>60000</v>
      </c>
      <c r="G745" s="468">
        <v>60000</v>
      </c>
      <c r="H745" s="469" t="s">
        <v>2140</v>
      </c>
      <c r="I745" s="466" t="s">
        <v>1231</v>
      </c>
      <c r="J745" s="469" t="s">
        <v>139</v>
      </c>
      <c r="K745" s="466" t="s">
        <v>1734</v>
      </c>
    </row>
    <row r="746" spans="1:11" hidden="1" x14ac:dyDescent="0.25">
      <c r="A746" s="465">
        <v>18</v>
      </c>
      <c r="B746" s="466" t="s">
        <v>1235</v>
      </c>
      <c r="C746" s="466" t="s">
        <v>2142</v>
      </c>
      <c r="D746" s="466" t="s">
        <v>2143</v>
      </c>
      <c r="E746" s="467">
        <v>27.6</v>
      </c>
      <c r="F746" s="468">
        <v>1800</v>
      </c>
      <c r="G746" s="468">
        <v>49680</v>
      </c>
      <c r="H746" s="469" t="s">
        <v>2140</v>
      </c>
      <c r="I746" s="466" t="s">
        <v>1231</v>
      </c>
      <c r="J746" s="469" t="s">
        <v>139</v>
      </c>
      <c r="K746" s="466" t="s">
        <v>1734</v>
      </c>
    </row>
    <row r="747" spans="1:11" hidden="1" x14ac:dyDescent="0.25">
      <c r="A747" s="465">
        <v>18</v>
      </c>
      <c r="B747" s="466" t="s">
        <v>1235</v>
      </c>
      <c r="C747" s="466" t="s">
        <v>2144</v>
      </c>
      <c r="D747" s="466" t="s">
        <v>2145</v>
      </c>
      <c r="E747" s="467">
        <v>5.6</v>
      </c>
      <c r="F747" s="468">
        <v>1400</v>
      </c>
      <c r="G747" s="468">
        <v>7840</v>
      </c>
      <c r="H747" s="469" t="s">
        <v>2140</v>
      </c>
      <c r="I747" s="466" t="s">
        <v>1231</v>
      </c>
      <c r="J747" s="469" t="s">
        <v>139</v>
      </c>
      <c r="K747" s="466" t="s">
        <v>1734</v>
      </c>
    </row>
    <row r="748" spans="1:11" hidden="1" x14ac:dyDescent="0.25">
      <c r="A748" s="465">
        <v>18</v>
      </c>
      <c r="B748" s="466" t="s">
        <v>1235</v>
      </c>
      <c r="C748" s="466" t="s">
        <v>2017</v>
      </c>
      <c r="D748" s="466" t="s">
        <v>2146</v>
      </c>
      <c r="E748" s="467">
        <v>3.4</v>
      </c>
      <c r="F748" s="468">
        <v>15000</v>
      </c>
      <c r="G748" s="468">
        <v>51000</v>
      </c>
      <c r="H748" s="469" t="s">
        <v>2140</v>
      </c>
      <c r="I748" s="466" t="s">
        <v>1231</v>
      </c>
      <c r="J748" s="469" t="s">
        <v>139</v>
      </c>
      <c r="K748" s="466" t="s">
        <v>1734</v>
      </c>
    </row>
    <row r="749" spans="1:11" hidden="1" x14ac:dyDescent="0.25">
      <c r="A749" s="465">
        <v>18</v>
      </c>
      <c r="B749" s="466" t="s">
        <v>1235</v>
      </c>
      <c r="C749" s="466" t="s">
        <v>2052</v>
      </c>
      <c r="D749" s="466" t="s">
        <v>2147</v>
      </c>
      <c r="E749" s="467">
        <v>4.2</v>
      </c>
      <c r="F749" s="468">
        <v>7000</v>
      </c>
      <c r="G749" s="468">
        <v>29400</v>
      </c>
      <c r="H749" s="469" t="s">
        <v>2140</v>
      </c>
      <c r="I749" s="466" t="s">
        <v>1231</v>
      </c>
      <c r="J749" s="469" t="s">
        <v>139</v>
      </c>
      <c r="K749" s="466" t="s">
        <v>1734</v>
      </c>
    </row>
    <row r="750" spans="1:11" hidden="1" x14ac:dyDescent="0.25">
      <c r="A750" s="465">
        <v>18</v>
      </c>
      <c r="B750" s="466" t="s">
        <v>1235</v>
      </c>
      <c r="C750" s="466" t="s">
        <v>2063</v>
      </c>
      <c r="D750" s="466" t="s">
        <v>2128</v>
      </c>
      <c r="E750" s="467">
        <v>8.1</v>
      </c>
      <c r="F750" s="468">
        <v>5500</v>
      </c>
      <c r="G750" s="468">
        <v>44550</v>
      </c>
      <c r="H750" s="469" t="s">
        <v>2140</v>
      </c>
      <c r="I750" s="466" t="s">
        <v>1231</v>
      </c>
      <c r="J750" s="469" t="s">
        <v>139</v>
      </c>
      <c r="K750" s="466" t="s">
        <v>1734</v>
      </c>
    </row>
    <row r="751" spans="1:11" hidden="1" x14ac:dyDescent="0.25">
      <c r="A751" s="465">
        <v>18</v>
      </c>
      <c r="B751" s="466" t="s">
        <v>1235</v>
      </c>
      <c r="C751" s="466" t="s">
        <v>2131</v>
      </c>
      <c r="D751" s="466" t="s">
        <v>2132</v>
      </c>
      <c r="E751" s="470">
        <v>30</v>
      </c>
      <c r="F751" s="468">
        <v>1800</v>
      </c>
      <c r="G751" s="468">
        <v>54000</v>
      </c>
      <c r="H751" s="469" t="s">
        <v>2140</v>
      </c>
      <c r="I751" s="466" t="s">
        <v>1231</v>
      </c>
      <c r="J751" s="469" t="s">
        <v>139</v>
      </c>
      <c r="K751" s="466" t="s">
        <v>1734</v>
      </c>
    </row>
    <row r="752" spans="1:11" hidden="1" x14ac:dyDescent="0.25">
      <c r="A752" s="465">
        <v>18</v>
      </c>
      <c r="B752" s="466" t="s">
        <v>1235</v>
      </c>
      <c r="C752" s="466" t="s">
        <v>2148</v>
      </c>
      <c r="D752" s="466" t="s">
        <v>2149</v>
      </c>
      <c r="E752" s="467">
        <v>10.7</v>
      </c>
      <c r="F752" s="468">
        <v>3000</v>
      </c>
      <c r="G752" s="468">
        <v>32100</v>
      </c>
      <c r="H752" s="469" t="s">
        <v>2140</v>
      </c>
      <c r="I752" s="466" t="s">
        <v>1231</v>
      </c>
      <c r="J752" s="469" t="s">
        <v>139</v>
      </c>
      <c r="K752" s="466" t="s">
        <v>1734</v>
      </c>
    </row>
    <row r="753" spans="1:11" hidden="1" x14ac:dyDescent="0.25">
      <c r="A753" s="465">
        <v>18</v>
      </c>
      <c r="B753" s="466" t="s">
        <v>1235</v>
      </c>
      <c r="C753" s="466" t="s">
        <v>1795</v>
      </c>
      <c r="D753" s="466" t="s">
        <v>2137</v>
      </c>
      <c r="E753" s="470">
        <v>3</v>
      </c>
      <c r="F753" s="468">
        <v>3000</v>
      </c>
      <c r="G753" s="468">
        <v>9000</v>
      </c>
      <c r="H753" s="469" t="s">
        <v>2140</v>
      </c>
      <c r="I753" s="466" t="s">
        <v>1231</v>
      </c>
      <c r="J753" s="469" t="s">
        <v>139</v>
      </c>
      <c r="K753" s="466" t="s">
        <v>1734</v>
      </c>
    </row>
    <row r="754" spans="1:11" hidden="1" x14ac:dyDescent="0.25">
      <c r="A754" s="465">
        <v>18</v>
      </c>
      <c r="B754" s="466" t="s">
        <v>1235</v>
      </c>
      <c r="C754" s="466" t="s">
        <v>2050</v>
      </c>
      <c r="D754" s="466" t="s">
        <v>2150</v>
      </c>
      <c r="E754" s="467">
        <v>2.9</v>
      </c>
      <c r="F754" s="468">
        <v>7000</v>
      </c>
      <c r="G754" s="468">
        <v>20300</v>
      </c>
      <c r="H754" s="469" t="s">
        <v>2140</v>
      </c>
      <c r="I754" s="466" t="s">
        <v>1231</v>
      </c>
      <c r="J754" s="469" t="s">
        <v>139</v>
      </c>
      <c r="K754" s="466" t="s">
        <v>1734</v>
      </c>
    </row>
    <row r="755" spans="1:11" hidden="1" x14ac:dyDescent="0.25">
      <c r="A755" s="465">
        <v>18</v>
      </c>
      <c r="B755" s="466" t="s">
        <v>1235</v>
      </c>
      <c r="C755" s="466" t="s">
        <v>2038</v>
      </c>
      <c r="D755" s="466" t="s">
        <v>2136</v>
      </c>
      <c r="E755" s="467">
        <v>10.4</v>
      </c>
      <c r="F755" s="468">
        <v>5500</v>
      </c>
      <c r="G755" s="468">
        <v>57200</v>
      </c>
      <c r="H755" s="469" t="s">
        <v>2140</v>
      </c>
      <c r="I755" s="466" t="s">
        <v>1231</v>
      </c>
      <c r="J755" s="469" t="s">
        <v>139</v>
      </c>
      <c r="K755" s="466" t="s">
        <v>1734</v>
      </c>
    </row>
    <row r="756" spans="1:11" hidden="1" x14ac:dyDescent="0.25">
      <c r="A756" s="465">
        <v>18</v>
      </c>
      <c r="B756" s="466" t="s">
        <v>1235</v>
      </c>
      <c r="C756" s="466" t="s">
        <v>1556</v>
      </c>
      <c r="D756" s="466" t="s">
        <v>2127</v>
      </c>
      <c r="E756" s="467">
        <v>9.5</v>
      </c>
      <c r="F756" s="468">
        <v>2000</v>
      </c>
      <c r="G756" s="468">
        <v>19000</v>
      </c>
      <c r="H756" s="469" t="s">
        <v>2140</v>
      </c>
      <c r="I756" s="466" t="s">
        <v>1231</v>
      </c>
      <c r="J756" s="469" t="s">
        <v>139</v>
      </c>
      <c r="K756" s="466" t="s">
        <v>1734</v>
      </c>
    </row>
    <row r="757" spans="1:11" hidden="1" x14ac:dyDescent="0.25">
      <c r="A757" s="465">
        <v>18</v>
      </c>
      <c r="B757" s="466" t="s">
        <v>1235</v>
      </c>
      <c r="C757" s="466" t="s">
        <v>2043</v>
      </c>
      <c r="D757" s="466" t="s">
        <v>2138</v>
      </c>
      <c r="E757" s="467">
        <v>9.5</v>
      </c>
      <c r="F757" s="468">
        <v>3800</v>
      </c>
      <c r="G757" s="468">
        <v>36100</v>
      </c>
      <c r="H757" s="469" t="s">
        <v>2140</v>
      </c>
      <c r="I757" s="466" t="s">
        <v>1231</v>
      </c>
      <c r="J757" s="469" t="s">
        <v>139</v>
      </c>
      <c r="K757" s="466" t="s">
        <v>1734</v>
      </c>
    </row>
    <row r="758" spans="1:11" hidden="1" x14ac:dyDescent="0.25">
      <c r="A758" s="465">
        <v>18</v>
      </c>
      <c r="B758" s="466" t="s">
        <v>1235</v>
      </c>
      <c r="C758" s="466" t="s">
        <v>2025</v>
      </c>
      <c r="D758" s="466" t="s">
        <v>2151</v>
      </c>
      <c r="E758" s="467">
        <v>35.6</v>
      </c>
      <c r="F758" s="468">
        <v>3400</v>
      </c>
      <c r="G758" s="468">
        <v>121040</v>
      </c>
      <c r="H758" s="469" t="s">
        <v>2140</v>
      </c>
      <c r="I758" s="466" t="s">
        <v>1231</v>
      </c>
      <c r="J758" s="469" t="s">
        <v>139</v>
      </c>
      <c r="K758" s="466" t="s">
        <v>1734</v>
      </c>
    </row>
    <row r="759" spans="1:11" hidden="1" x14ac:dyDescent="0.25">
      <c r="A759" s="465">
        <v>18</v>
      </c>
      <c r="B759" s="466" t="s">
        <v>1235</v>
      </c>
      <c r="C759" s="466" t="s">
        <v>2133</v>
      </c>
      <c r="D759" s="466" t="s">
        <v>2134</v>
      </c>
      <c r="E759" s="470">
        <v>4</v>
      </c>
      <c r="F759" s="468">
        <v>2000</v>
      </c>
      <c r="G759" s="468">
        <v>8000</v>
      </c>
      <c r="H759" s="469" t="s">
        <v>2140</v>
      </c>
      <c r="I759" s="466" t="s">
        <v>1231</v>
      </c>
      <c r="J759" s="469" t="s">
        <v>139</v>
      </c>
      <c r="K759" s="466" t="s">
        <v>1734</v>
      </c>
    </row>
    <row r="760" spans="1:11" hidden="1" x14ac:dyDescent="0.25">
      <c r="A760" s="465">
        <v>18</v>
      </c>
      <c r="B760" s="466" t="s">
        <v>1235</v>
      </c>
      <c r="C760" s="466" t="s">
        <v>2020</v>
      </c>
      <c r="D760" s="466" t="s">
        <v>2135</v>
      </c>
      <c r="E760" s="470">
        <v>2</v>
      </c>
      <c r="F760" s="468">
        <v>8000</v>
      </c>
      <c r="G760" s="468">
        <v>16000</v>
      </c>
      <c r="H760" s="469" t="s">
        <v>2140</v>
      </c>
      <c r="I760" s="466" t="s">
        <v>1231</v>
      </c>
      <c r="J760" s="469" t="s">
        <v>139</v>
      </c>
      <c r="K760" s="466" t="s">
        <v>1734</v>
      </c>
    </row>
    <row r="761" spans="1:11" hidden="1" x14ac:dyDescent="0.25">
      <c r="A761" s="465">
        <v>18</v>
      </c>
      <c r="B761" s="466" t="s">
        <v>1235</v>
      </c>
      <c r="C761" s="466" t="s">
        <v>2035</v>
      </c>
      <c r="D761" s="466" t="s">
        <v>2139</v>
      </c>
      <c r="E761" s="467">
        <v>62.4</v>
      </c>
      <c r="F761" s="468">
        <v>2800</v>
      </c>
      <c r="G761" s="468">
        <v>174720</v>
      </c>
      <c r="H761" s="469" t="s">
        <v>2140</v>
      </c>
      <c r="I761" s="466" t="s">
        <v>1231</v>
      </c>
      <c r="J761" s="469" t="s">
        <v>139</v>
      </c>
      <c r="K761" s="466" t="s">
        <v>1734</v>
      </c>
    </row>
    <row r="762" spans="1:11" hidden="1" x14ac:dyDescent="0.25">
      <c r="A762" s="465">
        <v>18</v>
      </c>
      <c r="B762" s="466" t="s">
        <v>1235</v>
      </c>
      <c r="C762" s="466" t="s">
        <v>2029</v>
      </c>
      <c r="D762" s="466" t="s">
        <v>2125</v>
      </c>
      <c r="E762" s="470">
        <v>92</v>
      </c>
      <c r="F762" s="468">
        <v>1300</v>
      </c>
      <c r="G762" s="468">
        <v>119600</v>
      </c>
      <c r="H762" s="469" t="s">
        <v>2140</v>
      </c>
      <c r="I762" s="466" t="s">
        <v>1231</v>
      </c>
      <c r="J762" s="469" t="s">
        <v>139</v>
      </c>
      <c r="K762" s="466" t="s">
        <v>1734</v>
      </c>
    </row>
    <row r="763" spans="1:11" hidden="1" x14ac:dyDescent="0.25">
      <c r="A763" s="465">
        <v>18</v>
      </c>
      <c r="B763" s="466" t="s">
        <v>1235</v>
      </c>
      <c r="C763" s="466" t="s">
        <v>2029</v>
      </c>
      <c r="D763" s="466" t="s">
        <v>2125</v>
      </c>
      <c r="E763" s="470">
        <v>53</v>
      </c>
      <c r="F763" s="468">
        <v>1400</v>
      </c>
      <c r="G763" s="468">
        <v>74200</v>
      </c>
      <c r="H763" s="469" t="s">
        <v>2152</v>
      </c>
      <c r="I763" s="466" t="s">
        <v>1231</v>
      </c>
      <c r="J763" s="469" t="s">
        <v>139</v>
      </c>
      <c r="K763" s="466" t="s">
        <v>1734</v>
      </c>
    </row>
    <row r="764" spans="1:11" hidden="1" x14ac:dyDescent="0.25">
      <c r="A764" s="465">
        <v>18</v>
      </c>
      <c r="B764" s="466" t="s">
        <v>1235</v>
      </c>
      <c r="C764" s="466" t="s">
        <v>2033</v>
      </c>
      <c r="D764" s="466" t="s">
        <v>2126</v>
      </c>
      <c r="E764" s="470">
        <v>61</v>
      </c>
      <c r="F764" s="468">
        <v>1400</v>
      </c>
      <c r="G764" s="468">
        <v>85400</v>
      </c>
      <c r="H764" s="469" t="s">
        <v>2152</v>
      </c>
      <c r="I764" s="466" t="s">
        <v>1231</v>
      </c>
      <c r="J764" s="469" t="s">
        <v>139</v>
      </c>
      <c r="K764" s="466" t="s">
        <v>1734</v>
      </c>
    </row>
    <row r="765" spans="1:11" hidden="1" x14ac:dyDescent="0.25">
      <c r="A765" s="465">
        <v>18</v>
      </c>
      <c r="B765" s="466" t="s">
        <v>1235</v>
      </c>
      <c r="C765" s="466" t="s">
        <v>2035</v>
      </c>
      <c r="D765" s="466" t="s">
        <v>2139</v>
      </c>
      <c r="E765" s="470">
        <v>42</v>
      </c>
      <c r="F765" s="468">
        <v>2800</v>
      </c>
      <c r="G765" s="468">
        <v>117600</v>
      </c>
      <c r="H765" s="469" t="s">
        <v>2152</v>
      </c>
      <c r="I765" s="466" t="s">
        <v>1231</v>
      </c>
      <c r="J765" s="469" t="s">
        <v>139</v>
      </c>
      <c r="K765" s="466" t="s">
        <v>1734</v>
      </c>
    </row>
    <row r="766" spans="1:11" hidden="1" x14ac:dyDescent="0.25">
      <c r="A766" s="465">
        <v>18</v>
      </c>
      <c r="B766" s="466" t="s">
        <v>1235</v>
      </c>
      <c r="C766" s="466" t="s">
        <v>2120</v>
      </c>
      <c r="D766" s="466" t="s">
        <v>2121</v>
      </c>
      <c r="E766" s="470">
        <v>1</v>
      </c>
      <c r="F766" s="468">
        <v>130000</v>
      </c>
      <c r="G766" s="468">
        <v>130000</v>
      </c>
      <c r="H766" s="469" t="s">
        <v>2152</v>
      </c>
      <c r="I766" s="466" t="s">
        <v>1231</v>
      </c>
      <c r="J766" s="469" t="s">
        <v>139</v>
      </c>
      <c r="K766" s="466" t="s">
        <v>1734</v>
      </c>
    </row>
    <row r="767" spans="1:11" hidden="1" x14ac:dyDescent="0.25">
      <c r="A767" s="465">
        <v>18</v>
      </c>
      <c r="B767" s="466" t="s">
        <v>1235</v>
      </c>
      <c r="C767" s="466" t="s">
        <v>2025</v>
      </c>
      <c r="D767" s="466" t="s">
        <v>2151</v>
      </c>
      <c r="E767" s="467">
        <v>63.2</v>
      </c>
      <c r="F767" s="468">
        <v>3400</v>
      </c>
      <c r="G767" s="468">
        <v>214880</v>
      </c>
      <c r="H767" s="469" t="s">
        <v>2152</v>
      </c>
      <c r="I767" s="466" t="s">
        <v>1231</v>
      </c>
      <c r="J767" s="469" t="s">
        <v>139</v>
      </c>
      <c r="K767" s="466" t="s">
        <v>1734</v>
      </c>
    </row>
    <row r="768" spans="1:11" hidden="1" x14ac:dyDescent="0.25">
      <c r="A768" s="465">
        <v>18</v>
      </c>
      <c r="B768" s="466" t="s">
        <v>1235</v>
      </c>
      <c r="C768" s="466" t="s">
        <v>2017</v>
      </c>
      <c r="D768" s="466" t="s">
        <v>2146</v>
      </c>
      <c r="E768" s="467">
        <v>3.3</v>
      </c>
      <c r="F768" s="468">
        <v>15000</v>
      </c>
      <c r="G768" s="468">
        <v>49500</v>
      </c>
      <c r="H768" s="469" t="s">
        <v>2152</v>
      </c>
      <c r="I768" s="466" t="s">
        <v>1231</v>
      </c>
      <c r="J768" s="469" t="s">
        <v>139</v>
      </c>
      <c r="K768" s="466" t="s">
        <v>1734</v>
      </c>
    </row>
    <row r="769" spans="1:11" hidden="1" x14ac:dyDescent="0.25">
      <c r="A769" s="465">
        <v>18</v>
      </c>
      <c r="B769" s="466" t="s">
        <v>1235</v>
      </c>
      <c r="C769" s="466" t="s">
        <v>2063</v>
      </c>
      <c r="D769" s="466" t="s">
        <v>2128</v>
      </c>
      <c r="E769" s="467">
        <v>8.6999999999999993</v>
      </c>
      <c r="F769" s="468">
        <v>6000</v>
      </c>
      <c r="G769" s="468">
        <v>52200</v>
      </c>
      <c r="H769" s="469" t="s">
        <v>2152</v>
      </c>
      <c r="I769" s="466" t="s">
        <v>1231</v>
      </c>
      <c r="J769" s="469" t="s">
        <v>139</v>
      </c>
      <c r="K769" s="466" t="s">
        <v>1734</v>
      </c>
    </row>
    <row r="770" spans="1:11" hidden="1" x14ac:dyDescent="0.25">
      <c r="A770" s="465">
        <v>18</v>
      </c>
      <c r="B770" s="466" t="s">
        <v>1235</v>
      </c>
      <c r="C770" s="466" t="s">
        <v>2148</v>
      </c>
      <c r="D770" s="466" t="s">
        <v>2149</v>
      </c>
      <c r="E770" s="467">
        <v>6.8</v>
      </c>
      <c r="F770" s="468">
        <v>3500</v>
      </c>
      <c r="G770" s="468">
        <v>23800</v>
      </c>
      <c r="H770" s="469" t="s">
        <v>2152</v>
      </c>
      <c r="I770" s="466" t="s">
        <v>1231</v>
      </c>
      <c r="J770" s="469" t="s">
        <v>139</v>
      </c>
      <c r="K770" s="466" t="s">
        <v>1734</v>
      </c>
    </row>
    <row r="771" spans="1:11" hidden="1" x14ac:dyDescent="0.25">
      <c r="A771" s="465">
        <v>18</v>
      </c>
      <c r="B771" s="466" t="s">
        <v>1235</v>
      </c>
      <c r="C771" s="466" t="s">
        <v>1528</v>
      </c>
      <c r="D771" s="466" t="s">
        <v>2141</v>
      </c>
      <c r="E771" s="470">
        <v>1</v>
      </c>
      <c r="F771" s="468">
        <v>60000</v>
      </c>
      <c r="G771" s="468">
        <v>60000</v>
      </c>
      <c r="H771" s="469" t="s">
        <v>2152</v>
      </c>
      <c r="I771" s="466" t="s">
        <v>1231</v>
      </c>
      <c r="J771" s="469" t="s">
        <v>139</v>
      </c>
      <c r="K771" s="466" t="s">
        <v>1734</v>
      </c>
    </row>
    <row r="772" spans="1:11" hidden="1" x14ac:dyDescent="0.25">
      <c r="A772" s="465">
        <v>18</v>
      </c>
      <c r="B772" s="466" t="s">
        <v>1235</v>
      </c>
      <c r="C772" s="466" t="s">
        <v>2038</v>
      </c>
      <c r="D772" s="466" t="s">
        <v>2136</v>
      </c>
      <c r="E772" s="470">
        <v>7</v>
      </c>
      <c r="F772" s="468">
        <v>5000</v>
      </c>
      <c r="G772" s="468">
        <v>35000</v>
      </c>
      <c r="H772" s="469" t="s">
        <v>2152</v>
      </c>
      <c r="I772" s="466" t="s">
        <v>1231</v>
      </c>
      <c r="J772" s="469" t="s">
        <v>139</v>
      </c>
      <c r="K772" s="466" t="s">
        <v>1734</v>
      </c>
    </row>
    <row r="773" spans="1:11" hidden="1" x14ac:dyDescent="0.25">
      <c r="A773" s="465">
        <v>18</v>
      </c>
      <c r="B773" s="466" t="s">
        <v>1235</v>
      </c>
      <c r="C773" s="466" t="s">
        <v>1556</v>
      </c>
      <c r="D773" s="466" t="s">
        <v>2127</v>
      </c>
      <c r="E773" s="467">
        <v>9.3000000000000007</v>
      </c>
      <c r="F773" s="468">
        <v>2000</v>
      </c>
      <c r="G773" s="468">
        <v>18600</v>
      </c>
      <c r="H773" s="469" t="s">
        <v>2152</v>
      </c>
      <c r="I773" s="466" t="s">
        <v>1231</v>
      </c>
      <c r="J773" s="469" t="s">
        <v>139</v>
      </c>
      <c r="K773" s="466" t="s">
        <v>1734</v>
      </c>
    </row>
    <row r="774" spans="1:11" hidden="1" x14ac:dyDescent="0.25">
      <c r="A774" s="465">
        <v>18</v>
      </c>
      <c r="B774" s="466" t="s">
        <v>1235</v>
      </c>
      <c r="C774" s="466" t="s">
        <v>1524</v>
      </c>
      <c r="D774" s="466" t="s">
        <v>2153</v>
      </c>
      <c r="E774" s="467">
        <v>4.2</v>
      </c>
      <c r="F774" s="468">
        <v>6000</v>
      </c>
      <c r="G774" s="468">
        <v>25200</v>
      </c>
      <c r="H774" s="469" t="s">
        <v>2152</v>
      </c>
      <c r="I774" s="466" t="s">
        <v>1231</v>
      </c>
      <c r="J774" s="469" t="s">
        <v>139</v>
      </c>
      <c r="K774" s="466" t="s">
        <v>1734</v>
      </c>
    </row>
    <row r="775" spans="1:11" hidden="1" x14ac:dyDescent="0.25">
      <c r="A775" s="465">
        <v>18</v>
      </c>
      <c r="B775" s="466" t="s">
        <v>1235</v>
      </c>
      <c r="C775" s="466" t="s">
        <v>2061</v>
      </c>
      <c r="D775" s="466" t="s">
        <v>2154</v>
      </c>
      <c r="E775" s="467">
        <v>4.0999999999999996</v>
      </c>
      <c r="F775" s="468">
        <v>5000</v>
      </c>
      <c r="G775" s="468">
        <v>20500</v>
      </c>
      <c r="H775" s="469" t="s">
        <v>2152</v>
      </c>
      <c r="I775" s="466" t="s">
        <v>1231</v>
      </c>
      <c r="J775" s="469" t="s">
        <v>139</v>
      </c>
      <c r="K775" s="466" t="s">
        <v>1734</v>
      </c>
    </row>
    <row r="776" spans="1:11" hidden="1" x14ac:dyDescent="0.25">
      <c r="A776" s="465">
        <v>18</v>
      </c>
      <c r="B776" s="466" t="s">
        <v>1235</v>
      </c>
      <c r="C776" s="466" t="s">
        <v>1550</v>
      </c>
      <c r="D776" s="466" t="s">
        <v>2155</v>
      </c>
      <c r="E776" s="467">
        <v>5.7</v>
      </c>
      <c r="F776" s="468">
        <v>2800</v>
      </c>
      <c r="G776" s="468">
        <v>15960</v>
      </c>
      <c r="H776" s="469" t="s">
        <v>2152</v>
      </c>
      <c r="I776" s="466" t="s">
        <v>1231</v>
      </c>
      <c r="J776" s="469" t="s">
        <v>139</v>
      </c>
      <c r="K776" s="466" t="s">
        <v>1734</v>
      </c>
    </row>
    <row r="777" spans="1:11" hidden="1" x14ac:dyDescent="0.25">
      <c r="A777" s="465">
        <v>18</v>
      </c>
      <c r="B777" s="466" t="s">
        <v>1235</v>
      </c>
      <c r="C777" s="466" t="s">
        <v>2043</v>
      </c>
      <c r="D777" s="466" t="s">
        <v>2138</v>
      </c>
      <c r="E777" s="467">
        <v>9.5</v>
      </c>
      <c r="F777" s="468">
        <v>3800</v>
      </c>
      <c r="G777" s="468">
        <v>36100</v>
      </c>
      <c r="H777" s="469" t="s">
        <v>2152</v>
      </c>
      <c r="I777" s="466" t="s">
        <v>1231</v>
      </c>
      <c r="J777" s="469" t="s">
        <v>139</v>
      </c>
      <c r="K777" s="466" t="s">
        <v>1734</v>
      </c>
    </row>
    <row r="778" spans="1:11" hidden="1" x14ac:dyDescent="0.25">
      <c r="A778" s="465">
        <v>18</v>
      </c>
      <c r="B778" s="466" t="s">
        <v>1235</v>
      </c>
      <c r="C778" s="466" t="s">
        <v>2040</v>
      </c>
      <c r="D778" s="466" t="s">
        <v>2130</v>
      </c>
      <c r="E778" s="467">
        <v>8.1999999999999993</v>
      </c>
      <c r="F778" s="468">
        <v>4000</v>
      </c>
      <c r="G778" s="468">
        <v>32800</v>
      </c>
      <c r="H778" s="469" t="s">
        <v>2152</v>
      </c>
      <c r="I778" s="466" t="s">
        <v>1231</v>
      </c>
      <c r="J778" s="469" t="s">
        <v>139</v>
      </c>
      <c r="K778" s="466" t="s">
        <v>1734</v>
      </c>
    </row>
    <row r="779" spans="1:11" hidden="1" x14ac:dyDescent="0.25">
      <c r="A779" s="465">
        <v>18</v>
      </c>
      <c r="B779" s="466" t="s">
        <v>1235</v>
      </c>
      <c r="C779" s="466" t="s">
        <v>2059</v>
      </c>
      <c r="D779" s="466" t="s">
        <v>2129</v>
      </c>
      <c r="E779" s="467">
        <v>3.3</v>
      </c>
      <c r="F779" s="468">
        <v>2500</v>
      </c>
      <c r="G779" s="468">
        <v>8250</v>
      </c>
      <c r="H779" s="469" t="s">
        <v>2152</v>
      </c>
      <c r="I779" s="466" t="s">
        <v>1231</v>
      </c>
      <c r="J779" s="469" t="s">
        <v>139</v>
      </c>
      <c r="K779" s="466" t="s">
        <v>1734</v>
      </c>
    </row>
    <row r="780" spans="1:11" hidden="1" x14ac:dyDescent="0.25">
      <c r="A780" s="465">
        <v>18</v>
      </c>
      <c r="B780" s="466" t="s">
        <v>1235</v>
      </c>
      <c r="C780" s="466" t="s">
        <v>2020</v>
      </c>
      <c r="D780" s="466" t="s">
        <v>2135</v>
      </c>
      <c r="E780" s="470">
        <v>4</v>
      </c>
      <c r="F780" s="468">
        <v>9000</v>
      </c>
      <c r="G780" s="468">
        <v>36000</v>
      </c>
      <c r="H780" s="469" t="s">
        <v>2152</v>
      </c>
      <c r="I780" s="466" t="s">
        <v>1231</v>
      </c>
      <c r="J780" s="469" t="s">
        <v>139</v>
      </c>
      <c r="K780" s="466" t="s">
        <v>1734</v>
      </c>
    </row>
    <row r="781" spans="1:11" hidden="1" x14ac:dyDescent="0.25">
      <c r="A781" s="465">
        <v>18</v>
      </c>
      <c r="B781" s="466" t="s">
        <v>1255</v>
      </c>
      <c r="C781" s="466" t="s">
        <v>1748</v>
      </c>
      <c r="D781" s="466" t="s">
        <v>2156</v>
      </c>
      <c r="E781" s="470">
        <v>2</v>
      </c>
      <c r="F781" s="468">
        <v>9500</v>
      </c>
      <c r="G781" s="468">
        <v>19000</v>
      </c>
      <c r="H781" s="469" t="s">
        <v>2157</v>
      </c>
      <c r="I781" s="466" t="s">
        <v>1231</v>
      </c>
      <c r="J781" s="469" t="s">
        <v>139</v>
      </c>
      <c r="K781" s="466" t="s">
        <v>1252</v>
      </c>
    </row>
    <row r="782" spans="1:11" hidden="1" x14ac:dyDescent="0.25">
      <c r="A782" s="465">
        <v>18</v>
      </c>
      <c r="B782" s="466" t="s">
        <v>1255</v>
      </c>
      <c r="C782" s="466" t="s">
        <v>2158</v>
      </c>
      <c r="D782" s="466" t="s">
        <v>2159</v>
      </c>
      <c r="E782" s="470">
        <v>2</v>
      </c>
      <c r="F782" s="468">
        <v>5000</v>
      </c>
      <c r="G782" s="468">
        <v>10000</v>
      </c>
      <c r="H782" s="469" t="s">
        <v>2157</v>
      </c>
      <c r="I782" s="466" t="s">
        <v>1231</v>
      </c>
      <c r="J782" s="469" t="s">
        <v>139</v>
      </c>
      <c r="K782" s="466" t="s">
        <v>1252</v>
      </c>
    </row>
    <row r="783" spans="1:11" hidden="1" x14ac:dyDescent="0.25">
      <c r="A783" s="465">
        <v>19</v>
      </c>
      <c r="B783" s="466" t="s">
        <v>1230</v>
      </c>
      <c r="C783" s="466" t="s">
        <v>214</v>
      </c>
      <c r="D783" s="466" t="s">
        <v>372</v>
      </c>
      <c r="E783" s="467">
        <v>26.71</v>
      </c>
      <c r="F783" s="468">
        <v>25900</v>
      </c>
      <c r="G783" s="468">
        <v>691789</v>
      </c>
      <c r="H783" s="469" t="s">
        <v>473</v>
      </c>
      <c r="I783" s="466" t="s">
        <v>1231</v>
      </c>
      <c r="J783" s="469" t="s">
        <v>139</v>
      </c>
      <c r="K783" s="466" t="s">
        <v>1266</v>
      </c>
    </row>
    <row r="784" spans="1:11" hidden="1" x14ac:dyDescent="0.25">
      <c r="A784" s="465">
        <v>19</v>
      </c>
      <c r="B784" s="466" t="s">
        <v>1230</v>
      </c>
      <c r="C784" s="466" t="s">
        <v>449</v>
      </c>
      <c r="D784" s="466" t="s">
        <v>374</v>
      </c>
      <c r="E784" s="467">
        <v>100.26</v>
      </c>
      <c r="F784" s="468">
        <v>21900</v>
      </c>
      <c r="G784" s="468">
        <v>2195694</v>
      </c>
      <c r="H784" s="469" t="s">
        <v>473</v>
      </c>
      <c r="I784" s="466" t="s">
        <v>1231</v>
      </c>
      <c r="J784" s="469" t="s">
        <v>139</v>
      </c>
      <c r="K784" s="466" t="s">
        <v>1266</v>
      </c>
    </row>
    <row r="785" spans="1:11" hidden="1" x14ac:dyDescent="0.25">
      <c r="A785" s="465">
        <v>19</v>
      </c>
      <c r="B785" s="466" t="s">
        <v>1230</v>
      </c>
      <c r="C785" s="466" t="s">
        <v>474</v>
      </c>
      <c r="D785" s="466" t="s">
        <v>475</v>
      </c>
      <c r="E785" s="467">
        <v>20.2</v>
      </c>
      <c r="F785" s="468">
        <v>22900</v>
      </c>
      <c r="G785" s="468">
        <v>462580</v>
      </c>
      <c r="H785" s="469" t="s">
        <v>473</v>
      </c>
      <c r="I785" s="466" t="s">
        <v>1231</v>
      </c>
      <c r="J785" s="469" t="s">
        <v>139</v>
      </c>
      <c r="K785" s="466" t="s">
        <v>1266</v>
      </c>
    </row>
    <row r="786" spans="1:11" hidden="1" x14ac:dyDescent="0.25">
      <c r="A786" s="465">
        <v>19</v>
      </c>
      <c r="B786" s="466" t="s">
        <v>1235</v>
      </c>
      <c r="C786" s="466" t="s">
        <v>2160</v>
      </c>
      <c r="D786" s="466" t="s">
        <v>1782</v>
      </c>
      <c r="E786" s="470">
        <v>12</v>
      </c>
      <c r="F786" s="468">
        <v>17500</v>
      </c>
      <c r="G786" s="468">
        <v>210000</v>
      </c>
      <c r="H786" s="469" t="s">
        <v>473</v>
      </c>
      <c r="I786" s="466" t="s">
        <v>1231</v>
      </c>
      <c r="J786" s="469" t="s">
        <v>139</v>
      </c>
      <c r="K786" s="466" t="s">
        <v>1266</v>
      </c>
    </row>
    <row r="787" spans="1:11" hidden="1" x14ac:dyDescent="0.25">
      <c r="A787" s="465">
        <v>19</v>
      </c>
      <c r="B787" s="466" t="s">
        <v>1230</v>
      </c>
      <c r="C787" s="466" t="s">
        <v>476</v>
      </c>
      <c r="D787" s="466" t="s">
        <v>477</v>
      </c>
      <c r="E787" s="470">
        <v>16</v>
      </c>
      <c r="F787" s="468">
        <v>44000</v>
      </c>
      <c r="G787" s="468">
        <v>704000</v>
      </c>
      <c r="H787" s="469" t="s">
        <v>473</v>
      </c>
      <c r="I787" s="466" t="s">
        <v>1231</v>
      </c>
      <c r="J787" s="469" t="s">
        <v>139</v>
      </c>
      <c r="K787" s="466" t="s">
        <v>1266</v>
      </c>
    </row>
    <row r="788" spans="1:11" hidden="1" x14ac:dyDescent="0.25">
      <c r="A788" s="465">
        <v>19</v>
      </c>
      <c r="B788" s="466" t="s">
        <v>1230</v>
      </c>
      <c r="C788" s="466" t="s">
        <v>478</v>
      </c>
      <c r="D788" s="466" t="s">
        <v>378</v>
      </c>
      <c r="E788" s="467">
        <v>20.3</v>
      </c>
      <c r="F788" s="468">
        <v>21900</v>
      </c>
      <c r="G788" s="468">
        <v>444570</v>
      </c>
      <c r="H788" s="469" t="s">
        <v>473</v>
      </c>
      <c r="I788" s="466" t="s">
        <v>1231</v>
      </c>
      <c r="J788" s="469" t="s">
        <v>139</v>
      </c>
      <c r="K788" s="466" t="s">
        <v>1266</v>
      </c>
    </row>
    <row r="789" spans="1:11" hidden="1" x14ac:dyDescent="0.25">
      <c r="A789" s="465">
        <v>1</v>
      </c>
      <c r="B789" s="466" t="s">
        <v>1239</v>
      </c>
      <c r="C789" s="466" t="s">
        <v>2161</v>
      </c>
      <c r="D789" s="466" t="s">
        <v>2162</v>
      </c>
      <c r="E789" s="470">
        <v>2</v>
      </c>
      <c r="F789" s="468">
        <v>6200</v>
      </c>
      <c r="G789" s="468">
        <v>12400</v>
      </c>
      <c r="H789" s="469" t="s">
        <v>2163</v>
      </c>
      <c r="I789" s="466" t="s">
        <v>1231</v>
      </c>
      <c r="J789" s="469" t="s">
        <v>139</v>
      </c>
      <c r="K789" s="466" t="s">
        <v>1365</v>
      </c>
    </row>
    <row r="790" spans="1:11" hidden="1" x14ac:dyDescent="0.25">
      <c r="A790" s="465">
        <v>1</v>
      </c>
      <c r="B790" s="466" t="s">
        <v>1663</v>
      </c>
      <c r="C790" s="466" t="s">
        <v>2164</v>
      </c>
      <c r="D790" s="466" t="s">
        <v>2165</v>
      </c>
      <c r="E790" s="470">
        <v>1</v>
      </c>
      <c r="F790" s="468">
        <v>15900</v>
      </c>
      <c r="G790" s="468">
        <v>15900</v>
      </c>
      <c r="H790" s="469" t="s">
        <v>2163</v>
      </c>
      <c r="I790" s="466" t="s">
        <v>1231</v>
      </c>
      <c r="J790" s="469" t="s">
        <v>139</v>
      </c>
      <c r="K790" s="466" t="s">
        <v>1365</v>
      </c>
    </row>
    <row r="791" spans="1:11" hidden="1" x14ac:dyDescent="0.25">
      <c r="A791" s="465">
        <v>1</v>
      </c>
      <c r="B791" s="466" t="s">
        <v>1239</v>
      </c>
      <c r="C791" s="466" t="s">
        <v>2166</v>
      </c>
      <c r="D791" s="466" t="s">
        <v>2167</v>
      </c>
      <c r="E791" s="470">
        <v>1</v>
      </c>
      <c r="F791" s="468">
        <v>2150</v>
      </c>
      <c r="G791" s="468">
        <v>2150</v>
      </c>
      <c r="H791" s="469" t="s">
        <v>2163</v>
      </c>
      <c r="I791" s="466" t="s">
        <v>1231</v>
      </c>
      <c r="J791" s="469" t="s">
        <v>139</v>
      </c>
      <c r="K791" s="466" t="s">
        <v>1365</v>
      </c>
    </row>
    <row r="792" spans="1:11" hidden="1" x14ac:dyDescent="0.25">
      <c r="A792" s="465">
        <v>1</v>
      </c>
      <c r="B792" s="466" t="s">
        <v>1239</v>
      </c>
      <c r="C792" s="466" t="s">
        <v>2168</v>
      </c>
      <c r="D792" s="466" t="s">
        <v>2169</v>
      </c>
      <c r="E792" s="470">
        <v>1</v>
      </c>
      <c r="F792" s="468">
        <v>8400</v>
      </c>
      <c r="G792" s="468">
        <v>8400</v>
      </c>
      <c r="H792" s="469" t="s">
        <v>2163</v>
      </c>
      <c r="I792" s="466" t="s">
        <v>1231</v>
      </c>
      <c r="J792" s="469" t="s">
        <v>139</v>
      </c>
      <c r="K792" s="466" t="s">
        <v>1365</v>
      </c>
    </row>
    <row r="793" spans="1:11" hidden="1" x14ac:dyDescent="0.25">
      <c r="A793" s="465">
        <v>1</v>
      </c>
      <c r="B793" s="466" t="s">
        <v>1239</v>
      </c>
      <c r="C793" s="466" t="s">
        <v>2170</v>
      </c>
      <c r="D793" s="466" t="s">
        <v>2171</v>
      </c>
      <c r="E793" s="470">
        <v>5</v>
      </c>
      <c r="F793" s="468">
        <v>6650</v>
      </c>
      <c r="G793" s="468">
        <v>33250</v>
      </c>
      <c r="H793" s="469" t="s">
        <v>2163</v>
      </c>
      <c r="I793" s="466" t="s">
        <v>1231</v>
      </c>
      <c r="J793" s="469" t="s">
        <v>139</v>
      </c>
      <c r="K793" s="466" t="s">
        <v>1365</v>
      </c>
    </row>
    <row r="794" spans="1:11" hidden="1" x14ac:dyDescent="0.25">
      <c r="A794" s="465">
        <v>1</v>
      </c>
      <c r="B794" s="466" t="s">
        <v>1663</v>
      </c>
      <c r="C794" s="466" t="s">
        <v>2172</v>
      </c>
      <c r="D794" s="466" t="s">
        <v>2173</v>
      </c>
      <c r="E794" s="470">
        <v>10</v>
      </c>
      <c r="F794" s="468">
        <v>450</v>
      </c>
      <c r="G794" s="468">
        <v>4500</v>
      </c>
      <c r="H794" s="469" t="s">
        <v>2163</v>
      </c>
      <c r="I794" s="466" t="s">
        <v>1231</v>
      </c>
      <c r="J794" s="469" t="s">
        <v>139</v>
      </c>
      <c r="K794" s="466" t="s">
        <v>1365</v>
      </c>
    </row>
    <row r="795" spans="1:11" hidden="1" x14ac:dyDescent="0.25">
      <c r="A795" s="465">
        <v>1</v>
      </c>
      <c r="B795" s="466" t="s">
        <v>1663</v>
      </c>
      <c r="C795" s="466" t="s">
        <v>2174</v>
      </c>
      <c r="D795" s="466" t="s">
        <v>2175</v>
      </c>
      <c r="E795" s="470">
        <v>10</v>
      </c>
      <c r="F795" s="468">
        <v>900</v>
      </c>
      <c r="G795" s="468">
        <v>9000</v>
      </c>
      <c r="H795" s="469" t="s">
        <v>2163</v>
      </c>
      <c r="I795" s="466" t="s">
        <v>1231</v>
      </c>
      <c r="J795" s="469" t="s">
        <v>139</v>
      </c>
      <c r="K795" s="466" t="s">
        <v>1365</v>
      </c>
    </row>
    <row r="796" spans="1:11" hidden="1" x14ac:dyDescent="0.25">
      <c r="A796" s="465">
        <v>1</v>
      </c>
      <c r="B796" s="466" t="s">
        <v>1239</v>
      </c>
      <c r="C796" s="466" t="s">
        <v>2176</v>
      </c>
      <c r="D796" s="466" t="s">
        <v>2177</v>
      </c>
      <c r="E796" s="470">
        <v>1</v>
      </c>
      <c r="F796" s="468">
        <v>27500</v>
      </c>
      <c r="G796" s="468">
        <v>27500</v>
      </c>
      <c r="H796" s="469" t="s">
        <v>2163</v>
      </c>
      <c r="I796" s="466" t="s">
        <v>1231</v>
      </c>
      <c r="J796" s="469" t="s">
        <v>139</v>
      </c>
      <c r="K796" s="466" t="s">
        <v>1365</v>
      </c>
    </row>
    <row r="797" spans="1:11" hidden="1" x14ac:dyDescent="0.25">
      <c r="A797" s="465">
        <v>1</v>
      </c>
      <c r="B797" s="466" t="s">
        <v>1101</v>
      </c>
      <c r="C797" s="466" t="s">
        <v>2178</v>
      </c>
      <c r="D797" s="466" t="s">
        <v>2179</v>
      </c>
      <c r="E797" s="470">
        <v>20</v>
      </c>
      <c r="F797" s="468">
        <v>8600</v>
      </c>
      <c r="G797" s="468">
        <v>172000</v>
      </c>
      <c r="H797" s="469" t="s">
        <v>2163</v>
      </c>
      <c r="I797" s="466" t="s">
        <v>1231</v>
      </c>
      <c r="J797" s="469" t="s">
        <v>139</v>
      </c>
      <c r="K797" s="466" t="s">
        <v>1365</v>
      </c>
    </row>
    <row r="798" spans="1:11" hidden="1" x14ac:dyDescent="0.25">
      <c r="A798" s="465">
        <v>1</v>
      </c>
      <c r="B798" s="466" t="s">
        <v>1101</v>
      </c>
      <c r="C798" s="466" t="s">
        <v>2180</v>
      </c>
      <c r="D798" s="466" t="s">
        <v>2181</v>
      </c>
      <c r="E798" s="470">
        <v>8</v>
      </c>
      <c r="F798" s="468">
        <v>2500</v>
      </c>
      <c r="G798" s="468">
        <v>20000</v>
      </c>
      <c r="H798" s="469" t="s">
        <v>2163</v>
      </c>
      <c r="I798" s="466" t="s">
        <v>1231</v>
      </c>
      <c r="J798" s="469" t="s">
        <v>139</v>
      </c>
      <c r="K798" s="466" t="s">
        <v>1365</v>
      </c>
    </row>
    <row r="799" spans="1:11" hidden="1" x14ac:dyDescent="0.25">
      <c r="A799" s="465">
        <v>1</v>
      </c>
      <c r="B799" s="466" t="s">
        <v>1101</v>
      </c>
      <c r="C799" s="466" t="s">
        <v>2182</v>
      </c>
      <c r="D799" s="466" t="s">
        <v>2183</v>
      </c>
      <c r="E799" s="470">
        <v>150</v>
      </c>
      <c r="F799" s="468">
        <v>390</v>
      </c>
      <c r="G799" s="468">
        <v>58500</v>
      </c>
      <c r="H799" s="469" t="s">
        <v>2163</v>
      </c>
      <c r="I799" s="466" t="s">
        <v>1231</v>
      </c>
      <c r="J799" s="469" t="s">
        <v>139</v>
      </c>
      <c r="K799" s="466" t="s">
        <v>1365</v>
      </c>
    </row>
    <row r="800" spans="1:11" hidden="1" x14ac:dyDescent="0.25">
      <c r="A800" s="465">
        <v>1</v>
      </c>
      <c r="B800" s="466" t="s">
        <v>1101</v>
      </c>
      <c r="C800" s="466" t="s">
        <v>2184</v>
      </c>
      <c r="D800" s="466" t="s">
        <v>2185</v>
      </c>
      <c r="E800" s="470">
        <v>5</v>
      </c>
      <c r="F800" s="468">
        <v>9600</v>
      </c>
      <c r="G800" s="468">
        <v>48000</v>
      </c>
      <c r="H800" s="469" t="s">
        <v>2163</v>
      </c>
      <c r="I800" s="466" t="s">
        <v>1231</v>
      </c>
      <c r="J800" s="469" t="s">
        <v>139</v>
      </c>
      <c r="K800" s="466" t="s">
        <v>1365</v>
      </c>
    </row>
    <row r="801" spans="1:11" hidden="1" x14ac:dyDescent="0.25">
      <c r="A801" s="465">
        <v>1</v>
      </c>
      <c r="B801" s="466" t="s">
        <v>1663</v>
      </c>
      <c r="C801" s="466" t="s">
        <v>2186</v>
      </c>
      <c r="D801" s="466" t="s">
        <v>2187</v>
      </c>
      <c r="E801" s="470">
        <v>5</v>
      </c>
      <c r="F801" s="468">
        <v>10600</v>
      </c>
      <c r="G801" s="468">
        <v>53000</v>
      </c>
      <c r="H801" s="469" t="s">
        <v>2163</v>
      </c>
      <c r="I801" s="466" t="s">
        <v>1231</v>
      </c>
      <c r="J801" s="469" t="s">
        <v>139</v>
      </c>
      <c r="K801" s="466" t="s">
        <v>1365</v>
      </c>
    </row>
    <row r="802" spans="1:11" hidden="1" x14ac:dyDescent="0.25">
      <c r="A802" s="465">
        <v>1</v>
      </c>
      <c r="B802" s="466" t="s">
        <v>1239</v>
      </c>
      <c r="C802" s="466" t="s">
        <v>2188</v>
      </c>
      <c r="D802" s="466" t="s">
        <v>2189</v>
      </c>
      <c r="E802" s="470">
        <v>5</v>
      </c>
      <c r="F802" s="468">
        <v>2100</v>
      </c>
      <c r="G802" s="468">
        <v>10500</v>
      </c>
      <c r="H802" s="469" t="s">
        <v>2163</v>
      </c>
      <c r="I802" s="466" t="s">
        <v>1231</v>
      </c>
      <c r="J802" s="469" t="s">
        <v>139</v>
      </c>
      <c r="K802" s="466" t="s">
        <v>1365</v>
      </c>
    </row>
    <row r="803" spans="1:11" hidden="1" x14ac:dyDescent="0.25">
      <c r="A803" s="465">
        <v>1</v>
      </c>
      <c r="B803" s="466" t="s">
        <v>1239</v>
      </c>
      <c r="C803" s="466" t="s">
        <v>2190</v>
      </c>
      <c r="D803" s="466" t="s">
        <v>2191</v>
      </c>
      <c r="E803" s="470">
        <v>25</v>
      </c>
      <c r="F803" s="468">
        <v>2100</v>
      </c>
      <c r="G803" s="468">
        <v>52500</v>
      </c>
      <c r="H803" s="469" t="s">
        <v>2163</v>
      </c>
      <c r="I803" s="466" t="s">
        <v>1231</v>
      </c>
      <c r="J803" s="469" t="s">
        <v>139</v>
      </c>
      <c r="K803" s="466" t="s">
        <v>1365</v>
      </c>
    </row>
    <row r="804" spans="1:11" hidden="1" x14ac:dyDescent="0.25">
      <c r="A804" s="465">
        <v>1</v>
      </c>
      <c r="B804" s="466" t="s">
        <v>1239</v>
      </c>
      <c r="C804" s="466" t="s">
        <v>2192</v>
      </c>
      <c r="D804" s="466" t="s">
        <v>2193</v>
      </c>
      <c r="E804" s="470">
        <v>1</v>
      </c>
      <c r="F804" s="468">
        <v>19850</v>
      </c>
      <c r="G804" s="468">
        <v>19850</v>
      </c>
      <c r="H804" s="469" t="s">
        <v>2163</v>
      </c>
      <c r="I804" s="466" t="s">
        <v>1231</v>
      </c>
      <c r="J804" s="469" t="s">
        <v>139</v>
      </c>
      <c r="K804" s="466" t="s">
        <v>1365</v>
      </c>
    </row>
    <row r="805" spans="1:11" hidden="1" x14ac:dyDescent="0.25">
      <c r="A805" s="465">
        <v>1</v>
      </c>
      <c r="B805" s="466" t="s">
        <v>1101</v>
      </c>
      <c r="C805" s="466" t="s">
        <v>2194</v>
      </c>
      <c r="D805" s="466" t="s">
        <v>2195</v>
      </c>
      <c r="E805" s="470">
        <v>12</v>
      </c>
      <c r="F805" s="468">
        <v>700</v>
      </c>
      <c r="G805" s="468">
        <v>8400</v>
      </c>
      <c r="H805" s="469" t="s">
        <v>2163</v>
      </c>
      <c r="I805" s="466" t="s">
        <v>1231</v>
      </c>
      <c r="J805" s="469" t="s">
        <v>139</v>
      </c>
      <c r="K805" s="466" t="s">
        <v>1365</v>
      </c>
    </row>
    <row r="806" spans="1:11" hidden="1" x14ac:dyDescent="0.25">
      <c r="A806" s="465">
        <v>1</v>
      </c>
      <c r="B806" s="466" t="s">
        <v>1101</v>
      </c>
      <c r="C806" s="466" t="s">
        <v>2196</v>
      </c>
      <c r="D806" s="466" t="s">
        <v>2197</v>
      </c>
      <c r="E806" s="470">
        <v>200</v>
      </c>
      <c r="F806" s="468">
        <v>440</v>
      </c>
      <c r="G806" s="468">
        <v>88000</v>
      </c>
      <c r="H806" s="469" t="s">
        <v>2163</v>
      </c>
      <c r="I806" s="466" t="s">
        <v>1231</v>
      </c>
      <c r="J806" s="469" t="s">
        <v>139</v>
      </c>
      <c r="K806" s="466" t="s">
        <v>1365</v>
      </c>
    </row>
    <row r="807" spans="1:11" hidden="1" x14ac:dyDescent="0.25">
      <c r="A807" s="465">
        <v>1</v>
      </c>
      <c r="B807" s="466" t="s">
        <v>1101</v>
      </c>
      <c r="C807" s="466" t="s">
        <v>2198</v>
      </c>
      <c r="D807" s="466" t="s">
        <v>2199</v>
      </c>
      <c r="E807" s="470">
        <v>200</v>
      </c>
      <c r="F807" s="468">
        <v>440</v>
      </c>
      <c r="G807" s="468">
        <v>88000</v>
      </c>
      <c r="H807" s="469" t="s">
        <v>2163</v>
      </c>
      <c r="I807" s="466" t="s">
        <v>1231</v>
      </c>
      <c r="J807" s="469" t="s">
        <v>139</v>
      </c>
      <c r="K807" s="466" t="s">
        <v>1365</v>
      </c>
    </row>
    <row r="808" spans="1:11" hidden="1" x14ac:dyDescent="0.25">
      <c r="A808" s="465">
        <v>1</v>
      </c>
      <c r="B808" s="466" t="s">
        <v>1239</v>
      </c>
      <c r="C808" s="466" t="s">
        <v>2200</v>
      </c>
      <c r="D808" s="466" t="s">
        <v>2201</v>
      </c>
      <c r="E808" s="470">
        <v>24</v>
      </c>
      <c r="F808" s="468">
        <v>1400</v>
      </c>
      <c r="G808" s="468">
        <v>33600</v>
      </c>
      <c r="H808" s="469" t="s">
        <v>2163</v>
      </c>
      <c r="I808" s="466" t="s">
        <v>1231</v>
      </c>
      <c r="J808" s="469" t="s">
        <v>139</v>
      </c>
      <c r="K808" s="466" t="s">
        <v>1365</v>
      </c>
    </row>
    <row r="809" spans="1:11" hidden="1" x14ac:dyDescent="0.25">
      <c r="A809" s="465">
        <v>1</v>
      </c>
      <c r="B809" s="466" t="s">
        <v>1239</v>
      </c>
      <c r="C809" s="466" t="s">
        <v>2202</v>
      </c>
      <c r="D809" s="466" t="s">
        <v>2203</v>
      </c>
      <c r="E809" s="470">
        <v>1</v>
      </c>
      <c r="F809" s="468">
        <v>14600</v>
      </c>
      <c r="G809" s="468">
        <v>14600</v>
      </c>
      <c r="H809" s="469" t="s">
        <v>2163</v>
      </c>
      <c r="I809" s="466" t="s">
        <v>1231</v>
      </c>
      <c r="J809" s="469" t="s">
        <v>139</v>
      </c>
      <c r="K809" s="466" t="s">
        <v>1365</v>
      </c>
    </row>
    <row r="810" spans="1:11" hidden="1" x14ac:dyDescent="0.25">
      <c r="A810" s="465">
        <v>1</v>
      </c>
      <c r="B810" s="466" t="s">
        <v>1101</v>
      </c>
      <c r="C810" s="466" t="s">
        <v>2204</v>
      </c>
      <c r="D810" s="466" t="s">
        <v>2205</v>
      </c>
      <c r="E810" s="470">
        <v>20</v>
      </c>
      <c r="F810" s="468">
        <v>11200</v>
      </c>
      <c r="G810" s="468">
        <v>224000</v>
      </c>
      <c r="H810" s="469" t="s">
        <v>2163</v>
      </c>
      <c r="I810" s="466" t="s">
        <v>1231</v>
      </c>
      <c r="J810" s="469" t="s">
        <v>139</v>
      </c>
      <c r="K810" s="466" t="s">
        <v>1365</v>
      </c>
    </row>
    <row r="811" spans="1:11" hidden="1" x14ac:dyDescent="0.25">
      <c r="A811" s="465">
        <v>1</v>
      </c>
      <c r="B811" s="466" t="s">
        <v>1101</v>
      </c>
      <c r="C811" s="466" t="s">
        <v>2206</v>
      </c>
      <c r="D811" s="466" t="s">
        <v>2207</v>
      </c>
      <c r="E811" s="470">
        <v>3</v>
      </c>
      <c r="F811" s="468">
        <v>4850</v>
      </c>
      <c r="G811" s="468">
        <v>14550</v>
      </c>
      <c r="H811" s="469" t="s">
        <v>2163</v>
      </c>
      <c r="I811" s="466" t="s">
        <v>1231</v>
      </c>
      <c r="J811" s="469" t="s">
        <v>139</v>
      </c>
      <c r="K811" s="466" t="s">
        <v>1365</v>
      </c>
    </row>
    <row r="812" spans="1:11" hidden="1" x14ac:dyDescent="0.25">
      <c r="A812" s="465">
        <v>1</v>
      </c>
      <c r="B812" s="466" t="s">
        <v>1101</v>
      </c>
      <c r="C812" s="466" t="s">
        <v>2208</v>
      </c>
      <c r="D812" s="466" t="s">
        <v>2209</v>
      </c>
      <c r="E812" s="470">
        <v>8</v>
      </c>
      <c r="F812" s="468">
        <v>2400</v>
      </c>
      <c r="G812" s="468">
        <v>19200</v>
      </c>
      <c r="H812" s="469" t="s">
        <v>2163</v>
      </c>
      <c r="I812" s="466" t="s">
        <v>1231</v>
      </c>
      <c r="J812" s="469" t="s">
        <v>139</v>
      </c>
      <c r="K812" s="466" t="s">
        <v>1365</v>
      </c>
    </row>
    <row r="813" spans="1:11" hidden="1" x14ac:dyDescent="0.25">
      <c r="A813" s="465">
        <v>1</v>
      </c>
      <c r="B813" s="466" t="s">
        <v>1101</v>
      </c>
      <c r="C813" s="466" t="s">
        <v>2210</v>
      </c>
      <c r="D813" s="466" t="s">
        <v>2211</v>
      </c>
      <c r="E813" s="470">
        <v>3</v>
      </c>
      <c r="F813" s="468">
        <v>5450</v>
      </c>
      <c r="G813" s="468">
        <v>16350</v>
      </c>
      <c r="H813" s="469" t="s">
        <v>2163</v>
      </c>
      <c r="I813" s="466" t="s">
        <v>1231</v>
      </c>
      <c r="J813" s="469" t="s">
        <v>139</v>
      </c>
      <c r="K813" s="466" t="s">
        <v>1365</v>
      </c>
    </row>
    <row r="814" spans="1:11" hidden="1" x14ac:dyDescent="0.25">
      <c r="A814" s="465">
        <v>1</v>
      </c>
      <c r="B814" s="466" t="s">
        <v>1101</v>
      </c>
      <c r="C814" s="466" t="s">
        <v>2212</v>
      </c>
      <c r="D814" s="466" t="s">
        <v>2213</v>
      </c>
      <c r="E814" s="470">
        <v>6</v>
      </c>
      <c r="F814" s="468">
        <v>5000</v>
      </c>
      <c r="G814" s="468">
        <v>30000</v>
      </c>
      <c r="H814" s="469" t="s">
        <v>2163</v>
      </c>
      <c r="I814" s="466" t="s">
        <v>1231</v>
      </c>
      <c r="J814" s="469" t="s">
        <v>139</v>
      </c>
      <c r="K814" s="466" t="s">
        <v>1365</v>
      </c>
    </row>
    <row r="815" spans="1:11" hidden="1" x14ac:dyDescent="0.25">
      <c r="A815" s="465">
        <v>1</v>
      </c>
      <c r="B815" s="466" t="s">
        <v>1101</v>
      </c>
      <c r="C815" s="466" t="s">
        <v>2214</v>
      </c>
      <c r="D815" s="466" t="s">
        <v>2215</v>
      </c>
      <c r="E815" s="470">
        <v>3</v>
      </c>
      <c r="F815" s="468">
        <v>2750</v>
      </c>
      <c r="G815" s="468">
        <v>8250</v>
      </c>
      <c r="H815" s="469" t="s">
        <v>2163</v>
      </c>
      <c r="I815" s="466" t="s">
        <v>1231</v>
      </c>
      <c r="J815" s="469" t="s">
        <v>139</v>
      </c>
      <c r="K815" s="466" t="s">
        <v>1365</v>
      </c>
    </row>
    <row r="816" spans="1:11" hidden="1" x14ac:dyDescent="0.25">
      <c r="A816" s="465">
        <v>1</v>
      </c>
      <c r="B816" s="466" t="s">
        <v>1101</v>
      </c>
      <c r="C816" s="466" t="s">
        <v>2216</v>
      </c>
      <c r="D816" s="466" t="s">
        <v>2217</v>
      </c>
      <c r="E816" s="470">
        <v>2</v>
      </c>
      <c r="F816" s="468">
        <v>8700</v>
      </c>
      <c r="G816" s="468">
        <v>17400</v>
      </c>
      <c r="H816" s="469" t="s">
        <v>2163</v>
      </c>
      <c r="I816" s="466" t="s">
        <v>1231</v>
      </c>
      <c r="J816" s="469" t="s">
        <v>139</v>
      </c>
      <c r="K816" s="466" t="s">
        <v>1365</v>
      </c>
    </row>
    <row r="817" spans="1:11" hidden="1" x14ac:dyDescent="0.25">
      <c r="A817" s="465">
        <v>1</v>
      </c>
      <c r="B817" s="466" t="s">
        <v>1101</v>
      </c>
      <c r="C817" s="466" t="s">
        <v>2218</v>
      </c>
      <c r="D817" s="466" t="s">
        <v>2219</v>
      </c>
      <c r="E817" s="470">
        <v>1</v>
      </c>
      <c r="F817" s="468">
        <v>8100</v>
      </c>
      <c r="G817" s="468">
        <v>8100</v>
      </c>
      <c r="H817" s="469" t="s">
        <v>2163</v>
      </c>
      <c r="I817" s="466" t="s">
        <v>1231</v>
      </c>
      <c r="J817" s="469" t="s">
        <v>139</v>
      </c>
      <c r="K817" s="466" t="s">
        <v>1365</v>
      </c>
    </row>
    <row r="818" spans="1:11" hidden="1" x14ac:dyDescent="0.25">
      <c r="A818" s="465">
        <v>1</v>
      </c>
      <c r="B818" s="466" t="s">
        <v>1101</v>
      </c>
      <c r="C818" s="466" t="s">
        <v>2220</v>
      </c>
      <c r="D818" s="466" t="s">
        <v>2221</v>
      </c>
      <c r="E818" s="470">
        <v>60</v>
      </c>
      <c r="F818" s="468">
        <v>2000</v>
      </c>
      <c r="G818" s="468">
        <v>120000</v>
      </c>
      <c r="H818" s="469" t="s">
        <v>2163</v>
      </c>
      <c r="I818" s="466" t="s">
        <v>1231</v>
      </c>
      <c r="J818" s="469" t="s">
        <v>139</v>
      </c>
      <c r="K818" s="466" t="s">
        <v>1365</v>
      </c>
    </row>
    <row r="819" spans="1:11" hidden="1" x14ac:dyDescent="0.25">
      <c r="A819" s="465">
        <v>1</v>
      </c>
      <c r="B819" s="466" t="s">
        <v>1520</v>
      </c>
      <c r="C819" s="466" t="s">
        <v>2222</v>
      </c>
      <c r="D819" s="466" t="s">
        <v>2223</v>
      </c>
      <c r="E819" s="470">
        <v>72</v>
      </c>
      <c r="F819" s="468">
        <v>3600</v>
      </c>
      <c r="G819" s="468">
        <v>259200</v>
      </c>
      <c r="H819" s="469" t="s">
        <v>2163</v>
      </c>
      <c r="I819" s="466" t="s">
        <v>1231</v>
      </c>
      <c r="J819" s="469" t="s">
        <v>139</v>
      </c>
      <c r="K819" s="466" t="s">
        <v>1365</v>
      </c>
    </row>
    <row r="820" spans="1:11" hidden="1" x14ac:dyDescent="0.25">
      <c r="A820" s="465">
        <v>1</v>
      </c>
      <c r="B820" s="466" t="s">
        <v>1101</v>
      </c>
      <c r="C820" s="466" t="s">
        <v>2224</v>
      </c>
      <c r="D820" s="466" t="s">
        <v>2225</v>
      </c>
      <c r="E820" s="470">
        <v>1</v>
      </c>
      <c r="F820" s="468">
        <v>23700</v>
      </c>
      <c r="G820" s="468">
        <v>23700</v>
      </c>
      <c r="H820" s="469" t="s">
        <v>2163</v>
      </c>
      <c r="I820" s="466" t="s">
        <v>1231</v>
      </c>
      <c r="J820" s="469" t="s">
        <v>139</v>
      </c>
      <c r="K820" s="466" t="s">
        <v>1365</v>
      </c>
    </row>
    <row r="821" spans="1:11" hidden="1" x14ac:dyDescent="0.25">
      <c r="A821" s="465">
        <v>1</v>
      </c>
      <c r="B821" s="466" t="s">
        <v>1663</v>
      </c>
      <c r="C821" s="466" t="s">
        <v>2226</v>
      </c>
      <c r="D821" s="466" t="s">
        <v>2227</v>
      </c>
      <c r="E821" s="470">
        <v>5</v>
      </c>
      <c r="F821" s="468">
        <v>5200</v>
      </c>
      <c r="G821" s="468">
        <v>26000</v>
      </c>
      <c r="H821" s="469" t="s">
        <v>2163</v>
      </c>
      <c r="I821" s="466" t="s">
        <v>1231</v>
      </c>
      <c r="J821" s="469" t="s">
        <v>139</v>
      </c>
      <c r="K821" s="466" t="s">
        <v>1365</v>
      </c>
    </row>
    <row r="822" spans="1:11" hidden="1" x14ac:dyDescent="0.25">
      <c r="A822" s="465">
        <v>1</v>
      </c>
      <c r="B822" s="466" t="s">
        <v>1663</v>
      </c>
      <c r="C822" s="466" t="s">
        <v>2228</v>
      </c>
      <c r="D822" s="466" t="s">
        <v>2229</v>
      </c>
      <c r="E822" s="470">
        <v>1</v>
      </c>
      <c r="F822" s="468">
        <v>17500</v>
      </c>
      <c r="G822" s="468">
        <v>17500</v>
      </c>
      <c r="H822" s="469" t="s">
        <v>2163</v>
      </c>
      <c r="I822" s="466" t="s">
        <v>1231</v>
      </c>
      <c r="J822" s="469" t="s">
        <v>139</v>
      </c>
      <c r="K822" s="466" t="s">
        <v>1365</v>
      </c>
    </row>
    <row r="823" spans="1:11" hidden="1" x14ac:dyDescent="0.25">
      <c r="A823" s="465">
        <v>1</v>
      </c>
      <c r="B823" s="466" t="s">
        <v>1101</v>
      </c>
      <c r="C823" s="466" t="s">
        <v>2230</v>
      </c>
      <c r="D823" s="466" t="s">
        <v>2231</v>
      </c>
      <c r="E823" s="470">
        <v>5</v>
      </c>
      <c r="F823" s="468">
        <v>4600</v>
      </c>
      <c r="G823" s="468">
        <v>23000</v>
      </c>
      <c r="H823" s="469" t="s">
        <v>2163</v>
      </c>
      <c r="I823" s="466" t="s">
        <v>1231</v>
      </c>
      <c r="J823" s="469" t="s">
        <v>139</v>
      </c>
      <c r="K823" s="466" t="s">
        <v>1365</v>
      </c>
    </row>
    <row r="824" spans="1:11" hidden="1" x14ac:dyDescent="0.25">
      <c r="A824" s="465">
        <v>11</v>
      </c>
      <c r="B824" s="466" t="s">
        <v>1239</v>
      </c>
      <c r="C824" s="466" t="s">
        <v>2161</v>
      </c>
      <c r="D824" s="466" t="s">
        <v>2162</v>
      </c>
      <c r="E824" s="470">
        <v>3</v>
      </c>
      <c r="F824" s="468">
        <v>6200</v>
      </c>
      <c r="G824" s="468">
        <v>18600</v>
      </c>
      <c r="H824" s="469" t="s">
        <v>2232</v>
      </c>
      <c r="I824" s="466" t="s">
        <v>1231</v>
      </c>
      <c r="J824" s="469" t="s">
        <v>139</v>
      </c>
      <c r="K824" s="466" t="s">
        <v>1365</v>
      </c>
    </row>
    <row r="825" spans="1:11" hidden="1" x14ac:dyDescent="0.25">
      <c r="A825" s="465">
        <v>11</v>
      </c>
      <c r="B825" s="466" t="s">
        <v>1663</v>
      </c>
      <c r="C825" s="466" t="s">
        <v>2164</v>
      </c>
      <c r="D825" s="466" t="s">
        <v>2165</v>
      </c>
      <c r="E825" s="470">
        <v>1</v>
      </c>
      <c r="F825" s="468">
        <v>15900</v>
      </c>
      <c r="G825" s="468">
        <v>15900</v>
      </c>
      <c r="H825" s="469" t="s">
        <v>2232</v>
      </c>
      <c r="I825" s="466" t="s">
        <v>1231</v>
      </c>
      <c r="J825" s="469" t="s">
        <v>139</v>
      </c>
      <c r="K825" s="466" t="s">
        <v>1365</v>
      </c>
    </row>
    <row r="826" spans="1:11" hidden="1" x14ac:dyDescent="0.25">
      <c r="A826" s="465">
        <v>11</v>
      </c>
      <c r="B826" s="466" t="s">
        <v>1239</v>
      </c>
      <c r="C826" s="466" t="s">
        <v>2168</v>
      </c>
      <c r="D826" s="466" t="s">
        <v>2169</v>
      </c>
      <c r="E826" s="470">
        <v>2</v>
      </c>
      <c r="F826" s="468">
        <v>8400</v>
      </c>
      <c r="G826" s="468">
        <v>16800</v>
      </c>
      <c r="H826" s="469" t="s">
        <v>2232</v>
      </c>
      <c r="I826" s="466" t="s">
        <v>1231</v>
      </c>
      <c r="J826" s="469" t="s">
        <v>139</v>
      </c>
      <c r="K826" s="466" t="s">
        <v>1365</v>
      </c>
    </row>
    <row r="827" spans="1:11" hidden="1" x14ac:dyDescent="0.25">
      <c r="A827" s="465">
        <v>11</v>
      </c>
      <c r="B827" s="466" t="s">
        <v>1663</v>
      </c>
      <c r="C827" s="466" t="s">
        <v>2174</v>
      </c>
      <c r="D827" s="466" t="s">
        <v>2175</v>
      </c>
      <c r="E827" s="470">
        <v>20</v>
      </c>
      <c r="F827" s="468">
        <v>900</v>
      </c>
      <c r="G827" s="468">
        <v>18000</v>
      </c>
      <c r="H827" s="469" t="s">
        <v>2232</v>
      </c>
      <c r="I827" s="466" t="s">
        <v>1231</v>
      </c>
      <c r="J827" s="469" t="s">
        <v>139</v>
      </c>
      <c r="K827" s="466" t="s">
        <v>1365</v>
      </c>
    </row>
    <row r="828" spans="1:11" hidden="1" x14ac:dyDescent="0.25">
      <c r="A828" s="465">
        <v>11</v>
      </c>
      <c r="B828" s="466" t="s">
        <v>1239</v>
      </c>
      <c r="C828" s="466" t="s">
        <v>2176</v>
      </c>
      <c r="D828" s="466" t="s">
        <v>2177</v>
      </c>
      <c r="E828" s="470">
        <v>2</v>
      </c>
      <c r="F828" s="468">
        <v>27500</v>
      </c>
      <c r="G828" s="468">
        <v>55000</v>
      </c>
      <c r="H828" s="469" t="s">
        <v>2232</v>
      </c>
      <c r="I828" s="466" t="s">
        <v>1231</v>
      </c>
      <c r="J828" s="469" t="s">
        <v>139</v>
      </c>
      <c r="K828" s="466" t="s">
        <v>1365</v>
      </c>
    </row>
    <row r="829" spans="1:11" hidden="1" x14ac:dyDescent="0.25">
      <c r="A829" s="465">
        <v>11</v>
      </c>
      <c r="B829" s="466" t="s">
        <v>1101</v>
      </c>
      <c r="C829" s="466" t="s">
        <v>2180</v>
      </c>
      <c r="D829" s="466" t="s">
        <v>2181</v>
      </c>
      <c r="E829" s="470">
        <v>7</v>
      </c>
      <c r="F829" s="468">
        <v>2500</v>
      </c>
      <c r="G829" s="468">
        <v>17500</v>
      </c>
      <c r="H829" s="469" t="s">
        <v>2232</v>
      </c>
      <c r="I829" s="466" t="s">
        <v>1231</v>
      </c>
      <c r="J829" s="469" t="s">
        <v>139</v>
      </c>
      <c r="K829" s="466" t="s">
        <v>1365</v>
      </c>
    </row>
    <row r="830" spans="1:11" hidden="1" x14ac:dyDescent="0.25">
      <c r="A830" s="465">
        <v>11</v>
      </c>
      <c r="B830" s="466" t="s">
        <v>1239</v>
      </c>
      <c r="C830" s="466" t="s">
        <v>1900</v>
      </c>
      <c r="D830" s="466" t="s">
        <v>2233</v>
      </c>
      <c r="E830" s="470">
        <v>2</v>
      </c>
      <c r="F830" s="468">
        <v>19800</v>
      </c>
      <c r="G830" s="468">
        <v>39600</v>
      </c>
      <c r="H830" s="469" t="s">
        <v>2232</v>
      </c>
      <c r="I830" s="466" t="s">
        <v>1231</v>
      </c>
      <c r="J830" s="469" t="s">
        <v>139</v>
      </c>
      <c r="K830" s="466" t="s">
        <v>1365</v>
      </c>
    </row>
    <row r="831" spans="1:11" hidden="1" x14ac:dyDescent="0.25">
      <c r="A831" s="465">
        <v>11</v>
      </c>
      <c r="B831" s="466" t="s">
        <v>1663</v>
      </c>
      <c r="C831" s="466" t="s">
        <v>2186</v>
      </c>
      <c r="D831" s="466" t="s">
        <v>2187</v>
      </c>
      <c r="E831" s="470">
        <v>6</v>
      </c>
      <c r="F831" s="468">
        <v>10600</v>
      </c>
      <c r="G831" s="468">
        <v>63600</v>
      </c>
      <c r="H831" s="469" t="s">
        <v>2232</v>
      </c>
      <c r="I831" s="466" t="s">
        <v>1231</v>
      </c>
      <c r="J831" s="469" t="s">
        <v>139</v>
      </c>
      <c r="K831" s="466" t="s">
        <v>1365</v>
      </c>
    </row>
    <row r="832" spans="1:11" hidden="1" x14ac:dyDescent="0.25">
      <c r="A832" s="465">
        <v>11</v>
      </c>
      <c r="B832" s="466" t="s">
        <v>1663</v>
      </c>
      <c r="C832" s="466" t="s">
        <v>2234</v>
      </c>
      <c r="D832" s="466" t="s">
        <v>2235</v>
      </c>
      <c r="E832" s="470">
        <v>3</v>
      </c>
      <c r="F832" s="468">
        <v>8200</v>
      </c>
      <c r="G832" s="468">
        <v>24600</v>
      </c>
      <c r="H832" s="469" t="s">
        <v>2232</v>
      </c>
      <c r="I832" s="466" t="s">
        <v>1231</v>
      </c>
      <c r="J832" s="469" t="s">
        <v>139</v>
      </c>
      <c r="K832" s="466" t="s">
        <v>1365</v>
      </c>
    </row>
    <row r="833" spans="1:11" hidden="1" x14ac:dyDescent="0.25">
      <c r="A833" s="465">
        <v>11</v>
      </c>
      <c r="B833" s="466" t="s">
        <v>1239</v>
      </c>
      <c r="C833" s="466" t="s">
        <v>2190</v>
      </c>
      <c r="D833" s="466" t="s">
        <v>2191</v>
      </c>
      <c r="E833" s="470">
        <v>50</v>
      </c>
      <c r="F833" s="468">
        <v>2100</v>
      </c>
      <c r="G833" s="468">
        <v>105000</v>
      </c>
      <c r="H833" s="469" t="s">
        <v>2232</v>
      </c>
      <c r="I833" s="466" t="s">
        <v>1231</v>
      </c>
      <c r="J833" s="469" t="s">
        <v>139</v>
      </c>
      <c r="K833" s="466" t="s">
        <v>1365</v>
      </c>
    </row>
    <row r="834" spans="1:11" hidden="1" x14ac:dyDescent="0.25">
      <c r="A834" s="465">
        <v>11</v>
      </c>
      <c r="B834" s="466" t="s">
        <v>1663</v>
      </c>
      <c r="C834" s="466" t="s">
        <v>2236</v>
      </c>
      <c r="D834" s="466" t="s">
        <v>2237</v>
      </c>
      <c r="E834" s="470">
        <v>4</v>
      </c>
      <c r="F834" s="468">
        <v>11400</v>
      </c>
      <c r="G834" s="468">
        <v>45600</v>
      </c>
      <c r="H834" s="469" t="s">
        <v>2232</v>
      </c>
      <c r="I834" s="466" t="s">
        <v>1231</v>
      </c>
      <c r="J834" s="469" t="s">
        <v>139</v>
      </c>
      <c r="K834" s="466" t="s">
        <v>1365</v>
      </c>
    </row>
    <row r="835" spans="1:11" hidden="1" x14ac:dyDescent="0.25">
      <c r="A835" s="465">
        <v>11</v>
      </c>
      <c r="B835" s="466" t="s">
        <v>1101</v>
      </c>
      <c r="C835" s="466" t="s">
        <v>2238</v>
      </c>
      <c r="D835" s="466" t="s">
        <v>2239</v>
      </c>
      <c r="E835" s="470">
        <v>200</v>
      </c>
      <c r="F835" s="468">
        <v>270</v>
      </c>
      <c r="G835" s="468">
        <v>54000</v>
      </c>
      <c r="H835" s="469" t="s">
        <v>2232</v>
      </c>
      <c r="I835" s="466" t="s">
        <v>1231</v>
      </c>
      <c r="J835" s="469" t="s">
        <v>139</v>
      </c>
      <c r="K835" s="466" t="s">
        <v>1365</v>
      </c>
    </row>
    <row r="836" spans="1:11" hidden="1" x14ac:dyDescent="0.25">
      <c r="A836" s="465">
        <v>11</v>
      </c>
      <c r="B836" s="466" t="s">
        <v>1101</v>
      </c>
      <c r="C836" s="466" t="s">
        <v>2240</v>
      </c>
      <c r="D836" s="466" t="s">
        <v>2241</v>
      </c>
      <c r="E836" s="470">
        <v>100</v>
      </c>
      <c r="F836" s="468">
        <v>950</v>
      </c>
      <c r="G836" s="468">
        <v>95000</v>
      </c>
      <c r="H836" s="469" t="s">
        <v>2232</v>
      </c>
      <c r="I836" s="466" t="s">
        <v>1231</v>
      </c>
      <c r="J836" s="469" t="s">
        <v>139</v>
      </c>
      <c r="K836" s="466" t="s">
        <v>1365</v>
      </c>
    </row>
    <row r="837" spans="1:11" hidden="1" x14ac:dyDescent="0.25">
      <c r="A837" s="465">
        <v>11</v>
      </c>
      <c r="B837" s="466" t="s">
        <v>1663</v>
      </c>
      <c r="C837" s="466" t="s">
        <v>2242</v>
      </c>
      <c r="D837" s="466" t="s">
        <v>2243</v>
      </c>
      <c r="E837" s="470">
        <v>2</v>
      </c>
      <c r="F837" s="468">
        <v>5250</v>
      </c>
      <c r="G837" s="468">
        <v>10500</v>
      </c>
      <c r="H837" s="469" t="s">
        <v>2232</v>
      </c>
      <c r="I837" s="466" t="s">
        <v>1231</v>
      </c>
      <c r="J837" s="469" t="s">
        <v>139</v>
      </c>
      <c r="K837" s="466" t="s">
        <v>1365</v>
      </c>
    </row>
    <row r="838" spans="1:11" hidden="1" x14ac:dyDescent="0.25">
      <c r="A838" s="465">
        <v>11</v>
      </c>
      <c r="B838" s="466" t="s">
        <v>1239</v>
      </c>
      <c r="C838" s="466" t="s">
        <v>2244</v>
      </c>
      <c r="D838" s="466" t="s">
        <v>2245</v>
      </c>
      <c r="E838" s="470">
        <v>3</v>
      </c>
      <c r="F838" s="468">
        <v>30350</v>
      </c>
      <c r="G838" s="468">
        <v>91050</v>
      </c>
      <c r="H838" s="469" t="s">
        <v>2232</v>
      </c>
      <c r="I838" s="466" t="s">
        <v>1231</v>
      </c>
      <c r="J838" s="469" t="s">
        <v>139</v>
      </c>
      <c r="K838" s="466" t="s">
        <v>1365</v>
      </c>
    </row>
    <row r="839" spans="1:11" hidden="1" x14ac:dyDescent="0.25">
      <c r="A839" s="465">
        <v>11</v>
      </c>
      <c r="B839" s="466" t="s">
        <v>1239</v>
      </c>
      <c r="C839" s="466" t="s">
        <v>2246</v>
      </c>
      <c r="D839" s="466" t="s">
        <v>2247</v>
      </c>
      <c r="E839" s="470">
        <v>2</v>
      </c>
      <c r="F839" s="468">
        <v>18650</v>
      </c>
      <c r="G839" s="468">
        <v>37300</v>
      </c>
      <c r="H839" s="469" t="s">
        <v>2232</v>
      </c>
      <c r="I839" s="466" t="s">
        <v>1231</v>
      </c>
      <c r="J839" s="469" t="s">
        <v>139</v>
      </c>
      <c r="K839" s="466" t="s">
        <v>1365</v>
      </c>
    </row>
    <row r="840" spans="1:11" hidden="1" x14ac:dyDescent="0.25">
      <c r="A840" s="465">
        <v>11</v>
      </c>
      <c r="B840" s="466" t="s">
        <v>1239</v>
      </c>
      <c r="C840" s="466" t="s">
        <v>2202</v>
      </c>
      <c r="D840" s="466" t="s">
        <v>2203</v>
      </c>
      <c r="E840" s="470">
        <v>1</v>
      </c>
      <c r="F840" s="468">
        <v>14600</v>
      </c>
      <c r="G840" s="468">
        <v>14600</v>
      </c>
      <c r="H840" s="469" t="s">
        <v>2232</v>
      </c>
      <c r="I840" s="466" t="s">
        <v>1231</v>
      </c>
      <c r="J840" s="469" t="s">
        <v>139</v>
      </c>
      <c r="K840" s="466" t="s">
        <v>1365</v>
      </c>
    </row>
    <row r="841" spans="1:11" hidden="1" x14ac:dyDescent="0.25">
      <c r="A841" s="465">
        <v>11</v>
      </c>
      <c r="B841" s="466" t="s">
        <v>1101</v>
      </c>
      <c r="C841" s="466" t="s">
        <v>2248</v>
      </c>
      <c r="D841" s="466" t="s">
        <v>2249</v>
      </c>
      <c r="E841" s="470">
        <v>1</v>
      </c>
      <c r="F841" s="468">
        <v>8500</v>
      </c>
      <c r="G841" s="468">
        <v>8500</v>
      </c>
      <c r="H841" s="469" t="s">
        <v>2232</v>
      </c>
      <c r="I841" s="466" t="s">
        <v>1231</v>
      </c>
      <c r="J841" s="469" t="s">
        <v>139</v>
      </c>
      <c r="K841" s="466" t="s">
        <v>1365</v>
      </c>
    </row>
    <row r="842" spans="1:11" hidden="1" x14ac:dyDescent="0.25">
      <c r="A842" s="465">
        <v>11</v>
      </c>
      <c r="B842" s="466" t="s">
        <v>1101</v>
      </c>
      <c r="C842" s="466" t="s">
        <v>2208</v>
      </c>
      <c r="D842" s="466" t="s">
        <v>2209</v>
      </c>
      <c r="E842" s="470">
        <v>7</v>
      </c>
      <c r="F842" s="468">
        <v>2400</v>
      </c>
      <c r="G842" s="468">
        <v>16800</v>
      </c>
      <c r="H842" s="469" t="s">
        <v>2232</v>
      </c>
      <c r="I842" s="466" t="s">
        <v>1231</v>
      </c>
      <c r="J842" s="469" t="s">
        <v>139</v>
      </c>
      <c r="K842" s="466" t="s">
        <v>1365</v>
      </c>
    </row>
    <row r="843" spans="1:11" hidden="1" x14ac:dyDescent="0.25">
      <c r="A843" s="465">
        <v>11</v>
      </c>
      <c r="B843" s="466" t="s">
        <v>1101</v>
      </c>
      <c r="C843" s="466" t="s">
        <v>2210</v>
      </c>
      <c r="D843" s="466" t="s">
        <v>2211</v>
      </c>
      <c r="E843" s="470">
        <v>4</v>
      </c>
      <c r="F843" s="468">
        <v>5450</v>
      </c>
      <c r="G843" s="468">
        <v>21800</v>
      </c>
      <c r="H843" s="469" t="s">
        <v>2232</v>
      </c>
      <c r="I843" s="466" t="s">
        <v>1231</v>
      </c>
      <c r="J843" s="469" t="s">
        <v>139</v>
      </c>
      <c r="K843" s="466" t="s">
        <v>1365</v>
      </c>
    </row>
    <row r="844" spans="1:11" hidden="1" x14ac:dyDescent="0.25">
      <c r="A844" s="465">
        <v>11</v>
      </c>
      <c r="B844" s="466" t="s">
        <v>1663</v>
      </c>
      <c r="C844" s="466" t="s">
        <v>2250</v>
      </c>
      <c r="D844" s="466" t="s">
        <v>2251</v>
      </c>
      <c r="E844" s="470">
        <v>6</v>
      </c>
      <c r="F844" s="468">
        <v>5200</v>
      </c>
      <c r="G844" s="468">
        <v>31200</v>
      </c>
      <c r="H844" s="469" t="s">
        <v>2232</v>
      </c>
      <c r="I844" s="466" t="s">
        <v>1231</v>
      </c>
      <c r="J844" s="469" t="s">
        <v>139</v>
      </c>
      <c r="K844" s="466" t="s">
        <v>1365</v>
      </c>
    </row>
    <row r="845" spans="1:11" hidden="1" x14ac:dyDescent="0.25">
      <c r="A845" s="465">
        <v>11</v>
      </c>
      <c r="B845" s="466" t="s">
        <v>1101</v>
      </c>
      <c r="C845" s="466" t="s">
        <v>2212</v>
      </c>
      <c r="D845" s="466" t="s">
        <v>2213</v>
      </c>
      <c r="E845" s="470">
        <v>8</v>
      </c>
      <c r="F845" s="468">
        <v>5000</v>
      </c>
      <c r="G845" s="468">
        <v>40000</v>
      </c>
      <c r="H845" s="469" t="s">
        <v>2232</v>
      </c>
      <c r="I845" s="466" t="s">
        <v>1231</v>
      </c>
      <c r="J845" s="469" t="s">
        <v>139</v>
      </c>
      <c r="K845" s="466" t="s">
        <v>1365</v>
      </c>
    </row>
    <row r="846" spans="1:11" hidden="1" x14ac:dyDescent="0.25">
      <c r="A846" s="465">
        <v>11</v>
      </c>
      <c r="B846" s="466" t="s">
        <v>1239</v>
      </c>
      <c r="C846" s="466" t="s">
        <v>2252</v>
      </c>
      <c r="D846" s="466" t="s">
        <v>2253</v>
      </c>
      <c r="E846" s="470">
        <v>3</v>
      </c>
      <c r="F846" s="468">
        <v>7200</v>
      </c>
      <c r="G846" s="468">
        <v>21600</v>
      </c>
      <c r="H846" s="469" t="s">
        <v>2232</v>
      </c>
      <c r="I846" s="466" t="s">
        <v>1231</v>
      </c>
      <c r="J846" s="469" t="s">
        <v>139</v>
      </c>
      <c r="K846" s="466" t="s">
        <v>1365</v>
      </c>
    </row>
    <row r="847" spans="1:11" hidden="1" x14ac:dyDescent="0.25">
      <c r="A847" s="465">
        <v>11</v>
      </c>
      <c r="B847" s="466" t="s">
        <v>1239</v>
      </c>
      <c r="C847" s="466" t="s">
        <v>2254</v>
      </c>
      <c r="D847" s="466" t="s">
        <v>2255</v>
      </c>
      <c r="E847" s="470">
        <v>2</v>
      </c>
      <c r="F847" s="468">
        <v>23800</v>
      </c>
      <c r="G847" s="468">
        <v>47600</v>
      </c>
      <c r="H847" s="469" t="s">
        <v>2232</v>
      </c>
      <c r="I847" s="466" t="s">
        <v>1231</v>
      </c>
      <c r="J847" s="469" t="s">
        <v>139</v>
      </c>
      <c r="K847" s="466" t="s">
        <v>1365</v>
      </c>
    </row>
    <row r="848" spans="1:11" hidden="1" x14ac:dyDescent="0.25">
      <c r="A848" s="465">
        <v>11</v>
      </c>
      <c r="B848" s="466" t="s">
        <v>1101</v>
      </c>
      <c r="C848" s="466" t="s">
        <v>2216</v>
      </c>
      <c r="D848" s="466" t="s">
        <v>2217</v>
      </c>
      <c r="E848" s="470">
        <v>1</v>
      </c>
      <c r="F848" s="468">
        <v>8700</v>
      </c>
      <c r="G848" s="468">
        <v>8700</v>
      </c>
      <c r="H848" s="469" t="s">
        <v>2232</v>
      </c>
      <c r="I848" s="466" t="s">
        <v>1231</v>
      </c>
      <c r="J848" s="469" t="s">
        <v>139</v>
      </c>
      <c r="K848" s="466" t="s">
        <v>1365</v>
      </c>
    </row>
    <row r="849" spans="1:11" hidden="1" x14ac:dyDescent="0.25">
      <c r="A849" s="465">
        <v>11</v>
      </c>
      <c r="B849" s="466" t="s">
        <v>1101</v>
      </c>
      <c r="C849" s="466" t="s">
        <v>2256</v>
      </c>
      <c r="D849" s="466" t="s">
        <v>2257</v>
      </c>
      <c r="E849" s="470">
        <v>1</v>
      </c>
      <c r="F849" s="468">
        <v>23700</v>
      </c>
      <c r="G849" s="468">
        <v>23700</v>
      </c>
      <c r="H849" s="469" t="s">
        <v>2232</v>
      </c>
      <c r="I849" s="466" t="s">
        <v>1231</v>
      </c>
      <c r="J849" s="469" t="s">
        <v>139</v>
      </c>
      <c r="K849" s="466" t="s">
        <v>1365</v>
      </c>
    </row>
    <row r="850" spans="1:11" hidden="1" x14ac:dyDescent="0.25">
      <c r="A850" s="465">
        <v>11</v>
      </c>
      <c r="B850" s="466" t="s">
        <v>1663</v>
      </c>
      <c r="C850" s="466" t="s">
        <v>2258</v>
      </c>
      <c r="D850" s="466" t="s">
        <v>2259</v>
      </c>
      <c r="E850" s="470">
        <v>1</v>
      </c>
      <c r="F850" s="468">
        <v>34300</v>
      </c>
      <c r="G850" s="468">
        <v>34300</v>
      </c>
      <c r="H850" s="469" t="s">
        <v>2232</v>
      </c>
      <c r="I850" s="466" t="s">
        <v>1231</v>
      </c>
      <c r="J850" s="469" t="s">
        <v>139</v>
      </c>
      <c r="K850" s="466" t="s">
        <v>1365</v>
      </c>
    </row>
    <row r="851" spans="1:11" hidden="1" x14ac:dyDescent="0.25">
      <c r="A851" s="465">
        <v>11</v>
      </c>
      <c r="B851" s="466" t="s">
        <v>1101</v>
      </c>
      <c r="C851" s="466" t="s">
        <v>2220</v>
      </c>
      <c r="D851" s="466" t="s">
        <v>2221</v>
      </c>
      <c r="E851" s="470">
        <v>60</v>
      </c>
      <c r="F851" s="468">
        <v>2000</v>
      </c>
      <c r="G851" s="468">
        <v>120000</v>
      </c>
      <c r="H851" s="469" t="s">
        <v>2232</v>
      </c>
      <c r="I851" s="466" t="s">
        <v>1231</v>
      </c>
      <c r="J851" s="469" t="s">
        <v>139</v>
      </c>
      <c r="K851" s="466" t="s">
        <v>1365</v>
      </c>
    </row>
    <row r="852" spans="1:11" hidden="1" x14ac:dyDescent="0.25">
      <c r="A852" s="465">
        <v>11</v>
      </c>
      <c r="B852" s="466" t="s">
        <v>1745</v>
      </c>
      <c r="C852" s="466" t="s">
        <v>2260</v>
      </c>
      <c r="D852" s="466" t="s">
        <v>2261</v>
      </c>
      <c r="E852" s="470">
        <v>1</v>
      </c>
      <c r="F852" s="468">
        <v>17500</v>
      </c>
      <c r="G852" s="468">
        <v>17500</v>
      </c>
      <c r="H852" s="469" t="s">
        <v>2232</v>
      </c>
      <c r="I852" s="466" t="s">
        <v>1231</v>
      </c>
      <c r="J852" s="469" t="s">
        <v>139</v>
      </c>
      <c r="K852" s="466" t="s">
        <v>1365</v>
      </c>
    </row>
    <row r="853" spans="1:11" hidden="1" x14ac:dyDescent="0.25">
      <c r="A853" s="465">
        <v>11</v>
      </c>
      <c r="B853" s="466" t="s">
        <v>1663</v>
      </c>
      <c r="C853" s="466" t="s">
        <v>2228</v>
      </c>
      <c r="D853" s="466" t="s">
        <v>2229</v>
      </c>
      <c r="E853" s="470">
        <v>1</v>
      </c>
      <c r="F853" s="468">
        <v>17500</v>
      </c>
      <c r="G853" s="468">
        <v>17500</v>
      </c>
      <c r="H853" s="469" t="s">
        <v>2232</v>
      </c>
      <c r="I853" s="466" t="s">
        <v>1231</v>
      </c>
      <c r="J853" s="469" t="s">
        <v>139</v>
      </c>
      <c r="K853" s="466" t="s">
        <v>1365</v>
      </c>
    </row>
    <row r="854" spans="1:11" hidden="1" x14ac:dyDescent="0.25">
      <c r="A854" s="465">
        <v>11</v>
      </c>
      <c r="B854" s="466" t="s">
        <v>1101</v>
      </c>
      <c r="C854" s="466" t="s">
        <v>2262</v>
      </c>
      <c r="D854" s="466" t="s">
        <v>2263</v>
      </c>
      <c r="E854" s="470">
        <v>1</v>
      </c>
      <c r="F854" s="468">
        <v>65800</v>
      </c>
      <c r="G854" s="468">
        <v>65800</v>
      </c>
      <c r="H854" s="469" t="s">
        <v>2232</v>
      </c>
      <c r="I854" s="466" t="s">
        <v>1231</v>
      </c>
      <c r="J854" s="469" t="s">
        <v>139</v>
      </c>
      <c r="K854" s="466" t="s">
        <v>1365</v>
      </c>
    </row>
    <row r="855" spans="1:11" hidden="1" x14ac:dyDescent="0.25">
      <c r="A855" s="465">
        <v>11</v>
      </c>
      <c r="B855" s="466" t="s">
        <v>1101</v>
      </c>
      <c r="C855" s="466" t="s">
        <v>2264</v>
      </c>
      <c r="D855" s="466" t="s">
        <v>2265</v>
      </c>
      <c r="E855" s="470">
        <v>2</v>
      </c>
      <c r="F855" s="468">
        <v>17250</v>
      </c>
      <c r="G855" s="468">
        <v>34500</v>
      </c>
      <c r="H855" s="469" t="s">
        <v>2232</v>
      </c>
      <c r="I855" s="466" t="s">
        <v>1231</v>
      </c>
      <c r="J855" s="469" t="s">
        <v>139</v>
      </c>
      <c r="K855" s="466" t="s">
        <v>1365</v>
      </c>
    </row>
    <row r="856" spans="1:11" hidden="1" x14ac:dyDescent="0.25">
      <c r="A856" s="465">
        <v>16</v>
      </c>
      <c r="B856" s="466" t="s">
        <v>1239</v>
      </c>
      <c r="C856" s="466" t="s">
        <v>2168</v>
      </c>
      <c r="D856" s="466" t="s">
        <v>2169</v>
      </c>
      <c r="E856" s="470">
        <v>1</v>
      </c>
      <c r="F856" s="468">
        <v>8400</v>
      </c>
      <c r="G856" s="468">
        <v>8400</v>
      </c>
      <c r="H856" s="469" t="s">
        <v>2266</v>
      </c>
      <c r="I856" s="466" t="s">
        <v>1231</v>
      </c>
      <c r="J856" s="469" t="s">
        <v>139</v>
      </c>
      <c r="K856" s="466" t="s">
        <v>1365</v>
      </c>
    </row>
    <row r="857" spans="1:11" hidden="1" x14ac:dyDescent="0.25">
      <c r="A857" s="465">
        <v>16</v>
      </c>
      <c r="B857" s="466" t="s">
        <v>1663</v>
      </c>
      <c r="C857" s="466" t="s">
        <v>2174</v>
      </c>
      <c r="D857" s="466" t="s">
        <v>2267</v>
      </c>
      <c r="E857" s="470">
        <v>20</v>
      </c>
      <c r="F857" s="468">
        <v>900</v>
      </c>
      <c r="G857" s="468">
        <v>18000</v>
      </c>
      <c r="H857" s="469" t="s">
        <v>2266</v>
      </c>
      <c r="I857" s="466" t="s">
        <v>1231</v>
      </c>
      <c r="J857" s="469" t="s">
        <v>139</v>
      </c>
      <c r="K857" s="466" t="s">
        <v>1365</v>
      </c>
    </row>
    <row r="858" spans="1:11" hidden="1" x14ac:dyDescent="0.25">
      <c r="A858" s="465">
        <v>16</v>
      </c>
      <c r="B858" s="466" t="s">
        <v>1239</v>
      </c>
      <c r="C858" s="466" t="s">
        <v>2176</v>
      </c>
      <c r="D858" s="466" t="s">
        <v>2177</v>
      </c>
      <c r="E858" s="470">
        <v>1</v>
      </c>
      <c r="F858" s="468">
        <v>27500</v>
      </c>
      <c r="G858" s="468">
        <v>27500</v>
      </c>
      <c r="H858" s="469" t="s">
        <v>2266</v>
      </c>
      <c r="I858" s="466" t="s">
        <v>1231</v>
      </c>
      <c r="J858" s="469" t="s">
        <v>139</v>
      </c>
      <c r="K858" s="466" t="s">
        <v>1365</v>
      </c>
    </row>
    <row r="859" spans="1:11" hidden="1" x14ac:dyDescent="0.25">
      <c r="A859" s="465">
        <v>16</v>
      </c>
      <c r="B859" s="466" t="s">
        <v>1101</v>
      </c>
      <c r="C859" s="466" t="s">
        <v>2180</v>
      </c>
      <c r="D859" s="466" t="s">
        <v>2181</v>
      </c>
      <c r="E859" s="470">
        <v>7</v>
      </c>
      <c r="F859" s="468">
        <v>2500</v>
      </c>
      <c r="G859" s="468">
        <v>17500</v>
      </c>
      <c r="H859" s="469" t="s">
        <v>2266</v>
      </c>
      <c r="I859" s="466" t="s">
        <v>1231</v>
      </c>
      <c r="J859" s="469" t="s">
        <v>139</v>
      </c>
      <c r="K859" s="466" t="s">
        <v>1365</v>
      </c>
    </row>
    <row r="860" spans="1:11" hidden="1" x14ac:dyDescent="0.25">
      <c r="A860" s="465">
        <v>16</v>
      </c>
      <c r="B860" s="466" t="s">
        <v>1101</v>
      </c>
      <c r="C860" s="466" t="s">
        <v>2182</v>
      </c>
      <c r="D860" s="466" t="s">
        <v>2183</v>
      </c>
      <c r="E860" s="470">
        <v>200</v>
      </c>
      <c r="F860" s="468">
        <v>390</v>
      </c>
      <c r="G860" s="468">
        <v>78000</v>
      </c>
      <c r="H860" s="469" t="s">
        <v>2266</v>
      </c>
      <c r="I860" s="466" t="s">
        <v>1231</v>
      </c>
      <c r="J860" s="469" t="s">
        <v>139</v>
      </c>
      <c r="K860" s="466" t="s">
        <v>1365</v>
      </c>
    </row>
    <row r="861" spans="1:11" hidden="1" x14ac:dyDescent="0.25">
      <c r="A861" s="465">
        <v>16</v>
      </c>
      <c r="B861" s="466" t="s">
        <v>1101</v>
      </c>
      <c r="C861" s="466" t="s">
        <v>2268</v>
      </c>
      <c r="D861" s="466" t="s">
        <v>2269</v>
      </c>
      <c r="E861" s="470">
        <v>1</v>
      </c>
      <c r="F861" s="468">
        <v>6800</v>
      </c>
      <c r="G861" s="468">
        <v>6800</v>
      </c>
      <c r="H861" s="469" t="s">
        <v>2266</v>
      </c>
      <c r="I861" s="466" t="s">
        <v>1231</v>
      </c>
      <c r="J861" s="469" t="s">
        <v>139</v>
      </c>
      <c r="K861" s="466" t="s">
        <v>1365</v>
      </c>
    </row>
    <row r="862" spans="1:11" hidden="1" x14ac:dyDescent="0.25">
      <c r="A862" s="465">
        <v>16</v>
      </c>
      <c r="B862" s="466" t="s">
        <v>1663</v>
      </c>
      <c r="C862" s="466" t="s">
        <v>2186</v>
      </c>
      <c r="D862" s="466" t="s">
        <v>2187</v>
      </c>
      <c r="E862" s="470">
        <v>5</v>
      </c>
      <c r="F862" s="468">
        <v>10600</v>
      </c>
      <c r="G862" s="468">
        <v>53000</v>
      </c>
      <c r="H862" s="469" t="s">
        <v>2266</v>
      </c>
      <c r="I862" s="466" t="s">
        <v>1231</v>
      </c>
      <c r="J862" s="469" t="s">
        <v>139</v>
      </c>
      <c r="K862" s="466" t="s">
        <v>1365</v>
      </c>
    </row>
    <row r="863" spans="1:11" hidden="1" x14ac:dyDescent="0.25">
      <c r="A863" s="465">
        <v>16</v>
      </c>
      <c r="B863" s="466" t="s">
        <v>1239</v>
      </c>
      <c r="C863" s="466" t="s">
        <v>2192</v>
      </c>
      <c r="D863" s="466" t="s">
        <v>2193</v>
      </c>
      <c r="E863" s="470">
        <v>1</v>
      </c>
      <c r="F863" s="468">
        <v>19850</v>
      </c>
      <c r="G863" s="468">
        <v>19850</v>
      </c>
      <c r="H863" s="469" t="s">
        <v>2266</v>
      </c>
      <c r="I863" s="466" t="s">
        <v>1231</v>
      </c>
      <c r="J863" s="469" t="s">
        <v>139</v>
      </c>
      <c r="K863" s="466" t="s">
        <v>1365</v>
      </c>
    </row>
    <row r="864" spans="1:11" hidden="1" x14ac:dyDescent="0.25">
      <c r="A864" s="465">
        <v>16</v>
      </c>
      <c r="B864" s="466" t="s">
        <v>1101</v>
      </c>
      <c r="C864" s="466" t="s">
        <v>2196</v>
      </c>
      <c r="D864" s="466" t="s">
        <v>2197</v>
      </c>
      <c r="E864" s="470">
        <v>100</v>
      </c>
      <c r="F864" s="468">
        <v>440</v>
      </c>
      <c r="G864" s="468">
        <v>44000</v>
      </c>
      <c r="H864" s="469" t="s">
        <v>2266</v>
      </c>
      <c r="I864" s="466" t="s">
        <v>1231</v>
      </c>
      <c r="J864" s="469" t="s">
        <v>139</v>
      </c>
      <c r="K864" s="466" t="s">
        <v>1365</v>
      </c>
    </row>
    <row r="865" spans="1:11" hidden="1" x14ac:dyDescent="0.25">
      <c r="A865" s="465">
        <v>16</v>
      </c>
      <c r="B865" s="466" t="s">
        <v>1101</v>
      </c>
      <c r="C865" s="466" t="s">
        <v>2208</v>
      </c>
      <c r="D865" s="466" t="s">
        <v>2209</v>
      </c>
      <c r="E865" s="470">
        <v>7</v>
      </c>
      <c r="F865" s="468">
        <v>2400</v>
      </c>
      <c r="G865" s="468">
        <v>16800</v>
      </c>
      <c r="H865" s="469" t="s">
        <v>2266</v>
      </c>
      <c r="I865" s="466" t="s">
        <v>1231</v>
      </c>
      <c r="J865" s="469" t="s">
        <v>139</v>
      </c>
      <c r="K865" s="466" t="s">
        <v>1365</v>
      </c>
    </row>
    <row r="866" spans="1:11" hidden="1" x14ac:dyDescent="0.25">
      <c r="A866" s="465">
        <v>16</v>
      </c>
      <c r="B866" s="466" t="s">
        <v>1239</v>
      </c>
      <c r="C866" s="466" t="s">
        <v>2254</v>
      </c>
      <c r="D866" s="466" t="s">
        <v>2255</v>
      </c>
      <c r="E866" s="470">
        <v>1</v>
      </c>
      <c r="F866" s="468">
        <v>23800</v>
      </c>
      <c r="G866" s="468">
        <v>23800</v>
      </c>
      <c r="H866" s="469" t="s">
        <v>2266</v>
      </c>
      <c r="I866" s="466" t="s">
        <v>1231</v>
      </c>
      <c r="J866" s="469" t="s">
        <v>139</v>
      </c>
      <c r="K866" s="466" t="s">
        <v>1365</v>
      </c>
    </row>
    <row r="867" spans="1:11" hidden="1" x14ac:dyDescent="0.25">
      <c r="A867" s="465">
        <v>16</v>
      </c>
      <c r="B867" s="466" t="s">
        <v>1663</v>
      </c>
      <c r="C867" s="466" t="s">
        <v>2270</v>
      </c>
      <c r="D867" s="466" t="s">
        <v>2271</v>
      </c>
      <c r="E867" s="470">
        <v>10</v>
      </c>
      <c r="F867" s="468">
        <v>450</v>
      </c>
      <c r="G867" s="468">
        <v>4500</v>
      </c>
      <c r="H867" s="469" t="s">
        <v>2266</v>
      </c>
      <c r="I867" s="466" t="s">
        <v>1231</v>
      </c>
      <c r="J867" s="469" t="s">
        <v>139</v>
      </c>
      <c r="K867" s="466" t="s">
        <v>1365</v>
      </c>
    </row>
    <row r="868" spans="1:11" hidden="1" x14ac:dyDescent="0.25">
      <c r="A868" s="465">
        <v>16</v>
      </c>
      <c r="B868" s="466" t="s">
        <v>1663</v>
      </c>
      <c r="C868" s="466" t="s">
        <v>2228</v>
      </c>
      <c r="D868" s="466" t="s">
        <v>2229</v>
      </c>
      <c r="E868" s="470">
        <v>1</v>
      </c>
      <c r="F868" s="468">
        <v>17500</v>
      </c>
      <c r="G868" s="468">
        <v>17500</v>
      </c>
      <c r="H868" s="469" t="s">
        <v>2266</v>
      </c>
      <c r="I868" s="466" t="s">
        <v>1231</v>
      </c>
      <c r="J868" s="469" t="s">
        <v>139</v>
      </c>
      <c r="K868" s="466" t="s">
        <v>1365</v>
      </c>
    </row>
    <row r="869" spans="1:11" hidden="1" x14ac:dyDescent="0.25">
      <c r="A869" s="465">
        <v>16</v>
      </c>
      <c r="B869" s="466" t="s">
        <v>1101</v>
      </c>
      <c r="C869" s="466" t="s">
        <v>2272</v>
      </c>
      <c r="D869" s="466" t="s">
        <v>2273</v>
      </c>
      <c r="E869" s="470">
        <v>5</v>
      </c>
      <c r="F869" s="468">
        <v>2200</v>
      </c>
      <c r="G869" s="468">
        <v>11000</v>
      </c>
      <c r="H869" s="469" t="s">
        <v>2266</v>
      </c>
      <c r="I869" s="466" t="s">
        <v>1231</v>
      </c>
      <c r="J869" s="469" t="s">
        <v>139</v>
      </c>
      <c r="K869" s="466" t="s">
        <v>1365</v>
      </c>
    </row>
    <row r="870" spans="1:11" hidden="1" x14ac:dyDescent="0.25">
      <c r="A870" s="465">
        <v>16</v>
      </c>
      <c r="B870" s="466" t="s">
        <v>1101</v>
      </c>
      <c r="C870" s="466" t="s">
        <v>2230</v>
      </c>
      <c r="D870" s="466" t="s">
        <v>2231</v>
      </c>
      <c r="E870" s="470">
        <v>6</v>
      </c>
      <c r="F870" s="468">
        <v>4600</v>
      </c>
      <c r="G870" s="468">
        <v>27600</v>
      </c>
      <c r="H870" s="469" t="s">
        <v>2266</v>
      </c>
      <c r="I870" s="466" t="s">
        <v>1231</v>
      </c>
      <c r="J870" s="469" t="s">
        <v>139</v>
      </c>
      <c r="K870" s="466" t="s">
        <v>1365</v>
      </c>
    </row>
    <row r="871" spans="1:11" hidden="1" x14ac:dyDescent="0.25">
      <c r="A871" s="465">
        <v>19</v>
      </c>
      <c r="B871" s="466" t="s">
        <v>1235</v>
      </c>
      <c r="C871" s="466" t="s">
        <v>2274</v>
      </c>
      <c r="D871" s="466" t="s">
        <v>826</v>
      </c>
      <c r="E871" s="470">
        <v>3</v>
      </c>
      <c r="F871" s="468">
        <v>26000</v>
      </c>
      <c r="G871" s="468">
        <v>78000</v>
      </c>
      <c r="H871" s="469" t="s">
        <v>2275</v>
      </c>
      <c r="I871" s="466" t="s">
        <v>1231</v>
      </c>
      <c r="J871" s="469" t="s">
        <v>139</v>
      </c>
      <c r="K871" s="466" t="s">
        <v>1294</v>
      </c>
    </row>
    <row r="872" spans="1:11" hidden="1" x14ac:dyDescent="0.25">
      <c r="A872" s="465">
        <v>20</v>
      </c>
      <c r="B872" s="466" t="s">
        <v>1520</v>
      </c>
      <c r="C872" s="466" t="s">
        <v>2276</v>
      </c>
      <c r="D872" s="466" t="s">
        <v>2277</v>
      </c>
      <c r="E872" s="470">
        <v>10</v>
      </c>
      <c r="F872" s="468">
        <v>6800</v>
      </c>
      <c r="G872" s="468">
        <v>68000</v>
      </c>
      <c r="H872" s="469" t="s">
        <v>2278</v>
      </c>
      <c r="I872" s="466" t="s">
        <v>1231</v>
      </c>
      <c r="J872" s="469" t="s">
        <v>139</v>
      </c>
      <c r="K872" s="466" t="s">
        <v>1294</v>
      </c>
    </row>
    <row r="873" spans="1:11" hidden="1" x14ac:dyDescent="0.25">
      <c r="A873" s="465">
        <v>20</v>
      </c>
      <c r="B873" s="466" t="s">
        <v>1520</v>
      </c>
      <c r="C873" s="466" t="s">
        <v>2279</v>
      </c>
      <c r="D873" s="466" t="s">
        <v>2280</v>
      </c>
      <c r="E873" s="470">
        <v>1</v>
      </c>
      <c r="F873" s="468">
        <v>8500</v>
      </c>
      <c r="G873" s="468">
        <v>8500</v>
      </c>
      <c r="H873" s="469" t="s">
        <v>2278</v>
      </c>
      <c r="I873" s="466" t="s">
        <v>1231</v>
      </c>
      <c r="J873" s="469" t="s">
        <v>139</v>
      </c>
      <c r="K873" s="466" t="s">
        <v>1294</v>
      </c>
    </row>
    <row r="874" spans="1:11" hidden="1" x14ac:dyDescent="0.25">
      <c r="A874" s="465">
        <v>19</v>
      </c>
      <c r="B874" s="466" t="s">
        <v>1255</v>
      </c>
      <c r="C874" s="466" t="s">
        <v>722</v>
      </c>
      <c r="D874" s="466" t="s">
        <v>2156</v>
      </c>
      <c r="E874" s="470">
        <v>2</v>
      </c>
      <c r="F874" s="468">
        <v>9500</v>
      </c>
      <c r="G874" s="468">
        <v>19000</v>
      </c>
      <c r="H874" s="469" t="s">
        <v>2281</v>
      </c>
      <c r="I874" s="466" t="s">
        <v>1231</v>
      </c>
      <c r="J874" s="469" t="s">
        <v>139</v>
      </c>
      <c r="K874" s="466" t="s">
        <v>1252</v>
      </c>
    </row>
    <row r="875" spans="1:11" hidden="1" x14ac:dyDescent="0.25">
      <c r="A875" s="465">
        <v>19</v>
      </c>
      <c r="B875" s="466" t="s">
        <v>1255</v>
      </c>
      <c r="C875" s="466" t="s">
        <v>1253</v>
      </c>
      <c r="D875" s="466" t="s">
        <v>2159</v>
      </c>
      <c r="E875" s="470">
        <v>1</v>
      </c>
      <c r="F875" s="468">
        <v>5000</v>
      </c>
      <c r="G875" s="468">
        <v>5000</v>
      </c>
      <c r="H875" s="469" t="s">
        <v>2281</v>
      </c>
      <c r="I875" s="466" t="s">
        <v>1231</v>
      </c>
      <c r="J875" s="469" t="s">
        <v>139</v>
      </c>
      <c r="K875" s="466" t="s">
        <v>1252</v>
      </c>
    </row>
    <row r="876" spans="1:11" hidden="1" x14ac:dyDescent="0.25">
      <c r="A876" s="465">
        <v>19</v>
      </c>
      <c r="B876" s="466" t="s">
        <v>1230</v>
      </c>
      <c r="C876" s="466" t="s">
        <v>480</v>
      </c>
      <c r="D876" s="466" t="s">
        <v>481</v>
      </c>
      <c r="E876" s="470">
        <v>9760</v>
      </c>
      <c r="F876" s="468">
        <v>55</v>
      </c>
      <c r="G876" s="468">
        <v>536800</v>
      </c>
      <c r="H876" s="469" t="s">
        <v>479</v>
      </c>
      <c r="I876" s="466" t="s">
        <v>2282</v>
      </c>
      <c r="J876" s="469" t="s">
        <v>2283</v>
      </c>
      <c r="K876" s="466" t="s">
        <v>1247</v>
      </c>
    </row>
    <row r="877" spans="1:11" hidden="1" x14ac:dyDescent="0.25">
      <c r="A877" s="465">
        <v>19</v>
      </c>
      <c r="B877" s="466" t="s">
        <v>1230</v>
      </c>
      <c r="C877" s="466" t="s">
        <v>482</v>
      </c>
      <c r="D877" s="466" t="s">
        <v>483</v>
      </c>
      <c r="E877" s="470">
        <v>9027</v>
      </c>
      <c r="F877" s="468">
        <v>23</v>
      </c>
      <c r="G877" s="468">
        <v>207621</v>
      </c>
      <c r="H877" s="469" t="s">
        <v>479</v>
      </c>
      <c r="I877" s="466" t="s">
        <v>2282</v>
      </c>
      <c r="J877" s="469" t="s">
        <v>2283</v>
      </c>
      <c r="K877" s="466" t="s">
        <v>1247</v>
      </c>
    </row>
    <row r="878" spans="1:11" hidden="1" x14ac:dyDescent="0.25">
      <c r="A878" s="465">
        <v>21</v>
      </c>
      <c r="B878" s="466" t="s">
        <v>1255</v>
      </c>
      <c r="C878" s="466" t="s">
        <v>722</v>
      </c>
      <c r="D878" s="466" t="s">
        <v>2156</v>
      </c>
      <c r="E878" s="470">
        <v>2</v>
      </c>
      <c r="F878" s="468">
        <v>9500</v>
      </c>
      <c r="G878" s="468">
        <v>19000</v>
      </c>
      <c r="H878" s="469" t="s">
        <v>2284</v>
      </c>
      <c r="I878" s="466" t="s">
        <v>1231</v>
      </c>
      <c r="J878" s="469" t="s">
        <v>139</v>
      </c>
      <c r="K878" s="466" t="s">
        <v>1252</v>
      </c>
    </row>
    <row r="879" spans="1:11" hidden="1" x14ac:dyDescent="0.25">
      <c r="A879" s="465">
        <v>21</v>
      </c>
      <c r="B879" s="466" t="s">
        <v>1255</v>
      </c>
      <c r="C879" s="466" t="s">
        <v>1253</v>
      </c>
      <c r="D879" s="466" t="s">
        <v>2159</v>
      </c>
      <c r="E879" s="470">
        <v>2</v>
      </c>
      <c r="F879" s="468">
        <v>5000</v>
      </c>
      <c r="G879" s="468">
        <v>10000</v>
      </c>
      <c r="H879" s="469" t="s">
        <v>2284</v>
      </c>
      <c r="I879" s="466" t="s">
        <v>1231</v>
      </c>
      <c r="J879" s="469" t="s">
        <v>139</v>
      </c>
      <c r="K879" s="466" t="s">
        <v>1252</v>
      </c>
    </row>
    <row r="880" spans="1:11" hidden="1" x14ac:dyDescent="0.25">
      <c r="A880" s="465">
        <v>21</v>
      </c>
      <c r="B880" s="466" t="s">
        <v>1745</v>
      </c>
      <c r="C880" s="466" t="s">
        <v>2285</v>
      </c>
      <c r="D880" s="466" t="s">
        <v>2286</v>
      </c>
      <c r="E880" s="470">
        <v>1</v>
      </c>
      <c r="F880" s="468">
        <v>506000</v>
      </c>
      <c r="G880" s="468">
        <v>506000</v>
      </c>
      <c r="H880" s="469" t="s">
        <v>2287</v>
      </c>
      <c r="I880" s="466" t="s">
        <v>1231</v>
      </c>
      <c r="J880" s="469" t="s">
        <v>139</v>
      </c>
      <c r="K880" s="466" t="s">
        <v>1038</v>
      </c>
    </row>
    <row r="881" spans="1:11" hidden="1" x14ac:dyDescent="0.25">
      <c r="A881" s="465">
        <v>21</v>
      </c>
      <c r="B881" s="466" t="s">
        <v>91</v>
      </c>
      <c r="C881" s="466" t="s">
        <v>760</v>
      </c>
      <c r="D881" s="466" t="s">
        <v>782</v>
      </c>
      <c r="E881" s="470">
        <v>2</v>
      </c>
      <c r="F881" s="468">
        <v>30000</v>
      </c>
      <c r="G881" s="468">
        <v>60000</v>
      </c>
      <c r="H881" s="469" t="s">
        <v>781</v>
      </c>
      <c r="I881" s="466" t="s">
        <v>1231</v>
      </c>
      <c r="J881" s="469" t="s">
        <v>139</v>
      </c>
      <c r="K881" s="466" t="s">
        <v>1341</v>
      </c>
    </row>
    <row r="882" spans="1:11" hidden="1" x14ac:dyDescent="0.25">
      <c r="A882" s="465">
        <v>21</v>
      </c>
      <c r="B882" s="466" t="s">
        <v>91</v>
      </c>
      <c r="C882" s="466" t="s">
        <v>783</v>
      </c>
      <c r="D882" s="466" t="s">
        <v>739</v>
      </c>
      <c r="E882" s="470">
        <v>1</v>
      </c>
      <c r="F882" s="468">
        <v>32000</v>
      </c>
      <c r="G882" s="468">
        <v>32000</v>
      </c>
      <c r="H882" s="469" t="s">
        <v>781</v>
      </c>
      <c r="I882" s="466" t="s">
        <v>1231</v>
      </c>
      <c r="J882" s="469" t="s">
        <v>139</v>
      </c>
      <c r="K882" s="466" t="s">
        <v>1341</v>
      </c>
    </row>
    <row r="883" spans="1:11" hidden="1" x14ac:dyDescent="0.25">
      <c r="A883" s="465">
        <v>21</v>
      </c>
      <c r="B883" s="466" t="s">
        <v>91</v>
      </c>
      <c r="C883" s="466" t="s">
        <v>784</v>
      </c>
      <c r="D883" s="466" t="s">
        <v>785</v>
      </c>
      <c r="E883" s="470">
        <v>1</v>
      </c>
      <c r="F883" s="468">
        <v>32000</v>
      </c>
      <c r="G883" s="468">
        <v>32000</v>
      </c>
      <c r="H883" s="469" t="s">
        <v>781</v>
      </c>
      <c r="I883" s="466" t="s">
        <v>1231</v>
      </c>
      <c r="J883" s="469" t="s">
        <v>139</v>
      </c>
      <c r="K883" s="466" t="s">
        <v>1341</v>
      </c>
    </row>
    <row r="884" spans="1:11" hidden="1" x14ac:dyDescent="0.25">
      <c r="A884" s="465">
        <v>21</v>
      </c>
      <c r="B884" s="466" t="s">
        <v>1614</v>
      </c>
      <c r="C884" s="466" t="s">
        <v>2288</v>
      </c>
      <c r="D884" s="466" t="s">
        <v>2289</v>
      </c>
      <c r="E884" s="470">
        <v>1</v>
      </c>
      <c r="F884" s="468">
        <v>115900</v>
      </c>
      <c r="G884" s="468">
        <v>115900</v>
      </c>
      <c r="H884" s="469" t="s">
        <v>2290</v>
      </c>
      <c r="I884" s="466" t="s">
        <v>1231</v>
      </c>
      <c r="J884" s="469" t="s">
        <v>139</v>
      </c>
      <c r="K884" s="466" t="s">
        <v>2096</v>
      </c>
    </row>
    <row r="885" spans="1:11" hidden="1" x14ac:dyDescent="0.25">
      <c r="A885" s="465">
        <v>21</v>
      </c>
      <c r="B885" s="466" t="s">
        <v>1614</v>
      </c>
      <c r="C885" s="466" t="s">
        <v>2291</v>
      </c>
      <c r="D885" s="466" t="s">
        <v>2292</v>
      </c>
      <c r="E885" s="470">
        <v>1</v>
      </c>
      <c r="F885" s="468">
        <v>28900</v>
      </c>
      <c r="G885" s="468">
        <v>28900</v>
      </c>
      <c r="H885" s="469" t="s">
        <v>2290</v>
      </c>
      <c r="I885" s="466" t="s">
        <v>1231</v>
      </c>
      <c r="J885" s="469" t="s">
        <v>139</v>
      </c>
      <c r="K885" s="466" t="s">
        <v>2096</v>
      </c>
    </row>
    <row r="886" spans="1:11" hidden="1" x14ac:dyDescent="0.25">
      <c r="A886" s="465">
        <v>21</v>
      </c>
      <c r="B886" s="466" t="s">
        <v>1614</v>
      </c>
      <c r="C886" s="466" t="s">
        <v>2293</v>
      </c>
      <c r="D886" s="466" t="s">
        <v>2294</v>
      </c>
      <c r="E886" s="470">
        <v>2</v>
      </c>
      <c r="F886" s="468">
        <v>5900</v>
      </c>
      <c r="G886" s="468">
        <v>11800</v>
      </c>
      <c r="H886" s="469" t="s">
        <v>2290</v>
      </c>
      <c r="I886" s="466" t="s">
        <v>1231</v>
      </c>
      <c r="J886" s="469" t="s">
        <v>139</v>
      </c>
      <c r="K886" s="466" t="s">
        <v>2096</v>
      </c>
    </row>
    <row r="887" spans="1:11" hidden="1" x14ac:dyDescent="0.25">
      <c r="A887" s="465">
        <v>21</v>
      </c>
      <c r="B887" s="466" t="s">
        <v>1614</v>
      </c>
      <c r="C887" s="466" t="s">
        <v>2295</v>
      </c>
      <c r="D887" s="466" t="s">
        <v>2296</v>
      </c>
      <c r="E887" s="470">
        <v>2</v>
      </c>
      <c r="F887" s="468">
        <v>24900</v>
      </c>
      <c r="G887" s="468">
        <v>49800</v>
      </c>
      <c r="H887" s="469" t="s">
        <v>2290</v>
      </c>
      <c r="I887" s="466" t="s">
        <v>1231</v>
      </c>
      <c r="J887" s="469" t="s">
        <v>139</v>
      </c>
      <c r="K887" s="466" t="s">
        <v>2096</v>
      </c>
    </row>
    <row r="888" spans="1:11" hidden="1" x14ac:dyDescent="0.25">
      <c r="A888" s="465">
        <v>21</v>
      </c>
      <c r="B888" s="466" t="s">
        <v>1614</v>
      </c>
      <c r="C888" s="466" t="s">
        <v>2297</v>
      </c>
      <c r="D888" s="466" t="s">
        <v>2298</v>
      </c>
      <c r="E888" s="470">
        <v>6</v>
      </c>
      <c r="F888" s="468">
        <v>1530</v>
      </c>
      <c r="G888" s="468">
        <v>9180</v>
      </c>
      <c r="H888" s="469" t="s">
        <v>2290</v>
      </c>
      <c r="I888" s="466" t="s">
        <v>1231</v>
      </c>
      <c r="J888" s="469" t="s">
        <v>139</v>
      </c>
      <c r="K888" s="466" t="s">
        <v>2096</v>
      </c>
    </row>
    <row r="889" spans="1:11" hidden="1" x14ac:dyDescent="0.25">
      <c r="A889" s="465">
        <v>15</v>
      </c>
      <c r="B889" s="466" t="s">
        <v>1614</v>
      </c>
      <c r="C889" s="466" t="s">
        <v>2299</v>
      </c>
      <c r="D889" s="466" t="s">
        <v>2300</v>
      </c>
      <c r="E889" s="470">
        <v>2</v>
      </c>
      <c r="F889" s="468">
        <v>3900</v>
      </c>
      <c r="G889" s="468">
        <v>7800</v>
      </c>
      <c r="H889" s="469" t="s">
        <v>2301</v>
      </c>
      <c r="I889" s="466" t="s">
        <v>1231</v>
      </c>
      <c r="J889" s="469" t="s">
        <v>139</v>
      </c>
      <c r="K889" s="466" t="s">
        <v>2096</v>
      </c>
    </row>
    <row r="890" spans="1:11" hidden="1" x14ac:dyDescent="0.25">
      <c r="A890" s="465">
        <v>15</v>
      </c>
      <c r="B890" s="466" t="s">
        <v>1614</v>
      </c>
      <c r="C890" s="466" t="s">
        <v>2302</v>
      </c>
      <c r="D890" s="466" t="s">
        <v>2303</v>
      </c>
      <c r="E890" s="470">
        <v>1</v>
      </c>
      <c r="F890" s="468">
        <v>5600</v>
      </c>
      <c r="G890" s="468">
        <v>5600</v>
      </c>
      <c r="H890" s="469" t="s">
        <v>2301</v>
      </c>
      <c r="I890" s="466" t="s">
        <v>1231</v>
      </c>
      <c r="J890" s="469" t="s">
        <v>139</v>
      </c>
      <c r="K890" s="466" t="s">
        <v>2096</v>
      </c>
    </row>
    <row r="891" spans="1:11" hidden="1" x14ac:dyDescent="0.25">
      <c r="A891" s="560">
        <v>15</v>
      </c>
      <c r="B891" s="561" t="s">
        <v>1255</v>
      </c>
      <c r="C891" s="561" t="s">
        <v>722</v>
      </c>
      <c r="D891" s="561" t="s">
        <v>2304</v>
      </c>
      <c r="E891" s="562">
        <v>2</v>
      </c>
      <c r="F891" s="563">
        <v>9500</v>
      </c>
      <c r="G891" s="563">
        <v>19000</v>
      </c>
      <c r="H891" s="561" t="s">
        <v>2305</v>
      </c>
      <c r="I891" s="561" t="s">
        <v>2306</v>
      </c>
      <c r="J891" s="561" t="s">
        <v>118</v>
      </c>
      <c r="K891" s="561" t="s">
        <v>1252</v>
      </c>
    </row>
    <row r="892" spans="1:11" hidden="1" x14ac:dyDescent="0.25">
      <c r="A892" s="560">
        <v>15</v>
      </c>
      <c r="B892" s="561" t="s">
        <v>1255</v>
      </c>
      <c r="C892" s="561" t="s">
        <v>1253</v>
      </c>
      <c r="D892" s="561" t="s">
        <v>2307</v>
      </c>
      <c r="E892" s="562">
        <v>2</v>
      </c>
      <c r="F892" s="563">
        <v>5000</v>
      </c>
      <c r="G892" s="563">
        <v>10000</v>
      </c>
      <c r="H892" s="561" t="s">
        <v>2305</v>
      </c>
      <c r="I892" s="561" t="s">
        <v>2306</v>
      </c>
      <c r="J892" s="561" t="s">
        <v>118</v>
      </c>
      <c r="K892" s="561" t="s">
        <v>1252</v>
      </c>
    </row>
    <row r="893" spans="1:11" hidden="1" x14ac:dyDescent="0.25">
      <c r="A893" s="560">
        <v>16</v>
      </c>
      <c r="B893" s="561" t="s">
        <v>1255</v>
      </c>
      <c r="C893" s="561" t="s">
        <v>722</v>
      </c>
      <c r="D893" s="561" t="s">
        <v>2308</v>
      </c>
      <c r="E893" s="562">
        <v>2</v>
      </c>
      <c r="F893" s="563">
        <v>9500</v>
      </c>
      <c r="G893" s="563">
        <v>19000</v>
      </c>
      <c r="H893" s="561" t="s">
        <v>2309</v>
      </c>
      <c r="I893" s="561" t="s">
        <v>2306</v>
      </c>
      <c r="J893" s="561" t="s">
        <v>121</v>
      </c>
      <c r="K893" s="561" t="s">
        <v>1252</v>
      </c>
    </row>
    <row r="894" spans="1:11" hidden="1" x14ac:dyDescent="0.25">
      <c r="A894" s="560">
        <v>17</v>
      </c>
      <c r="B894" s="561" t="s">
        <v>1255</v>
      </c>
      <c r="C894" s="561" t="s">
        <v>722</v>
      </c>
      <c r="D894" s="561" t="s">
        <v>2310</v>
      </c>
      <c r="E894" s="562">
        <v>2</v>
      </c>
      <c r="F894" s="563">
        <v>9500</v>
      </c>
      <c r="G894" s="563">
        <v>19000</v>
      </c>
      <c r="H894" s="561" t="s">
        <v>2311</v>
      </c>
      <c r="I894" s="561" t="s">
        <v>2306</v>
      </c>
      <c r="J894" s="561" t="s">
        <v>124</v>
      </c>
      <c r="K894" s="561" t="s">
        <v>1252</v>
      </c>
    </row>
    <row r="895" spans="1:11" hidden="1" x14ac:dyDescent="0.25">
      <c r="A895" s="560">
        <v>17</v>
      </c>
      <c r="B895" s="561" t="s">
        <v>1255</v>
      </c>
      <c r="C895" s="561" t="s">
        <v>1253</v>
      </c>
      <c r="D895" s="561" t="s">
        <v>2312</v>
      </c>
      <c r="E895" s="562">
        <v>3</v>
      </c>
      <c r="F895" s="563">
        <v>5000</v>
      </c>
      <c r="G895" s="563">
        <v>15000</v>
      </c>
      <c r="H895" s="561" t="s">
        <v>2311</v>
      </c>
      <c r="I895" s="561" t="s">
        <v>2306</v>
      </c>
      <c r="J895" s="561" t="s">
        <v>124</v>
      </c>
      <c r="K895" s="561" t="s">
        <v>1252</v>
      </c>
    </row>
    <row r="896" spans="1:11" hidden="1" x14ac:dyDescent="0.25">
      <c r="A896" s="560">
        <v>21</v>
      </c>
      <c r="B896" s="561" t="s">
        <v>91</v>
      </c>
      <c r="C896" s="561" t="s">
        <v>786</v>
      </c>
      <c r="D896" s="561" t="s">
        <v>787</v>
      </c>
      <c r="E896" s="562">
        <v>24</v>
      </c>
      <c r="F896" s="563">
        <v>2500</v>
      </c>
      <c r="G896" s="563">
        <v>60000</v>
      </c>
      <c r="H896" s="561" t="s">
        <v>781</v>
      </c>
      <c r="I896" s="561" t="s">
        <v>2313</v>
      </c>
      <c r="J896" s="561" t="s">
        <v>136</v>
      </c>
      <c r="K896" s="561" t="s">
        <v>1824</v>
      </c>
    </row>
    <row r="897" spans="1:11" hidden="1" x14ac:dyDescent="0.25">
      <c r="A897" s="560">
        <v>21</v>
      </c>
      <c r="B897" s="561" t="s">
        <v>91</v>
      </c>
      <c r="C897" s="561" t="s">
        <v>788</v>
      </c>
      <c r="D897" s="561" t="s">
        <v>789</v>
      </c>
      <c r="E897" s="562">
        <v>24</v>
      </c>
      <c r="F897" s="563">
        <v>1333.3333</v>
      </c>
      <c r="G897" s="563">
        <v>32000</v>
      </c>
      <c r="H897" s="561" t="s">
        <v>781</v>
      </c>
      <c r="I897" s="561" t="s">
        <v>2313</v>
      </c>
      <c r="J897" s="561" t="s">
        <v>136</v>
      </c>
      <c r="K897" s="561" t="s">
        <v>1824</v>
      </c>
    </row>
    <row r="898" spans="1:11" hidden="1" x14ac:dyDescent="0.25">
      <c r="A898" s="560">
        <v>21</v>
      </c>
      <c r="B898" s="561" t="s">
        <v>91</v>
      </c>
      <c r="C898" s="561" t="s">
        <v>790</v>
      </c>
      <c r="D898" s="561" t="s">
        <v>791</v>
      </c>
      <c r="E898" s="562">
        <v>24</v>
      </c>
      <c r="F898" s="563">
        <v>1333.3333</v>
      </c>
      <c r="G898" s="563">
        <v>32000</v>
      </c>
      <c r="H898" s="561" t="s">
        <v>781</v>
      </c>
      <c r="I898" s="561" t="s">
        <v>2313</v>
      </c>
      <c r="J898" s="561" t="s">
        <v>136</v>
      </c>
      <c r="K898" s="561" t="s">
        <v>1824</v>
      </c>
    </row>
    <row r="899" spans="1:11" hidden="1" x14ac:dyDescent="0.25">
      <c r="A899" s="560">
        <v>22</v>
      </c>
      <c r="B899" s="561" t="s">
        <v>1768</v>
      </c>
      <c r="C899" s="561" t="s">
        <v>2314</v>
      </c>
      <c r="D899" s="561" t="s">
        <v>2315</v>
      </c>
      <c r="E899" s="562">
        <v>1</v>
      </c>
      <c r="F899" s="563">
        <v>712000</v>
      </c>
      <c r="G899" s="563">
        <v>712000</v>
      </c>
      <c r="H899" s="561" t="s">
        <v>2316</v>
      </c>
      <c r="I899" s="561" t="s">
        <v>2317</v>
      </c>
      <c r="J899" s="561" t="s">
        <v>139</v>
      </c>
      <c r="K899" s="561" t="s">
        <v>2318</v>
      </c>
    </row>
    <row r="900" spans="1:11" x14ac:dyDescent="0.25">
      <c r="A900" s="574">
        <v>18</v>
      </c>
      <c r="B900" s="575" t="s">
        <v>1239</v>
      </c>
      <c r="C900" s="575" t="s">
        <v>1671</v>
      </c>
      <c r="D900" s="575" t="s">
        <v>2319</v>
      </c>
      <c r="E900" s="576">
        <v>1</v>
      </c>
      <c r="F900" s="577">
        <v>34000</v>
      </c>
      <c r="G900" s="578">
        <v>34000</v>
      </c>
      <c r="H900" s="579" t="s">
        <v>2320</v>
      </c>
      <c r="I900" s="575" t="s">
        <v>1231</v>
      </c>
      <c r="J900" s="579" t="s">
        <v>127</v>
      </c>
      <c r="K900" s="575" t="s">
        <v>1348</v>
      </c>
    </row>
    <row r="901" spans="1:11" x14ac:dyDescent="0.25">
      <c r="A901" s="574">
        <v>18</v>
      </c>
      <c r="B901" s="575" t="s">
        <v>1239</v>
      </c>
      <c r="C901" s="575" t="s">
        <v>1863</v>
      </c>
      <c r="D901" s="575" t="s">
        <v>2321</v>
      </c>
      <c r="E901" s="576">
        <v>2</v>
      </c>
      <c r="F901" s="577">
        <v>254000</v>
      </c>
      <c r="G901" s="578">
        <v>508000</v>
      </c>
      <c r="H901" s="579" t="s">
        <v>2320</v>
      </c>
      <c r="I901" s="575" t="s">
        <v>1231</v>
      </c>
      <c r="J901" s="579" t="s">
        <v>127</v>
      </c>
      <c r="K901" s="575" t="s">
        <v>1348</v>
      </c>
    </row>
    <row r="902" spans="1:11" x14ac:dyDescent="0.25">
      <c r="A902" s="574">
        <v>18</v>
      </c>
      <c r="B902" s="575" t="s">
        <v>1239</v>
      </c>
      <c r="C902" s="575" t="s">
        <v>2322</v>
      </c>
      <c r="D902" s="575" t="s">
        <v>2323</v>
      </c>
      <c r="E902" s="576">
        <v>1</v>
      </c>
      <c r="F902" s="577">
        <v>70000</v>
      </c>
      <c r="G902" s="578">
        <v>70000</v>
      </c>
      <c r="H902" s="579" t="s">
        <v>2320</v>
      </c>
      <c r="I902" s="575" t="s">
        <v>1231</v>
      </c>
      <c r="J902" s="579" t="s">
        <v>127</v>
      </c>
      <c r="K902" s="575" t="s">
        <v>1348</v>
      </c>
    </row>
    <row r="903" spans="1:11" x14ac:dyDescent="0.25">
      <c r="A903" s="574">
        <v>18</v>
      </c>
      <c r="B903" s="575" t="s">
        <v>1239</v>
      </c>
      <c r="C903" s="575" t="s">
        <v>1858</v>
      </c>
      <c r="D903" s="575" t="s">
        <v>2324</v>
      </c>
      <c r="E903" s="576">
        <v>3</v>
      </c>
      <c r="F903" s="577">
        <v>86000</v>
      </c>
      <c r="G903" s="578">
        <v>258000</v>
      </c>
      <c r="H903" s="579" t="s">
        <v>2320</v>
      </c>
      <c r="I903" s="575" t="s">
        <v>1231</v>
      </c>
      <c r="J903" s="579" t="s">
        <v>127</v>
      </c>
      <c r="K903" s="575" t="s">
        <v>1348</v>
      </c>
    </row>
    <row r="904" spans="1:11" x14ac:dyDescent="0.25">
      <c r="A904" s="574">
        <v>18</v>
      </c>
      <c r="B904" s="575" t="s">
        <v>1230</v>
      </c>
      <c r="C904" s="575" t="s">
        <v>250</v>
      </c>
      <c r="D904" s="575" t="s">
        <v>471</v>
      </c>
      <c r="E904" s="576">
        <v>40</v>
      </c>
      <c r="F904" s="577">
        <v>18200</v>
      </c>
      <c r="G904" s="578">
        <v>728000</v>
      </c>
      <c r="H904" s="579" t="s">
        <v>470</v>
      </c>
      <c r="I904" s="575" t="s">
        <v>1231</v>
      </c>
      <c r="J904" s="579" t="s">
        <v>127</v>
      </c>
      <c r="K904" s="575" t="s">
        <v>2325</v>
      </c>
    </row>
    <row r="905" spans="1:11" x14ac:dyDescent="0.25">
      <c r="A905" s="574">
        <v>22</v>
      </c>
      <c r="B905" s="575" t="s">
        <v>1239</v>
      </c>
      <c r="C905" s="575" t="s">
        <v>2326</v>
      </c>
      <c r="D905" s="575" t="s">
        <v>2327</v>
      </c>
      <c r="E905" s="576">
        <v>1</v>
      </c>
      <c r="F905" s="577">
        <v>3700</v>
      </c>
      <c r="G905" s="578">
        <v>3700</v>
      </c>
      <c r="H905" s="579" t="s">
        <v>485</v>
      </c>
      <c r="I905" s="575" t="s">
        <v>1231</v>
      </c>
      <c r="J905" s="579" t="s">
        <v>139</v>
      </c>
      <c r="K905" s="575" t="s">
        <v>1232</v>
      </c>
    </row>
    <row r="906" spans="1:11" x14ac:dyDescent="0.25">
      <c r="A906" s="574">
        <v>22</v>
      </c>
      <c r="B906" s="575" t="s">
        <v>1239</v>
      </c>
      <c r="C906" s="575" t="s">
        <v>2326</v>
      </c>
      <c r="D906" s="575" t="s">
        <v>2328</v>
      </c>
      <c r="E906" s="576">
        <v>1</v>
      </c>
      <c r="F906" s="577">
        <v>3700</v>
      </c>
      <c r="G906" s="578">
        <v>3700</v>
      </c>
      <c r="H906" s="579" t="s">
        <v>485</v>
      </c>
      <c r="I906" s="575" t="s">
        <v>1231</v>
      </c>
      <c r="J906" s="579" t="s">
        <v>139</v>
      </c>
      <c r="K906" s="575" t="s">
        <v>1232</v>
      </c>
    </row>
    <row r="907" spans="1:11" x14ac:dyDescent="0.25">
      <c r="A907" s="574">
        <v>22</v>
      </c>
      <c r="B907" s="575" t="s">
        <v>1239</v>
      </c>
      <c r="C907" s="575" t="s">
        <v>2326</v>
      </c>
      <c r="D907" s="575" t="s">
        <v>2329</v>
      </c>
      <c r="E907" s="576">
        <v>1</v>
      </c>
      <c r="F907" s="577">
        <v>3700</v>
      </c>
      <c r="G907" s="578">
        <v>3700</v>
      </c>
      <c r="H907" s="579" t="s">
        <v>485</v>
      </c>
      <c r="I907" s="575" t="s">
        <v>1231</v>
      </c>
      <c r="J907" s="579" t="s">
        <v>139</v>
      </c>
      <c r="K907" s="575" t="s">
        <v>1232</v>
      </c>
    </row>
    <row r="908" spans="1:11" x14ac:dyDescent="0.25">
      <c r="A908" s="574">
        <v>22</v>
      </c>
      <c r="B908" s="575" t="s">
        <v>1239</v>
      </c>
      <c r="C908" s="575" t="s">
        <v>2326</v>
      </c>
      <c r="D908" s="575" t="s">
        <v>2330</v>
      </c>
      <c r="E908" s="576">
        <v>1</v>
      </c>
      <c r="F908" s="577">
        <v>3700</v>
      </c>
      <c r="G908" s="578">
        <v>3700</v>
      </c>
      <c r="H908" s="579" t="s">
        <v>485</v>
      </c>
      <c r="I908" s="575" t="s">
        <v>1231</v>
      </c>
      <c r="J908" s="579" t="s">
        <v>139</v>
      </c>
      <c r="K908" s="575" t="s">
        <v>1232</v>
      </c>
    </row>
    <row r="909" spans="1:11" x14ac:dyDescent="0.25">
      <c r="A909" s="574">
        <v>22</v>
      </c>
      <c r="B909" s="575" t="s">
        <v>1239</v>
      </c>
      <c r="C909" s="575" t="s">
        <v>2326</v>
      </c>
      <c r="D909" s="575" t="s">
        <v>2331</v>
      </c>
      <c r="E909" s="576">
        <v>1</v>
      </c>
      <c r="F909" s="577">
        <v>3700</v>
      </c>
      <c r="G909" s="578">
        <v>3700</v>
      </c>
      <c r="H909" s="579" t="s">
        <v>485</v>
      </c>
      <c r="I909" s="575" t="s">
        <v>1231</v>
      </c>
      <c r="J909" s="579" t="s">
        <v>139</v>
      </c>
      <c r="K909" s="575" t="s">
        <v>1232</v>
      </c>
    </row>
    <row r="910" spans="1:11" x14ac:dyDescent="0.25">
      <c r="A910" s="574">
        <v>22</v>
      </c>
      <c r="B910" s="575" t="s">
        <v>1230</v>
      </c>
      <c r="C910" s="575" t="s">
        <v>486</v>
      </c>
      <c r="D910" s="575" t="s">
        <v>487</v>
      </c>
      <c r="E910" s="576">
        <v>3.556</v>
      </c>
      <c r="F910" s="577">
        <v>9699</v>
      </c>
      <c r="G910" s="578">
        <v>34493</v>
      </c>
      <c r="H910" s="579" t="s">
        <v>485</v>
      </c>
      <c r="I910" s="575" t="s">
        <v>1231</v>
      </c>
      <c r="J910" s="579" t="s">
        <v>139</v>
      </c>
      <c r="K910" s="575" t="s">
        <v>1232</v>
      </c>
    </row>
    <row r="911" spans="1:11" x14ac:dyDescent="0.25">
      <c r="A911" s="574">
        <v>22</v>
      </c>
      <c r="B911" s="575" t="s">
        <v>1230</v>
      </c>
      <c r="C911" s="575" t="s">
        <v>488</v>
      </c>
      <c r="D911" s="575" t="s">
        <v>489</v>
      </c>
      <c r="E911" s="576">
        <v>3.5379999999999998</v>
      </c>
      <c r="F911" s="577">
        <v>17500</v>
      </c>
      <c r="G911" s="578">
        <v>61915</v>
      </c>
      <c r="H911" s="579" t="s">
        <v>485</v>
      </c>
      <c r="I911" s="575" t="s">
        <v>1231</v>
      </c>
      <c r="J911" s="579" t="s">
        <v>139</v>
      </c>
      <c r="K911" s="575" t="s">
        <v>1232</v>
      </c>
    </row>
    <row r="912" spans="1:11" x14ac:dyDescent="0.25">
      <c r="A912" s="574">
        <v>22</v>
      </c>
      <c r="B912" s="575" t="s">
        <v>1745</v>
      </c>
      <c r="C912" s="575" t="s">
        <v>2332</v>
      </c>
      <c r="D912" s="575" t="s">
        <v>2333</v>
      </c>
      <c r="E912" s="576">
        <v>1</v>
      </c>
      <c r="F912" s="577">
        <v>3523122</v>
      </c>
      <c r="G912" s="578">
        <v>3523122</v>
      </c>
      <c r="H912" s="579" t="s">
        <v>2334</v>
      </c>
      <c r="I912" s="575" t="s">
        <v>1231</v>
      </c>
      <c r="J912" s="579" t="s">
        <v>139</v>
      </c>
      <c r="K912" s="575" t="s">
        <v>2335</v>
      </c>
    </row>
    <row r="913" spans="1:11" x14ac:dyDescent="0.25">
      <c r="A913" s="574">
        <v>22</v>
      </c>
      <c r="B913" s="575" t="s">
        <v>1230</v>
      </c>
      <c r="C913" s="575" t="s">
        <v>491</v>
      </c>
      <c r="D913" s="575" t="s">
        <v>492</v>
      </c>
      <c r="E913" s="576">
        <v>20</v>
      </c>
      <c r="F913" s="577">
        <v>16500</v>
      </c>
      <c r="G913" s="578">
        <v>330000</v>
      </c>
      <c r="H913" s="579" t="s">
        <v>490</v>
      </c>
      <c r="I913" s="575" t="s">
        <v>1231</v>
      </c>
      <c r="J913" s="579" t="s">
        <v>139</v>
      </c>
      <c r="K913" s="575" t="s">
        <v>2336</v>
      </c>
    </row>
    <row r="914" spans="1:11" x14ac:dyDescent="0.25">
      <c r="A914" s="574">
        <v>22</v>
      </c>
      <c r="B914" s="575" t="s">
        <v>1230</v>
      </c>
      <c r="C914" s="575" t="s">
        <v>494</v>
      </c>
      <c r="D914" s="575" t="s">
        <v>495</v>
      </c>
      <c r="E914" s="576">
        <v>6.75</v>
      </c>
      <c r="F914" s="577">
        <v>54000</v>
      </c>
      <c r="G914" s="578">
        <v>364500</v>
      </c>
      <c r="H914" s="579" t="s">
        <v>493</v>
      </c>
      <c r="I914" s="575" t="s">
        <v>1231</v>
      </c>
      <c r="J914" s="579" t="s">
        <v>139</v>
      </c>
      <c r="K914" s="575" t="s">
        <v>1344</v>
      </c>
    </row>
    <row r="915" spans="1:11" x14ac:dyDescent="0.25">
      <c r="A915" s="574">
        <v>22</v>
      </c>
      <c r="B915" s="575" t="s">
        <v>1230</v>
      </c>
      <c r="C915" s="575" t="s">
        <v>417</v>
      </c>
      <c r="D915" s="575" t="s">
        <v>497</v>
      </c>
      <c r="E915" s="576">
        <v>26.35</v>
      </c>
      <c r="F915" s="577">
        <v>19000</v>
      </c>
      <c r="G915" s="578">
        <v>500650</v>
      </c>
      <c r="H915" s="579" t="s">
        <v>496</v>
      </c>
      <c r="I915" s="575" t="s">
        <v>1231</v>
      </c>
      <c r="J915" s="579" t="s">
        <v>139</v>
      </c>
      <c r="K915" s="575" t="s">
        <v>1344</v>
      </c>
    </row>
    <row r="916" spans="1:11" x14ac:dyDescent="0.25">
      <c r="A916" s="574">
        <v>22</v>
      </c>
      <c r="B916" s="575" t="s">
        <v>1230</v>
      </c>
      <c r="C916" s="575" t="s">
        <v>411</v>
      </c>
      <c r="D916" s="575" t="s">
        <v>499</v>
      </c>
      <c r="E916" s="576">
        <v>5</v>
      </c>
      <c r="F916" s="577">
        <v>34000</v>
      </c>
      <c r="G916" s="578">
        <v>170000</v>
      </c>
      <c r="H916" s="579" t="s">
        <v>498</v>
      </c>
      <c r="I916" s="575" t="s">
        <v>1231</v>
      </c>
      <c r="J916" s="579" t="s">
        <v>139</v>
      </c>
      <c r="K916" s="575" t="s">
        <v>1344</v>
      </c>
    </row>
    <row r="917" spans="1:11" x14ac:dyDescent="0.25">
      <c r="A917" s="574">
        <v>22</v>
      </c>
      <c r="B917" s="575" t="s">
        <v>1230</v>
      </c>
      <c r="C917" s="575" t="s">
        <v>500</v>
      </c>
      <c r="D917" s="575" t="s">
        <v>501</v>
      </c>
      <c r="E917" s="576">
        <v>4.665</v>
      </c>
      <c r="F917" s="577">
        <v>0</v>
      </c>
      <c r="G917" s="578">
        <v>247245</v>
      </c>
      <c r="H917" s="579" t="s">
        <v>498</v>
      </c>
      <c r="I917" s="575" t="s">
        <v>1231</v>
      </c>
      <c r="J917" s="579" t="s">
        <v>139</v>
      </c>
      <c r="K917" s="575" t="s">
        <v>1344</v>
      </c>
    </row>
    <row r="918" spans="1:11" x14ac:dyDescent="0.25">
      <c r="A918" s="574">
        <v>22</v>
      </c>
      <c r="B918" s="575" t="s">
        <v>1230</v>
      </c>
      <c r="C918" s="575" t="s">
        <v>503</v>
      </c>
      <c r="D918" s="575" t="s">
        <v>504</v>
      </c>
      <c r="E918" s="576">
        <v>24.95</v>
      </c>
      <c r="F918" s="577">
        <v>20000</v>
      </c>
      <c r="G918" s="578">
        <v>499000</v>
      </c>
      <c r="H918" s="579" t="s">
        <v>502</v>
      </c>
      <c r="I918" s="575" t="s">
        <v>1231</v>
      </c>
      <c r="J918" s="579" t="s">
        <v>139</v>
      </c>
      <c r="K918" s="575" t="s">
        <v>1344</v>
      </c>
    </row>
    <row r="919" spans="1:11" x14ac:dyDescent="0.25">
      <c r="A919" s="574">
        <v>22</v>
      </c>
      <c r="B919" s="575" t="s">
        <v>1230</v>
      </c>
      <c r="C919" s="575" t="s">
        <v>411</v>
      </c>
      <c r="D919" s="575" t="s">
        <v>504</v>
      </c>
      <c r="E919" s="576">
        <v>3.9950000000000001</v>
      </c>
      <c r="F919" s="577">
        <v>34000</v>
      </c>
      <c r="G919" s="578">
        <v>135830</v>
      </c>
      <c r="H919" s="579" t="s">
        <v>502</v>
      </c>
      <c r="I919" s="575" t="s">
        <v>1231</v>
      </c>
      <c r="J919" s="579" t="s">
        <v>139</v>
      </c>
      <c r="K919" s="575" t="s">
        <v>1344</v>
      </c>
    </row>
    <row r="920" spans="1:11" x14ac:dyDescent="0.25">
      <c r="A920" s="574">
        <v>22</v>
      </c>
      <c r="B920" s="575" t="s">
        <v>1520</v>
      </c>
      <c r="C920" s="575" t="s">
        <v>2337</v>
      </c>
      <c r="D920" s="575" t="s">
        <v>2338</v>
      </c>
      <c r="E920" s="576">
        <v>2</v>
      </c>
      <c r="F920" s="577">
        <v>18200</v>
      </c>
      <c r="G920" s="578">
        <v>36400</v>
      </c>
      <c r="H920" s="579" t="s">
        <v>2339</v>
      </c>
      <c r="I920" s="575" t="s">
        <v>1231</v>
      </c>
      <c r="J920" s="579" t="s">
        <v>139</v>
      </c>
      <c r="K920" s="575" t="s">
        <v>2340</v>
      </c>
    </row>
    <row r="921" spans="1:11" x14ac:dyDescent="0.25">
      <c r="A921" s="574">
        <v>22</v>
      </c>
      <c r="B921" s="575" t="s">
        <v>1520</v>
      </c>
      <c r="C921" s="575" t="s">
        <v>1903</v>
      </c>
      <c r="D921" s="575" t="s">
        <v>2341</v>
      </c>
      <c r="E921" s="576">
        <v>60</v>
      </c>
      <c r="F921" s="577">
        <v>4180</v>
      </c>
      <c r="G921" s="578">
        <v>250800</v>
      </c>
      <c r="H921" s="579" t="s">
        <v>2339</v>
      </c>
      <c r="I921" s="575" t="s">
        <v>1231</v>
      </c>
      <c r="J921" s="579" t="s">
        <v>139</v>
      </c>
      <c r="K921" s="575" t="s">
        <v>2340</v>
      </c>
    </row>
    <row r="922" spans="1:11" x14ac:dyDescent="0.25">
      <c r="A922" s="574">
        <v>22</v>
      </c>
      <c r="B922" s="575" t="s">
        <v>1230</v>
      </c>
      <c r="C922" s="575" t="s">
        <v>506</v>
      </c>
      <c r="D922" s="575" t="s">
        <v>507</v>
      </c>
      <c r="E922" s="576">
        <v>22</v>
      </c>
      <c r="F922" s="577">
        <v>6500</v>
      </c>
      <c r="G922" s="578">
        <v>143000</v>
      </c>
      <c r="H922" s="579" t="s">
        <v>505</v>
      </c>
      <c r="I922" s="575" t="s">
        <v>1231</v>
      </c>
      <c r="J922" s="579" t="s">
        <v>139</v>
      </c>
      <c r="K922" s="575" t="s">
        <v>2342</v>
      </c>
    </row>
    <row r="923" spans="1:11" x14ac:dyDescent="0.25">
      <c r="A923" s="574">
        <v>22</v>
      </c>
      <c r="B923" s="575" t="s">
        <v>1230</v>
      </c>
      <c r="C923" s="575" t="s">
        <v>506</v>
      </c>
      <c r="D923" s="575" t="s">
        <v>507</v>
      </c>
      <c r="E923" s="576">
        <v>15</v>
      </c>
      <c r="F923" s="577">
        <v>6500</v>
      </c>
      <c r="G923" s="578">
        <v>97500</v>
      </c>
      <c r="H923" s="579" t="s">
        <v>505</v>
      </c>
      <c r="I923" s="575" t="s">
        <v>1231</v>
      </c>
      <c r="J923" s="579" t="s">
        <v>139</v>
      </c>
      <c r="K923" s="575" t="s">
        <v>2342</v>
      </c>
    </row>
    <row r="924" spans="1:11" x14ac:dyDescent="0.25">
      <c r="A924" s="574">
        <v>22</v>
      </c>
      <c r="B924" s="575" t="s">
        <v>1230</v>
      </c>
      <c r="C924" s="575" t="s">
        <v>509</v>
      </c>
      <c r="D924" s="575" t="s">
        <v>510</v>
      </c>
      <c r="E924" s="576">
        <v>4.3899999999999997</v>
      </c>
      <c r="F924" s="577">
        <v>24900</v>
      </c>
      <c r="G924" s="578">
        <v>109311</v>
      </c>
      <c r="H924" s="579" t="s">
        <v>508</v>
      </c>
      <c r="I924" s="575" t="s">
        <v>1231</v>
      </c>
      <c r="J924" s="579" t="s">
        <v>139</v>
      </c>
      <c r="K924" s="575" t="s">
        <v>2343</v>
      </c>
    </row>
    <row r="925" spans="1:11" x14ac:dyDescent="0.25">
      <c r="A925" s="574">
        <v>22</v>
      </c>
      <c r="B925" s="575" t="s">
        <v>1255</v>
      </c>
      <c r="C925" s="575" t="s">
        <v>641</v>
      </c>
      <c r="D925" s="575" t="s">
        <v>2156</v>
      </c>
      <c r="E925" s="576">
        <v>2</v>
      </c>
      <c r="F925" s="577">
        <v>9500</v>
      </c>
      <c r="G925" s="578">
        <v>19000</v>
      </c>
      <c r="H925" s="579" t="s">
        <v>2344</v>
      </c>
      <c r="I925" s="575" t="s">
        <v>1231</v>
      </c>
      <c r="J925" s="579" t="s">
        <v>139</v>
      </c>
      <c r="K925" s="575" t="s">
        <v>1252</v>
      </c>
    </row>
    <row r="926" spans="1:11" x14ac:dyDescent="0.25">
      <c r="A926" s="574">
        <v>22</v>
      </c>
      <c r="B926" s="575" t="s">
        <v>1255</v>
      </c>
      <c r="C926" s="575" t="s">
        <v>2345</v>
      </c>
      <c r="D926" s="575" t="s">
        <v>2159</v>
      </c>
      <c r="E926" s="576">
        <v>3</v>
      </c>
      <c r="F926" s="577">
        <v>5000</v>
      </c>
      <c r="G926" s="578">
        <v>15000</v>
      </c>
      <c r="H926" s="579" t="s">
        <v>2344</v>
      </c>
      <c r="I926" s="575" t="s">
        <v>1231</v>
      </c>
      <c r="J926" s="579" t="s">
        <v>139</v>
      </c>
      <c r="K926" s="575" t="s">
        <v>1252</v>
      </c>
    </row>
    <row r="927" spans="1:11" x14ac:dyDescent="0.25">
      <c r="A927" s="574">
        <v>23</v>
      </c>
      <c r="B927" s="575" t="s">
        <v>1235</v>
      </c>
      <c r="C927" s="575" t="s">
        <v>1556</v>
      </c>
      <c r="D927" s="575" t="s">
        <v>2127</v>
      </c>
      <c r="E927" s="576">
        <v>8.6999999999999993</v>
      </c>
      <c r="F927" s="577">
        <v>2000</v>
      </c>
      <c r="G927" s="578">
        <v>17400</v>
      </c>
      <c r="H927" s="579" t="s">
        <v>2346</v>
      </c>
      <c r="I927" s="575" t="s">
        <v>1231</v>
      </c>
      <c r="J927" s="579" t="s">
        <v>142</v>
      </c>
      <c r="K927" s="575" t="s">
        <v>2347</v>
      </c>
    </row>
    <row r="928" spans="1:11" x14ac:dyDescent="0.25">
      <c r="A928" s="574">
        <v>23</v>
      </c>
      <c r="B928" s="575" t="s">
        <v>1235</v>
      </c>
      <c r="C928" s="575" t="s">
        <v>2063</v>
      </c>
      <c r="D928" s="575" t="s">
        <v>2128</v>
      </c>
      <c r="E928" s="576">
        <v>9</v>
      </c>
      <c r="F928" s="577">
        <v>5800</v>
      </c>
      <c r="G928" s="578">
        <v>52200</v>
      </c>
      <c r="H928" s="579" t="s">
        <v>2346</v>
      </c>
      <c r="I928" s="575" t="s">
        <v>1231</v>
      </c>
      <c r="J928" s="579" t="s">
        <v>142</v>
      </c>
      <c r="K928" s="575" t="s">
        <v>2347</v>
      </c>
    </row>
    <row r="929" spans="1:11" x14ac:dyDescent="0.25">
      <c r="A929" s="574">
        <v>23</v>
      </c>
      <c r="B929" s="575" t="s">
        <v>1235</v>
      </c>
      <c r="C929" s="575" t="s">
        <v>2035</v>
      </c>
      <c r="D929" s="575" t="s">
        <v>2139</v>
      </c>
      <c r="E929" s="576">
        <v>38</v>
      </c>
      <c r="F929" s="577">
        <v>2800</v>
      </c>
      <c r="G929" s="578">
        <v>106400</v>
      </c>
      <c r="H929" s="579" t="s">
        <v>2346</v>
      </c>
      <c r="I929" s="575" t="s">
        <v>1231</v>
      </c>
      <c r="J929" s="579" t="s">
        <v>142</v>
      </c>
      <c r="K929" s="575" t="s">
        <v>2347</v>
      </c>
    </row>
    <row r="930" spans="1:11" x14ac:dyDescent="0.25">
      <c r="A930" s="574">
        <v>23</v>
      </c>
      <c r="B930" s="575" t="s">
        <v>1235</v>
      </c>
      <c r="C930" s="575" t="s">
        <v>2043</v>
      </c>
      <c r="D930" s="575" t="s">
        <v>2138</v>
      </c>
      <c r="E930" s="576">
        <v>10.9</v>
      </c>
      <c r="F930" s="577">
        <v>3800</v>
      </c>
      <c r="G930" s="578">
        <v>41420</v>
      </c>
      <c r="H930" s="579" t="s">
        <v>2346</v>
      </c>
      <c r="I930" s="575" t="s">
        <v>1231</v>
      </c>
      <c r="J930" s="579" t="s">
        <v>142</v>
      </c>
      <c r="K930" s="575" t="s">
        <v>2347</v>
      </c>
    </row>
    <row r="931" spans="1:11" x14ac:dyDescent="0.25">
      <c r="A931" s="574">
        <v>23</v>
      </c>
      <c r="B931" s="575" t="s">
        <v>1235</v>
      </c>
      <c r="C931" s="575" t="s">
        <v>2038</v>
      </c>
      <c r="D931" s="575" t="s">
        <v>2136</v>
      </c>
      <c r="E931" s="576">
        <v>9.5</v>
      </c>
      <c r="F931" s="577">
        <v>4800</v>
      </c>
      <c r="G931" s="578">
        <v>45600</v>
      </c>
      <c r="H931" s="579" t="s">
        <v>2346</v>
      </c>
      <c r="I931" s="575" t="s">
        <v>1231</v>
      </c>
      <c r="J931" s="579" t="s">
        <v>142</v>
      </c>
      <c r="K931" s="575" t="s">
        <v>2347</v>
      </c>
    </row>
    <row r="932" spans="1:11" x14ac:dyDescent="0.25">
      <c r="A932" s="574">
        <v>23</v>
      </c>
      <c r="B932" s="575" t="s">
        <v>1235</v>
      </c>
      <c r="C932" s="575" t="s">
        <v>1534</v>
      </c>
      <c r="D932" s="575" t="s">
        <v>2151</v>
      </c>
      <c r="E932" s="576">
        <v>51</v>
      </c>
      <c r="F932" s="577">
        <v>3000</v>
      </c>
      <c r="G932" s="578">
        <v>153000</v>
      </c>
      <c r="H932" s="579" t="s">
        <v>2346</v>
      </c>
      <c r="I932" s="575" t="s">
        <v>1231</v>
      </c>
      <c r="J932" s="579" t="s">
        <v>142</v>
      </c>
      <c r="K932" s="575" t="s">
        <v>2347</v>
      </c>
    </row>
    <row r="933" spans="1:11" x14ac:dyDescent="0.25">
      <c r="A933" s="574">
        <v>23</v>
      </c>
      <c r="B933" s="575" t="s">
        <v>1235</v>
      </c>
      <c r="C933" s="575" t="s">
        <v>2120</v>
      </c>
      <c r="D933" s="575" t="s">
        <v>2121</v>
      </c>
      <c r="E933" s="576">
        <v>1</v>
      </c>
      <c r="F933" s="577">
        <v>130000</v>
      </c>
      <c r="G933" s="578">
        <v>130000</v>
      </c>
      <c r="H933" s="579" t="s">
        <v>2346</v>
      </c>
      <c r="I933" s="575" t="s">
        <v>1231</v>
      </c>
      <c r="J933" s="579" t="s">
        <v>142</v>
      </c>
      <c r="K933" s="575" t="s">
        <v>2347</v>
      </c>
    </row>
    <row r="934" spans="1:11" x14ac:dyDescent="0.25">
      <c r="A934" s="574">
        <v>23</v>
      </c>
      <c r="B934" s="575" t="s">
        <v>1235</v>
      </c>
      <c r="C934" s="575" t="s">
        <v>1528</v>
      </c>
      <c r="D934" s="575" t="s">
        <v>2141</v>
      </c>
      <c r="E934" s="576">
        <v>1</v>
      </c>
      <c r="F934" s="577">
        <v>50000</v>
      </c>
      <c r="G934" s="578">
        <v>50000</v>
      </c>
      <c r="H934" s="579" t="s">
        <v>2346</v>
      </c>
      <c r="I934" s="575" t="s">
        <v>1231</v>
      </c>
      <c r="J934" s="579" t="s">
        <v>142</v>
      </c>
      <c r="K934" s="575" t="s">
        <v>2347</v>
      </c>
    </row>
    <row r="935" spans="1:11" x14ac:dyDescent="0.25">
      <c r="A935" s="574">
        <v>23</v>
      </c>
      <c r="B935" s="575" t="s">
        <v>1235</v>
      </c>
      <c r="C935" s="575" t="s">
        <v>1540</v>
      </c>
      <c r="D935" s="575" t="s">
        <v>2129</v>
      </c>
      <c r="E935" s="576">
        <v>4.3</v>
      </c>
      <c r="F935" s="577">
        <v>3500</v>
      </c>
      <c r="G935" s="578">
        <v>15050</v>
      </c>
      <c r="H935" s="579" t="s">
        <v>2346</v>
      </c>
      <c r="I935" s="575" t="s">
        <v>1231</v>
      </c>
      <c r="J935" s="579" t="s">
        <v>142</v>
      </c>
      <c r="K935" s="575" t="s">
        <v>2347</v>
      </c>
    </row>
    <row r="936" spans="1:11" x14ac:dyDescent="0.25">
      <c r="A936" s="574">
        <v>23</v>
      </c>
      <c r="B936" s="575" t="s">
        <v>1235</v>
      </c>
      <c r="C936" s="575" t="s">
        <v>2061</v>
      </c>
      <c r="D936" s="575" t="s">
        <v>2154</v>
      </c>
      <c r="E936" s="576">
        <v>5</v>
      </c>
      <c r="F936" s="577">
        <v>4500</v>
      </c>
      <c r="G936" s="578">
        <v>22500</v>
      </c>
      <c r="H936" s="579" t="s">
        <v>2346</v>
      </c>
      <c r="I936" s="575" t="s">
        <v>1231</v>
      </c>
      <c r="J936" s="579" t="s">
        <v>142</v>
      </c>
      <c r="K936" s="575" t="s">
        <v>2347</v>
      </c>
    </row>
    <row r="937" spans="1:11" x14ac:dyDescent="0.25">
      <c r="A937" s="574">
        <v>23</v>
      </c>
      <c r="B937" s="575" t="s">
        <v>1235</v>
      </c>
      <c r="C937" s="575" t="s">
        <v>1795</v>
      </c>
      <c r="D937" s="575" t="s">
        <v>2137</v>
      </c>
      <c r="E937" s="576">
        <v>2.5</v>
      </c>
      <c r="F937" s="577">
        <v>3000</v>
      </c>
      <c r="G937" s="578">
        <v>7500</v>
      </c>
      <c r="H937" s="579" t="s">
        <v>2346</v>
      </c>
      <c r="I937" s="575" t="s">
        <v>1231</v>
      </c>
      <c r="J937" s="579" t="s">
        <v>142</v>
      </c>
      <c r="K937" s="575" t="s">
        <v>2347</v>
      </c>
    </row>
    <row r="938" spans="1:11" x14ac:dyDescent="0.25">
      <c r="A938" s="574">
        <v>23</v>
      </c>
      <c r="B938" s="575" t="s">
        <v>1235</v>
      </c>
      <c r="C938" s="575" t="s">
        <v>1548</v>
      </c>
      <c r="D938" s="575" t="s">
        <v>2126</v>
      </c>
      <c r="E938" s="576">
        <v>69.3</v>
      </c>
      <c r="F938" s="577">
        <v>1300</v>
      </c>
      <c r="G938" s="578">
        <v>90090</v>
      </c>
      <c r="H938" s="579" t="s">
        <v>2346</v>
      </c>
      <c r="I938" s="575" t="s">
        <v>1231</v>
      </c>
      <c r="J938" s="579" t="s">
        <v>142</v>
      </c>
      <c r="K938" s="575" t="s">
        <v>2347</v>
      </c>
    </row>
    <row r="939" spans="1:11" x14ac:dyDescent="0.25">
      <c r="A939" s="574">
        <v>23</v>
      </c>
      <c r="B939" s="575" t="s">
        <v>1235</v>
      </c>
      <c r="C939" s="575" t="s">
        <v>1546</v>
      </c>
      <c r="D939" s="575" t="s">
        <v>2125</v>
      </c>
      <c r="E939" s="576">
        <v>76.599999999999994</v>
      </c>
      <c r="F939" s="577">
        <v>1300</v>
      </c>
      <c r="G939" s="578">
        <v>99580</v>
      </c>
      <c r="H939" s="579" t="s">
        <v>2346</v>
      </c>
      <c r="I939" s="575" t="s">
        <v>1231</v>
      </c>
      <c r="J939" s="579" t="s">
        <v>142</v>
      </c>
      <c r="K939" s="575" t="s">
        <v>2347</v>
      </c>
    </row>
    <row r="940" spans="1:11" x14ac:dyDescent="0.25">
      <c r="A940" s="574">
        <v>23</v>
      </c>
      <c r="B940" s="575" t="s">
        <v>1235</v>
      </c>
      <c r="C940" s="575" t="s">
        <v>1880</v>
      </c>
      <c r="D940" s="575" t="s">
        <v>2348</v>
      </c>
      <c r="E940" s="576">
        <v>4.5</v>
      </c>
      <c r="F940" s="577">
        <v>9800</v>
      </c>
      <c r="G940" s="578">
        <v>44100</v>
      </c>
      <c r="H940" s="579" t="s">
        <v>2346</v>
      </c>
      <c r="I940" s="575" t="s">
        <v>1231</v>
      </c>
      <c r="J940" s="579" t="s">
        <v>142</v>
      </c>
      <c r="K940" s="575" t="s">
        <v>2347</v>
      </c>
    </row>
    <row r="941" spans="1:11" x14ac:dyDescent="0.25">
      <c r="A941" s="574">
        <v>23</v>
      </c>
      <c r="B941" s="575" t="s">
        <v>1235</v>
      </c>
      <c r="C941" s="575" t="s">
        <v>1544</v>
      </c>
      <c r="D941" s="575" t="s">
        <v>2130</v>
      </c>
      <c r="E941" s="576">
        <v>7</v>
      </c>
      <c r="F941" s="577">
        <v>4500</v>
      </c>
      <c r="G941" s="578">
        <v>31500</v>
      </c>
      <c r="H941" s="579" t="s">
        <v>2346</v>
      </c>
      <c r="I941" s="575" t="s">
        <v>1231</v>
      </c>
      <c r="J941" s="579" t="s">
        <v>142</v>
      </c>
      <c r="K941" s="575" t="s">
        <v>2347</v>
      </c>
    </row>
    <row r="942" spans="1:11" x14ac:dyDescent="0.25">
      <c r="A942" s="574">
        <v>23</v>
      </c>
      <c r="B942" s="575" t="s">
        <v>1235</v>
      </c>
      <c r="C942" s="575" t="s">
        <v>2020</v>
      </c>
      <c r="D942" s="575" t="s">
        <v>2135</v>
      </c>
      <c r="E942" s="576">
        <v>3</v>
      </c>
      <c r="F942" s="577">
        <v>9000</v>
      </c>
      <c r="G942" s="578">
        <v>27000</v>
      </c>
      <c r="H942" s="579" t="s">
        <v>2346</v>
      </c>
      <c r="I942" s="575" t="s">
        <v>1231</v>
      </c>
      <c r="J942" s="579" t="s">
        <v>142</v>
      </c>
      <c r="K942" s="575" t="s">
        <v>2347</v>
      </c>
    </row>
    <row r="943" spans="1:11" x14ac:dyDescent="0.25">
      <c r="A943" s="574">
        <v>23</v>
      </c>
      <c r="B943" s="575" t="s">
        <v>1235</v>
      </c>
      <c r="C943" s="575" t="s">
        <v>1542</v>
      </c>
      <c r="D943" s="575" t="s">
        <v>2349</v>
      </c>
      <c r="E943" s="576">
        <v>3</v>
      </c>
      <c r="F943" s="577">
        <v>10000</v>
      </c>
      <c r="G943" s="578">
        <v>30000</v>
      </c>
      <c r="H943" s="579" t="s">
        <v>2346</v>
      </c>
      <c r="I943" s="575" t="s">
        <v>1231</v>
      </c>
      <c r="J943" s="579" t="s">
        <v>142</v>
      </c>
      <c r="K943" s="575" t="s">
        <v>2347</v>
      </c>
    </row>
    <row r="944" spans="1:11" x14ac:dyDescent="0.25">
      <c r="A944" s="574">
        <v>23</v>
      </c>
      <c r="B944" s="575" t="s">
        <v>1235</v>
      </c>
      <c r="C944" s="575" t="s">
        <v>2131</v>
      </c>
      <c r="D944" s="575" t="s">
        <v>2132</v>
      </c>
      <c r="E944" s="576">
        <v>20</v>
      </c>
      <c r="F944" s="577">
        <v>1500</v>
      </c>
      <c r="G944" s="578">
        <v>30000</v>
      </c>
      <c r="H944" s="579" t="s">
        <v>2346</v>
      </c>
      <c r="I944" s="575" t="s">
        <v>1231</v>
      </c>
      <c r="J944" s="579" t="s">
        <v>142</v>
      </c>
      <c r="K944" s="575" t="s">
        <v>2347</v>
      </c>
    </row>
    <row r="945" spans="1:11" x14ac:dyDescent="0.25">
      <c r="A945" s="574">
        <v>23</v>
      </c>
      <c r="B945" s="575" t="s">
        <v>1235</v>
      </c>
      <c r="C945" s="575" t="s">
        <v>2148</v>
      </c>
      <c r="D945" s="575" t="s">
        <v>2149</v>
      </c>
      <c r="E945" s="576">
        <v>3.3</v>
      </c>
      <c r="F945" s="577">
        <v>3400</v>
      </c>
      <c r="G945" s="578">
        <v>11220</v>
      </c>
      <c r="H945" s="579" t="s">
        <v>2346</v>
      </c>
      <c r="I945" s="575" t="s">
        <v>1231</v>
      </c>
      <c r="J945" s="579" t="s">
        <v>142</v>
      </c>
      <c r="K945" s="575" t="s">
        <v>2347</v>
      </c>
    </row>
    <row r="946" spans="1:11" x14ac:dyDescent="0.25">
      <c r="A946" s="574">
        <v>23</v>
      </c>
      <c r="B946" s="575" t="s">
        <v>1235</v>
      </c>
      <c r="C946" s="575" t="s">
        <v>1548</v>
      </c>
      <c r="D946" s="575" t="s">
        <v>2126</v>
      </c>
      <c r="E946" s="576">
        <v>73.599999999999994</v>
      </c>
      <c r="F946" s="577">
        <v>1400</v>
      </c>
      <c r="G946" s="578">
        <v>103040</v>
      </c>
      <c r="H946" s="579" t="s">
        <v>2350</v>
      </c>
      <c r="I946" s="575" t="s">
        <v>1231</v>
      </c>
      <c r="J946" s="579" t="s">
        <v>142</v>
      </c>
      <c r="K946" s="575" t="s">
        <v>2347</v>
      </c>
    </row>
    <row r="947" spans="1:11" x14ac:dyDescent="0.25">
      <c r="A947" s="574">
        <v>23</v>
      </c>
      <c r="B947" s="575" t="s">
        <v>1235</v>
      </c>
      <c r="C947" s="575" t="s">
        <v>2035</v>
      </c>
      <c r="D947" s="575" t="s">
        <v>2139</v>
      </c>
      <c r="E947" s="576">
        <v>19.5</v>
      </c>
      <c r="F947" s="577">
        <v>2800</v>
      </c>
      <c r="G947" s="578">
        <v>54600</v>
      </c>
      <c r="H947" s="579" t="s">
        <v>2350</v>
      </c>
      <c r="I947" s="575" t="s">
        <v>1231</v>
      </c>
      <c r="J947" s="579" t="s">
        <v>142</v>
      </c>
      <c r="K947" s="575" t="s">
        <v>2347</v>
      </c>
    </row>
    <row r="948" spans="1:11" x14ac:dyDescent="0.25">
      <c r="A948" s="574">
        <v>23</v>
      </c>
      <c r="B948" s="575" t="s">
        <v>1235</v>
      </c>
      <c r="C948" s="575" t="s">
        <v>2133</v>
      </c>
      <c r="D948" s="575" t="s">
        <v>2134</v>
      </c>
      <c r="E948" s="576">
        <v>2</v>
      </c>
      <c r="F948" s="577">
        <v>2000</v>
      </c>
      <c r="G948" s="578">
        <v>4000</v>
      </c>
      <c r="H948" s="579" t="s">
        <v>2350</v>
      </c>
      <c r="I948" s="575" t="s">
        <v>1231</v>
      </c>
      <c r="J948" s="579" t="s">
        <v>142</v>
      </c>
      <c r="K948" s="575" t="s">
        <v>2347</v>
      </c>
    </row>
    <row r="949" spans="1:11" x14ac:dyDescent="0.25">
      <c r="A949" s="574">
        <v>23</v>
      </c>
      <c r="B949" s="575" t="s">
        <v>1235</v>
      </c>
      <c r="C949" s="575" t="s">
        <v>1791</v>
      </c>
      <c r="D949" s="575" t="s">
        <v>2351</v>
      </c>
      <c r="E949" s="576">
        <v>1</v>
      </c>
      <c r="F949" s="577">
        <v>10000</v>
      </c>
      <c r="G949" s="578">
        <v>10000</v>
      </c>
      <c r="H949" s="579" t="s">
        <v>2350</v>
      </c>
      <c r="I949" s="575" t="s">
        <v>1231</v>
      </c>
      <c r="J949" s="579" t="s">
        <v>142</v>
      </c>
      <c r="K949" s="575" t="s">
        <v>2347</v>
      </c>
    </row>
    <row r="950" spans="1:11" x14ac:dyDescent="0.25">
      <c r="A950" s="574">
        <v>23</v>
      </c>
      <c r="B950" s="575" t="s">
        <v>1235</v>
      </c>
      <c r="C950" s="575" t="s">
        <v>1540</v>
      </c>
      <c r="D950" s="575" t="s">
        <v>2129</v>
      </c>
      <c r="E950" s="576">
        <v>4.3</v>
      </c>
      <c r="F950" s="577">
        <v>3500</v>
      </c>
      <c r="G950" s="578">
        <v>15050</v>
      </c>
      <c r="H950" s="579" t="s">
        <v>2350</v>
      </c>
      <c r="I950" s="575" t="s">
        <v>1231</v>
      </c>
      <c r="J950" s="579" t="s">
        <v>142</v>
      </c>
      <c r="K950" s="575" t="s">
        <v>2347</v>
      </c>
    </row>
    <row r="951" spans="1:11" x14ac:dyDescent="0.25">
      <c r="A951" s="574">
        <v>23</v>
      </c>
      <c r="B951" s="575" t="s">
        <v>1235</v>
      </c>
      <c r="C951" s="575" t="s">
        <v>1556</v>
      </c>
      <c r="D951" s="575" t="s">
        <v>2127</v>
      </c>
      <c r="E951" s="576">
        <v>7.9</v>
      </c>
      <c r="F951" s="577">
        <v>2000</v>
      </c>
      <c r="G951" s="578">
        <v>15800</v>
      </c>
      <c r="H951" s="579" t="s">
        <v>2350</v>
      </c>
      <c r="I951" s="575" t="s">
        <v>1231</v>
      </c>
      <c r="J951" s="579" t="s">
        <v>142</v>
      </c>
      <c r="K951" s="575" t="s">
        <v>2347</v>
      </c>
    </row>
    <row r="952" spans="1:11" x14ac:dyDescent="0.25">
      <c r="A952" s="574">
        <v>23</v>
      </c>
      <c r="B952" s="575" t="s">
        <v>1235</v>
      </c>
      <c r="C952" s="575" t="s">
        <v>1795</v>
      </c>
      <c r="D952" s="575" t="s">
        <v>2137</v>
      </c>
      <c r="E952" s="576">
        <v>2.4</v>
      </c>
      <c r="F952" s="577">
        <v>2800</v>
      </c>
      <c r="G952" s="578">
        <v>6720</v>
      </c>
      <c r="H952" s="579" t="s">
        <v>2350</v>
      </c>
      <c r="I952" s="575" t="s">
        <v>1231</v>
      </c>
      <c r="J952" s="579" t="s">
        <v>142</v>
      </c>
      <c r="K952" s="575" t="s">
        <v>2347</v>
      </c>
    </row>
    <row r="953" spans="1:11" x14ac:dyDescent="0.25">
      <c r="A953" s="574">
        <v>23</v>
      </c>
      <c r="B953" s="575" t="s">
        <v>1235</v>
      </c>
      <c r="C953" s="575" t="s">
        <v>2043</v>
      </c>
      <c r="D953" s="575" t="s">
        <v>2138</v>
      </c>
      <c r="E953" s="576">
        <v>8</v>
      </c>
      <c r="F953" s="577">
        <v>3800</v>
      </c>
      <c r="G953" s="578">
        <v>30400</v>
      </c>
      <c r="H953" s="579" t="s">
        <v>2350</v>
      </c>
      <c r="I953" s="575" t="s">
        <v>1231</v>
      </c>
      <c r="J953" s="579" t="s">
        <v>142</v>
      </c>
      <c r="K953" s="575" t="s">
        <v>2347</v>
      </c>
    </row>
    <row r="954" spans="1:11" x14ac:dyDescent="0.25">
      <c r="A954" s="574">
        <v>23</v>
      </c>
      <c r="B954" s="575" t="s">
        <v>1235</v>
      </c>
      <c r="C954" s="575" t="s">
        <v>2038</v>
      </c>
      <c r="D954" s="575" t="s">
        <v>2136</v>
      </c>
      <c r="E954" s="576">
        <v>7.4</v>
      </c>
      <c r="F954" s="577">
        <v>4800</v>
      </c>
      <c r="G954" s="578">
        <v>35520</v>
      </c>
      <c r="H954" s="579" t="s">
        <v>2350</v>
      </c>
      <c r="I954" s="575" t="s">
        <v>1231</v>
      </c>
      <c r="J954" s="579" t="s">
        <v>142</v>
      </c>
      <c r="K954" s="575" t="s">
        <v>2347</v>
      </c>
    </row>
    <row r="955" spans="1:11" x14ac:dyDescent="0.25">
      <c r="A955" s="574">
        <v>23</v>
      </c>
      <c r="B955" s="575" t="s">
        <v>1235</v>
      </c>
      <c r="C955" s="575" t="s">
        <v>1528</v>
      </c>
      <c r="D955" s="575" t="s">
        <v>2141</v>
      </c>
      <c r="E955" s="576">
        <v>1</v>
      </c>
      <c r="F955" s="577">
        <v>60000</v>
      </c>
      <c r="G955" s="578">
        <v>60000</v>
      </c>
      <c r="H955" s="579" t="s">
        <v>2350</v>
      </c>
      <c r="I955" s="575" t="s">
        <v>1231</v>
      </c>
      <c r="J955" s="579" t="s">
        <v>142</v>
      </c>
      <c r="K955" s="575" t="s">
        <v>2347</v>
      </c>
    </row>
    <row r="956" spans="1:11" x14ac:dyDescent="0.25">
      <c r="A956" s="574">
        <v>23</v>
      </c>
      <c r="B956" s="575" t="s">
        <v>1235</v>
      </c>
      <c r="C956" s="575" t="s">
        <v>2061</v>
      </c>
      <c r="D956" s="575" t="s">
        <v>2154</v>
      </c>
      <c r="E956" s="576">
        <v>4</v>
      </c>
      <c r="F956" s="577">
        <v>4800</v>
      </c>
      <c r="G956" s="578">
        <v>19200</v>
      </c>
      <c r="H956" s="579" t="s">
        <v>2350</v>
      </c>
      <c r="I956" s="575" t="s">
        <v>1231</v>
      </c>
      <c r="J956" s="579" t="s">
        <v>142</v>
      </c>
      <c r="K956" s="575" t="s">
        <v>2347</v>
      </c>
    </row>
    <row r="957" spans="1:11" x14ac:dyDescent="0.25">
      <c r="A957" s="574">
        <v>23</v>
      </c>
      <c r="B957" s="575" t="s">
        <v>1235</v>
      </c>
      <c r="C957" s="575" t="s">
        <v>1534</v>
      </c>
      <c r="D957" s="575" t="s">
        <v>2151</v>
      </c>
      <c r="E957" s="576">
        <v>45.2</v>
      </c>
      <c r="F957" s="577">
        <v>3400</v>
      </c>
      <c r="G957" s="578">
        <v>153680</v>
      </c>
      <c r="H957" s="579" t="s">
        <v>2350</v>
      </c>
      <c r="I957" s="575" t="s">
        <v>1231</v>
      </c>
      <c r="J957" s="579" t="s">
        <v>142</v>
      </c>
      <c r="K957" s="575" t="s">
        <v>2347</v>
      </c>
    </row>
    <row r="958" spans="1:11" x14ac:dyDescent="0.25">
      <c r="A958" s="574">
        <v>23</v>
      </c>
      <c r="B958" s="575" t="s">
        <v>1235</v>
      </c>
      <c r="C958" s="575" t="s">
        <v>1546</v>
      </c>
      <c r="D958" s="575" t="s">
        <v>2125</v>
      </c>
      <c r="E958" s="576">
        <v>56.4</v>
      </c>
      <c r="F958" s="577">
        <v>1400</v>
      </c>
      <c r="G958" s="578">
        <v>78960</v>
      </c>
      <c r="H958" s="579" t="s">
        <v>2350</v>
      </c>
      <c r="I958" s="575" t="s">
        <v>1231</v>
      </c>
      <c r="J958" s="579" t="s">
        <v>142</v>
      </c>
      <c r="K958" s="575" t="s">
        <v>2347</v>
      </c>
    </row>
    <row r="959" spans="1:11" x14ac:dyDescent="0.25">
      <c r="A959" s="574">
        <v>23</v>
      </c>
      <c r="B959" s="575" t="s">
        <v>1235</v>
      </c>
      <c r="C959" s="575" t="s">
        <v>1546</v>
      </c>
      <c r="D959" s="575" t="s">
        <v>2125</v>
      </c>
      <c r="E959" s="576">
        <v>12</v>
      </c>
      <c r="F959" s="577">
        <v>1400</v>
      </c>
      <c r="G959" s="578">
        <v>16800</v>
      </c>
      <c r="H959" s="579" t="s">
        <v>2350</v>
      </c>
      <c r="I959" s="575" t="s">
        <v>1231</v>
      </c>
      <c r="J959" s="579" t="s">
        <v>142</v>
      </c>
      <c r="K959" s="575" t="s">
        <v>2347</v>
      </c>
    </row>
    <row r="960" spans="1:11" x14ac:dyDescent="0.25">
      <c r="A960" s="574">
        <v>23</v>
      </c>
      <c r="B960" s="575" t="s">
        <v>1235</v>
      </c>
      <c r="C960" s="575" t="s">
        <v>1548</v>
      </c>
      <c r="D960" s="575" t="s">
        <v>2126</v>
      </c>
      <c r="E960" s="576">
        <v>55.6</v>
      </c>
      <c r="F960" s="577">
        <v>1400</v>
      </c>
      <c r="G960" s="578">
        <v>77840</v>
      </c>
      <c r="H960" s="579" t="s">
        <v>2352</v>
      </c>
      <c r="I960" s="575" t="s">
        <v>1231</v>
      </c>
      <c r="J960" s="579" t="s">
        <v>142</v>
      </c>
      <c r="K960" s="575" t="s">
        <v>2347</v>
      </c>
    </row>
    <row r="961" spans="1:11" x14ac:dyDescent="0.25">
      <c r="A961" s="574">
        <v>23</v>
      </c>
      <c r="B961" s="575" t="s">
        <v>1520</v>
      </c>
      <c r="C961" s="575" t="s">
        <v>2123</v>
      </c>
      <c r="D961" s="575" t="s">
        <v>2124</v>
      </c>
      <c r="E961" s="576">
        <v>1</v>
      </c>
      <c r="F961" s="577">
        <v>40000</v>
      </c>
      <c r="G961" s="578">
        <v>40000</v>
      </c>
      <c r="H961" s="579" t="s">
        <v>2352</v>
      </c>
      <c r="I961" s="575" t="s">
        <v>1231</v>
      </c>
      <c r="J961" s="579" t="s">
        <v>142</v>
      </c>
      <c r="K961" s="575" t="s">
        <v>2347</v>
      </c>
    </row>
    <row r="962" spans="1:11" x14ac:dyDescent="0.25">
      <c r="A962" s="574">
        <v>23</v>
      </c>
      <c r="B962" s="575" t="s">
        <v>1235</v>
      </c>
      <c r="C962" s="575" t="s">
        <v>2353</v>
      </c>
      <c r="D962" s="575" t="s">
        <v>2354</v>
      </c>
      <c r="E962" s="576">
        <v>4.5999999999999996</v>
      </c>
      <c r="F962" s="577">
        <v>2500</v>
      </c>
      <c r="G962" s="578">
        <v>11500</v>
      </c>
      <c r="H962" s="579" t="s">
        <v>2352</v>
      </c>
      <c r="I962" s="575" t="s">
        <v>1231</v>
      </c>
      <c r="J962" s="579" t="s">
        <v>142</v>
      </c>
      <c r="K962" s="575" t="s">
        <v>2347</v>
      </c>
    </row>
    <row r="963" spans="1:11" x14ac:dyDescent="0.25">
      <c r="A963" s="574">
        <v>23</v>
      </c>
      <c r="B963" s="575" t="s">
        <v>1235</v>
      </c>
      <c r="C963" s="575" t="s">
        <v>1540</v>
      </c>
      <c r="D963" s="575" t="s">
        <v>2129</v>
      </c>
      <c r="E963" s="576">
        <v>4.2</v>
      </c>
      <c r="F963" s="577">
        <v>3500</v>
      </c>
      <c r="G963" s="578">
        <v>14700</v>
      </c>
      <c r="H963" s="579" t="s">
        <v>2352</v>
      </c>
      <c r="I963" s="575" t="s">
        <v>1231</v>
      </c>
      <c r="J963" s="579" t="s">
        <v>142</v>
      </c>
      <c r="K963" s="575" t="s">
        <v>2347</v>
      </c>
    </row>
    <row r="964" spans="1:11" x14ac:dyDescent="0.25">
      <c r="A964" s="574">
        <v>23</v>
      </c>
      <c r="B964" s="575" t="s">
        <v>1235</v>
      </c>
      <c r="C964" s="575" t="s">
        <v>2355</v>
      </c>
      <c r="D964" s="575" t="s">
        <v>2356</v>
      </c>
      <c r="E964" s="576">
        <v>2.6</v>
      </c>
      <c r="F964" s="577">
        <v>2500</v>
      </c>
      <c r="G964" s="578">
        <v>6500</v>
      </c>
      <c r="H964" s="579" t="s">
        <v>2352</v>
      </c>
      <c r="I964" s="575" t="s">
        <v>1231</v>
      </c>
      <c r="J964" s="579" t="s">
        <v>142</v>
      </c>
      <c r="K964" s="575" t="s">
        <v>2347</v>
      </c>
    </row>
    <row r="965" spans="1:11" x14ac:dyDescent="0.25">
      <c r="A965" s="574">
        <v>23</v>
      </c>
      <c r="B965" s="575" t="s">
        <v>1235</v>
      </c>
      <c r="C965" s="575" t="s">
        <v>1880</v>
      </c>
      <c r="D965" s="575" t="s">
        <v>2348</v>
      </c>
      <c r="E965" s="576">
        <v>3.4</v>
      </c>
      <c r="F965" s="577">
        <v>8000</v>
      </c>
      <c r="G965" s="578">
        <v>27200</v>
      </c>
      <c r="H965" s="579" t="s">
        <v>2352</v>
      </c>
      <c r="I965" s="575" t="s">
        <v>1231</v>
      </c>
      <c r="J965" s="579" t="s">
        <v>142</v>
      </c>
      <c r="K965" s="575" t="s">
        <v>2347</v>
      </c>
    </row>
    <row r="966" spans="1:11" x14ac:dyDescent="0.25">
      <c r="A966" s="574">
        <v>23</v>
      </c>
      <c r="B966" s="575" t="s">
        <v>1235</v>
      </c>
      <c r="C966" s="575" t="s">
        <v>1556</v>
      </c>
      <c r="D966" s="575" t="s">
        <v>2127</v>
      </c>
      <c r="E966" s="576">
        <v>12.4</v>
      </c>
      <c r="F966" s="577">
        <v>2000</v>
      </c>
      <c r="G966" s="578">
        <v>24800</v>
      </c>
      <c r="H966" s="579" t="s">
        <v>2352</v>
      </c>
      <c r="I966" s="575" t="s">
        <v>1231</v>
      </c>
      <c r="J966" s="579" t="s">
        <v>142</v>
      </c>
      <c r="K966" s="575" t="s">
        <v>2347</v>
      </c>
    </row>
    <row r="967" spans="1:11" x14ac:dyDescent="0.25">
      <c r="A967" s="574">
        <v>23</v>
      </c>
      <c r="B967" s="575" t="s">
        <v>1235</v>
      </c>
      <c r="C967" s="575" t="s">
        <v>1544</v>
      </c>
      <c r="D967" s="575" t="s">
        <v>2130</v>
      </c>
      <c r="E967" s="576">
        <v>9.5</v>
      </c>
      <c r="F967" s="577">
        <v>4000</v>
      </c>
      <c r="G967" s="578">
        <v>38000</v>
      </c>
      <c r="H967" s="579" t="s">
        <v>2352</v>
      </c>
      <c r="I967" s="575" t="s">
        <v>1231</v>
      </c>
      <c r="J967" s="579" t="s">
        <v>142</v>
      </c>
      <c r="K967" s="575" t="s">
        <v>2347</v>
      </c>
    </row>
    <row r="968" spans="1:11" x14ac:dyDescent="0.25">
      <c r="A968" s="574">
        <v>23</v>
      </c>
      <c r="B968" s="575" t="s">
        <v>1235</v>
      </c>
      <c r="C968" s="575" t="s">
        <v>2357</v>
      </c>
      <c r="D968" s="575" t="s">
        <v>2358</v>
      </c>
      <c r="E968" s="576">
        <v>5.0999999999999996</v>
      </c>
      <c r="F968" s="577">
        <v>4000</v>
      </c>
      <c r="G968" s="578">
        <v>20400</v>
      </c>
      <c r="H968" s="579" t="s">
        <v>2352</v>
      </c>
      <c r="I968" s="575" t="s">
        <v>1231</v>
      </c>
      <c r="J968" s="579" t="s">
        <v>142</v>
      </c>
      <c r="K968" s="575" t="s">
        <v>2347</v>
      </c>
    </row>
    <row r="969" spans="1:11" x14ac:dyDescent="0.25">
      <c r="A969" s="574">
        <v>23</v>
      </c>
      <c r="B969" s="575" t="s">
        <v>1235</v>
      </c>
      <c r="C969" s="575" t="s">
        <v>2359</v>
      </c>
      <c r="D969" s="575" t="s">
        <v>2360</v>
      </c>
      <c r="E969" s="576">
        <v>4</v>
      </c>
      <c r="F969" s="577">
        <v>7000</v>
      </c>
      <c r="G969" s="578">
        <v>28000</v>
      </c>
      <c r="H969" s="579" t="s">
        <v>2352</v>
      </c>
      <c r="I969" s="575" t="s">
        <v>1231</v>
      </c>
      <c r="J969" s="579" t="s">
        <v>142</v>
      </c>
      <c r="K969" s="575" t="s">
        <v>2347</v>
      </c>
    </row>
    <row r="970" spans="1:11" x14ac:dyDescent="0.25">
      <c r="A970" s="574">
        <v>23</v>
      </c>
      <c r="B970" s="575" t="s">
        <v>1235</v>
      </c>
      <c r="C970" s="575" t="s">
        <v>2043</v>
      </c>
      <c r="D970" s="575" t="s">
        <v>2138</v>
      </c>
      <c r="E970" s="576">
        <v>13.1</v>
      </c>
      <c r="F970" s="577">
        <v>3500</v>
      </c>
      <c r="G970" s="578">
        <v>45850</v>
      </c>
      <c r="H970" s="579" t="s">
        <v>2352</v>
      </c>
      <c r="I970" s="575" t="s">
        <v>1231</v>
      </c>
      <c r="J970" s="579" t="s">
        <v>142</v>
      </c>
      <c r="K970" s="575" t="s">
        <v>2347</v>
      </c>
    </row>
    <row r="971" spans="1:11" x14ac:dyDescent="0.25">
      <c r="A971" s="574">
        <v>23</v>
      </c>
      <c r="B971" s="575" t="s">
        <v>1235</v>
      </c>
      <c r="C971" s="575" t="s">
        <v>1528</v>
      </c>
      <c r="D971" s="575" t="s">
        <v>2141</v>
      </c>
      <c r="E971" s="576">
        <v>0.5</v>
      </c>
      <c r="F971" s="577">
        <v>60000</v>
      </c>
      <c r="G971" s="578">
        <v>30000</v>
      </c>
      <c r="H971" s="579" t="s">
        <v>2352</v>
      </c>
      <c r="I971" s="575" t="s">
        <v>1231</v>
      </c>
      <c r="J971" s="579" t="s">
        <v>142</v>
      </c>
      <c r="K971" s="575" t="s">
        <v>2347</v>
      </c>
    </row>
    <row r="972" spans="1:11" x14ac:dyDescent="0.25">
      <c r="A972" s="574">
        <v>23</v>
      </c>
      <c r="B972" s="575" t="s">
        <v>1235</v>
      </c>
      <c r="C972" s="575" t="s">
        <v>2361</v>
      </c>
      <c r="D972" s="575" t="s">
        <v>2362</v>
      </c>
      <c r="E972" s="576">
        <v>5</v>
      </c>
      <c r="F972" s="577">
        <v>4800</v>
      </c>
      <c r="G972" s="578">
        <v>24000</v>
      </c>
      <c r="H972" s="579" t="s">
        <v>2352</v>
      </c>
      <c r="I972" s="575" t="s">
        <v>1231</v>
      </c>
      <c r="J972" s="579" t="s">
        <v>142</v>
      </c>
      <c r="K972" s="575" t="s">
        <v>2347</v>
      </c>
    </row>
    <row r="973" spans="1:11" x14ac:dyDescent="0.25">
      <c r="A973" s="574">
        <v>23</v>
      </c>
      <c r="B973" s="575" t="s">
        <v>1235</v>
      </c>
      <c r="C973" s="575" t="s">
        <v>2363</v>
      </c>
      <c r="D973" s="575" t="s">
        <v>2364</v>
      </c>
      <c r="E973" s="576">
        <v>12</v>
      </c>
      <c r="F973" s="577">
        <v>1200</v>
      </c>
      <c r="G973" s="578">
        <v>14400</v>
      </c>
      <c r="H973" s="579" t="s">
        <v>2352</v>
      </c>
      <c r="I973" s="575" t="s">
        <v>1231</v>
      </c>
      <c r="J973" s="579" t="s">
        <v>142</v>
      </c>
      <c r="K973" s="575" t="s">
        <v>2347</v>
      </c>
    </row>
    <row r="974" spans="1:11" x14ac:dyDescent="0.25">
      <c r="A974" s="574">
        <v>23</v>
      </c>
      <c r="B974" s="575" t="s">
        <v>1235</v>
      </c>
      <c r="C974" s="575" t="s">
        <v>2038</v>
      </c>
      <c r="D974" s="575" t="s">
        <v>2136</v>
      </c>
      <c r="E974" s="576">
        <v>12</v>
      </c>
      <c r="F974" s="577">
        <v>5000</v>
      </c>
      <c r="G974" s="578">
        <v>60000</v>
      </c>
      <c r="H974" s="579" t="s">
        <v>2352</v>
      </c>
      <c r="I974" s="575" t="s">
        <v>1231</v>
      </c>
      <c r="J974" s="579" t="s">
        <v>142</v>
      </c>
      <c r="K974" s="575" t="s">
        <v>2347</v>
      </c>
    </row>
    <row r="975" spans="1:11" x14ac:dyDescent="0.25">
      <c r="A975" s="574">
        <v>23</v>
      </c>
      <c r="B975" s="575" t="s">
        <v>1235</v>
      </c>
      <c r="C975" s="575" t="s">
        <v>1546</v>
      </c>
      <c r="D975" s="575" t="s">
        <v>2125</v>
      </c>
      <c r="E975" s="576">
        <v>80</v>
      </c>
      <c r="F975" s="577">
        <v>1400</v>
      </c>
      <c r="G975" s="578">
        <v>112000</v>
      </c>
      <c r="H975" s="579" t="s">
        <v>2352</v>
      </c>
      <c r="I975" s="575" t="s">
        <v>1231</v>
      </c>
      <c r="J975" s="579" t="s">
        <v>142</v>
      </c>
      <c r="K975" s="575" t="s">
        <v>2347</v>
      </c>
    </row>
    <row r="976" spans="1:11" x14ac:dyDescent="0.25">
      <c r="A976" s="574">
        <v>23</v>
      </c>
      <c r="B976" s="575" t="s">
        <v>1235</v>
      </c>
      <c r="C976" s="575" t="s">
        <v>2131</v>
      </c>
      <c r="D976" s="575" t="s">
        <v>2132</v>
      </c>
      <c r="E976" s="576">
        <v>30</v>
      </c>
      <c r="F976" s="577">
        <v>1600</v>
      </c>
      <c r="G976" s="578">
        <v>48000</v>
      </c>
      <c r="H976" s="579" t="s">
        <v>2352</v>
      </c>
      <c r="I976" s="575" t="s">
        <v>1231</v>
      </c>
      <c r="J976" s="579" t="s">
        <v>142</v>
      </c>
      <c r="K976" s="575" t="s">
        <v>2347</v>
      </c>
    </row>
    <row r="977" spans="1:11" x14ac:dyDescent="0.25">
      <c r="A977" s="574">
        <v>23</v>
      </c>
      <c r="B977" s="575" t="s">
        <v>1235</v>
      </c>
      <c r="C977" s="575" t="s">
        <v>2035</v>
      </c>
      <c r="D977" s="575" t="s">
        <v>2139</v>
      </c>
      <c r="E977" s="576">
        <v>14.6</v>
      </c>
      <c r="F977" s="577">
        <v>2800</v>
      </c>
      <c r="G977" s="578">
        <v>40880</v>
      </c>
      <c r="H977" s="579" t="s">
        <v>2352</v>
      </c>
      <c r="I977" s="575" t="s">
        <v>1231</v>
      </c>
      <c r="J977" s="579" t="s">
        <v>142</v>
      </c>
      <c r="K977" s="575" t="s">
        <v>2347</v>
      </c>
    </row>
    <row r="978" spans="1:11" x14ac:dyDescent="0.25">
      <c r="A978" s="574">
        <v>23</v>
      </c>
      <c r="B978" s="575" t="s">
        <v>1235</v>
      </c>
      <c r="C978" s="575" t="s">
        <v>1534</v>
      </c>
      <c r="D978" s="575" t="s">
        <v>2151</v>
      </c>
      <c r="E978" s="576">
        <v>50</v>
      </c>
      <c r="F978" s="577">
        <v>3500</v>
      </c>
      <c r="G978" s="578">
        <v>175000</v>
      </c>
      <c r="H978" s="579" t="s">
        <v>2352</v>
      </c>
      <c r="I978" s="575" t="s">
        <v>1231</v>
      </c>
      <c r="J978" s="579" t="s">
        <v>142</v>
      </c>
      <c r="K978" s="575" t="s">
        <v>2347</v>
      </c>
    </row>
    <row r="979" spans="1:11" x14ac:dyDescent="0.25">
      <c r="A979" s="574">
        <v>23</v>
      </c>
      <c r="B979" s="575" t="s">
        <v>1235</v>
      </c>
      <c r="C979" s="575" t="s">
        <v>2120</v>
      </c>
      <c r="D979" s="575" t="s">
        <v>2121</v>
      </c>
      <c r="E979" s="576">
        <v>1</v>
      </c>
      <c r="F979" s="577">
        <v>125000</v>
      </c>
      <c r="G979" s="578">
        <v>125000</v>
      </c>
      <c r="H979" s="579" t="s">
        <v>2352</v>
      </c>
      <c r="I979" s="575" t="s">
        <v>1231</v>
      </c>
      <c r="J979" s="579" t="s">
        <v>142</v>
      </c>
      <c r="K979" s="575" t="s">
        <v>2347</v>
      </c>
    </row>
    <row r="980" spans="1:11" x14ac:dyDescent="0.25">
      <c r="A980" s="574">
        <v>23</v>
      </c>
      <c r="B980" s="575" t="s">
        <v>1235</v>
      </c>
      <c r="C980" s="575" t="s">
        <v>2133</v>
      </c>
      <c r="D980" s="575" t="s">
        <v>2134</v>
      </c>
      <c r="E980" s="576">
        <v>5</v>
      </c>
      <c r="F980" s="577">
        <v>2000</v>
      </c>
      <c r="G980" s="578">
        <v>10000</v>
      </c>
      <c r="H980" s="579" t="s">
        <v>2352</v>
      </c>
      <c r="I980" s="575" t="s">
        <v>1231</v>
      </c>
      <c r="J980" s="579" t="s">
        <v>142</v>
      </c>
      <c r="K980" s="575" t="s">
        <v>2347</v>
      </c>
    </row>
    <row r="981" spans="1:11" x14ac:dyDescent="0.25">
      <c r="A981" s="574">
        <v>23</v>
      </c>
      <c r="B981" s="575" t="s">
        <v>1235</v>
      </c>
      <c r="C981" s="575" t="s">
        <v>2020</v>
      </c>
      <c r="D981" s="575" t="s">
        <v>2135</v>
      </c>
      <c r="E981" s="576">
        <v>5</v>
      </c>
      <c r="F981" s="577">
        <v>8000</v>
      </c>
      <c r="G981" s="578">
        <v>40000</v>
      </c>
      <c r="H981" s="579" t="s">
        <v>2352</v>
      </c>
      <c r="I981" s="575" t="s">
        <v>1231</v>
      </c>
      <c r="J981" s="579" t="s">
        <v>142</v>
      </c>
      <c r="K981" s="575" t="s">
        <v>2347</v>
      </c>
    </row>
    <row r="982" spans="1:11" x14ac:dyDescent="0.25">
      <c r="A982" s="574">
        <v>23</v>
      </c>
      <c r="B982" s="575" t="s">
        <v>1230</v>
      </c>
      <c r="C982" s="575" t="s">
        <v>513</v>
      </c>
      <c r="D982" s="575" t="s">
        <v>510</v>
      </c>
      <c r="E982" s="576">
        <v>4.2850000000000001</v>
      </c>
      <c r="F982" s="577">
        <v>24900</v>
      </c>
      <c r="G982" s="578">
        <v>106697</v>
      </c>
      <c r="H982" s="579" t="s">
        <v>512</v>
      </c>
      <c r="I982" s="575" t="s">
        <v>1231</v>
      </c>
      <c r="J982" s="579" t="s">
        <v>142</v>
      </c>
      <c r="K982" s="575" t="s">
        <v>2343</v>
      </c>
    </row>
    <row r="983" spans="1:11" x14ac:dyDescent="0.25">
      <c r="A983" s="574">
        <v>23</v>
      </c>
      <c r="B983" s="575" t="s">
        <v>1255</v>
      </c>
      <c r="C983" s="575" t="s">
        <v>2365</v>
      </c>
      <c r="D983" s="575" t="s">
        <v>2156</v>
      </c>
      <c r="E983" s="576">
        <v>2</v>
      </c>
      <c r="F983" s="577">
        <v>9000</v>
      </c>
      <c r="G983" s="578">
        <v>18000</v>
      </c>
      <c r="H983" s="579" t="s">
        <v>2366</v>
      </c>
      <c r="I983" s="575" t="s">
        <v>1231</v>
      </c>
      <c r="J983" s="579" t="s">
        <v>142</v>
      </c>
      <c r="K983" s="575" t="s">
        <v>1252</v>
      </c>
    </row>
    <row r="984" spans="1:11" x14ac:dyDescent="0.25">
      <c r="A984" s="574">
        <v>23</v>
      </c>
      <c r="B984" s="575" t="s">
        <v>1230</v>
      </c>
      <c r="C984" s="575" t="s">
        <v>214</v>
      </c>
      <c r="D984" s="575" t="s">
        <v>372</v>
      </c>
      <c r="E984" s="576">
        <v>28.2</v>
      </c>
      <c r="F984" s="577">
        <v>25900</v>
      </c>
      <c r="G984" s="578">
        <v>730380</v>
      </c>
      <c r="H984" s="579" t="s">
        <v>514</v>
      </c>
      <c r="I984" s="575" t="s">
        <v>1231</v>
      </c>
      <c r="J984" s="579" t="s">
        <v>142</v>
      </c>
      <c r="K984" s="575" t="s">
        <v>2343</v>
      </c>
    </row>
    <row r="985" spans="1:11" x14ac:dyDescent="0.25">
      <c r="A985" s="574">
        <v>23</v>
      </c>
      <c r="B985" s="575" t="s">
        <v>1230</v>
      </c>
      <c r="C985" s="575" t="s">
        <v>515</v>
      </c>
      <c r="D985" s="575" t="s">
        <v>516</v>
      </c>
      <c r="E985" s="576">
        <v>27.1</v>
      </c>
      <c r="F985" s="577">
        <v>13900</v>
      </c>
      <c r="G985" s="578">
        <v>376690</v>
      </c>
      <c r="H985" s="579" t="s">
        <v>514</v>
      </c>
      <c r="I985" s="575" t="s">
        <v>1231</v>
      </c>
      <c r="J985" s="579" t="s">
        <v>142</v>
      </c>
      <c r="K985" s="575" t="s">
        <v>2343</v>
      </c>
    </row>
    <row r="986" spans="1:11" x14ac:dyDescent="0.25">
      <c r="A986" s="574">
        <v>23</v>
      </c>
      <c r="B986" s="575" t="s">
        <v>1230</v>
      </c>
      <c r="C986" s="575" t="s">
        <v>447</v>
      </c>
      <c r="D986" s="575" t="s">
        <v>517</v>
      </c>
      <c r="E986" s="576">
        <v>14.7</v>
      </c>
      <c r="F986" s="577">
        <v>44000</v>
      </c>
      <c r="G986" s="578">
        <v>646800</v>
      </c>
      <c r="H986" s="579" t="s">
        <v>514</v>
      </c>
      <c r="I986" s="575" t="s">
        <v>1231</v>
      </c>
      <c r="J986" s="579" t="s">
        <v>142</v>
      </c>
      <c r="K986" s="575" t="s">
        <v>2343</v>
      </c>
    </row>
    <row r="987" spans="1:11" x14ac:dyDescent="0.25">
      <c r="A987" s="574">
        <v>23</v>
      </c>
      <c r="B987" s="575" t="s">
        <v>1235</v>
      </c>
      <c r="C987" s="575" t="s">
        <v>2160</v>
      </c>
      <c r="D987" s="575" t="s">
        <v>1782</v>
      </c>
      <c r="E987" s="576">
        <v>8</v>
      </c>
      <c r="F987" s="577">
        <v>17500</v>
      </c>
      <c r="G987" s="578">
        <v>140000</v>
      </c>
      <c r="H987" s="579" t="s">
        <v>514</v>
      </c>
      <c r="I987" s="575" t="s">
        <v>1231</v>
      </c>
      <c r="J987" s="579" t="s">
        <v>142</v>
      </c>
      <c r="K987" s="575" t="s">
        <v>2343</v>
      </c>
    </row>
    <row r="988" spans="1:11" x14ac:dyDescent="0.25">
      <c r="A988" s="574">
        <v>23</v>
      </c>
      <c r="B988" s="575" t="s">
        <v>1230</v>
      </c>
      <c r="C988" s="575" t="s">
        <v>449</v>
      </c>
      <c r="D988" s="575" t="s">
        <v>374</v>
      </c>
      <c r="E988" s="576">
        <v>68.87</v>
      </c>
      <c r="F988" s="577">
        <v>21900</v>
      </c>
      <c r="G988" s="578">
        <v>1508253</v>
      </c>
      <c r="H988" s="579" t="s">
        <v>514</v>
      </c>
      <c r="I988" s="575" t="s">
        <v>1231</v>
      </c>
      <c r="J988" s="579" t="s">
        <v>142</v>
      </c>
      <c r="K988" s="575" t="s">
        <v>2343</v>
      </c>
    </row>
    <row r="989" spans="1:11" x14ac:dyDescent="0.25">
      <c r="A989" s="574">
        <v>24</v>
      </c>
      <c r="B989" s="575" t="s">
        <v>1230</v>
      </c>
      <c r="C989" s="575" t="s">
        <v>262</v>
      </c>
      <c r="D989" s="575" t="s">
        <v>520</v>
      </c>
      <c r="E989" s="576">
        <v>3.1320000000000001</v>
      </c>
      <c r="F989" s="577">
        <v>20969.990000000002</v>
      </c>
      <c r="G989" s="578">
        <v>65678</v>
      </c>
      <c r="H989" s="579" t="s">
        <v>519</v>
      </c>
      <c r="I989" s="575" t="s">
        <v>1231</v>
      </c>
      <c r="J989" s="579" t="s">
        <v>145</v>
      </c>
      <c r="K989" s="575" t="s">
        <v>1232</v>
      </c>
    </row>
    <row r="990" spans="1:11" x14ac:dyDescent="0.25">
      <c r="A990" s="574">
        <v>24</v>
      </c>
      <c r="B990" s="575" t="s">
        <v>1235</v>
      </c>
      <c r="C990" s="575" t="s">
        <v>1297</v>
      </c>
      <c r="D990" s="575" t="s">
        <v>2367</v>
      </c>
      <c r="E990" s="576">
        <v>1</v>
      </c>
      <c r="F990" s="577">
        <v>3100</v>
      </c>
      <c r="G990" s="578">
        <v>3100</v>
      </c>
      <c r="H990" s="579" t="s">
        <v>519</v>
      </c>
      <c r="I990" s="575" t="s">
        <v>1231</v>
      </c>
      <c r="J990" s="579" t="s">
        <v>145</v>
      </c>
      <c r="K990" s="575" t="s">
        <v>1232</v>
      </c>
    </row>
    <row r="991" spans="1:11" x14ac:dyDescent="0.25">
      <c r="A991" s="574">
        <v>24</v>
      </c>
      <c r="B991" s="575" t="s">
        <v>1235</v>
      </c>
      <c r="C991" s="575" t="s">
        <v>1297</v>
      </c>
      <c r="D991" s="575" t="s">
        <v>2367</v>
      </c>
      <c r="E991" s="576">
        <v>1</v>
      </c>
      <c r="F991" s="577">
        <v>3100</v>
      </c>
      <c r="G991" s="578">
        <v>3100</v>
      </c>
      <c r="H991" s="579" t="s">
        <v>519</v>
      </c>
      <c r="I991" s="575" t="s">
        <v>1231</v>
      </c>
      <c r="J991" s="579" t="s">
        <v>145</v>
      </c>
      <c r="K991" s="575" t="s">
        <v>1232</v>
      </c>
    </row>
    <row r="992" spans="1:11" x14ac:dyDescent="0.25">
      <c r="A992" s="574">
        <v>24</v>
      </c>
      <c r="B992" s="575" t="s">
        <v>1235</v>
      </c>
      <c r="C992" s="575" t="s">
        <v>1297</v>
      </c>
      <c r="D992" s="575" t="s">
        <v>2367</v>
      </c>
      <c r="E992" s="576">
        <v>1</v>
      </c>
      <c r="F992" s="577">
        <v>3100</v>
      </c>
      <c r="G992" s="578">
        <v>3100</v>
      </c>
      <c r="H992" s="579" t="s">
        <v>519</v>
      </c>
      <c r="I992" s="575" t="s">
        <v>1231</v>
      </c>
      <c r="J992" s="579" t="s">
        <v>145</v>
      </c>
      <c r="K992" s="575" t="s">
        <v>1232</v>
      </c>
    </row>
    <row r="993" spans="1:11" x14ac:dyDescent="0.25">
      <c r="A993" s="574">
        <v>24</v>
      </c>
      <c r="B993" s="575" t="s">
        <v>1235</v>
      </c>
      <c r="C993" s="575" t="s">
        <v>1297</v>
      </c>
      <c r="D993" s="575" t="s">
        <v>2367</v>
      </c>
      <c r="E993" s="576">
        <v>1</v>
      </c>
      <c r="F993" s="577">
        <v>3100</v>
      </c>
      <c r="G993" s="578">
        <v>3100</v>
      </c>
      <c r="H993" s="579" t="s">
        <v>519</v>
      </c>
      <c r="I993" s="575" t="s">
        <v>1231</v>
      </c>
      <c r="J993" s="579" t="s">
        <v>145</v>
      </c>
      <c r="K993" s="575" t="s">
        <v>1232</v>
      </c>
    </row>
    <row r="994" spans="1:11" x14ac:dyDescent="0.25">
      <c r="A994" s="574">
        <v>24</v>
      </c>
      <c r="B994" s="575" t="s">
        <v>1235</v>
      </c>
      <c r="C994" s="575" t="s">
        <v>1297</v>
      </c>
      <c r="D994" s="575" t="s">
        <v>2367</v>
      </c>
      <c r="E994" s="576">
        <v>1</v>
      </c>
      <c r="F994" s="577">
        <v>3100</v>
      </c>
      <c r="G994" s="578">
        <v>3100</v>
      </c>
      <c r="H994" s="579" t="s">
        <v>519</v>
      </c>
      <c r="I994" s="575" t="s">
        <v>1231</v>
      </c>
      <c r="J994" s="579" t="s">
        <v>145</v>
      </c>
      <c r="K994" s="575" t="s">
        <v>1232</v>
      </c>
    </row>
    <row r="995" spans="1:11" x14ac:dyDescent="0.25">
      <c r="A995" s="574">
        <v>24</v>
      </c>
      <c r="B995" s="575" t="s">
        <v>1235</v>
      </c>
      <c r="C995" s="575" t="s">
        <v>1548</v>
      </c>
      <c r="D995" s="575" t="s">
        <v>2368</v>
      </c>
      <c r="E995" s="576">
        <v>3.36</v>
      </c>
      <c r="F995" s="577">
        <v>3900</v>
      </c>
      <c r="G995" s="578">
        <v>13104</v>
      </c>
      <c r="H995" s="579" t="s">
        <v>519</v>
      </c>
      <c r="I995" s="575" t="s">
        <v>1231</v>
      </c>
      <c r="J995" s="579" t="s">
        <v>145</v>
      </c>
      <c r="K995" s="575" t="s">
        <v>1232</v>
      </c>
    </row>
    <row r="996" spans="1:11" x14ac:dyDescent="0.25">
      <c r="A996" s="574">
        <v>24</v>
      </c>
      <c r="B996" s="575" t="s">
        <v>1239</v>
      </c>
      <c r="C996" s="575" t="s">
        <v>2369</v>
      </c>
      <c r="D996" s="575" t="s">
        <v>2370</v>
      </c>
      <c r="E996" s="576">
        <v>1</v>
      </c>
      <c r="F996" s="577">
        <v>17450</v>
      </c>
      <c r="G996" s="578">
        <v>17450</v>
      </c>
      <c r="H996" s="579" t="s">
        <v>519</v>
      </c>
      <c r="I996" s="575" t="s">
        <v>1231</v>
      </c>
      <c r="J996" s="579" t="s">
        <v>145</v>
      </c>
      <c r="K996" s="575" t="s">
        <v>1232</v>
      </c>
    </row>
    <row r="997" spans="1:11" x14ac:dyDescent="0.25">
      <c r="A997" s="574">
        <v>24</v>
      </c>
      <c r="B997" s="575" t="s">
        <v>1658</v>
      </c>
      <c r="C997" s="575" t="s">
        <v>2371</v>
      </c>
      <c r="D997" s="575" t="s">
        <v>2372</v>
      </c>
      <c r="E997" s="576">
        <v>1</v>
      </c>
      <c r="F997" s="577">
        <v>51700</v>
      </c>
      <c r="G997" s="578">
        <v>51700</v>
      </c>
      <c r="H997" s="579" t="s">
        <v>2373</v>
      </c>
      <c r="I997" s="575" t="s">
        <v>1231</v>
      </c>
      <c r="J997" s="579" t="s">
        <v>145</v>
      </c>
      <c r="K997" s="575" t="s">
        <v>1232</v>
      </c>
    </row>
    <row r="998" spans="1:11" x14ac:dyDescent="0.25">
      <c r="A998" s="574">
        <v>24</v>
      </c>
      <c r="B998" s="575" t="s">
        <v>91</v>
      </c>
      <c r="C998" s="575" t="s">
        <v>760</v>
      </c>
      <c r="D998" s="575" t="s">
        <v>782</v>
      </c>
      <c r="E998" s="576">
        <v>2</v>
      </c>
      <c r="F998" s="577">
        <v>30000</v>
      </c>
      <c r="G998" s="578">
        <v>60000</v>
      </c>
      <c r="H998" s="579" t="s">
        <v>793</v>
      </c>
      <c r="I998" s="575" t="s">
        <v>1231</v>
      </c>
      <c r="J998" s="579" t="s">
        <v>145</v>
      </c>
      <c r="K998" s="575" t="s">
        <v>1824</v>
      </c>
    </row>
    <row r="999" spans="1:11" x14ac:dyDescent="0.25">
      <c r="A999" s="574">
        <v>24</v>
      </c>
      <c r="B999" s="575" t="s">
        <v>91</v>
      </c>
      <c r="C999" s="575" t="s">
        <v>794</v>
      </c>
      <c r="D999" s="575" t="s">
        <v>742</v>
      </c>
      <c r="E999" s="576">
        <v>1</v>
      </c>
      <c r="F999" s="577">
        <v>62500</v>
      </c>
      <c r="G999" s="578">
        <v>62500</v>
      </c>
      <c r="H999" s="579" t="s">
        <v>793</v>
      </c>
      <c r="I999" s="575" t="s">
        <v>1231</v>
      </c>
      <c r="J999" s="579" t="s">
        <v>145</v>
      </c>
      <c r="K999" s="575" t="s">
        <v>1824</v>
      </c>
    </row>
    <row r="1000" spans="1:11" x14ac:dyDescent="0.25">
      <c r="A1000" s="574">
        <v>24</v>
      </c>
      <c r="B1000" s="575" t="s">
        <v>91</v>
      </c>
      <c r="C1000" s="575" t="s">
        <v>783</v>
      </c>
      <c r="D1000" s="575" t="s">
        <v>739</v>
      </c>
      <c r="E1000" s="576">
        <v>1</v>
      </c>
      <c r="F1000" s="577">
        <v>32000</v>
      </c>
      <c r="G1000" s="578">
        <v>32000</v>
      </c>
      <c r="H1000" s="579" t="s">
        <v>793</v>
      </c>
      <c r="I1000" s="575" t="s">
        <v>1231</v>
      </c>
      <c r="J1000" s="579" t="s">
        <v>145</v>
      </c>
      <c r="K1000" s="575" t="s">
        <v>1824</v>
      </c>
    </row>
    <row r="1001" spans="1:11" x14ac:dyDescent="0.25">
      <c r="A1001" s="574">
        <v>24</v>
      </c>
      <c r="B1001" s="575" t="s">
        <v>91</v>
      </c>
      <c r="C1001" s="575" t="s">
        <v>784</v>
      </c>
      <c r="D1001" s="575" t="s">
        <v>785</v>
      </c>
      <c r="E1001" s="576">
        <v>3</v>
      </c>
      <c r="F1001" s="577">
        <v>32000</v>
      </c>
      <c r="G1001" s="578">
        <v>96000</v>
      </c>
      <c r="H1001" s="579" t="s">
        <v>793</v>
      </c>
      <c r="I1001" s="575" t="s">
        <v>1231</v>
      </c>
      <c r="J1001" s="579" t="s">
        <v>145</v>
      </c>
      <c r="K1001" s="575" t="s">
        <v>1824</v>
      </c>
    </row>
    <row r="1002" spans="1:11" x14ac:dyDescent="0.25">
      <c r="A1002" s="579">
        <v>24</v>
      </c>
      <c r="B1002" s="575" t="s">
        <v>91</v>
      </c>
      <c r="C1002" s="575" t="s">
        <v>758</v>
      </c>
      <c r="D1002" s="575" t="s">
        <v>795</v>
      </c>
      <c r="E1002" s="576">
        <v>1</v>
      </c>
      <c r="F1002" s="577">
        <v>65000</v>
      </c>
      <c r="G1002" s="578">
        <v>65000</v>
      </c>
      <c r="H1002" s="579" t="s">
        <v>793</v>
      </c>
      <c r="I1002" s="575" t="s">
        <v>1231</v>
      </c>
      <c r="J1002" s="579" t="s">
        <v>145</v>
      </c>
      <c r="K1002" s="575" t="s">
        <v>1824</v>
      </c>
    </row>
    <row r="1003" spans="1:11" x14ac:dyDescent="0.25">
      <c r="A1003" s="579">
        <v>24</v>
      </c>
      <c r="B1003" s="575" t="s">
        <v>1230</v>
      </c>
      <c r="C1003" s="575" t="s">
        <v>454</v>
      </c>
      <c r="D1003" s="575" t="s">
        <v>507</v>
      </c>
      <c r="E1003" s="576">
        <v>15.3</v>
      </c>
      <c r="F1003" s="577">
        <v>6700</v>
      </c>
      <c r="G1003" s="578">
        <v>102510</v>
      </c>
      <c r="H1003" s="579" t="s">
        <v>521</v>
      </c>
      <c r="I1003" s="575" t="s">
        <v>1231</v>
      </c>
      <c r="J1003" s="579" t="s">
        <v>145</v>
      </c>
      <c r="K1003" s="575" t="s">
        <v>2342</v>
      </c>
    </row>
    <row r="1004" spans="1:11" x14ac:dyDescent="0.25">
      <c r="A1004" s="579">
        <v>24</v>
      </c>
      <c r="B1004" s="575" t="s">
        <v>1255</v>
      </c>
      <c r="C1004" s="575" t="s">
        <v>722</v>
      </c>
      <c r="D1004" s="575" t="s">
        <v>2156</v>
      </c>
      <c r="E1004" s="576">
        <v>2</v>
      </c>
      <c r="F1004" s="577">
        <v>9500</v>
      </c>
      <c r="G1004" s="578">
        <v>19000</v>
      </c>
      <c r="H1004" s="579" t="s">
        <v>2374</v>
      </c>
      <c r="I1004" s="575" t="s">
        <v>1231</v>
      </c>
      <c r="J1004" s="579" t="s">
        <v>145</v>
      </c>
      <c r="K1004" s="575" t="s">
        <v>1252</v>
      </c>
    </row>
    <row r="1005" spans="1:11" x14ac:dyDescent="0.25">
      <c r="A1005" s="579">
        <v>24</v>
      </c>
      <c r="B1005" s="575" t="s">
        <v>1255</v>
      </c>
      <c r="C1005" s="575" t="s">
        <v>1253</v>
      </c>
      <c r="D1005" s="575" t="s">
        <v>2159</v>
      </c>
      <c r="E1005" s="576">
        <v>2</v>
      </c>
      <c r="F1005" s="577">
        <v>5000</v>
      </c>
      <c r="G1005" s="578">
        <v>10000</v>
      </c>
      <c r="H1005" s="579" t="s">
        <v>2374</v>
      </c>
      <c r="I1005" s="575" t="s">
        <v>1231</v>
      </c>
      <c r="J1005" s="579" t="s">
        <v>145</v>
      </c>
      <c r="K1005" s="575" t="s">
        <v>1252</v>
      </c>
    </row>
    <row r="1006" spans="1:11" x14ac:dyDescent="0.25">
      <c r="A1006" s="579">
        <v>24</v>
      </c>
      <c r="B1006" s="575" t="s">
        <v>91</v>
      </c>
      <c r="C1006" s="575" t="s">
        <v>760</v>
      </c>
      <c r="D1006" s="575" t="s">
        <v>782</v>
      </c>
      <c r="E1006" s="576">
        <v>1</v>
      </c>
      <c r="F1006" s="577">
        <v>30000</v>
      </c>
      <c r="G1006" s="578">
        <v>-30000</v>
      </c>
      <c r="H1006" s="579" t="s">
        <v>796</v>
      </c>
      <c r="I1006" s="575" t="s">
        <v>1231</v>
      </c>
      <c r="J1006" s="579" t="s">
        <v>145</v>
      </c>
      <c r="K1006" s="575" t="s">
        <v>1824</v>
      </c>
    </row>
    <row r="1007" spans="1:11" x14ac:dyDescent="0.25">
      <c r="A1007" s="579">
        <v>25</v>
      </c>
      <c r="B1007" s="575" t="s">
        <v>91</v>
      </c>
      <c r="C1007" s="575" t="s">
        <v>799</v>
      </c>
      <c r="D1007" s="575" t="s">
        <v>800</v>
      </c>
      <c r="E1007" s="576">
        <v>1</v>
      </c>
      <c r="F1007" s="577">
        <v>19900</v>
      </c>
      <c r="G1007" s="578">
        <v>19900</v>
      </c>
      <c r="H1007" s="579" t="s">
        <v>798</v>
      </c>
      <c r="I1007" s="575" t="s">
        <v>1231</v>
      </c>
      <c r="J1007" s="579" t="s">
        <v>148</v>
      </c>
      <c r="K1007" s="575" t="s">
        <v>1232</v>
      </c>
    </row>
    <row r="1008" spans="1:11" x14ac:dyDescent="0.25">
      <c r="A1008" s="579">
        <v>25</v>
      </c>
      <c r="B1008" s="575" t="s">
        <v>91</v>
      </c>
      <c r="C1008" s="575" t="s">
        <v>799</v>
      </c>
      <c r="D1008" s="575" t="s">
        <v>801</v>
      </c>
      <c r="E1008" s="576">
        <v>1</v>
      </c>
      <c r="F1008" s="577">
        <v>19900</v>
      </c>
      <c r="G1008" s="578">
        <v>19900</v>
      </c>
      <c r="H1008" s="579" t="s">
        <v>798</v>
      </c>
      <c r="I1008" s="575" t="s">
        <v>1231</v>
      </c>
      <c r="J1008" s="579" t="s">
        <v>148</v>
      </c>
      <c r="K1008" s="575" t="s">
        <v>1232</v>
      </c>
    </row>
    <row r="1009" spans="1:11" x14ac:dyDescent="0.25">
      <c r="A1009" s="579">
        <v>25</v>
      </c>
      <c r="B1009" s="575" t="s">
        <v>91</v>
      </c>
      <c r="C1009" s="575" t="s">
        <v>799</v>
      </c>
      <c r="D1009" s="575" t="s">
        <v>802</v>
      </c>
      <c r="E1009" s="576">
        <v>1</v>
      </c>
      <c r="F1009" s="577">
        <v>19900</v>
      </c>
      <c r="G1009" s="578">
        <v>19900</v>
      </c>
      <c r="H1009" s="579" t="s">
        <v>798</v>
      </c>
      <c r="I1009" s="575" t="s">
        <v>1231</v>
      </c>
      <c r="J1009" s="579" t="s">
        <v>148</v>
      </c>
      <c r="K1009" s="575" t="s">
        <v>1232</v>
      </c>
    </row>
    <row r="1010" spans="1:11" x14ac:dyDescent="0.25">
      <c r="A1010" s="579">
        <v>25</v>
      </c>
      <c r="B1010" s="575" t="s">
        <v>91</v>
      </c>
      <c r="C1010" s="575" t="s">
        <v>799</v>
      </c>
      <c r="D1010" s="575" t="s">
        <v>803</v>
      </c>
      <c r="E1010" s="576">
        <v>1</v>
      </c>
      <c r="F1010" s="577">
        <v>19900</v>
      </c>
      <c r="G1010" s="578">
        <v>19900</v>
      </c>
      <c r="H1010" s="579" t="s">
        <v>798</v>
      </c>
      <c r="I1010" s="575" t="s">
        <v>1231</v>
      </c>
      <c r="J1010" s="579" t="s">
        <v>148</v>
      </c>
      <c r="K1010" s="575" t="s">
        <v>1232</v>
      </c>
    </row>
    <row r="1011" spans="1:11" x14ac:dyDescent="0.25">
      <c r="A1011" s="579">
        <v>25</v>
      </c>
      <c r="B1011" s="575" t="s">
        <v>91</v>
      </c>
      <c r="C1011" s="575" t="s">
        <v>799</v>
      </c>
      <c r="D1011" s="575" t="s">
        <v>804</v>
      </c>
      <c r="E1011" s="576">
        <v>1</v>
      </c>
      <c r="F1011" s="577">
        <v>19900</v>
      </c>
      <c r="G1011" s="578">
        <v>19900</v>
      </c>
      <c r="H1011" s="579" t="s">
        <v>798</v>
      </c>
      <c r="I1011" s="575" t="s">
        <v>1231</v>
      </c>
      <c r="J1011" s="579" t="s">
        <v>148</v>
      </c>
      <c r="K1011" s="575" t="s">
        <v>1232</v>
      </c>
    </row>
    <row r="1012" spans="1:11" x14ac:dyDescent="0.25">
      <c r="A1012" s="579">
        <v>25</v>
      </c>
      <c r="B1012" s="575" t="s">
        <v>91</v>
      </c>
      <c r="C1012" s="575" t="s">
        <v>805</v>
      </c>
      <c r="D1012" s="575" t="s">
        <v>806</v>
      </c>
      <c r="E1012" s="576">
        <v>1</v>
      </c>
      <c r="F1012" s="577">
        <v>19900</v>
      </c>
      <c r="G1012" s="578">
        <v>19900</v>
      </c>
      <c r="H1012" s="579" t="s">
        <v>798</v>
      </c>
      <c r="I1012" s="575" t="s">
        <v>1231</v>
      </c>
      <c r="J1012" s="579" t="s">
        <v>148</v>
      </c>
      <c r="K1012" s="575" t="s">
        <v>1232</v>
      </c>
    </row>
    <row r="1013" spans="1:11" x14ac:dyDescent="0.25">
      <c r="A1013" s="579">
        <v>25</v>
      </c>
      <c r="B1013" s="575" t="s">
        <v>91</v>
      </c>
      <c r="C1013" s="575" t="s">
        <v>805</v>
      </c>
      <c r="D1013" s="575" t="s">
        <v>807</v>
      </c>
      <c r="E1013" s="576">
        <v>1</v>
      </c>
      <c r="F1013" s="577">
        <v>19900</v>
      </c>
      <c r="G1013" s="578">
        <v>19900</v>
      </c>
      <c r="H1013" s="579" t="s">
        <v>798</v>
      </c>
      <c r="I1013" s="575" t="s">
        <v>1231</v>
      </c>
      <c r="J1013" s="579" t="s">
        <v>148</v>
      </c>
      <c r="K1013" s="575" t="s">
        <v>1232</v>
      </c>
    </row>
    <row r="1014" spans="1:11" x14ac:dyDescent="0.25">
      <c r="A1014" s="579">
        <v>25</v>
      </c>
      <c r="B1014" s="575" t="s">
        <v>91</v>
      </c>
      <c r="C1014" s="575" t="s">
        <v>805</v>
      </c>
      <c r="D1014" s="575" t="s">
        <v>808</v>
      </c>
      <c r="E1014" s="576">
        <v>1</v>
      </c>
      <c r="F1014" s="577">
        <v>19900</v>
      </c>
      <c r="G1014" s="578">
        <v>19900</v>
      </c>
      <c r="H1014" s="579" t="s">
        <v>798</v>
      </c>
      <c r="I1014" s="575" t="s">
        <v>1231</v>
      </c>
      <c r="J1014" s="579" t="s">
        <v>148</v>
      </c>
      <c r="K1014" s="575" t="s">
        <v>1232</v>
      </c>
    </row>
    <row r="1015" spans="1:11" x14ac:dyDescent="0.25">
      <c r="A1015" s="579">
        <v>25</v>
      </c>
      <c r="B1015" s="575" t="s">
        <v>91</v>
      </c>
      <c r="C1015" s="575" t="s">
        <v>805</v>
      </c>
      <c r="D1015" s="575" t="s">
        <v>809</v>
      </c>
      <c r="E1015" s="576">
        <v>1</v>
      </c>
      <c r="F1015" s="577">
        <v>19900</v>
      </c>
      <c r="G1015" s="578">
        <v>19900</v>
      </c>
      <c r="H1015" s="579" t="s">
        <v>798</v>
      </c>
      <c r="I1015" s="575" t="s">
        <v>1231</v>
      </c>
      <c r="J1015" s="579" t="s">
        <v>148</v>
      </c>
      <c r="K1015" s="575" t="s">
        <v>1232</v>
      </c>
    </row>
    <row r="1016" spans="1:11" x14ac:dyDescent="0.25">
      <c r="A1016" s="579">
        <v>25</v>
      </c>
      <c r="B1016" s="575" t="s">
        <v>91</v>
      </c>
      <c r="C1016" s="575" t="s">
        <v>805</v>
      </c>
      <c r="D1016" s="575" t="s">
        <v>810</v>
      </c>
      <c r="E1016" s="576">
        <v>1</v>
      </c>
      <c r="F1016" s="577">
        <v>19900</v>
      </c>
      <c r="G1016" s="578">
        <v>19900</v>
      </c>
      <c r="H1016" s="579" t="s">
        <v>798</v>
      </c>
      <c r="I1016" s="575" t="s">
        <v>1231</v>
      </c>
      <c r="J1016" s="579" t="s">
        <v>148</v>
      </c>
      <c r="K1016" s="575" t="s">
        <v>1232</v>
      </c>
    </row>
    <row r="1017" spans="1:11" x14ac:dyDescent="0.25">
      <c r="A1017" s="579">
        <v>25</v>
      </c>
      <c r="B1017" s="575" t="s">
        <v>1230</v>
      </c>
      <c r="C1017" s="575" t="s">
        <v>404</v>
      </c>
      <c r="D1017" s="575" t="s">
        <v>461</v>
      </c>
      <c r="E1017" s="576">
        <v>22.4</v>
      </c>
      <c r="F1017" s="577">
        <v>18500</v>
      </c>
      <c r="G1017" s="578">
        <v>414400</v>
      </c>
      <c r="H1017" s="579" t="s">
        <v>523</v>
      </c>
      <c r="I1017" s="575" t="s">
        <v>1231</v>
      </c>
      <c r="J1017" s="579" t="s">
        <v>148</v>
      </c>
      <c r="K1017" s="575" t="s">
        <v>2106</v>
      </c>
    </row>
    <row r="1018" spans="1:11" x14ac:dyDescent="0.25">
      <c r="A1018" s="579">
        <v>25</v>
      </c>
      <c r="B1018" s="575" t="s">
        <v>1230</v>
      </c>
      <c r="C1018" s="575" t="s">
        <v>404</v>
      </c>
      <c r="D1018" s="575" t="s">
        <v>461</v>
      </c>
      <c r="E1018" s="576">
        <v>10.6</v>
      </c>
      <c r="F1018" s="577">
        <v>18500</v>
      </c>
      <c r="G1018" s="578">
        <v>196100</v>
      </c>
      <c r="H1018" s="579" t="s">
        <v>524</v>
      </c>
      <c r="I1018" s="575" t="s">
        <v>1231</v>
      </c>
      <c r="J1018" s="579" t="s">
        <v>148</v>
      </c>
      <c r="K1018" s="575" t="s">
        <v>2106</v>
      </c>
    </row>
    <row r="1019" spans="1:11" x14ac:dyDescent="0.25">
      <c r="A1019" s="579">
        <v>25</v>
      </c>
      <c r="B1019" s="575" t="s">
        <v>1230</v>
      </c>
      <c r="C1019" s="575" t="s">
        <v>526</v>
      </c>
      <c r="D1019" s="575" t="s">
        <v>527</v>
      </c>
      <c r="E1019" s="576">
        <v>10.5</v>
      </c>
      <c r="F1019" s="577">
        <v>6000</v>
      </c>
      <c r="G1019" s="578">
        <v>63000</v>
      </c>
      <c r="H1019" s="579" t="s">
        <v>525</v>
      </c>
      <c r="I1019" s="575" t="s">
        <v>1231</v>
      </c>
      <c r="J1019" s="579" t="s">
        <v>148</v>
      </c>
      <c r="K1019" s="575" t="s">
        <v>1344</v>
      </c>
    </row>
    <row r="1020" spans="1:11" x14ac:dyDescent="0.25">
      <c r="A1020" s="579">
        <v>25</v>
      </c>
      <c r="B1020" s="575" t="s">
        <v>1230</v>
      </c>
      <c r="C1020" s="575" t="s">
        <v>417</v>
      </c>
      <c r="D1020" s="575" t="s">
        <v>465</v>
      </c>
      <c r="E1020" s="576">
        <v>17.600000000000001</v>
      </c>
      <c r="F1020" s="577">
        <v>19000</v>
      </c>
      <c r="G1020" s="578">
        <v>334400</v>
      </c>
      <c r="H1020" s="579" t="s">
        <v>525</v>
      </c>
      <c r="I1020" s="575" t="s">
        <v>1231</v>
      </c>
      <c r="J1020" s="579" t="s">
        <v>148</v>
      </c>
      <c r="K1020" s="575" t="s">
        <v>1344</v>
      </c>
    </row>
    <row r="1021" spans="1:11" x14ac:dyDescent="0.25">
      <c r="A1021" s="579">
        <v>25</v>
      </c>
      <c r="B1021" s="575" t="s">
        <v>1230</v>
      </c>
      <c r="C1021" s="575" t="s">
        <v>500</v>
      </c>
      <c r="D1021" s="575" t="s">
        <v>529</v>
      </c>
      <c r="E1021" s="576">
        <v>7.15</v>
      </c>
      <c r="F1021" s="577">
        <v>53000</v>
      </c>
      <c r="G1021" s="578">
        <v>378950</v>
      </c>
      <c r="H1021" s="579" t="s">
        <v>528</v>
      </c>
      <c r="I1021" s="575" t="s">
        <v>1231</v>
      </c>
      <c r="J1021" s="579" t="s">
        <v>148</v>
      </c>
      <c r="K1021" s="575" t="s">
        <v>1344</v>
      </c>
    </row>
    <row r="1022" spans="1:11" x14ac:dyDescent="0.25">
      <c r="A1022" s="579">
        <v>25</v>
      </c>
      <c r="B1022" s="575" t="s">
        <v>1230</v>
      </c>
      <c r="C1022" s="575" t="s">
        <v>443</v>
      </c>
      <c r="D1022" s="575" t="s">
        <v>530</v>
      </c>
      <c r="E1022" s="576">
        <v>3.6</v>
      </c>
      <c r="F1022" s="577">
        <v>25000</v>
      </c>
      <c r="G1022" s="578">
        <v>90000</v>
      </c>
      <c r="H1022" s="579" t="s">
        <v>528</v>
      </c>
      <c r="I1022" s="575" t="s">
        <v>1231</v>
      </c>
      <c r="J1022" s="579" t="s">
        <v>148</v>
      </c>
      <c r="K1022" s="575" t="s">
        <v>1344</v>
      </c>
    </row>
    <row r="1023" spans="1:11" x14ac:dyDescent="0.25">
      <c r="A1023" s="579">
        <v>25</v>
      </c>
      <c r="B1023" s="575" t="s">
        <v>1230</v>
      </c>
      <c r="C1023" s="575" t="s">
        <v>382</v>
      </c>
      <c r="D1023" s="575" t="s">
        <v>531</v>
      </c>
      <c r="E1023" s="576">
        <v>11.6</v>
      </c>
      <c r="F1023" s="577">
        <v>19000</v>
      </c>
      <c r="G1023" s="578">
        <v>220400</v>
      </c>
      <c r="H1023" s="579" t="s">
        <v>528</v>
      </c>
      <c r="I1023" s="575" t="s">
        <v>1231</v>
      </c>
      <c r="J1023" s="579" t="s">
        <v>148</v>
      </c>
      <c r="K1023" s="575" t="s">
        <v>1344</v>
      </c>
    </row>
    <row r="1024" spans="1:11" x14ac:dyDescent="0.25">
      <c r="A1024" s="579">
        <v>25</v>
      </c>
      <c r="B1024" s="575" t="s">
        <v>1230</v>
      </c>
      <c r="C1024" s="575" t="s">
        <v>515</v>
      </c>
      <c r="D1024" s="575" t="s">
        <v>471</v>
      </c>
      <c r="E1024" s="576">
        <v>20</v>
      </c>
      <c r="F1024" s="577">
        <v>18200</v>
      </c>
      <c r="G1024" s="578">
        <v>364000</v>
      </c>
      <c r="H1024" s="579" t="s">
        <v>532</v>
      </c>
      <c r="I1024" s="575" t="s">
        <v>1231</v>
      </c>
      <c r="J1024" s="579" t="s">
        <v>148</v>
      </c>
      <c r="K1024" s="575" t="s">
        <v>2325</v>
      </c>
    </row>
    <row r="1025" spans="1:11" x14ac:dyDescent="0.25">
      <c r="A1025" s="579">
        <v>25</v>
      </c>
      <c r="B1025" s="575" t="s">
        <v>1255</v>
      </c>
      <c r="C1025" s="575" t="s">
        <v>2375</v>
      </c>
      <c r="D1025" s="575" t="s">
        <v>2159</v>
      </c>
      <c r="E1025" s="576">
        <v>3</v>
      </c>
      <c r="F1025" s="577">
        <v>5000</v>
      </c>
      <c r="G1025" s="578">
        <v>15000</v>
      </c>
      <c r="H1025" s="579" t="s">
        <v>2376</v>
      </c>
      <c r="I1025" s="575" t="s">
        <v>1231</v>
      </c>
      <c r="J1025" s="579" t="s">
        <v>148</v>
      </c>
      <c r="K1025" s="575" t="s">
        <v>1252</v>
      </c>
    </row>
    <row r="1026" spans="1:11" x14ac:dyDescent="0.25">
      <c r="A1026" s="579">
        <v>25</v>
      </c>
      <c r="B1026" s="575" t="s">
        <v>91</v>
      </c>
      <c r="C1026" s="575" t="s">
        <v>812</v>
      </c>
      <c r="D1026" s="575" t="s">
        <v>813</v>
      </c>
      <c r="E1026" s="576">
        <v>1</v>
      </c>
      <c r="F1026" s="577">
        <v>93000</v>
      </c>
      <c r="G1026" s="578">
        <v>93000</v>
      </c>
      <c r="H1026" s="579" t="s">
        <v>811</v>
      </c>
      <c r="I1026" s="575" t="s">
        <v>1231</v>
      </c>
      <c r="J1026" s="579" t="s">
        <v>148</v>
      </c>
      <c r="K1026" s="575" t="s">
        <v>2377</v>
      </c>
    </row>
    <row r="1027" spans="1:11" x14ac:dyDescent="0.25">
      <c r="A1027" s="579">
        <v>25</v>
      </c>
      <c r="B1027" s="575" t="s">
        <v>91</v>
      </c>
      <c r="C1027" s="575" t="s">
        <v>814</v>
      </c>
      <c r="D1027" s="575" t="s">
        <v>815</v>
      </c>
      <c r="E1027" s="576">
        <v>1</v>
      </c>
      <c r="F1027" s="577">
        <v>92200</v>
      </c>
      <c r="G1027" s="578">
        <v>92200</v>
      </c>
      <c r="H1027" s="579" t="s">
        <v>811</v>
      </c>
      <c r="I1027" s="575" t="s">
        <v>1231</v>
      </c>
      <c r="J1027" s="579" t="s">
        <v>148</v>
      </c>
      <c r="K1027" s="575" t="s">
        <v>2377</v>
      </c>
    </row>
    <row r="1028" spans="1:11" x14ac:dyDescent="0.25">
      <c r="A1028" s="579">
        <v>25</v>
      </c>
      <c r="B1028" s="575" t="s">
        <v>91</v>
      </c>
      <c r="C1028" s="575" t="s">
        <v>816</v>
      </c>
      <c r="D1028" s="575" t="s">
        <v>817</v>
      </c>
      <c r="E1028" s="576">
        <v>1</v>
      </c>
      <c r="F1028" s="577">
        <v>77500</v>
      </c>
      <c r="G1028" s="578">
        <v>77500</v>
      </c>
      <c r="H1028" s="579" t="s">
        <v>811</v>
      </c>
      <c r="I1028" s="575" t="s">
        <v>1231</v>
      </c>
      <c r="J1028" s="579" t="s">
        <v>148</v>
      </c>
      <c r="K1028" s="575" t="s">
        <v>2377</v>
      </c>
    </row>
    <row r="1029" spans="1:11" x14ac:dyDescent="0.25">
      <c r="A1029" s="579">
        <v>25</v>
      </c>
      <c r="B1029" s="575" t="s">
        <v>91</v>
      </c>
      <c r="C1029" s="575" t="s">
        <v>818</v>
      </c>
      <c r="D1029" s="575" t="s">
        <v>819</v>
      </c>
      <c r="E1029" s="576">
        <v>1</v>
      </c>
      <c r="F1029" s="577">
        <v>74500</v>
      </c>
      <c r="G1029" s="578">
        <v>74500</v>
      </c>
      <c r="H1029" s="579" t="s">
        <v>811</v>
      </c>
      <c r="I1029" s="575" t="s">
        <v>1231</v>
      </c>
      <c r="J1029" s="579" t="s">
        <v>148</v>
      </c>
      <c r="K1029" s="575" t="s">
        <v>2377</v>
      </c>
    </row>
    <row r="1030" spans="1:11" x14ac:dyDescent="0.25">
      <c r="A1030" s="579">
        <v>25</v>
      </c>
      <c r="B1030" s="575" t="s">
        <v>91</v>
      </c>
      <c r="C1030" s="575" t="s">
        <v>820</v>
      </c>
      <c r="D1030" s="575" t="s">
        <v>821</v>
      </c>
      <c r="E1030" s="576">
        <v>1</v>
      </c>
      <c r="F1030" s="577">
        <v>75500</v>
      </c>
      <c r="G1030" s="578">
        <v>75500</v>
      </c>
      <c r="H1030" s="579" t="s">
        <v>811</v>
      </c>
      <c r="I1030" s="575" t="s">
        <v>1231</v>
      </c>
      <c r="J1030" s="579" t="s">
        <v>148</v>
      </c>
      <c r="K1030" s="575" t="s">
        <v>2377</v>
      </c>
    </row>
    <row r="1031" spans="1:11" x14ac:dyDescent="0.25">
      <c r="A1031" s="579">
        <v>25</v>
      </c>
      <c r="B1031" s="575" t="s">
        <v>91</v>
      </c>
      <c r="C1031" s="575" t="s">
        <v>822</v>
      </c>
      <c r="D1031" s="575" t="s">
        <v>823</v>
      </c>
      <c r="E1031" s="576">
        <v>1</v>
      </c>
      <c r="F1031" s="577">
        <v>60900</v>
      </c>
      <c r="G1031" s="578">
        <v>60900</v>
      </c>
      <c r="H1031" s="579" t="s">
        <v>811</v>
      </c>
      <c r="I1031" s="575" t="s">
        <v>1231</v>
      </c>
      <c r="J1031" s="579" t="s">
        <v>148</v>
      </c>
      <c r="K1031" s="575" t="s">
        <v>2377</v>
      </c>
    </row>
    <row r="1032" spans="1:11" x14ac:dyDescent="0.25">
      <c r="A1032" s="579">
        <v>26</v>
      </c>
      <c r="B1032" s="575" t="s">
        <v>91</v>
      </c>
      <c r="C1032" s="575" t="s">
        <v>679</v>
      </c>
      <c r="D1032" s="575" t="s">
        <v>826</v>
      </c>
      <c r="E1032" s="576">
        <v>3</v>
      </c>
      <c r="F1032" s="577">
        <v>26000</v>
      </c>
      <c r="G1032" s="578">
        <v>78000</v>
      </c>
      <c r="H1032" s="579" t="s">
        <v>825</v>
      </c>
      <c r="I1032" s="575" t="s">
        <v>1231</v>
      </c>
      <c r="J1032" s="579" t="s">
        <v>151</v>
      </c>
      <c r="K1032" s="575" t="s">
        <v>2378</v>
      </c>
    </row>
    <row r="1033" spans="1:11" x14ac:dyDescent="0.25">
      <c r="A1033" s="579">
        <v>26</v>
      </c>
      <c r="B1033" s="575" t="s">
        <v>1230</v>
      </c>
      <c r="C1033" s="575" t="s">
        <v>480</v>
      </c>
      <c r="D1033" s="575" t="s">
        <v>481</v>
      </c>
      <c r="E1033" s="576">
        <v>7730</v>
      </c>
      <c r="F1033" s="577">
        <v>55</v>
      </c>
      <c r="G1033" s="578">
        <v>425150</v>
      </c>
      <c r="H1033" s="579" t="s">
        <v>534</v>
      </c>
      <c r="I1033" s="575" t="s">
        <v>1231</v>
      </c>
      <c r="J1033" s="579" t="s">
        <v>151</v>
      </c>
      <c r="K1033" s="575" t="s">
        <v>2379</v>
      </c>
    </row>
    <row r="1034" spans="1:11" x14ac:dyDescent="0.25">
      <c r="A1034" s="579">
        <v>26</v>
      </c>
      <c r="B1034" s="575" t="s">
        <v>1230</v>
      </c>
      <c r="C1034" s="575" t="s">
        <v>271</v>
      </c>
      <c r="D1034" s="575" t="s">
        <v>271</v>
      </c>
      <c r="E1034" s="576">
        <v>5000</v>
      </c>
      <c r="F1034" s="577">
        <v>24</v>
      </c>
      <c r="G1034" s="578">
        <v>120000</v>
      </c>
      <c r="H1034" s="579" t="s">
        <v>534</v>
      </c>
      <c r="I1034" s="575" t="s">
        <v>1231</v>
      </c>
      <c r="J1034" s="579" t="s">
        <v>151</v>
      </c>
      <c r="K1034" s="575" t="s">
        <v>2379</v>
      </c>
    </row>
    <row r="1035" spans="1:11" x14ac:dyDescent="0.25">
      <c r="A1035" s="579">
        <v>26</v>
      </c>
      <c r="B1035" s="575" t="s">
        <v>1230</v>
      </c>
      <c r="C1035" s="575" t="s">
        <v>482</v>
      </c>
      <c r="D1035" s="575" t="s">
        <v>483</v>
      </c>
      <c r="E1035" s="576">
        <v>4820</v>
      </c>
      <c r="F1035" s="577">
        <v>23</v>
      </c>
      <c r="G1035" s="578">
        <v>110860</v>
      </c>
      <c r="H1035" s="579" t="s">
        <v>534</v>
      </c>
      <c r="I1035" s="575" t="s">
        <v>1231</v>
      </c>
      <c r="J1035" s="579" t="s">
        <v>151</v>
      </c>
      <c r="K1035" s="575" t="s">
        <v>2379</v>
      </c>
    </row>
    <row r="1036" spans="1:11" x14ac:dyDescent="0.25">
      <c r="A1036" s="579">
        <v>26</v>
      </c>
      <c r="B1036" s="575" t="s">
        <v>1239</v>
      </c>
      <c r="C1036" s="575" t="s">
        <v>2380</v>
      </c>
      <c r="D1036" s="575" t="s">
        <v>2381</v>
      </c>
      <c r="E1036" s="576">
        <v>2</v>
      </c>
      <c r="F1036" s="577">
        <v>5727</v>
      </c>
      <c r="G1036" s="578">
        <v>11454.01</v>
      </c>
      <c r="H1036" s="579" t="s">
        <v>2382</v>
      </c>
      <c r="I1036" s="575" t="s">
        <v>1231</v>
      </c>
      <c r="J1036" s="579" t="s">
        <v>151</v>
      </c>
      <c r="K1036" s="575" t="s">
        <v>1640</v>
      </c>
    </row>
    <row r="1037" spans="1:11" x14ac:dyDescent="0.25">
      <c r="A1037" s="579">
        <v>26</v>
      </c>
      <c r="B1037" s="575" t="s">
        <v>91</v>
      </c>
      <c r="C1037" s="575" t="s">
        <v>828</v>
      </c>
      <c r="D1037" s="575" t="s">
        <v>829</v>
      </c>
      <c r="E1037" s="576">
        <v>24</v>
      </c>
      <c r="F1037" s="577">
        <v>1500</v>
      </c>
      <c r="G1037" s="578">
        <v>36000</v>
      </c>
      <c r="H1037" s="579" t="s">
        <v>827</v>
      </c>
      <c r="I1037" s="575" t="s">
        <v>1231</v>
      </c>
      <c r="J1037" s="579" t="s">
        <v>151</v>
      </c>
      <c r="K1037" s="575" t="s">
        <v>1640</v>
      </c>
    </row>
    <row r="1038" spans="1:11" x14ac:dyDescent="0.25">
      <c r="A1038" s="579">
        <v>26</v>
      </c>
      <c r="B1038" s="575" t="s">
        <v>91</v>
      </c>
      <c r="C1038" s="575" t="s">
        <v>830</v>
      </c>
      <c r="D1038" s="575" t="s">
        <v>831</v>
      </c>
      <c r="E1038" s="576">
        <v>60</v>
      </c>
      <c r="F1038" s="577">
        <v>1916.67</v>
      </c>
      <c r="G1038" s="578">
        <v>115000.2</v>
      </c>
      <c r="H1038" s="579" t="s">
        <v>827</v>
      </c>
      <c r="I1038" s="575" t="s">
        <v>1231</v>
      </c>
      <c r="J1038" s="579" t="s">
        <v>151</v>
      </c>
      <c r="K1038" s="575" t="s">
        <v>1640</v>
      </c>
    </row>
    <row r="1039" spans="1:11" x14ac:dyDescent="0.25">
      <c r="A1039" s="579">
        <v>26</v>
      </c>
      <c r="B1039" s="575" t="s">
        <v>91</v>
      </c>
      <c r="C1039" s="575" t="s">
        <v>832</v>
      </c>
      <c r="D1039" s="575" t="s">
        <v>833</v>
      </c>
      <c r="E1039" s="576">
        <v>6</v>
      </c>
      <c r="F1039" s="577">
        <v>3250</v>
      </c>
      <c r="G1039" s="578">
        <v>19499.98</v>
      </c>
      <c r="H1039" s="579" t="s">
        <v>827</v>
      </c>
      <c r="I1039" s="575" t="s">
        <v>1231</v>
      </c>
      <c r="J1039" s="579" t="s">
        <v>151</v>
      </c>
      <c r="K1039" s="575" t="s">
        <v>1640</v>
      </c>
    </row>
    <row r="1040" spans="1:11" x14ac:dyDescent="0.25">
      <c r="A1040" s="579">
        <v>26</v>
      </c>
      <c r="B1040" s="575" t="s">
        <v>91</v>
      </c>
      <c r="C1040" s="575" t="s">
        <v>834</v>
      </c>
      <c r="D1040" s="575" t="s">
        <v>835</v>
      </c>
      <c r="E1040" s="576">
        <v>6</v>
      </c>
      <c r="F1040" s="577">
        <v>3250</v>
      </c>
      <c r="G1040" s="578">
        <v>19499.98</v>
      </c>
      <c r="H1040" s="579" t="s">
        <v>827</v>
      </c>
      <c r="I1040" s="575" t="s">
        <v>1231</v>
      </c>
      <c r="J1040" s="579" t="s">
        <v>151</v>
      </c>
      <c r="K1040" s="575" t="s">
        <v>1640</v>
      </c>
    </row>
    <row r="1041" spans="1:11" x14ac:dyDescent="0.25">
      <c r="A1041" s="579">
        <v>26</v>
      </c>
      <c r="B1041" s="575" t="s">
        <v>91</v>
      </c>
      <c r="C1041" s="575" t="s">
        <v>836</v>
      </c>
      <c r="D1041" s="575" t="s">
        <v>837</v>
      </c>
      <c r="E1041" s="576">
        <v>15</v>
      </c>
      <c r="F1041" s="577">
        <v>1726.67</v>
      </c>
      <c r="G1041" s="578">
        <v>25899.99</v>
      </c>
      <c r="H1041" s="579" t="s">
        <v>827</v>
      </c>
      <c r="I1041" s="575" t="s">
        <v>1231</v>
      </c>
      <c r="J1041" s="579" t="s">
        <v>151</v>
      </c>
      <c r="K1041" s="575" t="s">
        <v>1640</v>
      </c>
    </row>
    <row r="1042" spans="1:11" x14ac:dyDescent="0.25">
      <c r="A1042" s="579">
        <v>26</v>
      </c>
      <c r="B1042" s="575" t="s">
        <v>91</v>
      </c>
      <c r="C1042" s="575" t="s">
        <v>838</v>
      </c>
      <c r="D1042" s="575" t="s">
        <v>839</v>
      </c>
      <c r="E1042" s="576">
        <v>15</v>
      </c>
      <c r="F1042" s="577">
        <v>1726.67</v>
      </c>
      <c r="G1042" s="578">
        <v>25899.99</v>
      </c>
      <c r="H1042" s="579" t="s">
        <v>827</v>
      </c>
      <c r="I1042" s="575" t="s">
        <v>1231</v>
      </c>
      <c r="J1042" s="579" t="s">
        <v>151</v>
      </c>
      <c r="K1042" s="575" t="s">
        <v>1640</v>
      </c>
    </row>
    <row r="1043" spans="1:11" x14ac:dyDescent="0.25">
      <c r="A1043" s="579">
        <v>26</v>
      </c>
      <c r="B1043" s="575" t="s">
        <v>91</v>
      </c>
      <c r="C1043" s="575" t="s">
        <v>840</v>
      </c>
      <c r="D1043" s="575" t="s">
        <v>841</v>
      </c>
      <c r="E1043" s="576">
        <v>12</v>
      </c>
      <c r="F1043" s="577">
        <v>2250</v>
      </c>
      <c r="G1043" s="578">
        <v>27000.05</v>
      </c>
      <c r="H1043" s="579" t="s">
        <v>827</v>
      </c>
      <c r="I1043" s="575" t="s">
        <v>1231</v>
      </c>
      <c r="J1043" s="579" t="s">
        <v>151</v>
      </c>
      <c r="K1043" s="575" t="s">
        <v>1640</v>
      </c>
    </row>
    <row r="1044" spans="1:11" x14ac:dyDescent="0.25">
      <c r="A1044" s="579">
        <v>26</v>
      </c>
      <c r="B1044" s="575" t="s">
        <v>91</v>
      </c>
      <c r="C1044" s="575" t="s">
        <v>842</v>
      </c>
      <c r="D1044" s="575" t="s">
        <v>843</v>
      </c>
      <c r="E1044" s="576">
        <v>12</v>
      </c>
      <c r="F1044" s="577">
        <v>2708.22</v>
      </c>
      <c r="G1044" s="578">
        <v>32498.69</v>
      </c>
      <c r="H1044" s="579" t="s">
        <v>827</v>
      </c>
      <c r="I1044" s="575" t="s">
        <v>1231</v>
      </c>
      <c r="J1044" s="579" t="s">
        <v>151</v>
      </c>
      <c r="K1044" s="575" t="s">
        <v>1640</v>
      </c>
    </row>
    <row r="1045" spans="1:11" x14ac:dyDescent="0.25">
      <c r="A1045" s="579">
        <v>26</v>
      </c>
      <c r="B1045" s="575" t="s">
        <v>91</v>
      </c>
      <c r="C1045" s="575" t="s">
        <v>844</v>
      </c>
      <c r="D1045" s="575" t="s">
        <v>845</v>
      </c>
      <c r="E1045" s="576">
        <v>2</v>
      </c>
      <c r="F1045" s="577">
        <v>3250</v>
      </c>
      <c r="G1045" s="578">
        <v>6499.99</v>
      </c>
      <c r="H1045" s="579" t="s">
        <v>827</v>
      </c>
      <c r="I1045" s="575" t="s">
        <v>1231</v>
      </c>
      <c r="J1045" s="579" t="s">
        <v>151</v>
      </c>
      <c r="K1045" s="575" t="s">
        <v>1640</v>
      </c>
    </row>
    <row r="1046" spans="1:11" x14ac:dyDescent="0.25">
      <c r="A1046" s="579">
        <v>26</v>
      </c>
      <c r="B1046" s="575" t="s">
        <v>91</v>
      </c>
      <c r="C1046" s="575" t="s">
        <v>828</v>
      </c>
      <c r="D1046" s="575" t="s">
        <v>846</v>
      </c>
      <c r="E1046" s="576">
        <v>48</v>
      </c>
      <c r="F1046" s="577">
        <v>1500</v>
      </c>
      <c r="G1046" s="578">
        <v>72000</v>
      </c>
      <c r="H1046" s="579" t="s">
        <v>827</v>
      </c>
      <c r="I1046" s="575" t="s">
        <v>1231</v>
      </c>
      <c r="J1046" s="579" t="s">
        <v>151</v>
      </c>
      <c r="K1046" s="575" t="s">
        <v>1640</v>
      </c>
    </row>
    <row r="1047" spans="1:11" x14ac:dyDescent="0.25">
      <c r="A1047" s="579">
        <v>26</v>
      </c>
      <c r="B1047" s="575" t="s">
        <v>1230</v>
      </c>
      <c r="C1047" s="575" t="s">
        <v>216</v>
      </c>
      <c r="D1047" s="575" t="s">
        <v>376</v>
      </c>
      <c r="E1047" s="576">
        <v>15.965</v>
      </c>
      <c r="F1047" s="577">
        <v>34500</v>
      </c>
      <c r="G1047" s="578">
        <v>550793</v>
      </c>
      <c r="H1047" s="579" t="s">
        <v>535</v>
      </c>
      <c r="I1047" s="575" t="s">
        <v>1231</v>
      </c>
      <c r="J1047" s="579" t="s">
        <v>151</v>
      </c>
      <c r="K1047" s="575" t="s">
        <v>2343</v>
      </c>
    </row>
    <row r="1048" spans="1:11" x14ac:dyDescent="0.25">
      <c r="A1048" s="579">
        <v>26</v>
      </c>
      <c r="B1048" s="575" t="s">
        <v>1230</v>
      </c>
      <c r="C1048" s="575" t="s">
        <v>536</v>
      </c>
      <c r="D1048" s="575" t="s">
        <v>475</v>
      </c>
      <c r="E1048" s="576">
        <v>20.614999999999998</v>
      </c>
      <c r="F1048" s="577">
        <v>22900</v>
      </c>
      <c r="G1048" s="578">
        <v>472084</v>
      </c>
      <c r="H1048" s="579" t="s">
        <v>535</v>
      </c>
      <c r="I1048" s="575" t="s">
        <v>1231</v>
      </c>
      <c r="J1048" s="579" t="s">
        <v>151</v>
      </c>
      <c r="K1048" s="575" t="s">
        <v>2343</v>
      </c>
    </row>
    <row r="1049" spans="1:11" x14ac:dyDescent="0.25">
      <c r="A1049" s="579">
        <v>26</v>
      </c>
      <c r="B1049" s="575" t="s">
        <v>1230</v>
      </c>
      <c r="C1049" s="575" t="s">
        <v>443</v>
      </c>
      <c r="D1049" s="575" t="s">
        <v>537</v>
      </c>
      <c r="E1049" s="576">
        <v>12.05</v>
      </c>
      <c r="F1049" s="577">
        <v>23900</v>
      </c>
      <c r="G1049" s="578">
        <v>287995</v>
      </c>
      <c r="H1049" s="579" t="s">
        <v>535</v>
      </c>
      <c r="I1049" s="575" t="s">
        <v>1231</v>
      </c>
      <c r="J1049" s="579" t="s">
        <v>151</v>
      </c>
      <c r="K1049" s="575" t="s">
        <v>2343</v>
      </c>
    </row>
    <row r="1050" spans="1:11" x14ac:dyDescent="0.25">
      <c r="A1050" s="579">
        <v>26</v>
      </c>
      <c r="B1050" s="575" t="s">
        <v>1235</v>
      </c>
      <c r="C1050" s="575" t="s">
        <v>1264</v>
      </c>
      <c r="D1050" s="575" t="s">
        <v>1782</v>
      </c>
      <c r="E1050" s="576">
        <v>8</v>
      </c>
      <c r="F1050" s="577">
        <v>17500</v>
      </c>
      <c r="G1050" s="578">
        <v>140000</v>
      </c>
      <c r="H1050" s="579" t="s">
        <v>535</v>
      </c>
      <c r="I1050" s="575" t="s">
        <v>1231</v>
      </c>
      <c r="J1050" s="579" t="s">
        <v>151</v>
      </c>
      <c r="K1050" s="575" t="s">
        <v>2343</v>
      </c>
    </row>
    <row r="1051" spans="1:11" x14ac:dyDescent="0.25">
      <c r="A1051" s="579">
        <v>26</v>
      </c>
      <c r="B1051" s="575" t="s">
        <v>1255</v>
      </c>
      <c r="C1051" s="575" t="s">
        <v>722</v>
      </c>
      <c r="D1051" s="575" t="s">
        <v>2156</v>
      </c>
      <c r="E1051" s="576">
        <v>2</v>
      </c>
      <c r="F1051" s="577">
        <v>9500</v>
      </c>
      <c r="G1051" s="578">
        <v>19000</v>
      </c>
      <c r="H1051" s="579" t="s">
        <v>2383</v>
      </c>
      <c r="I1051" s="575" t="s">
        <v>1231</v>
      </c>
      <c r="J1051" s="579" t="s">
        <v>151</v>
      </c>
      <c r="K1051" s="575" t="s">
        <v>1252</v>
      </c>
    </row>
    <row r="1052" spans="1:11" x14ac:dyDescent="0.25">
      <c r="A1052" s="579">
        <v>27</v>
      </c>
      <c r="B1052" s="575" t="s">
        <v>1230</v>
      </c>
      <c r="C1052" s="575" t="s">
        <v>200</v>
      </c>
      <c r="D1052" s="575" t="s">
        <v>461</v>
      </c>
      <c r="E1052" s="576">
        <v>17.3</v>
      </c>
      <c r="F1052" s="577">
        <v>18500</v>
      </c>
      <c r="G1052" s="578">
        <v>320050</v>
      </c>
      <c r="H1052" s="579" t="s">
        <v>539</v>
      </c>
      <c r="I1052" s="575" t="s">
        <v>1231</v>
      </c>
      <c r="J1052" s="579" t="s">
        <v>154</v>
      </c>
      <c r="K1052" s="575" t="s">
        <v>2106</v>
      </c>
    </row>
    <row r="1053" spans="1:11" x14ac:dyDescent="0.25">
      <c r="A1053" s="579">
        <v>28</v>
      </c>
      <c r="B1053" s="575" t="s">
        <v>1239</v>
      </c>
      <c r="C1053" s="575" t="s">
        <v>1362</v>
      </c>
      <c r="D1053" s="575" t="s">
        <v>2162</v>
      </c>
      <c r="E1053" s="576">
        <v>3</v>
      </c>
      <c r="F1053" s="577">
        <v>6200</v>
      </c>
      <c r="G1053" s="578">
        <v>18599.990000000002</v>
      </c>
      <c r="H1053" s="579" t="s">
        <v>2384</v>
      </c>
      <c r="I1053" s="575" t="s">
        <v>1231</v>
      </c>
      <c r="J1053" s="579" t="s">
        <v>157</v>
      </c>
      <c r="K1053" s="575" t="s">
        <v>2385</v>
      </c>
    </row>
    <row r="1054" spans="1:11" x14ac:dyDescent="0.25">
      <c r="A1054" s="579">
        <v>28</v>
      </c>
      <c r="B1054" s="575" t="s">
        <v>1239</v>
      </c>
      <c r="C1054" s="575" t="s">
        <v>2386</v>
      </c>
      <c r="D1054" s="575" t="s">
        <v>2387</v>
      </c>
      <c r="E1054" s="576">
        <v>3</v>
      </c>
      <c r="F1054" s="577">
        <v>3000</v>
      </c>
      <c r="G1054" s="578">
        <v>9000.01</v>
      </c>
      <c r="H1054" s="579" t="s">
        <v>2384</v>
      </c>
      <c r="I1054" s="575" t="s">
        <v>1231</v>
      </c>
      <c r="J1054" s="579" t="s">
        <v>157</v>
      </c>
      <c r="K1054" s="575" t="s">
        <v>2385</v>
      </c>
    </row>
    <row r="1055" spans="1:11" x14ac:dyDescent="0.25">
      <c r="A1055" s="579">
        <v>28</v>
      </c>
      <c r="B1055" s="575" t="s">
        <v>1239</v>
      </c>
      <c r="C1055" s="575" t="s">
        <v>2388</v>
      </c>
      <c r="D1055" s="575" t="s">
        <v>2169</v>
      </c>
      <c r="E1055" s="576">
        <v>1</v>
      </c>
      <c r="F1055" s="577">
        <v>8400</v>
      </c>
      <c r="G1055" s="578">
        <v>8400</v>
      </c>
      <c r="H1055" s="579" t="s">
        <v>2384</v>
      </c>
      <c r="I1055" s="575" t="s">
        <v>1231</v>
      </c>
      <c r="J1055" s="579" t="s">
        <v>157</v>
      </c>
      <c r="K1055" s="575" t="s">
        <v>2385</v>
      </c>
    </row>
    <row r="1056" spans="1:11" x14ac:dyDescent="0.25">
      <c r="A1056" s="579">
        <v>28</v>
      </c>
      <c r="B1056" s="575" t="s">
        <v>1663</v>
      </c>
      <c r="C1056" s="575" t="s">
        <v>2172</v>
      </c>
      <c r="D1056" s="575" t="s">
        <v>2389</v>
      </c>
      <c r="E1056" s="576">
        <v>20</v>
      </c>
      <c r="F1056" s="577">
        <v>450</v>
      </c>
      <c r="G1056" s="578">
        <v>8999.9699999999993</v>
      </c>
      <c r="H1056" s="579" t="s">
        <v>2384</v>
      </c>
      <c r="I1056" s="575" t="s">
        <v>1231</v>
      </c>
      <c r="J1056" s="579" t="s">
        <v>157</v>
      </c>
      <c r="K1056" s="575" t="s">
        <v>2385</v>
      </c>
    </row>
    <row r="1057" spans="1:11" x14ac:dyDescent="0.25">
      <c r="A1057" s="579">
        <v>28</v>
      </c>
      <c r="B1057" s="575" t="s">
        <v>1663</v>
      </c>
      <c r="C1057" s="575" t="s">
        <v>2390</v>
      </c>
      <c r="D1057" s="575" t="s">
        <v>2391</v>
      </c>
      <c r="E1057" s="576">
        <v>10</v>
      </c>
      <c r="F1057" s="577">
        <v>340</v>
      </c>
      <c r="G1057" s="578">
        <v>3399.95</v>
      </c>
      <c r="H1057" s="579" t="s">
        <v>2384</v>
      </c>
      <c r="I1057" s="575" t="s">
        <v>1231</v>
      </c>
      <c r="J1057" s="579" t="s">
        <v>157</v>
      </c>
      <c r="K1057" s="575" t="s">
        <v>2385</v>
      </c>
    </row>
    <row r="1058" spans="1:11" x14ac:dyDescent="0.25">
      <c r="A1058" s="579">
        <v>28</v>
      </c>
      <c r="B1058" s="575" t="s">
        <v>1663</v>
      </c>
      <c r="C1058" s="575" t="s">
        <v>2392</v>
      </c>
      <c r="D1058" s="575" t="s">
        <v>2175</v>
      </c>
      <c r="E1058" s="576">
        <v>20</v>
      </c>
      <c r="F1058" s="577">
        <v>900</v>
      </c>
      <c r="G1058" s="578">
        <v>17999.939999999999</v>
      </c>
      <c r="H1058" s="579" t="s">
        <v>2384</v>
      </c>
      <c r="I1058" s="575" t="s">
        <v>1231</v>
      </c>
      <c r="J1058" s="579" t="s">
        <v>157</v>
      </c>
      <c r="K1058" s="575" t="s">
        <v>2385</v>
      </c>
    </row>
    <row r="1059" spans="1:11" x14ac:dyDescent="0.25">
      <c r="A1059" s="579">
        <v>28</v>
      </c>
      <c r="B1059" s="575" t="s">
        <v>1239</v>
      </c>
      <c r="C1059" s="575" t="s">
        <v>2176</v>
      </c>
      <c r="D1059" s="575" t="s">
        <v>2177</v>
      </c>
      <c r="E1059" s="576">
        <v>2</v>
      </c>
      <c r="F1059" s="577">
        <v>27500</v>
      </c>
      <c r="G1059" s="578">
        <v>55000.01</v>
      </c>
      <c r="H1059" s="579" t="s">
        <v>2384</v>
      </c>
      <c r="I1059" s="575" t="s">
        <v>1231</v>
      </c>
      <c r="J1059" s="579" t="s">
        <v>157</v>
      </c>
      <c r="K1059" s="575" t="s">
        <v>2385</v>
      </c>
    </row>
    <row r="1060" spans="1:11" x14ac:dyDescent="0.25">
      <c r="A1060" s="579">
        <v>28</v>
      </c>
      <c r="B1060" s="575" t="s">
        <v>1239</v>
      </c>
      <c r="C1060" s="575" t="s">
        <v>2393</v>
      </c>
      <c r="D1060" s="575" t="s">
        <v>2394</v>
      </c>
      <c r="E1060" s="576">
        <v>1</v>
      </c>
      <c r="F1060" s="577">
        <v>17500</v>
      </c>
      <c r="G1060" s="578">
        <v>17500</v>
      </c>
      <c r="H1060" s="579" t="s">
        <v>2384</v>
      </c>
      <c r="I1060" s="575" t="s">
        <v>1231</v>
      </c>
      <c r="J1060" s="579" t="s">
        <v>157</v>
      </c>
      <c r="K1060" s="575" t="s">
        <v>2385</v>
      </c>
    </row>
    <row r="1061" spans="1:11" x14ac:dyDescent="0.25">
      <c r="A1061" s="579">
        <v>28</v>
      </c>
      <c r="B1061" s="575" t="s">
        <v>1101</v>
      </c>
      <c r="C1061" s="575" t="s">
        <v>2180</v>
      </c>
      <c r="D1061" s="575" t="s">
        <v>2395</v>
      </c>
      <c r="E1061" s="576">
        <v>10</v>
      </c>
      <c r="F1061" s="577">
        <v>2500</v>
      </c>
      <c r="G1061" s="578">
        <v>25000</v>
      </c>
      <c r="H1061" s="579" t="s">
        <v>2384</v>
      </c>
      <c r="I1061" s="575" t="s">
        <v>1231</v>
      </c>
      <c r="J1061" s="579" t="s">
        <v>157</v>
      </c>
      <c r="K1061" s="575" t="s">
        <v>2385</v>
      </c>
    </row>
    <row r="1062" spans="1:11" x14ac:dyDescent="0.25">
      <c r="A1062" s="579">
        <v>28</v>
      </c>
      <c r="B1062" s="575" t="s">
        <v>1101</v>
      </c>
      <c r="C1062" s="575" t="s">
        <v>2182</v>
      </c>
      <c r="D1062" s="575" t="s">
        <v>2183</v>
      </c>
      <c r="E1062" s="576">
        <v>200</v>
      </c>
      <c r="F1062" s="577">
        <v>390</v>
      </c>
      <c r="G1062" s="578">
        <v>77999.740000000005</v>
      </c>
      <c r="H1062" s="579" t="s">
        <v>2384</v>
      </c>
      <c r="I1062" s="575" t="s">
        <v>1231</v>
      </c>
      <c r="J1062" s="579" t="s">
        <v>157</v>
      </c>
      <c r="K1062" s="575" t="s">
        <v>2385</v>
      </c>
    </row>
    <row r="1063" spans="1:11" x14ac:dyDescent="0.25">
      <c r="A1063" s="579">
        <v>28</v>
      </c>
      <c r="B1063" s="575" t="s">
        <v>1663</v>
      </c>
      <c r="C1063" s="575" t="s">
        <v>2396</v>
      </c>
      <c r="D1063" s="575" t="s">
        <v>2187</v>
      </c>
      <c r="E1063" s="576">
        <v>5</v>
      </c>
      <c r="F1063" s="577">
        <v>10600</v>
      </c>
      <c r="G1063" s="578">
        <v>52999.98</v>
      </c>
      <c r="H1063" s="579" t="s">
        <v>2384</v>
      </c>
      <c r="I1063" s="575" t="s">
        <v>1231</v>
      </c>
      <c r="J1063" s="579" t="s">
        <v>157</v>
      </c>
      <c r="K1063" s="575" t="s">
        <v>2385</v>
      </c>
    </row>
    <row r="1064" spans="1:11" x14ac:dyDescent="0.25">
      <c r="A1064" s="579">
        <v>28</v>
      </c>
      <c r="B1064" s="575" t="s">
        <v>1663</v>
      </c>
      <c r="C1064" s="575" t="s">
        <v>2397</v>
      </c>
      <c r="D1064" s="575" t="s">
        <v>2398</v>
      </c>
      <c r="E1064" s="576">
        <v>1</v>
      </c>
      <c r="F1064" s="577">
        <v>2200</v>
      </c>
      <c r="G1064" s="578">
        <v>2200</v>
      </c>
      <c r="H1064" s="579" t="s">
        <v>2384</v>
      </c>
      <c r="I1064" s="575" t="s">
        <v>1231</v>
      </c>
      <c r="J1064" s="579" t="s">
        <v>157</v>
      </c>
      <c r="K1064" s="575" t="s">
        <v>2385</v>
      </c>
    </row>
    <row r="1065" spans="1:11" x14ac:dyDescent="0.25">
      <c r="A1065" s="579">
        <v>28</v>
      </c>
      <c r="B1065" s="575" t="s">
        <v>1239</v>
      </c>
      <c r="C1065" s="575" t="s">
        <v>2399</v>
      </c>
      <c r="D1065" s="575" t="s">
        <v>2400</v>
      </c>
      <c r="E1065" s="576">
        <v>2</v>
      </c>
      <c r="F1065" s="577">
        <v>19850</v>
      </c>
      <c r="G1065" s="578">
        <v>39699.99</v>
      </c>
      <c r="H1065" s="579" t="s">
        <v>2384</v>
      </c>
      <c r="I1065" s="575" t="s">
        <v>1231</v>
      </c>
      <c r="J1065" s="579" t="s">
        <v>157</v>
      </c>
      <c r="K1065" s="575" t="s">
        <v>2385</v>
      </c>
    </row>
    <row r="1066" spans="1:11" x14ac:dyDescent="0.25">
      <c r="A1066" s="579">
        <v>28</v>
      </c>
      <c r="B1066" s="575" t="s">
        <v>1101</v>
      </c>
      <c r="C1066" s="575" t="s">
        <v>2194</v>
      </c>
      <c r="D1066" s="575" t="s">
        <v>2195</v>
      </c>
      <c r="E1066" s="576">
        <v>12</v>
      </c>
      <c r="F1066" s="577">
        <v>700</v>
      </c>
      <c r="G1066" s="578">
        <v>8400.07</v>
      </c>
      <c r="H1066" s="579" t="s">
        <v>2384</v>
      </c>
      <c r="I1066" s="575" t="s">
        <v>1231</v>
      </c>
      <c r="J1066" s="579" t="s">
        <v>157</v>
      </c>
      <c r="K1066" s="575" t="s">
        <v>2385</v>
      </c>
    </row>
    <row r="1067" spans="1:11" x14ac:dyDescent="0.25">
      <c r="A1067" s="579">
        <v>28</v>
      </c>
      <c r="B1067" s="575" t="s">
        <v>1663</v>
      </c>
      <c r="C1067" s="575" t="s">
        <v>2236</v>
      </c>
      <c r="D1067" s="575" t="s">
        <v>2237</v>
      </c>
      <c r="E1067" s="576">
        <v>2</v>
      </c>
      <c r="F1067" s="577">
        <v>11400</v>
      </c>
      <c r="G1067" s="578">
        <v>22799.99</v>
      </c>
      <c r="H1067" s="579" t="s">
        <v>2384</v>
      </c>
      <c r="I1067" s="575" t="s">
        <v>1231</v>
      </c>
      <c r="J1067" s="579" t="s">
        <v>157</v>
      </c>
      <c r="K1067" s="575" t="s">
        <v>2385</v>
      </c>
    </row>
    <row r="1068" spans="1:11" x14ac:dyDescent="0.25">
      <c r="A1068" s="579">
        <v>28</v>
      </c>
      <c r="B1068" s="575" t="s">
        <v>1101</v>
      </c>
      <c r="C1068" s="575" t="s">
        <v>2196</v>
      </c>
      <c r="D1068" s="575" t="s">
        <v>2197</v>
      </c>
      <c r="E1068" s="576">
        <v>400</v>
      </c>
      <c r="F1068" s="577">
        <v>440</v>
      </c>
      <c r="G1068" s="578">
        <v>176001</v>
      </c>
      <c r="H1068" s="579" t="s">
        <v>2384</v>
      </c>
      <c r="I1068" s="575" t="s">
        <v>1231</v>
      </c>
      <c r="J1068" s="579" t="s">
        <v>157</v>
      </c>
      <c r="K1068" s="575" t="s">
        <v>2385</v>
      </c>
    </row>
    <row r="1069" spans="1:11" x14ac:dyDescent="0.25">
      <c r="A1069" s="579">
        <v>28</v>
      </c>
      <c r="B1069" s="575" t="s">
        <v>1101</v>
      </c>
      <c r="C1069" s="575" t="s">
        <v>2198</v>
      </c>
      <c r="D1069" s="575" t="s">
        <v>2199</v>
      </c>
      <c r="E1069" s="576">
        <v>400</v>
      </c>
      <c r="F1069" s="577">
        <v>440</v>
      </c>
      <c r="G1069" s="578">
        <v>176001</v>
      </c>
      <c r="H1069" s="579" t="s">
        <v>2384</v>
      </c>
      <c r="I1069" s="575" t="s">
        <v>1231</v>
      </c>
      <c r="J1069" s="579" t="s">
        <v>157</v>
      </c>
      <c r="K1069" s="575" t="s">
        <v>2385</v>
      </c>
    </row>
    <row r="1070" spans="1:11" x14ac:dyDescent="0.25">
      <c r="A1070" s="579">
        <v>28</v>
      </c>
      <c r="B1070" s="575" t="s">
        <v>1101</v>
      </c>
      <c r="C1070" s="575" t="s">
        <v>2238</v>
      </c>
      <c r="D1070" s="575" t="s">
        <v>2401</v>
      </c>
      <c r="E1070" s="576">
        <v>200</v>
      </c>
      <c r="F1070" s="577">
        <v>270</v>
      </c>
      <c r="G1070" s="578">
        <v>53999.82</v>
      </c>
      <c r="H1070" s="579" t="s">
        <v>2384</v>
      </c>
      <c r="I1070" s="575" t="s">
        <v>1231</v>
      </c>
      <c r="J1070" s="579" t="s">
        <v>157</v>
      </c>
      <c r="K1070" s="575" t="s">
        <v>2385</v>
      </c>
    </row>
    <row r="1071" spans="1:11" x14ac:dyDescent="0.25">
      <c r="A1071" s="579">
        <v>28</v>
      </c>
      <c r="B1071" s="575" t="s">
        <v>1239</v>
      </c>
      <c r="C1071" s="575" t="s">
        <v>2402</v>
      </c>
      <c r="D1071" s="575" t="s">
        <v>2403</v>
      </c>
      <c r="E1071" s="576">
        <v>4</v>
      </c>
      <c r="F1071" s="577">
        <v>4800</v>
      </c>
      <c r="G1071" s="578">
        <v>19199.98</v>
      </c>
      <c r="H1071" s="579" t="s">
        <v>2384</v>
      </c>
      <c r="I1071" s="575" t="s">
        <v>1231</v>
      </c>
      <c r="J1071" s="579" t="s">
        <v>157</v>
      </c>
      <c r="K1071" s="575" t="s">
        <v>2385</v>
      </c>
    </row>
    <row r="1072" spans="1:11" x14ac:dyDescent="0.25">
      <c r="A1072" s="579">
        <v>28</v>
      </c>
      <c r="B1072" s="575" t="s">
        <v>1239</v>
      </c>
      <c r="C1072" s="575" t="s">
        <v>2404</v>
      </c>
      <c r="D1072" s="575" t="s">
        <v>2203</v>
      </c>
      <c r="E1072" s="576">
        <v>2</v>
      </c>
      <c r="F1072" s="577">
        <v>14600</v>
      </c>
      <c r="G1072" s="578">
        <v>29200</v>
      </c>
      <c r="H1072" s="579" t="s">
        <v>2384</v>
      </c>
      <c r="I1072" s="575" t="s">
        <v>1231</v>
      </c>
      <c r="J1072" s="579" t="s">
        <v>157</v>
      </c>
      <c r="K1072" s="575" t="s">
        <v>2385</v>
      </c>
    </row>
    <row r="1073" spans="1:11" x14ac:dyDescent="0.25">
      <c r="A1073" s="579">
        <v>28</v>
      </c>
      <c r="B1073" s="575" t="s">
        <v>1101</v>
      </c>
      <c r="C1073" s="575" t="s">
        <v>2204</v>
      </c>
      <c r="D1073" s="575" t="s">
        <v>2405</v>
      </c>
      <c r="E1073" s="576">
        <v>20</v>
      </c>
      <c r="F1073" s="577">
        <v>11200</v>
      </c>
      <c r="G1073" s="578">
        <v>223999.89</v>
      </c>
      <c r="H1073" s="579" t="s">
        <v>2384</v>
      </c>
      <c r="I1073" s="575" t="s">
        <v>1231</v>
      </c>
      <c r="J1073" s="579" t="s">
        <v>157</v>
      </c>
      <c r="K1073" s="575" t="s">
        <v>2385</v>
      </c>
    </row>
    <row r="1074" spans="1:11" x14ac:dyDescent="0.25">
      <c r="A1074" s="579">
        <v>28</v>
      </c>
      <c r="B1074" s="575" t="s">
        <v>1101</v>
      </c>
      <c r="C1074" s="575" t="s">
        <v>2208</v>
      </c>
      <c r="D1074" s="575" t="s">
        <v>2209</v>
      </c>
      <c r="E1074" s="576">
        <v>10</v>
      </c>
      <c r="F1074" s="577">
        <v>2400</v>
      </c>
      <c r="G1074" s="578">
        <v>24000.04</v>
      </c>
      <c r="H1074" s="579" t="s">
        <v>2384</v>
      </c>
      <c r="I1074" s="575" t="s">
        <v>1231</v>
      </c>
      <c r="J1074" s="579" t="s">
        <v>157</v>
      </c>
      <c r="K1074" s="575" t="s">
        <v>2385</v>
      </c>
    </row>
    <row r="1075" spans="1:11" x14ac:dyDescent="0.25">
      <c r="A1075" s="579">
        <v>28</v>
      </c>
      <c r="B1075" s="575" t="s">
        <v>1101</v>
      </c>
      <c r="C1075" s="575" t="s">
        <v>2210</v>
      </c>
      <c r="D1075" s="575" t="s">
        <v>2211</v>
      </c>
      <c r="E1075" s="576">
        <v>4</v>
      </c>
      <c r="F1075" s="577">
        <v>5450</v>
      </c>
      <c r="G1075" s="578">
        <v>21799.99</v>
      </c>
      <c r="H1075" s="579" t="s">
        <v>2384</v>
      </c>
      <c r="I1075" s="575" t="s">
        <v>1231</v>
      </c>
      <c r="J1075" s="579" t="s">
        <v>157</v>
      </c>
      <c r="K1075" s="575" t="s">
        <v>2385</v>
      </c>
    </row>
    <row r="1076" spans="1:11" x14ac:dyDescent="0.25">
      <c r="A1076" s="579">
        <v>28</v>
      </c>
      <c r="B1076" s="575" t="s">
        <v>1101</v>
      </c>
      <c r="C1076" s="575" t="s">
        <v>2212</v>
      </c>
      <c r="D1076" s="575" t="s">
        <v>2213</v>
      </c>
      <c r="E1076" s="576">
        <v>8</v>
      </c>
      <c r="F1076" s="577">
        <v>5000</v>
      </c>
      <c r="G1076" s="578">
        <v>39999.99</v>
      </c>
      <c r="H1076" s="579" t="s">
        <v>2384</v>
      </c>
      <c r="I1076" s="575" t="s">
        <v>1231</v>
      </c>
      <c r="J1076" s="579" t="s">
        <v>157</v>
      </c>
      <c r="K1076" s="575" t="s">
        <v>2385</v>
      </c>
    </row>
    <row r="1077" spans="1:11" x14ac:dyDescent="0.25">
      <c r="A1077" s="579">
        <v>28</v>
      </c>
      <c r="B1077" s="575" t="s">
        <v>1239</v>
      </c>
      <c r="C1077" s="575" t="s">
        <v>2406</v>
      </c>
      <c r="D1077" s="575" t="s">
        <v>2253</v>
      </c>
      <c r="E1077" s="576">
        <v>1</v>
      </c>
      <c r="F1077" s="577">
        <v>7200</v>
      </c>
      <c r="G1077" s="578">
        <v>7200</v>
      </c>
      <c r="H1077" s="579" t="s">
        <v>2384</v>
      </c>
      <c r="I1077" s="575" t="s">
        <v>1231</v>
      </c>
      <c r="J1077" s="579" t="s">
        <v>157</v>
      </c>
      <c r="K1077" s="575" t="s">
        <v>2385</v>
      </c>
    </row>
    <row r="1078" spans="1:11" x14ac:dyDescent="0.25">
      <c r="A1078" s="579">
        <v>28</v>
      </c>
      <c r="B1078" s="575" t="s">
        <v>1101</v>
      </c>
      <c r="C1078" s="575" t="s">
        <v>2407</v>
      </c>
      <c r="D1078" s="575" t="s">
        <v>2408</v>
      </c>
      <c r="E1078" s="576">
        <v>36</v>
      </c>
      <c r="F1078" s="577">
        <v>3850</v>
      </c>
      <c r="G1078" s="578">
        <v>138599.82</v>
      </c>
      <c r="H1078" s="579" t="s">
        <v>2384</v>
      </c>
      <c r="I1078" s="575" t="s">
        <v>1231</v>
      </c>
      <c r="J1078" s="579" t="s">
        <v>157</v>
      </c>
      <c r="K1078" s="575" t="s">
        <v>2385</v>
      </c>
    </row>
    <row r="1079" spans="1:11" x14ac:dyDescent="0.25">
      <c r="A1079" s="579">
        <v>28</v>
      </c>
      <c r="B1079" s="575" t="s">
        <v>1663</v>
      </c>
      <c r="C1079" s="575" t="s">
        <v>2258</v>
      </c>
      <c r="D1079" s="575" t="s">
        <v>2409</v>
      </c>
      <c r="E1079" s="576">
        <v>1</v>
      </c>
      <c r="F1079" s="577">
        <v>34300</v>
      </c>
      <c r="G1079" s="578">
        <v>34300</v>
      </c>
      <c r="H1079" s="579" t="s">
        <v>2384</v>
      </c>
      <c r="I1079" s="575" t="s">
        <v>1231</v>
      </c>
      <c r="J1079" s="579" t="s">
        <v>157</v>
      </c>
      <c r="K1079" s="575" t="s">
        <v>2385</v>
      </c>
    </row>
    <row r="1080" spans="1:11" x14ac:dyDescent="0.25">
      <c r="A1080" s="579">
        <v>28</v>
      </c>
      <c r="B1080" s="575" t="s">
        <v>1101</v>
      </c>
      <c r="C1080" s="575" t="s">
        <v>2216</v>
      </c>
      <c r="D1080" s="575" t="s">
        <v>2410</v>
      </c>
      <c r="E1080" s="576">
        <v>1</v>
      </c>
      <c r="F1080" s="577">
        <v>7100</v>
      </c>
      <c r="G1080" s="578">
        <v>7100</v>
      </c>
      <c r="H1080" s="579" t="s">
        <v>2384</v>
      </c>
      <c r="I1080" s="575" t="s">
        <v>1231</v>
      </c>
      <c r="J1080" s="579" t="s">
        <v>157</v>
      </c>
      <c r="K1080" s="575" t="s">
        <v>2385</v>
      </c>
    </row>
    <row r="1081" spans="1:11" x14ac:dyDescent="0.25">
      <c r="A1081" s="579">
        <v>28</v>
      </c>
      <c r="B1081" s="575" t="s">
        <v>1101</v>
      </c>
      <c r="C1081" s="575" t="s">
        <v>2220</v>
      </c>
      <c r="D1081" s="575" t="s">
        <v>2221</v>
      </c>
      <c r="E1081" s="576">
        <v>60</v>
      </c>
      <c r="F1081" s="577">
        <v>2000</v>
      </c>
      <c r="G1081" s="578">
        <v>119999.84</v>
      </c>
      <c r="H1081" s="579" t="s">
        <v>2384</v>
      </c>
      <c r="I1081" s="575" t="s">
        <v>1231</v>
      </c>
      <c r="J1081" s="579" t="s">
        <v>157</v>
      </c>
      <c r="K1081" s="575" t="s">
        <v>2385</v>
      </c>
    </row>
    <row r="1082" spans="1:11" x14ac:dyDescent="0.25">
      <c r="A1082" s="579">
        <v>28</v>
      </c>
      <c r="B1082" s="575" t="s">
        <v>1663</v>
      </c>
      <c r="C1082" s="575" t="s">
        <v>2411</v>
      </c>
      <c r="D1082" s="575" t="s">
        <v>2412</v>
      </c>
      <c r="E1082" s="576">
        <v>24</v>
      </c>
      <c r="F1082" s="577">
        <v>8700</v>
      </c>
      <c r="G1082" s="578">
        <v>208799.87</v>
      </c>
      <c r="H1082" s="579" t="s">
        <v>2384</v>
      </c>
      <c r="I1082" s="575" t="s">
        <v>1231</v>
      </c>
      <c r="J1082" s="579" t="s">
        <v>157</v>
      </c>
      <c r="K1082" s="575" t="s">
        <v>2385</v>
      </c>
    </row>
    <row r="1083" spans="1:11" x14ac:dyDescent="0.25">
      <c r="A1083" s="579">
        <v>28</v>
      </c>
      <c r="B1083" s="575" t="s">
        <v>1101</v>
      </c>
      <c r="C1083" s="575" t="s">
        <v>2264</v>
      </c>
      <c r="D1083" s="575" t="s">
        <v>2413</v>
      </c>
      <c r="E1083" s="576">
        <v>2</v>
      </c>
      <c r="F1083" s="577">
        <v>17250</v>
      </c>
      <c r="G1083" s="578">
        <v>34500</v>
      </c>
      <c r="H1083" s="579" t="s">
        <v>2384</v>
      </c>
      <c r="I1083" s="575" t="s">
        <v>1231</v>
      </c>
      <c r="J1083" s="579" t="s">
        <v>157</v>
      </c>
      <c r="K1083" s="575" t="s">
        <v>2385</v>
      </c>
    </row>
    <row r="1084" spans="1:11" x14ac:dyDescent="0.25">
      <c r="A1084" s="579">
        <v>28</v>
      </c>
      <c r="B1084" s="575" t="s">
        <v>1101</v>
      </c>
      <c r="C1084" s="575" t="s">
        <v>2414</v>
      </c>
      <c r="D1084" s="575" t="s">
        <v>2415</v>
      </c>
      <c r="E1084" s="576">
        <v>1</v>
      </c>
      <c r="F1084" s="577">
        <v>7500</v>
      </c>
      <c r="G1084" s="578">
        <v>7500</v>
      </c>
      <c r="H1084" s="579" t="s">
        <v>2384</v>
      </c>
      <c r="I1084" s="575" t="s">
        <v>1231</v>
      </c>
      <c r="J1084" s="579" t="s">
        <v>157</v>
      </c>
      <c r="K1084" s="575" t="s">
        <v>2385</v>
      </c>
    </row>
    <row r="1085" spans="1:11" x14ac:dyDescent="0.25">
      <c r="A1085" s="579">
        <v>28</v>
      </c>
      <c r="B1085" s="575" t="s">
        <v>1663</v>
      </c>
      <c r="C1085" s="575" t="s">
        <v>2224</v>
      </c>
      <c r="D1085" s="575" t="s">
        <v>2416</v>
      </c>
      <c r="E1085" s="576">
        <v>1</v>
      </c>
      <c r="F1085" s="577">
        <v>23700</v>
      </c>
      <c r="G1085" s="578">
        <v>23700</v>
      </c>
      <c r="H1085" s="579" t="s">
        <v>2384</v>
      </c>
      <c r="I1085" s="575" t="s">
        <v>1231</v>
      </c>
      <c r="J1085" s="579" t="s">
        <v>157</v>
      </c>
      <c r="K1085" s="575" t="s">
        <v>2385</v>
      </c>
    </row>
    <row r="1086" spans="1:11" x14ac:dyDescent="0.25">
      <c r="A1086" s="579">
        <v>28</v>
      </c>
      <c r="B1086" s="575" t="s">
        <v>1663</v>
      </c>
      <c r="C1086" s="575" t="s">
        <v>2226</v>
      </c>
      <c r="D1086" s="575" t="s">
        <v>2417</v>
      </c>
      <c r="E1086" s="576">
        <v>10</v>
      </c>
      <c r="F1086" s="577">
        <v>5200</v>
      </c>
      <c r="G1086" s="578">
        <v>52000.02</v>
      </c>
      <c r="H1086" s="579" t="s">
        <v>2384</v>
      </c>
      <c r="I1086" s="575" t="s">
        <v>1231</v>
      </c>
      <c r="J1086" s="579" t="s">
        <v>157</v>
      </c>
      <c r="K1086" s="575" t="s">
        <v>2385</v>
      </c>
    </row>
    <row r="1087" spans="1:11" x14ac:dyDescent="0.25">
      <c r="A1087" s="579">
        <v>28</v>
      </c>
      <c r="B1087" s="575" t="s">
        <v>1101</v>
      </c>
      <c r="C1087" s="575" t="s">
        <v>2230</v>
      </c>
      <c r="D1087" s="575" t="s">
        <v>2231</v>
      </c>
      <c r="E1087" s="576">
        <v>6</v>
      </c>
      <c r="F1087" s="577">
        <v>4600</v>
      </c>
      <c r="G1087" s="578">
        <v>27600.03</v>
      </c>
      <c r="H1087" s="579" t="s">
        <v>2384</v>
      </c>
      <c r="I1087" s="575" t="s">
        <v>1231</v>
      </c>
      <c r="J1087" s="579" t="s">
        <v>157</v>
      </c>
      <c r="K1087" s="575" t="s">
        <v>2385</v>
      </c>
    </row>
    <row r="1088" spans="1:11" x14ac:dyDescent="0.25">
      <c r="A1088" s="579">
        <v>28</v>
      </c>
      <c r="B1088" s="575" t="s">
        <v>1101</v>
      </c>
      <c r="C1088" s="575" t="s">
        <v>2418</v>
      </c>
      <c r="D1088" s="575" t="s">
        <v>2419</v>
      </c>
      <c r="E1088" s="576">
        <v>40</v>
      </c>
      <c r="F1088" s="577">
        <v>3100</v>
      </c>
      <c r="G1088" s="578">
        <v>123999.9</v>
      </c>
      <c r="H1088" s="579" t="s">
        <v>2384</v>
      </c>
      <c r="I1088" s="575" t="s">
        <v>1231</v>
      </c>
      <c r="J1088" s="579" t="s">
        <v>157</v>
      </c>
      <c r="K1088" s="575" t="s">
        <v>2385</v>
      </c>
    </row>
    <row r="1089" spans="1:11" x14ac:dyDescent="0.25">
      <c r="A1089" s="579">
        <v>28</v>
      </c>
      <c r="B1089" s="575" t="s">
        <v>1239</v>
      </c>
      <c r="C1089" s="575" t="s">
        <v>2420</v>
      </c>
      <c r="D1089" s="575" t="s">
        <v>2421</v>
      </c>
      <c r="E1089" s="576">
        <v>7</v>
      </c>
      <c r="F1089" s="577">
        <v>20950</v>
      </c>
      <c r="G1089" s="578">
        <v>146649.98000000001</v>
      </c>
      <c r="H1089" s="579" t="s">
        <v>2384</v>
      </c>
      <c r="I1089" s="575" t="s">
        <v>1231</v>
      </c>
      <c r="J1089" s="579" t="s">
        <v>157</v>
      </c>
      <c r="K1089" s="575" t="s">
        <v>2385</v>
      </c>
    </row>
    <row r="1090" spans="1:11" x14ac:dyDescent="0.25">
      <c r="A1090" s="579">
        <v>28</v>
      </c>
      <c r="B1090" s="575" t="s">
        <v>1663</v>
      </c>
      <c r="C1090" s="575" t="s">
        <v>2422</v>
      </c>
      <c r="D1090" s="575" t="s">
        <v>2423</v>
      </c>
      <c r="E1090" s="576">
        <v>4</v>
      </c>
      <c r="F1090" s="577">
        <v>22700</v>
      </c>
      <c r="G1090" s="578">
        <v>90800</v>
      </c>
      <c r="H1090" s="579" t="s">
        <v>2384</v>
      </c>
      <c r="I1090" s="575" t="s">
        <v>1231</v>
      </c>
      <c r="J1090" s="579" t="s">
        <v>157</v>
      </c>
      <c r="K1090" s="575" t="s">
        <v>2385</v>
      </c>
    </row>
    <row r="1091" spans="1:11" x14ac:dyDescent="0.25">
      <c r="A1091" s="579">
        <v>28</v>
      </c>
      <c r="B1091" s="575" t="s">
        <v>1101</v>
      </c>
      <c r="C1091" s="575" t="s">
        <v>2424</v>
      </c>
      <c r="D1091" s="575" t="s">
        <v>2425</v>
      </c>
      <c r="E1091" s="576">
        <v>12</v>
      </c>
      <c r="F1091" s="577">
        <v>17200</v>
      </c>
      <c r="G1091" s="578">
        <v>206399.98</v>
      </c>
      <c r="H1091" s="579" t="s">
        <v>2384</v>
      </c>
      <c r="I1091" s="575" t="s">
        <v>1231</v>
      </c>
      <c r="J1091" s="579" t="s">
        <v>157</v>
      </c>
      <c r="K1091" s="575" t="s">
        <v>2385</v>
      </c>
    </row>
    <row r="1092" spans="1:11" x14ac:dyDescent="0.25">
      <c r="A1092" s="579">
        <v>28</v>
      </c>
      <c r="B1092" s="575" t="s">
        <v>1101</v>
      </c>
      <c r="C1092" s="575" t="s">
        <v>2426</v>
      </c>
      <c r="D1092" s="575" t="s">
        <v>2427</v>
      </c>
      <c r="E1092" s="576">
        <v>1</v>
      </c>
      <c r="F1092" s="577">
        <v>15100</v>
      </c>
      <c r="G1092" s="578">
        <v>15100</v>
      </c>
      <c r="H1092" s="579" t="s">
        <v>2384</v>
      </c>
      <c r="I1092" s="575" t="s">
        <v>1231</v>
      </c>
      <c r="J1092" s="579" t="s">
        <v>157</v>
      </c>
      <c r="K1092" s="575" t="s">
        <v>2385</v>
      </c>
    </row>
    <row r="1093" spans="1:11" x14ac:dyDescent="0.25">
      <c r="A1093" s="579">
        <v>28</v>
      </c>
      <c r="B1093" s="575" t="s">
        <v>1239</v>
      </c>
      <c r="C1093" s="575" t="s">
        <v>1362</v>
      </c>
      <c r="D1093" s="575" t="s">
        <v>2162</v>
      </c>
      <c r="E1093" s="576">
        <v>4</v>
      </c>
      <c r="F1093" s="577">
        <v>6200</v>
      </c>
      <c r="G1093" s="578">
        <v>24799.98</v>
      </c>
      <c r="H1093" s="579" t="s">
        <v>2428</v>
      </c>
      <c r="I1093" s="575" t="s">
        <v>1231</v>
      </c>
      <c r="J1093" s="579" t="s">
        <v>157</v>
      </c>
      <c r="K1093" s="575" t="s">
        <v>2385</v>
      </c>
    </row>
    <row r="1094" spans="1:11" x14ac:dyDescent="0.25">
      <c r="A1094" s="579">
        <v>28</v>
      </c>
      <c r="B1094" s="575" t="s">
        <v>1239</v>
      </c>
      <c r="C1094" s="575" t="s">
        <v>2386</v>
      </c>
      <c r="D1094" s="575" t="s">
        <v>2387</v>
      </c>
      <c r="E1094" s="576">
        <v>3</v>
      </c>
      <c r="F1094" s="577">
        <v>3000</v>
      </c>
      <c r="G1094" s="578">
        <v>9000.01</v>
      </c>
      <c r="H1094" s="579" t="s">
        <v>2428</v>
      </c>
      <c r="I1094" s="575" t="s">
        <v>1231</v>
      </c>
      <c r="J1094" s="579" t="s">
        <v>157</v>
      </c>
      <c r="K1094" s="575" t="s">
        <v>2385</v>
      </c>
    </row>
    <row r="1095" spans="1:11" x14ac:dyDescent="0.25">
      <c r="A1095" s="579">
        <v>28</v>
      </c>
      <c r="B1095" s="575" t="s">
        <v>1663</v>
      </c>
      <c r="C1095" s="575" t="s">
        <v>2429</v>
      </c>
      <c r="D1095" s="575" t="s">
        <v>2165</v>
      </c>
      <c r="E1095" s="576">
        <v>1</v>
      </c>
      <c r="F1095" s="577">
        <v>15900</v>
      </c>
      <c r="G1095" s="578">
        <v>15899.99</v>
      </c>
      <c r="H1095" s="579" t="s">
        <v>2428</v>
      </c>
      <c r="I1095" s="575" t="s">
        <v>1231</v>
      </c>
      <c r="J1095" s="579" t="s">
        <v>157</v>
      </c>
      <c r="K1095" s="575" t="s">
        <v>2385</v>
      </c>
    </row>
    <row r="1096" spans="1:11" x14ac:dyDescent="0.25">
      <c r="A1096" s="579">
        <v>28</v>
      </c>
      <c r="B1096" s="575" t="s">
        <v>1239</v>
      </c>
      <c r="C1096" s="575" t="s">
        <v>2388</v>
      </c>
      <c r="D1096" s="575" t="s">
        <v>2169</v>
      </c>
      <c r="E1096" s="576">
        <v>10</v>
      </c>
      <c r="F1096" s="577">
        <v>8400</v>
      </c>
      <c r="G1096" s="578">
        <v>84000</v>
      </c>
      <c r="H1096" s="579" t="s">
        <v>2428</v>
      </c>
      <c r="I1096" s="575" t="s">
        <v>1231</v>
      </c>
      <c r="J1096" s="579" t="s">
        <v>157</v>
      </c>
      <c r="K1096" s="575" t="s">
        <v>2385</v>
      </c>
    </row>
    <row r="1097" spans="1:11" x14ac:dyDescent="0.25">
      <c r="A1097" s="579">
        <v>28</v>
      </c>
      <c r="B1097" s="575" t="s">
        <v>1663</v>
      </c>
      <c r="C1097" s="575" t="s">
        <v>2392</v>
      </c>
      <c r="D1097" s="575" t="s">
        <v>2175</v>
      </c>
      <c r="E1097" s="576">
        <v>30</v>
      </c>
      <c r="F1097" s="577">
        <v>900</v>
      </c>
      <c r="G1097" s="578">
        <v>26999.91</v>
      </c>
      <c r="H1097" s="579" t="s">
        <v>2428</v>
      </c>
      <c r="I1097" s="575" t="s">
        <v>1231</v>
      </c>
      <c r="J1097" s="579" t="s">
        <v>157</v>
      </c>
      <c r="K1097" s="575" t="s">
        <v>2385</v>
      </c>
    </row>
    <row r="1098" spans="1:11" x14ac:dyDescent="0.25">
      <c r="A1098" s="579">
        <v>28</v>
      </c>
      <c r="B1098" s="575" t="s">
        <v>1239</v>
      </c>
      <c r="C1098" s="575" t="s">
        <v>2176</v>
      </c>
      <c r="D1098" s="575" t="s">
        <v>2177</v>
      </c>
      <c r="E1098" s="576">
        <v>2</v>
      </c>
      <c r="F1098" s="577">
        <v>27500</v>
      </c>
      <c r="G1098" s="578">
        <v>55000.01</v>
      </c>
      <c r="H1098" s="579" t="s">
        <v>2428</v>
      </c>
      <c r="I1098" s="575" t="s">
        <v>1231</v>
      </c>
      <c r="J1098" s="579" t="s">
        <v>157</v>
      </c>
      <c r="K1098" s="575" t="s">
        <v>2385</v>
      </c>
    </row>
    <row r="1099" spans="1:11" x14ac:dyDescent="0.25">
      <c r="A1099" s="579">
        <v>28</v>
      </c>
      <c r="B1099" s="575" t="s">
        <v>1101</v>
      </c>
      <c r="C1099" s="575" t="s">
        <v>2178</v>
      </c>
      <c r="D1099" s="575" t="s">
        <v>2179</v>
      </c>
      <c r="E1099" s="576">
        <v>25</v>
      </c>
      <c r="F1099" s="577">
        <v>9100</v>
      </c>
      <c r="G1099" s="578">
        <v>227500.03</v>
      </c>
      <c r="H1099" s="579" t="s">
        <v>2428</v>
      </c>
      <c r="I1099" s="575" t="s">
        <v>1231</v>
      </c>
      <c r="J1099" s="579" t="s">
        <v>157</v>
      </c>
      <c r="K1099" s="575" t="s">
        <v>2385</v>
      </c>
    </row>
    <row r="1100" spans="1:11" x14ac:dyDescent="0.25">
      <c r="A1100" s="579">
        <v>28</v>
      </c>
      <c r="B1100" s="575" t="s">
        <v>1101</v>
      </c>
      <c r="C1100" s="575" t="s">
        <v>2180</v>
      </c>
      <c r="D1100" s="575" t="s">
        <v>2395</v>
      </c>
      <c r="E1100" s="576">
        <v>8</v>
      </c>
      <c r="F1100" s="577">
        <v>2500</v>
      </c>
      <c r="G1100" s="578">
        <v>20000</v>
      </c>
      <c r="H1100" s="579" t="s">
        <v>2428</v>
      </c>
      <c r="I1100" s="575" t="s">
        <v>1231</v>
      </c>
      <c r="J1100" s="579" t="s">
        <v>157</v>
      </c>
      <c r="K1100" s="575" t="s">
        <v>2385</v>
      </c>
    </row>
    <row r="1101" spans="1:11" x14ac:dyDescent="0.25">
      <c r="A1101" s="579">
        <v>28</v>
      </c>
      <c r="B1101" s="575" t="s">
        <v>1101</v>
      </c>
      <c r="C1101" s="575" t="s">
        <v>2182</v>
      </c>
      <c r="D1101" s="575" t="s">
        <v>2183</v>
      </c>
      <c r="E1101" s="576">
        <v>200</v>
      </c>
      <c r="F1101" s="577">
        <v>390</v>
      </c>
      <c r="G1101" s="578">
        <v>77999.740000000005</v>
      </c>
      <c r="H1101" s="579" t="s">
        <v>2428</v>
      </c>
      <c r="I1101" s="575" t="s">
        <v>1231</v>
      </c>
      <c r="J1101" s="579" t="s">
        <v>157</v>
      </c>
      <c r="K1101" s="575" t="s">
        <v>2385</v>
      </c>
    </row>
    <row r="1102" spans="1:11" x14ac:dyDescent="0.25">
      <c r="A1102" s="579">
        <v>28</v>
      </c>
      <c r="B1102" s="575" t="s">
        <v>1101</v>
      </c>
      <c r="C1102" s="575" t="s">
        <v>2184</v>
      </c>
      <c r="D1102" s="575" t="s">
        <v>2185</v>
      </c>
      <c r="E1102" s="576">
        <v>10</v>
      </c>
      <c r="F1102" s="577">
        <v>9600</v>
      </c>
      <c r="G1102" s="578">
        <v>96000.04</v>
      </c>
      <c r="H1102" s="579" t="s">
        <v>2428</v>
      </c>
      <c r="I1102" s="575" t="s">
        <v>1231</v>
      </c>
      <c r="J1102" s="579" t="s">
        <v>157</v>
      </c>
      <c r="K1102" s="575" t="s">
        <v>2385</v>
      </c>
    </row>
    <row r="1103" spans="1:11" x14ac:dyDescent="0.25">
      <c r="A1103" s="579">
        <v>28</v>
      </c>
      <c r="B1103" s="575" t="s">
        <v>1663</v>
      </c>
      <c r="C1103" s="575" t="s">
        <v>2396</v>
      </c>
      <c r="D1103" s="575" t="s">
        <v>2187</v>
      </c>
      <c r="E1103" s="576">
        <v>12</v>
      </c>
      <c r="F1103" s="577">
        <v>10600</v>
      </c>
      <c r="G1103" s="578">
        <v>127199.96</v>
      </c>
      <c r="H1103" s="579" t="s">
        <v>2428</v>
      </c>
      <c r="I1103" s="575" t="s">
        <v>1231</v>
      </c>
      <c r="J1103" s="579" t="s">
        <v>157</v>
      </c>
      <c r="K1103" s="575" t="s">
        <v>2385</v>
      </c>
    </row>
    <row r="1104" spans="1:11" x14ac:dyDescent="0.25">
      <c r="A1104" s="579">
        <v>28</v>
      </c>
      <c r="B1104" s="575" t="s">
        <v>1239</v>
      </c>
      <c r="C1104" s="575" t="s">
        <v>2430</v>
      </c>
      <c r="D1104" s="575" t="s">
        <v>2189</v>
      </c>
      <c r="E1104" s="576">
        <v>5</v>
      </c>
      <c r="F1104" s="577">
        <v>2100</v>
      </c>
      <c r="G1104" s="578">
        <v>10500</v>
      </c>
      <c r="H1104" s="579" t="s">
        <v>2428</v>
      </c>
      <c r="I1104" s="575" t="s">
        <v>1231</v>
      </c>
      <c r="J1104" s="579" t="s">
        <v>157</v>
      </c>
      <c r="K1104" s="575" t="s">
        <v>2385</v>
      </c>
    </row>
    <row r="1105" spans="1:11" x14ac:dyDescent="0.25">
      <c r="A1105" s="579">
        <v>28</v>
      </c>
      <c r="B1105" s="575" t="s">
        <v>1239</v>
      </c>
      <c r="C1105" s="575" t="s">
        <v>2190</v>
      </c>
      <c r="D1105" s="575" t="s">
        <v>2191</v>
      </c>
      <c r="E1105" s="576">
        <v>25</v>
      </c>
      <c r="F1105" s="577">
        <v>2100</v>
      </c>
      <c r="G1105" s="578">
        <v>52500</v>
      </c>
      <c r="H1105" s="579" t="s">
        <v>2428</v>
      </c>
      <c r="I1105" s="575" t="s">
        <v>1231</v>
      </c>
      <c r="J1105" s="579" t="s">
        <v>157</v>
      </c>
      <c r="K1105" s="575" t="s">
        <v>2385</v>
      </c>
    </row>
    <row r="1106" spans="1:11" x14ac:dyDescent="0.25">
      <c r="A1106" s="579">
        <v>28</v>
      </c>
      <c r="B1106" s="575" t="s">
        <v>1239</v>
      </c>
      <c r="C1106" s="575" t="s">
        <v>2431</v>
      </c>
      <c r="D1106" s="575" t="s">
        <v>2432</v>
      </c>
      <c r="E1106" s="576">
        <v>2</v>
      </c>
      <c r="F1106" s="577">
        <v>19850</v>
      </c>
      <c r="G1106" s="578">
        <v>39699.99</v>
      </c>
      <c r="H1106" s="579" t="s">
        <v>2428</v>
      </c>
      <c r="I1106" s="575" t="s">
        <v>1231</v>
      </c>
      <c r="J1106" s="579" t="s">
        <v>157</v>
      </c>
      <c r="K1106" s="575" t="s">
        <v>2385</v>
      </c>
    </row>
    <row r="1107" spans="1:11" x14ac:dyDescent="0.25">
      <c r="A1107" s="579">
        <v>28</v>
      </c>
      <c r="B1107" s="575" t="s">
        <v>1663</v>
      </c>
      <c r="C1107" s="575" t="s">
        <v>2236</v>
      </c>
      <c r="D1107" s="575" t="s">
        <v>2237</v>
      </c>
      <c r="E1107" s="576">
        <v>4</v>
      </c>
      <c r="F1107" s="577">
        <v>11400</v>
      </c>
      <c r="G1107" s="578">
        <v>45599.99</v>
      </c>
      <c r="H1107" s="579" t="s">
        <v>2428</v>
      </c>
      <c r="I1107" s="575" t="s">
        <v>1231</v>
      </c>
      <c r="J1107" s="579" t="s">
        <v>157</v>
      </c>
      <c r="K1107" s="575" t="s">
        <v>2385</v>
      </c>
    </row>
    <row r="1108" spans="1:11" x14ac:dyDescent="0.25">
      <c r="A1108" s="579">
        <v>28</v>
      </c>
      <c r="B1108" s="575" t="s">
        <v>1101</v>
      </c>
      <c r="C1108" s="575" t="s">
        <v>2198</v>
      </c>
      <c r="D1108" s="575" t="s">
        <v>2199</v>
      </c>
      <c r="E1108" s="576">
        <v>400</v>
      </c>
      <c r="F1108" s="577">
        <v>440</v>
      </c>
      <c r="G1108" s="578">
        <v>176001</v>
      </c>
      <c r="H1108" s="579" t="s">
        <v>2428</v>
      </c>
      <c r="I1108" s="575" t="s">
        <v>1231</v>
      </c>
      <c r="J1108" s="579" t="s">
        <v>157</v>
      </c>
      <c r="K1108" s="575" t="s">
        <v>2385</v>
      </c>
    </row>
    <row r="1109" spans="1:11" x14ac:dyDescent="0.25">
      <c r="A1109" s="579">
        <v>28</v>
      </c>
      <c r="B1109" s="575" t="s">
        <v>1101</v>
      </c>
      <c r="C1109" s="575" t="s">
        <v>2238</v>
      </c>
      <c r="D1109" s="575" t="s">
        <v>2401</v>
      </c>
      <c r="E1109" s="576">
        <v>200</v>
      </c>
      <c r="F1109" s="577">
        <v>270</v>
      </c>
      <c r="G1109" s="578">
        <v>53999.82</v>
      </c>
      <c r="H1109" s="579" t="s">
        <v>2428</v>
      </c>
      <c r="I1109" s="575" t="s">
        <v>1231</v>
      </c>
      <c r="J1109" s="579" t="s">
        <v>157</v>
      </c>
      <c r="K1109" s="575" t="s">
        <v>2385</v>
      </c>
    </row>
    <row r="1110" spans="1:11" x14ac:dyDescent="0.25">
      <c r="A1110" s="579">
        <v>28</v>
      </c>
      <c r="B1110" s="575" t="s">
        <v>1101</v>
      </c>
      <c r="C1110" s="575" t="s">
        <v>2240</v>
      </c>
      <c r="D1110" s="575" t="s">
        <v>2241</v>
      </c>
      <c r="E1110" s="576">
        <v>100</v>
      </c>
      <c r="F1110" s="577">
        <v>950</v>
      </c>
      <c r="G1110" s="578">
        <v>95000.08</v>
      </c>
      <c r="H1110" s="579" t="s">
        <v>2428</v>
      </c>
      <c r="I1110" s="575" t="s">
        <v>1231</v>
      </c>
      <c r="J1110" s="579" t="s">
        <v>157</v>
      </c>
      <c r="K1110" s="575" t="s">
        <v>2385</v>
      </c>
    </row>
    <row r="1111" spans="1:11" x14ac:dyDescent="0.25">
      <c r="A1111" s="579">
        <v>28</v>
      </c>
      <c r="B1111" s="575" t="s">
        <v>1239</v>
      </c>
      <c r="C1111" s="575" t="s">
        <v>2433</v>
      </c>
      <c r="D1111" s="575" t="s">
        <v>2434</v>
      </c>
      <c r="E1111" s="576">
        <v>1</v>
      </c>
      <c r="F1111" s="577">
        <v>30700</v>
      </c>
      <c r="G1111" s="578">
        <v>30700</v>
      </c>
      <c r="H1111" s="579" t="s">
        <v>2428</v>
      </c>
      <c r="I1111" s="575" t="s">
        <v>1231</v>
      </c>
      <c r="J1111" s="579" t="s">
        <v>157</v>
      </c>
      <c r="K1111" s="575" t="s">
        <v>2385</v>
      </c>
    </row>
    <row r="1112" spans="1:11" x14ac:dyDescent="0.25">
      <c r="A1112" s="579">
        <v>28</v>
      </c>
      <c r="B1112" s="575" t="s">
        <v>1239</v>
      </c>
      <c r="C1112" s="575" t="s">
        <v>2435</v>
      </c>
      <c r="D1112" s="575" t="s">
        <v>2245</v>
      </c>
      <c r="E1112" s="576">
        <v>2</v>
      </c>
      <c r="F1112" s="577">
        <v>30350</v>
      </c>
      <c r="G1112" s="578">
        <v>60700</v>
      </c>
      <c r="H1112" s="579" t="s">
        <v>2428</v>
      </c>
      <c r="I1112" s="575" t="s">
        <v>1231</v>
      </c>
      <c r="J1112" s="579" t="s">
        <v>157</v>
      </c>
      <c r="K1112" s="575" t="s">
        <v>2385</v>
      </c>
    </row>
    <row r="1113" spans="1:11" x14ac:dyDescent="0.25">
      <c r="A1113" s="579">
        <v>28</v>
      </c>
      <c r="B1113" s="575" t="s">
        <v>1239</v>
      </c>
      <c r="C1113" s="575" t="s">
        <v>2402</v>
      </c>
      <c r="D1113" s="575" t="s">
        <v>2247</v>
      </c>
      <c r="E1113" s="576">
        <v>2</v>
      </c>
      <c r="F1113" s="577">
        <v>18650</v>
      </c>
      <c r="G1113" s="578">
        <v>37300</v>
      </c>
      <c r="H1113" s="579" t="s">
        <v>2428</v>
      </c>
      <c r="I1113" s="575" t="s">
        <v>1231</v>
      </c>
      <c r="J1113" s="579" t="s">
        <v>157</v>
      </c>
      <c r="K1113" s="575" t="s">
        <v>2385</v>
      </c>
    </row>
    <row r="1114" spans="1:11" x14ac:dyDescent="0.25">
      <c r="A1114" s="579">
        <v>28</v>
      </c>
      <c r="B1114" s="575" t="s">
        <v>1239</v>
      </c>
      <c r="C1114" s="575" t="s">
        <v>2404</v>
      </c>
      <c r="D1114" s="575" t="s">
        <v>2203</v>
      </c>
      <c r="E1114" s="576">
        <v>2</v>
      </c>
      <c r="F1114" s="577">
        <v>14600</v>
      </c>
      <c r="G1114" s="578">
        <v>29200</v>
      </c>
      <c r="H1114" s="579" t="s">
        <v>2428</v>
      </c>
      <c r="I1114" s="575" t="s">
        <v>1231</v>
      </c>
      <c r="J1114" s="579" t="s">
        <v>157</v>
      </c>
      <c r="K1114" s="575" t="s">
        <v>2385</v>
      </c>
    </row>
    <row r="1115" spans="1:11" x14ac:dyDescent="0.25">
      <c r="A1115" s="579">
        <v>28</v>
      </c>
      <c r="B1115" s="575" t="s">
        <v>1101</v>
      </c>
      <c r="C1115" s="575" t="s">
        <v>2204</v>
      </c>
      <c r="D1115" s="575" t="s">
        <v>2405</v>
      </c>
      <c r="E1115" s="576">
        <v>20</v>
      </c>
      <c r="F1115" s="577">
        <v>11200</v>
      </c>
      <c r="G1115" s="578">
        <v>223999.89</v>
      </c>
      <c r="H1115" s="579" t="s">
        <v>2428</v>
      </c>
      <c r="I1115" s="575" t="s">
        <v>1231</v>
      </c>
      <c r="J1115" s="579" t="s">
        <v>157</v>
      </c>
      <c r="K1115" s="575" t="s">
        <v>2385</v>
      </c>
    </row>
    <row r="1116" spans="1:11" x14ac:dyDescent="0.25">
      <c r="A1116" s="579">
        <v>28</v>
      </c>
      <c r="B1116" s="575" t="s">
        <v>1101</v>
      </c>
      <c r="C1116" s="575" t="s">
        <v>2206</v>
      </c>
      <c r="D1116" s="575" t="s">
        <v>2207</v>
      </c>
      <c r="E1116" s="576">
        <v>12</v>
      </c>
      <c r="F1116" s="577">
        <v>4850</v>
      </c>
      <c r="G1116" s="578">
        <v>58200</v>
      </c>
      <c r="H1116" s="579" t="s">
        <v>2428</v>
      </c>
      <c r="I1116" s="575" t="s">
        <v>1231</v>
      </c>
      <c r="J1116" s="579" t="s">
        <v>157</v>
      </c>
      <c r="K1116" s="575" t="s">
        <v>2385</v>
      </c>
    </row>
    <row r="1117" spans="1:11" x14ac:dyDescent="0.25">
      <c r="A1117" s="579">
        <v>28</v>
      </c>
      <c r="B1117" s="575" t="s">
        <v>1101</v>
      </c>
      <c r="C1117" s="575" t="s">
        <v>2208</v>
      </c>
      <c r="D1117" s="575" t="s">
        <v>2209</v>
      </c>
      <c r="E1117" s="576">
        <v>8</v>
      </c>
      <c r="F1117" s="577">
        <v>2400</v>
      </c>
      <c r="G1117" s="578">
        <v>19200.03</v>
      </c>
      <c r="H1117" s="579" t="s">
        <v>2428</v>
      </c>
      <c r="I1117" s="575" t="s">
        <v>1231</v>
      </c>
      <c r="J1117" s="579" t="s">
        <v>157</v>
      </c>
      <c r="K1117" s="575" t="s">
        <v>2385</v>
      </c>
    </row>
    <row r="1118" spans="1:11" x14ac:dyDescent="0.25">
      <c r="A1118" s="579">
        <v>28</v>
      </c>
      <c r="B1118" s="575" t="s">
        <v>1101</v>
      </c>
      <c r="C1118" s="575" t="s">
        <v>2210</v>
      </c>
      <c r="D1118" s="575" t="s">
        <v>2211</v>
      </c>
      <c r="E1118" s="576">
        <v>6</v>
      </c>
      <c r="F1118" s="577">
        <v>5450</v>
      </c>
      <c r="G1118" s="578">
        <v>32699.99</v>
      </c>
      <c r="H1118" s="579" t="s">
        <v>2428</v>
      </c>
      <c r="I1118" s="575" t="s">
        <v>1231</v>
      </c>
      <c r="J1118" s="579" t="s">
        <v>157</v>
      </c>
      <c r="K1118" s="575" t="s">
        <v>2385</v>
      </c>
    </row>
    <row r="1119" spans="1:11" x14ac:dyDescent="0.25">
      <c r="A1119" s="579">
        <v>28</v>
      </c>
      <c r="B1119" s="575" t="s">
        <v>1663</v>
      </c>
      <c r="C1119" s="575" t="s">
        <v>2436</v>
      </c>
      <c r="D1119" s="575" t="s">
        <v>2437</v>
      </c>
      <c r="E1119" s="576">
        <v>1</v>
      </c>
      <c r="F1119" s="577">
        <v>9801</v>
      </c>
      <c r="G1119" s="578">
        <v>9800.99</v>
      </c>
      <c r="H1119" s="579" t="s">
        <v>2428</v>
      </c>
      <c r="I1119" s="575" t="s">
        <v>1231</v>
      </c>
      <c r="J1119" s="579" t="s">
        <v>157</v>
      </c>
      <c r="K1119" s="575" t="s">
        <v>2385</v>
      </c>
    </row>
    <row r="1120" spans="1:11" x14ac:dyDescent="0.25">
      <c r="A1120" s="579">
        <v>28</v>
      </c>
      <c r="B1120" s="575" t="s">
        <v>1101</v>
      </c>
      <c r="C1120" s="575" t="s">
        <v>2212</v>
      </c>
      <c r="D1120" s="575" t="s">
        <v>2213</v>
      </c>
      <c r="E1120" s="576">
        <v>12</v>
      </c>
      <c r="F1120" s="577">
        <v>5000</v>
      </c>
      <c r="G1120" s="578">
        <v>59999.99</v>
      </c>
      <c r="H1120" s="579" t="s">
        <v>2428</v>
      </c>
      <c r="I1120" s="575" t="s">
        <v>1231</v>
      </c>
      <c r="J1120" s="579" t="s">
        <v>157</v>
      </c>
      <c r="K1120" s="575" t="s">
        <v>2385</v>
      </c>
    </row>
    <row r="1121" spans="1:11" x14ac:dyDescent="0.25">
      <c r="A1121" s="579">
        <v>28</v>
      </c>
      <c r="B1121" s="575" t="s">
        <v>1101</v>
      </c>
      <c r="C1121" s="575" t="s">
        <v>2214</v>
      </c>
      <c r="D1121" s="575" t="s">
        <v>2438</v>
      </c>
      <c r="E1121" s="576">
        <v>12</v>
      </c>
      <c r="F1121" s="577">
        <v>2750</v>
      </c>
      <c r="G1121" s="578">
        <v>32999.94</v>
      </c>
      <c r="H1121" s="579" t="s">
        <v>2428</v>
      </c>
      <c r="I1121" s="575" t="s">
        <v>1231</v>
      </c>
      <c r="J1121" s="579" t="s">
        <v>157</v>
      </c>
      <c r="K1121" s="575" t="s">
        <v>2385</v>
      </c>
    </row>
    <row r="1122" spans="1:11" x14ac:dyDescent="0.25">
      <c r="A1122" s="579">
        <v>28</v>
      </c>
      <c r="B1122" s="575" t="s">
        <v>1239</v>
      </c>
      <c r="C1122" s="575" t="s">
        <v>2406</v>
      </c>
      <c r="D1122" s="575" t="s">
        <v>2253</v>
      </c>
      <c r="E1122" s="576">
        <v>1</v>
      </c>
      <c r="F1122" s="577">
        <v>7200</v>
      </c>
      <c r="G1122" s="578">
        <v>7200</v>
      </c>
      <c r="H1122" s="579" t="s">
        <v>2428</v>
      </c>
      <c r="I1122" s="575" t="s">
        <v>1231</v>
      </c>
      <c r="J1122" s="579" t="s">
        <v>157</v>
      </c>
      <c r="K1122" s="575" t="s">
        <v>2385</v>
      </c>
    </row>
    <row r="1123" spans="1:11" x14ac:dyDescent="0.25">
      <c r="A1123" s="579">
        <v>28</v>
      </c>
      <c r="B1123" s="575" t="s">
        <v>1239</v>
      </c>
      <c r="C1123" s="575" t="s">
        <v>2254</v>
      </c>
      <c r="D1123" s="575" t="s">
        <v>2255</v>
      </c>
      <c r="E1123" s="576">
        <v>2</v>
      </c>
      <c r="F1123" s="577">
        <v>23800</v>
      </c>
      <c r="G1123" s="578">
        <v>47600</v>
      </c>
      <c r="H1123" s="579" t="s">
        <v>2428</v>
      </c>
      <c r="I1123" s="575" t="s">
        <v>1231</v>
      </c>
      <c r="J1123" s="579" t="s">
        <v>157</v>
      </c>
      <c r="K1123" s="575" t="s">
        <v>2385</v>
      </c>
    </row>
    <row r="1124" spans="1:11" x14ac:dyDescent="0.25">
      <c r="A1124" s="579">
        <v>28</v>
      </c>
      <c r="B1124" s="575" t="s">
        <v>1101</v>
      </c>
      <c r="C1124" s="575" t="s">
        <v>2439</v>
      </c>
      <c r="D1124" s="575" t="s">
        <v>2440</v>
      </c>
      <c r="E1124" s="576">
        <v>1</v>
      </c>
      <c r="F1124" s="577">
        <v>21700</v>
      </c>
      <c r="G1124" s="578">
        <v>21700</v>
      </c>
      <c r="H1124" s="579" t="s">
        <v>2428</v>
      </c>
      <c r="I1124" s="575" t="s">
        <v>1231</v>
      </c>
      <c r="J1124" s="579" t="s">
        <v>157</v>
      </c>
      <c r="K1124" s="575" t="s">
        <v>2385</v>
      </c>
    </row>
    <row r="1125" spans="1:11" x14ac:dyDescent="0.25">
      <c r="A1125" s="579">
        <v>28</v>
      </c>
      <c r="B1125" s="575" t="s">
        <v>1101</v>
      </c>
      <c r="C1125" s="575" t="s">
        <v>2220</v>
      </c>
      <c r="D1125" s="575" t="s">
        <v>2221</v>
      </c>
      <c r="E1125" s="576">
        <v>60</v>
      </c>
      <c r="F1125" s="577">
        <v>2000</v>
      </c>
      <c r="G1125" s="578">
        <v>119999.84</v>
      </c>
      <c r="H1125" s="579" t="s">
        <v>2428</v>
      </c>
      <c r="I1125" s="575" t="s">
        <v>1231</v>
      </c>
      <c r="J1125" s="579" t="s">
        <v>157</v>
      </c>
      <c r="K1125" s="575" t="s">
        <v>2385</v>
      </c>
    </row>
    <row r="1126" spans="1:11" x14ac:dyDescent="0.25">
      <c r="A1126" s="579">
        <v>28</v>
      </c>
      <c r="B1126" s="575" t="s">
        <v>1101</v>
      </c>
      <c r="C1126" s="575" t="s">
        <v>2264</v>
      </c>
      <c r="D1126" s="575" t="s">
        <v>2413</v>
      </c>
      <c r="E1126" s="576">
        <v>4</v>
      </c>
      <c r="F1126" s="577">
        <v>17250</v>
      </c>
      <c r="G1126" s="578">
        <v>69000.009999999995</v>
      </c>
      <c r="H1126" s="579" t="s">
        <v>2428</v>
      </c>
      <c r="I1126" s="575" t="s">
        <v>1231</v>
      </c>
      <c r="J1126" s="579" t="s">
        <v>157</v>
      </c>
      <c r="K1126" s="575" t="s">
        <v>2385</v>
      </c>
    </row>
    <row r="1127" spans="1:11" x14ac:dyDescent="0.25">
      <c r="A1127" s="579">
        <v>28</v>
      </c>
      <c r="B1127" s="575" t="s">
        <v>1663</v>
      </c>
      <c r="C1127" s="575" t="s">
        <v>2226</v>
      </c>
      <c r="D1127" s="575" t="s">
        <v>2417</v>
      </c>
      <c r="E1127" s="576">
        <v>12</v>
      </c>
      <c r="F1127" s="577">
        <v>5200</v>
      </c>
      <c r="G1127" s="578">
        <v>62400.03</v>
      </c>
      <c r="H1127" s="579" t="s">
        <v>2428</v>
      </c>
      <c r="I1127" s="575" t="s">
        <v>1231</v>
      </c>
      <c r="J1127" s="579" t="s">
        <v>157</v>
      </c>
      <c r="K1127" s="575" t="s">
        <v>2385</v>
      </c>
    </row>
    <row r="1128" spans="1:11" x14ac:dyDescent="0.25">
      <c r="A1128" s="579">
        <v>28</v>
      </c>
      <c r="B1128" s="575" t="s">
        <v>1663</v>
      </c>
      <c r="C1128" s="575" t="s">
        <v>2228</v>
      </c>
      <c r="D1128" s="575" t="s">
        <v>2229</v>
      </c>
      <c r="E1128" s="576">
        <v>2</v>
      </c>
      <c r="F1128" s="577">
        <v>17500</v>
      </c>
      <c r="G1128" s="578">
        <v>34999.99</v>
      </c>
      <c r="H1128" s="579" t="s">
        <v>2428</v>
      </c>
      <c r="I1128" s="575" t="s">
        <v>1231</v>
      </c>
      <c r="J1128" s="579" t="s">
        <v>157</v>
      </c>
      <c r="K1128" s="575" t="s">
        <v>2385</v>
      </c>
    </row>
    <row r="1129" spans="1:11" x14ac:dyDescent="0.25">
      <c r="A1129" s="579">
        <v>28</v>
      </c>
      <c r="B1129" s="575" t="s">
        <v>1101</v>
      </c>
      <c r="C1129" s="575" t="s">
        <v>2272</v>
      </c>
      <c r="D1129" s="575" t="s">
        <v>2273</v>
      </c>
      <c r="E1129" s="576">
        <v>10</v>
      </c>
      <c r="F1129" s="577">
        <v>2200</v>
      </c>
      <c r="G1129" s="578">
        <v>22000.01</v>
      </c>
      <c r="H1129" s="579" t="s">
        <v>2428</v>
      </c>
      <c r="I1129" s="575" t="s">
        <v>1231</v>
      </c>
      <c r="J1129" s="579" t="s">
        <v>157</v>
      </c>
      <c r="K1129" s="575" t="s">
        <v>2385</v>
      </c>
    </row>
    <row r="1130" spans="1:11" x14ac:dyDescent="0.25">
      <c r="A1130" s="579">
        <v>28</v>
      </c>
      <c r="B1130" s="575" t="s">
        <v>1101</v>
      </c>
      <c r="C1130" s="575" t="s">
        <v>2230</v>
      </c>
      <c r="D1130" s="575" t="s">
        <v>2231</v>
      </c>
      <c r="E1130" s="576">
        <v>10</v>
      </c>
      <c r="F1130" s="577">
        <v>4600</v>
      </c>
      <c r="G1130" s="578">
        <v>46000.04</v>
      </c>
      <c r="H1130" s="579" t="s">
        <v>2428</v>
      </c>
      <c r="I1130" s="575" t="s">
        <v>1231</v>
      </c>
      <c r="J1130" s="579" t="s">
        <v>157</v>
      </c>
      <c r="K1130" s="575" t="s">
        <v>2385</v>
      </c>
    </row>
    <row r="1131" spans="1:11" x14ac:dyDescent="0.25">
      <c r="A1131" s="579">
        <v>28</v>
      </c>
      <c r="B1131" s="575" t="s">
        <v>1663</v>
      </c>
      <c r="C1131" s="575" t="s">
        <v>2441</v>
      </c>
      <c r="D1131" s="575" t="s">
        <v>2442</v>
      </c>
      <c r="E1131" s="576">
        <v>1</v>
      </c>
      <c r="F1131" s="577">
        <v>16900</v>
      </c>
      <c r="G1131" s="578">
        <v>16900</v>
      </c>
      <c r="H1131" s="579" t="s">
        <v>2428</v>
      </c>
      <c r="I1131" s="575" t="s">
        <v>1231</v>
      </c>
      <c r="J1131" s="579" t="s">
        <v>157</v>
      </c>
      <c r="K1131" s="575" t="s">
        <v>2385</v>
      </c>
    </row>
    <row r="1132" spans="1:11" x14ac:dyDescent="0.25">
      <c r="A1132" s="579">
        <v>28</v>
      </c>
      <c r="B1132" s="575" t="s">
        <v>1101</v>
      </c>
      <c r="C1132" s="575" t="s">
        <v>2443</v>
      </c>
      <c r="D1132" s="575" t="s">
        <v>2444</v>
      </c>
      <c r="E1132" s="576">
        <v>12</v>
      </c>
      <c r="F1132" s="577">
        <v>2600</v>
      </c>
      <c r="G1132" s="578">
        <v>31199.94</v>
      </c>
      <c r="H1132" s="579" t="s">
        <v>2428</v>
      </c>
      <c r="I1132" s="575" t="s">
        <v>1231</v>
      </c>
      <c r="J1132" s="579" t="s">
        <v>157</v>
      </c>
      <c r="K1132" s="575" t="s">
        <v>2385</v>
      </c>
    </row>
    <row r="1133" spans="1:11" x14ac:dyDescent="0.25">
      <c r="A1133" s="579">
        <v>28</v>
      </c>
      <c r="B1133" s="575" t="s">
        <v>1101</v>
      </c>
      <c r="C1133" s="575" t="s">
        <v>2418</v>
      </c>
      <c r="D1133" s="575" t="s">
        <v>2419</v>
      </c>
      <c r="E1133" s="576">
        <v>40</v>
      </c>
      <c r="F1133" s="577">
        <v>3100</v>
      </c>
      <c r="G1133" s="578">
        <v>123999.9</v>
      </c>
      <c r="H1133" s="579" t="s">
        <v>2428</v>
      </c>
      <c r="I1133" s="575" t="s">
        <v>1231</v>
      </c>
      <c r="J1133" s="579" t="s">
        <v>157</v>
      </c>
      <c r="K1133" s="575" t="s">
        <v>2385</v>
      </c>
    </row>
  </sheetData>
  <autoFilter ref="A1:K899" xr:uid="{00000000-0009-0000-0000-000006000000}">
    <filterColumn colId="3">
      <filters>
        <filter val="CHORIZO COCTELERO 4 PAQ (Carnicos Montero FAC-0000006666)"/>
        <filter val="CHORIZO PREMIUM 1 PAQ (Carnicos Montero FAC-0000006666)"/>
        <filter val="CHORIZO PREMIUM COCTELERO PAQ. X 40 UND. (MONTERO) COCX40"/>
        <filter val="CHORIZO PREMIUM PAQ. X 12 UND. (MONTERO) 1800gr PREMX12"/>
        <filter val="Chorizos - Compra de caja menor"/>
        <filter val="CHORIZOS (Recibo Caja Menor 10/09/26)"/>
      </filters>
    </filterColumn>
  </autoFilter>
  <dataValidations count="1">
    <dataValidation type="list" errorTitle="Categoría Inválida" error="Por favor seleccione una categoría válida de la lista." promptTitle="Categoría de Gasto/Costo" prompt="Seleccione una categoría:" sqref="B3:B1001" xr:uid="{00000000-0002-0000-0600-000000000000}">
      <formula1>"Carnes,Servicios,Desechables,Verduras,Grano,Bebidas"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8"/>
  <sheetViews>
    <sheetView workbookViewId="0">
      <selection activeCell="C17" sqref="C17"/>
    </sheetView>
  </sheetViews>
  <sheetFormatPr baseColWidth="10" defaultRowHeight="15" x14ac:dyDescent="0.25"/>
  <cols>
    <col min="1" max="1" width="18.42578125" style="403" bestFit="1" customWidth="1"/>
    <col min="2" max="2" width="13.7109375" style="572" bestFit="1" customWidth="1"/>
    <col min="3" max="3" width="23.5703125" style="580" customWidth="1"/>
    <col min="4" max="4" width="11.42578125" style="572" customWidth="1"/>
  </cols>
  <sheetData>
    <row r="1" spans="1:4" s="571" customFormat="1" x14ac:dyDescent="0.25">
      <c r="A1" s="696" t="s">
        <v>2445</v>
      </c>
      <c r="B1" s="697"/>
      <c r="C1" s="697"/>
      <c r="D1" s="697"/>
    </row>
    <row r="2" spans="1:4" x14ac:dyDescent="0.25">
      <c r="A2" s="403" t="s">
        <v>2446</v>
      </c>
      <c r="B2" s="572" t="s">
        <v>2447</v>
      </c>
      <c r="C2" s="580" t="s">
        <v>2448</v>
      </c>
    </row>
    <row r="3" spans="1:4" s="571" customFormat="1" x14ac:dyDescent="0.25">
      <c r="A3" s="406" t="s">
        <v>2449</v>
      </c>
      <c r="B3" s="408">
        <v>46262</v>
      </c>
      <c r="C3" s="580">
        <v>7834972</v>
      </c>
      <c r="D3" s="407" t="s">
        <v>2450</v>
      </c>
    </row>
    <row r="4" spans="1:4" x14ac:dyDescent="0.25">
      <c r="A4" s="399" t="s">
        <v>209</v>
      </c>
      <c r="B4" s="401">
        <v>1</v>
      </c>
      <c r="C4" s="581">
        <v>2546555</v>
      </c>
      <c r="D4" s="401" t="s">
        <v>2450</v>
      </c>
    </row>
    <row r="5" spans="1:4" x14ac:dyDescent="0.25">
      <c r="A5" s="399" t="s">
        <v>218</v>
      </c>
      <c r="B5" s="401">
        <v>1</v>
      </c>
      <c r="C5" s="581">
        <v>1978665</v>
      </c>
      <c r="D5" s="401" t="s">
        <v>2450</v>
      </c>
    </row>
    <row r="6" spans="1:4" x14ac:dyDescent="0.25">
      <c r="A6" s="399" t="s">
        <v>274</v>
      </c>
      <c r="B6" s="401">
        <v>5</v>
      </c>
      <c r="C6" s="581">
        <v>7583980</v>
      </c>
      <c r="D6" s="401" t="s">
        <v>2450</v>
      </c>
    </row>
    <row r="7" spans="1:4" x14ac:dyDescent="0.25">
      <c r="A7" s="398" t="s">
        <v>300</v>
      </c>
      <c r="B7" s="572">
        <v>7</v>
      </c>
      <c r="C7" s="580">
        <v>1528617</v>
      </c>
    </row>
    <row r="8" spans="1:4" x14ac:dyDescent="0.25">
      <c r="A8" s="398" t="s">
        <v>324</v>
      </c>
      <c r="B8" s="572">
        <v>9</v>
      </c>
      <c r="C8" s="580">
        <v>4065132</v>
      </c>
    </row>
    <row r="9" spans="1:4" x14ac:dyDescent="0.25">
      <c r="A9" s="398" t="s">
        <v>441</v>
      </c>
      <c r="B9" s="572">
        <v>17</v>
      </c>
      <c r="C9" s="580">
        <v>4335049</v>
      </c>
    </row>
    <row r="10" spans="1:4" x14ac:dyDescent="0.25">
      <c r="A10" s="404" t="s">
        <v>371</v>
      </c>
      <c r="B10" s="572">
        <v>12</v>
      </c>
      <c r="C10" s="580">
        <v>6083354</v>
      </c>
    </row>
    <row r="11" spans="1:4" x14ac:dyDescent="0.25">
      <c r="A11" s="405" t="s">
        <v>413</v>
      </c>
      <c r="B11" s="572">
        <v>14</v>
      </c>
      <c r="C11" s="580">
        <v>660028.80000000005</v>
      </c>
    </row>
    <row r="12" spans="1:4" s="571" customFormat="1" x14ac:dyDescent="0.25">
      <c r="A12" s="409" t="s">
        <v>473</v>
      </c>
      <c r="B12" s="407">
        <v>19</v>
      </c>
      <c r="C12" s="580">
        <v>4708833</v>
      </c>
      <c r="D12" s="407"/>
    </row>
    <row r="13" spans="1:4" x14ac:dyDescent="0.25">
      <c r="A13" s="398"/>
    </row>
    <row r="14" spans="1:4" x14ac:dyDescent="0.25">
      <c r="B14" s="402" t="s">
        <v>2448</v>
      </c>
      <c r="C14" s="582">
        <v>41325185.799999997</v>
      </c>
    </row>
    <row r="15" spans="1:4" x14ac:dyDescent="0.25">
      <c r="B15" s="572" t="s">
        <v>2451</v>
      </c>
      <c r="C15" s="580">
        <v>19944172</v>
      </c>
    </row>
    <row r="16" spans="1:4" x14ac:dyDescent="0.25">
      <c r="B16" s="572" t="s">
        <v>2452</v>
      </c>
      <c r="C16" s="580">
        <v>21381013.800000001</v>
      </c>
    </row>
    <row r="18" spans="3:3" x14ac:dyDescent="0.25">
      <c r="C18" s="572"/>
    </row>
    <row r="19" spans="3:3" x14ac:dyDescent="0.25">
      <c r="C19" s="572"/>
    </row>
    <row r="20" spans="3:3" x14ac:dyDescent="0.25">
      <c r="C20" s="572"/>
    </row>
    <row r="21" spans="3:3" x14ac:dyDescent="0.25">
      <c r="C21" s="572"/>
    </row>
    <row r="22" spans="3:3" x14ac:dyDescent="0.25">
      <c r="C22" s="572"/>
    </row>
    <row r="23" spans="3:3" x14ac:dyDescent="0.25">
      <c r="C23" s="572"/>
    </row>
    <row r="24" spans="3:3" x14ac:dyDescent="0.25">
      <c r="C24" s="572"/>
    </row>
    <row r="25" spans="3:3" x14ac:dyDescent="0.25">
      <c r="C25" s="572"/>
    </row>
    <row r="26" spans="3:3" x14ac:dyDescent="0.25">
      <c r="C26" s="572"/>
    </row>
    <row r="27" spans="3:3" x14ac:dyDescent="0.25">
      <c r="C27" s="572"/>
    </row>
    <row r="28" spans="3:3" x14ac:dyDescent="0.25">
      <c r="C28" s="572"/>
    </row>
    <row r="29" spans="3:3" x14ac:dyDescent="0.25">
      <c r="C29" s="572"/>
    </row>
    <row r="30" spans="3:3" x14ac:dyDescent="0.25">
      <c r="C30" s="572"/>
    </row>
    <row r="31" spans="3:3" x14ac:dyDescent="0.25">
      <c r="C31" s="572"/>
    </row>
    <row r="32" spans="3:3" x14ac:dyDescent="0.25">
      <c r="C32" s="572"/>
    </row>
    <row r="33" spans="3:3" x14ac:dyDescent="0.25">
      <c r="C33" s="572"/>
    </row>
    <row r="34" spans="3:3" x14ac:dyDescent="0.25">
      <c r="C34" s="572"/>
    </row>
    <row r="35" spans="3:3" x14ac:dyDescent="0.25">
      <c r="C35" s="572"/>
    </row>
    <row r="36" spans="3:3" x14ac:dyDescent="0.25">
      <c r="C36" s="572"/>
    </row>
    <row r="37" spans="3:3" x14ac:dyDescent="0.25">
      <c r="C37" s="572"/>
    </row>
    <row r="38" spans="3:3" x14ac:dyDescent="0.25">
      <c r="C38" s="572"/>
    </row>
    <row r="39" spans="3:3" x14ac:dyDescent="0.25">
      <c r="C39" s="572"/>
    </row>
    <row r="40" spans="3:3" x14ac:dyDescent="0.25">
      <c r="C40" s="572"/>
    </row>
    <row r="41" spans="3:3" x14ac:dyDescent="0.25">
      <c r="C41" s="572"/>
    </row>
    <row r="42" spans="3:3" x14ac:dyDescent="0.25">
      <c r="C42" s="572"/>
    </row>
    <row r="43" spans="3:3" x14ac:dyDescent="0.25">
      <c r="C43" s="572"/>
    </row>
    <row r="44" spans="3:3" x14ac:dyDescent="0.25">
      <c r="C44" s="572"/>
    </row>
    <row r="45" spans="3:3" x14ac:dyDescent="0.25">
      <c r="C45" s="572"/>
    </row>
    <row r="46" spans="3:3" x14ac:dyDescent="0.25">
      <c r="C46" s="572"/>
    </row>
    <row r="47" spans="3:3" x14ac:dyDescent="0.25">
      <c r="C47" s="572"/>
    </row>
    <row r="48" spans="3:3" x14ac:dyDescent="0.25">
      <c r="C48" s="572"/>
    </row>
  </sheetData>
  <mergeCells count="1">
    <mergeCell ref="A1:D1"/>
  </mergeCells>
  <conditionalFormatting sqref="A2:A9 A49:A1048576">
    <cfRule type="duplicateValues" dxfId="1" priority="2"/>
  </conditionalFormatting>
  <conditionalFormatting sqref="A1:A10 A49:A1048576">
    <cfRule type="duplicateValues" dxfId="0" priority="1"/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5"/>
  <sheetViews>
    <sheetView topLeftCell="A44" zoomScale="70" zoomScaleNormal="70" workbookViewId="0">
      <selection activeCell="F87" sqref="F87:G87"/>
    </sheetView>
  </sheetViews>
  <sheetFormatPr baseColWidth="10" defaultColWidth="9.140625" defaultRowHeight="15" x14ac:dyDescent="0.25"/>
  <cols>
    <col min="1" max="1" width="3" style="565" customWidth="1"/>
    <col min="2" max="2" width="5" style="572" customWidth="1"/>
    <col min="3" max="3" width="17.42578125" style="572" customWidth="1"/>
    <col min="4" max="4" width="10" style="572" customWidth="1"/>
    <col min="5" max="5" width="26.85546875" style="572" customWidth="1"/>
    <col min="6" max="6" width="28" style="565" customWidth="1"/>
    <col min="7" max="7" width="18.7109375" style="565" bestFit="1" customWidth="1"/>
    <col min="8" max="8" width="27.28515625" style="565" bestFit="1" customWidth="1"/>
    <col min="9" max="9" width="16" style="565" customWidth="1"/>
    <col min="10" max="10" width="14" style="565" customWidth="1"/>
    <col min="11" max="11" width="15" style="565" customWidth="1"/>
    <col min="12" max="12" width="20" style="565" customWidth="1"/>
    <col min="13" max="13" width="50" style="565" customWidth="1"/>
  </cols>
  <sheetData>
    <row r="1" spans="1:13" x14ac:dyDescent="0.25">
      <c r="A1" s="362"/>
      <c r="B1" s="456"/>
      <c r="C1" s="456"/>
      <c r="D1" s="456"/>
      <c r="E1" s="456"/>
      <c r="F1" s="362"/>
      <c r="G1" s="362"/>
      <c r="H1" s="362"/>
      <c r="I1" s="362"/>
      <c r="J1" s="362"/>
    </row>
    <row r="2" spans="1:13" ht="27.95" customHeight="1" x14ac:dyDescent="0.25">
      <c r="A2" s="362"/>
      <c r="B2" s="725" t="s">
        <v>2453</v>
      </c>
      <c r="C2" s="707"/>
      <c r="D2" s="707"/>
      <c r="E2" s="707"/>
      <c r="F2" s="642"/>
      <c r="G2" s="642"/>
      <c r="H2" s="642"/>
      <c r="I2" s="642"/>
      <c r="J2" s="642"/>
      <c r="K2" s="642"/>
      <c r="L2" s="642"/>
      <c r="M2" s="642"/>
    </row>
    <row r="3" spans="1:13" ht="18" customHeight="1" x14ac:dyDescent="0.25">
      <c r="A3" s="362"/>
      <c r="B3" s="706" t="s">
        <v>2454</v>
      </c>
      <c r="C3" s="707"/>
      <c r="D3" s="707"/>
      <c r="E3" s="707"/>
      <c r="F3" s="642"/>
      <c r="G3" s="642"/>
      <c r="H3" s="642"/>
      <c r="I3" s="642"/>
      <c r="J3" s="642"/>
      <c r="K3" s="642"/>
      <c r="L3" s="642"/>
      <c r="M3" s="642"/>
    </row>
    <row r="4" spans="1:13" x14ac:dyDescent="0.25">
      <c r="A4" s="362"/>
      <c r="B4" s="456"/>
      <c r="C4" s="456"/>
      <c r="D4" s="456"/>
      <c r="E4" s="456"/>
      <c r="F4" s="362"/>
      <c r="G4" s="362"/>
      <c r="H4" s="362"/>
      <c r="I4" s="362"/>
      <c r="J4" s="362"/>
    </row>
    <row r="5" spans="1:13" ht="15.95" customHeight="1" x14ac:dyDescent="0.25">
      <c r="A5" s="362"/>
      <c r="B5" s="699" t="s">
        <v>2455</v>
      </c>
      <c r="C5" s="648"/>
      <c r="D5" s="699" t="s">
        <v>2456</v>
      </c>
      <c r="E5" s="648"/>
      <c r="F5" s="701" t="s">
        <v>1248</v>
      </c>
      <c r="G5" s="648"/>
      <c r="H5" s="701" t="s">
        <v>2457</v>
      </c>
      <c r="I5" s="648"/>
      <c r="J5" s="701" t="s">
        <v>2458</v>
      </c>
      <c r="K5" s="648"/>
      <c r="L5" s="701" t="s">
        <v>2459</v>
      </c>
      <c r="M5" s="648"/>
    </row>
    <row r="6" spans="1:13" ht="24" customHeight="1" x14ac:dyDescent="0.3">
      <c r="A6" s="362"/>
      <c r="B6" s="709">
        <v>60724569</v>
      </c>
      <c r="C6" s="648"/>
      <c r="D6" s="709">
        <v>41681950</v>
      </c>
      <c r="E6" s="648"/>
      <c r="F6" s="719">
        <v>12243950</v>
      </c>
      <c r="G6" s="648"/>
      <c r="H6" s="719">
        <v>114650469</v>
      </c>
      <c r="I6" s="648"/>
      <c r="J6" s="719">
        <v>171951612.61000001</v>
      </c>
      <c r="K6" s="648"/>
      <c r="L6" s="708" t="s">
        <v>2460</v>
      </c>
      <c r="M6" s="648"/>
    </row>
    <row r="7" spans="1:13" ht="15" customHeight="1" x14ac:dyDescent="0.25">
      <c r="A7" s="362"/>
      <c r="B7" s="720" t="s">
        <v>2461</v>
      </c>
      <c r="C7" s="648"/>
      <c r="D7" s="720" t="s">
        <v>2462</v>
      </c>
      <c r="E7" s="648"/>
      <c r="F7" s="721" t="s">
        <v>2463</v>
      </c>
      <c r="G7" s="648"/>
      <c r="H7" s="721" t="s">
        <v>2464</v>
      </c>
      <c r="I7" s="648"/>
      <c r="J7" s="721" t="s">
        <v>2465</v>
      </c>
      <c r="K7" s="648"/>
      <c r="L7" s="721" t="s">
        <v>2466</v>
      </c>
      <c r="M7" s="648"/>
    </row>
    <row r="8" spans="1:13" x14ac:dyDescent="0.25">
      <c r="A8" s="362"/>
      <c r="B8" s="456"/>
      <c r="C8" s="456"/>
      <c r="D8" s="456"/>
      <c r="E8" s="456"/>
      <c r="F8" s="362"/>
      <c r="G8" s="362"/>
      <c r="H8" s="362"/>
      <c r="I8" s="362"/>
      <c r="J8" s="362"/>
    </row>
    <row r="9" spans="1:13" ht="21.95" customHeight="1" x14ac:dyDescent="0.25">
      <c r="A9" s="362"/>
      <c r="B9" s="714" t="s">
        <v>2467</v>
      </c>
      <c r="C9" s="707"/>
      <c r="D9" s="707"/>
      <c r="E9" s="707"/>
      <c r="F9" s="642"/>
      <c r="G9" s="642"/>
      <c r="H9" s="642"/>
      <c r="I9" s="642"/>
      <c r="J9" s="642"/>
      <c r="K9" s="642"/>
      <c r="L9" s="642"/>
      <c r="M9" s="642"/>
    </row>
    <row r="10" spans="1:13" ht="24" customHeight="1" x14ac:dyDescent="0.25">
      <c r="A10" s="362"/>
      <c r="B10" s="454" t="s">
        <v>2468</v>
      </c>
      <c r="C10" s="454" t="s">
        <v>2469</v>
      </c>
      <c r="D10" s="454" t="s">
        <v>2470</v>
      </c>
      <c r="E10" s="454" t="s">
        <v>48</v>
      </c>
      <c r="F10" s="363" t="s">
        <v>2471</v>
      </c>
      <c r="G10" s="363" t="s">
        <v>2472</v>
      </c>
      <c r="H10" s="363" t="s">
        <v>2473</v>
      </c>
      <c r="I10" s="363" t="s">
        <v>2474</v>
      </c>
      <c r="J10" s="363" t="s">
        <v>2475</v>
      </c>
      <c r="K10" s="363" t="s">
        <v>2476</v>
      </c>
      <c r="L10" s="363" t="s">
        <v>2477</v>
      </c>
      <c r="M10" s="363" t="s">
        <v>2478</v>
      </c>
    </row>
    <row r="11" spans="1:13" ht="18.95" customHeight="1" x14ac:dyDescent="0.25">
      <c r="A11" s="362"/>
      <c r="B11" s="439">
        <v>1</v>
      </c>
      <c r="C11" s="439" t="s">
        <v>2479</v>
      </c>
      <c r="D11" s="364">
        <v>1</v>
      </c>
      <c r="E11" s="439">
        <v>11</v>
      </c>
      <c r="F11" s="365" t="s">
        <v>2480</v>
      </c>
      <c r="G11" s="441">
        <v>5241000</v>
      </c>
      <c r="H11" s="366" t="s">
        <v>2481</v>
      </c>
      <c r="I11" s="441">
        <v>5241000</v>
      </c>
      <c r="J11" s="391">
        <v>0</v>
      </c>
      <c r="K11" s="439" t="s">
        <v>2482</v>
      </c>
      <c r="L11" s="439" t="s">
        <v>1715</v>
      </c>
      <c r="M11" s="440" t="s">
        <v>2483</v>
      </c>
    </row>
    <row r="12" spans="1:13" ht="18.95" customHeight="1" x14ac:dyDescent="0.25">
      <c r="A12" s="362"/>
      <c r="B12" s="367">
        <v>2</v>
      </c>
      <c r="C12" s="367" t="s">
        <v>2479</v>
      </c>
      <c r="D12" s="368">
        <v>2</v>
      </c>
      <c r="E12" s="367">
        <v>11</v>
      </c>
      <c r="F12" s="369" t="s">
        <v>2484</v>
      </c>
      <c r="G12" s="370">
        <v>728000</v>
      </c>
      <c r="H12" s="371" t="s">
        <v>2485</v>
      </c>
      <c r="I12" s="370">
        <v>728000</v>
      </c>
      <c r="J12" s="392">
        <v>0</v>
      </c>
      <c r="K12" s="367" t="s">
        <v>2486</v>
      </c>
      <c r="L12" s="367" t="s">
        <v>390</v>
      </c>
      <c r="M12" s="372" t="s">
        <v>2487</v>
      </c>
    </row>
    <row r="13" spans="1:13" ht="18.95" customHeight="1" x14ac:dyDescent="0.25">
      <c r="A13" s="362"/>
      <c r="B13" s="439">
        <v>3</v>
      </c>
      <c r="C13" s="439" t="s">
        <v>2479</v>
      </c>
      <c r="D13" s="364">
        <v>3</v>
      </c>
      <c r="E13" s="439">
        <v>11</v>
      </c>
      <c r="F13" s="365" t="s">
        <v>1725</v>
      </c>
      <c r="G13" s="441">
        <v>19944200</v>
      </c>
      <c r="H13" s="373" t="s">
        <v>2485</v>
      </c>
      <c r="I13" s="441">
        <v>19944200</v>
      </c>
      <c r="J13" s="391">
        <v>0</v>
      </c>
      <c r="K13" s="439" t="s">
        <v>2488</v>
      </c>
      <c r="L13" s="439" t="s">
        <v>390</v>
      </c>
      <c r="M13" s="440" t="s">
        <v>2489</v>
      </c>
    </row>
    <row r="14" spans="1:13" ht="18.95" customHeight="1" x14ac:dyDescent="0.25">
      <c r="A14" s="362"/>
      <c r="B14" s="367">
        <v>4</v>
      </c>
      <c r="C14" s="367" t="s">
        <v>2479</v>
      </c>
      <c r="D14" s="368">
        <v>4</v>
      </c>
      <c r="E14" s="367">
        <v>11</v>
      </c>
      <c r="F14" s="369" t="s">
        <v>972</v>
      </c>
      <c r="G14" s="370">
        <v>16523800</v>
      </c>
      <c r="H14" s="374" t="s">
        <v>2490</v>
      </c>
      <c r="I14" s="370">
        <v>16523800</v>
      </c>
      <c r="J14" s="392">
        <v>0</v>
      </c>
      <c r="K14" s="367" t="s">
        <v>2491</v>
      </c>
      <c r="L14" s="367" t="s">
        <v>971</v>
      </c>
      <c r="M14" s="372" t="s">
        <v>2492</v>
      </c>
    </row>
    <row r="15" spans="1:13" ht="18.95" customHeight="1" x14ac:dyDescent="0.25">
      <c r="A15" s="362"/>
      <c r="B15" s="439">
        <v>5</v>
      </c>
      <c r="C15" s="439" t="s">
        <v>2479</v>
      </c>
      <c r="D15" s="364">
        <v>5</v>
      </c>
      <c r="E15" s="439">
        <v>11</v>
      </c>
      <c r="F15" s="365" t="s">
        <v>1731</v>
      </c>
      <c r="G15" s="441">
        <v>2288950</v>
      </c>
      <c r="H15" s="373" t="s">
        <v>2485</v>
      </c>
      <c r="I15" s="441">
        <v>2288950</v>
      </c>
      <c r="J15" s="391">
        <v>0</v>
      </c>
      <c r="K15" s="439" t="s">
        <v>2493</v>
      </c>
      <c r="L15" s="439" t="s">
        <v>390</v>
      </c>
      <c r="M15" s="440" t="s">
        <v>2494</v>
      </c>
    </row>
    <row r="16" spans="1:13" ht="18.95" customHeight="1" x14ac:dyDescent="0.25">
      <c r="A16" s="362"/>
      <c r="B16" s="367">
        <v>6</v>
      </c>
      <c r="C16" s="367" t="s">
        <v>2479</v>
      </c>
      <c r="D16" s="368">
        <v>6</v>
      </c>
      <c r="E16" s="367">
        <v>11</v>
      </c>
      <c r="F16" s="369" t="s">
        <v>2495</v>
      </c>
      <c r="G16" s="370">
        <v>254200</v>
      </c>
      <c r="H16" s="374" t="s">
        <v>2481</v>
      </c>
      <c r="I16" s="370">
        <v>254200</v>
      </c>
      <c r="J16" s="392">
        <v>0</v>
      </c>
      <c r="K16" s="367" t="s">
        <v>2496</v>
      </c>
      <c r="L16" s="367" t="s">
        <v>2497</v>
      </c>
      <c r="M16" s="372" t="s">
        <v>2498</v>
      </c>
    </row>
    <row r="17" spans="1:13" ht="18.95" customHeight="1" x14ac:dyDescent="0.25">
      <c r="A17" s="362"/>
      <c r="B17" s="439">
        <v>7</v>
      </c>
      <c r="C17" s="439" t="s">
        <v>2479</v>
      </c>
      <c r="D17" s="364">
        <v>7</v>
      </c>
      <c r="E17" s="439">
        <v>11</v>
      </c>
      <c r="F17" s="365" t="s">
        <v>2499</v>
      </c>
      <c r="G17" s="441">
        <v>227500</v>
      </c>
      <c r="H17" s="366" t="s">
        <v>2481</v>
      </c>
      <c r="I17" s="441">
        <v>227500</v>
      </c>
      <c r="J17" s="391">
        <v>0</v>
      </c>
      <c r="K17" s="439" t="s">
        <v>2500</v>
      </c>
      <c r="L17" s="439" t="s">
        <v>2501</v>
      </c>
      <c r="M17" s="440" t="s">
        <v>2502</v>
      </c>
    </row>
    <row r="18" spans="1:13" ht="18.95" customHeight="1" x14ac:dyDescent="0.25">
      <c r="A18" s="362"/>
      <c r="B18" s="367">
        <v>8</v>
      </c>
      <c r="C18" s="367" t="s">
        <v>2479</v>
      </c>
      <c r="D18" s="368">
        <v>8</v>
      </c>
      <c r="E18" s="367">
        <v>11</v>
      </c>
      <c r="F18" s="369" t="s">
        <v>1826</v>
      </c>
      <c r="G18" s="370">
        <v>200000</v>
      </c>
      <c r="H18" s="375" t="s">
        <v>2503</v>
      </c>
      <c r="I18" s="370">
        <v>204000</v>
      </c>
      <c r="J18" s="392">
        <v>-4000</v>
      </c>
      <c r="K18" s="367" t="s">
        <v>2504</v>
      </c>
      <c r="L18" s="367" t="s">
        <v>2505</v>
      </c>
      <c r="M18" s="372" t="s">
        <v>2506</v>
      </c>
    </row>
    <row r="19" spans="1:13" ht="18.95" customHeight="1" x14ac:dyDescent="0.25">
      <c r="A19" s="362"/>
      <c r="B19" s="439">
        <v>9</v>
      </c>
      <c r="C19" s="439" t="s">
        <v>2479</v>
      </c>
      <c r="D19" s="364">
        <v>9</v>
      </c>
      <c r="E19" s="439">
        <v>11</v>
      </c>
      <c r="F19" s="365" t="s">
        <v>1826</v>
      </c>
      <c r="G19" s="441">
        <v>200000</v>
      </c>
      <c r="H19" s="373" t="s">
        <v>2485</v>
      </c>
      <c r="I19" s="441">
        <v>200000</v>
      </c>
      <c r="J19" s="391">
        <v>0</v>
      </c>
      <c r="K19" s="439" t="s">
        <v>2507</v>
      </c>
      <c r="L19" s="439" t="s">
        <v>390</v>
      </c>
      <c r="M19" s="440" t="s">
        <v>2508</v>
      </c>
    </row>
    <row r="20" spans="1:13" ht="18.95" customHeight="1" x14ac:dyDescent="0.25">
      <c r="A20" s="362"/>
      <c r="B20" s="367">
        <v>10</v>
      </c>
      <c r="C20" s="367" t="s">
        <v>2479</v>
      </c>
      <c r="D20" s="368">
        <v>10</v>
      </c>
      <c r="E20" s="367">
        <v>11</v>
      </c>
      <c r="F20" s="369" t="s">
        <v>2509</v>
      </c>
      <c r="G20" s="370">
        <v>443900</v>
      </c>
      <c r="H20" s="374" t="s">
        <v>2481</v>
      </c>
      <c r="I20" s="370">
        <v>443900</v>
      </c>
      <c r="J20" s="392">
        <v>0</v>
      </c>
      <c r="K20" s="367" t="s">
        <v>2510</v>
      </c>
      <c r="L20" s="367" t="s">
        <v>390</v>
      </c>
      <c r="M20" s="372" t="s">
        <v>2511</v>
      </c>
    </row>
    <row r="21" spans="1:13" ht="18.95" customHeight="1" x14ac:dyDescent="0.25">
      <c r="A21" s="362"/>
      <c r="B21" s="439">
        <v>11</v>
      </c>
      <c r="C21" s="439" t="s">
        <v>2479</v>
      </c>
      <c r="D21" s="364">
        <v>11</v>
      </c>
      <c r="E21" s="439">
        <v>11</v>
      </c>
      <c r="F21" s="365" t="s">
        <v>2512</v>
      </c>
      <c r="G21" s="441">
        <v>198500</v>
      </c>
      <c r="H21" s="366" t="s">
        <v>2481</v>
      </c>
      <c r="I21" s="441">
        <v>198500</v>
      </c>
      <c r="J21" s="391">
        <v>0</v>
      </c>
      <c r="K21" s="439" t="s">
        <v>2513</v>
      </c>
      <c r="L21" s="439" t="s">
        <v>2514</v>
      </c>
      <c r="M21" s="440" t="s">
        <v>2515</v>
      </c>
    </row>
    <row r="22" spans="1:13" ht="18.95" customHeight="1" x14ac:dyDescent="0.25">
      <c r="A22" s="362"/>
      <c r="B22" s="367">
        <v>12</v>
      </c>
      <c r="C22" s="367" t="s">
        <v>2479</v>
      </c>
      <c r="D22" s="368">
        <v>12</v>
      </c>
      <c r="E22" s="367">
        <v>11</v>
      </c>
      <c r="F22" s="369" t="s">
        <v>391</v>
      </c>
      <c r="G22" s="370">
        <v>238000</v>
      </c>
      <c r="H22" s="374" t="s">
        <v>2481</v>
      </c>
      <c r="I22" s="370">
        <v>238000</v>
      </c>
      <c r="J22" s="392">
        <v>0</v>
      </c>
      <c r="K22" s="367" t="s">
        <v>2516</v>
      </c>
      <c r="L22" s="367" t="s">
        <v>2514</v>
      </c>
      <c r="M22" s="372" t="s">
        <v>2517</v>
      </c>
    </row>
    <row r="23" spans="1:13" ht="18.95" customHeight="1" x14ac:dyDescent="0.25">
      <c r="A23" s="362"/>
      <c r="B23" s="439">
        <v>13</v>
      </c>
      <c r="C23" s="439" t="s">
        <v>2479</v>
      </c>
      <c r="D23" s="364">
        <v>13</v>
      </c>
      <c r="E23" s="439">
        <v>11</v>
      </c>
      <c r="F23" s="365" t="s">
        <v>2518</v>
      </c>
      <c r="G23" s="441">
        <v>91950</v>
      </c>
      <c r="H23" s="366" t="s">
        <v>2481</v>
      </c>
      <c r="I23" s="441">
        <v>91950</v>
      </c>
      <c r="J23" s="391">
        <v>0</v>
      </c>
      <c r="K23" s="439" t="s">
        <v>2519</v>
      </c>
      <c r="L23" s="439" t="s">
        <v>2514</v>
      </c>
      <c r="M23" s="440" t="s">
        <v>2520</v>
      </c>
    </row>
    <row r="24" spans="1:13" ht="18.95" customHeight="1" x14ac:dyDescent="0.25">
      <c r="A24" s="362"/>
      <c r="B24" s="367">
        <v>14</v>
      </c>
      <c r="C24" s="367" t="s">
        <v>2479</v>
      </c>
      <c r="D24" s="368">
        <v>14</v>
      </c>
      <c r="E24" s="367">
        <v>11</v>
      </c>
      <c r="F24" s="369" t="s">
        <v>2521</v>
      </c>
      <c r="G24" s="370">
        <v>43269</v>
      </c>
      <c r="H24" s="374" t="s">
        <v>2481</v>
      </c>
      <c r="I24" s="370">
        <v>43269</v>
      </c>
      <c r="J24" s="392">
        <v>0</v>
      </c>
      <c r="K24" s="367" t="s">
        <v>2522</v>
      </c>
      <c r="L24" s="367" t="s">
        <v>2523</v>
      </c>
      <c r="M24" s="372" t="s">
        <v>2524</v>
      </c>
    </row>
    <row r="25" spans="1:13" ht="18.95" customHeight="1" x14ac:dyDescent="0.25">
      <c r="A25" s="362"/>
      <c r="B25" s="439">
        <v>15</v>
      </c>
      <c r="C25" s="439" t="s">
        <v>2479</v>
      </c>
      <c r="D25" s="364">
        <v>15</v>
      </c>
      <c r="E25" s="439">
        <v>11</v>
      </c>
      <c r="F25" s="365" t="s">
        <v>2525</v>
      </c>
      <c r="G25" s="441">
        <v>8850</v>
      </c>
      <c r="H25" s="366" t="s">
        <v>2481</v>
      </c>
      <c r="I25" s="441">
        <v>8850</v>
      </c>
      <c r="J25" s="391">
        <v>0</v>
      </c>
      <c r="K25" s="439" t="s">
        <v>2526</v>
      </c>
      <c r="L25" s="439" t="s">
        <v>2523</v>
      </c>
      <c r="M25" s="440" t="s">
        <v>2527</v>
      </c>
    </row>
    <row r="26" spans="1:13" ht="18.95" customHeight="1" x14ac:dyDescent="0.25">
      <c r="A26" s="362"/>
      <c r="B26" s="367">
        <v>16</v>
      </c>
      <c r="C26" s="367" t="s">
        <v>2479</v>
      </c>
      <c r="D26" s="368">
        <v>16</v>
      </c>
      <c r="E26" s="367">
        <v>11</v>
      </c>
      <c r="F26" s="369" t="s">
        <v>359</v>
      </c>
      <c r="G26" s="370">
        <v>364000</v>
      </c>
      <c r="H26" s="371" t="s">
        <v>2485</v>
      </c>
      <c r="I26" s="370">
        <v>364000</v>
      </c>
      <c r="J26" s="392">
        <v>0</v>
      </c>
      <c r="K26" s="367" t="s">
        <v>2528</v>
      </c>
      <c r="L26" s="367" t="s">
        <v>390</v>
      </c>
      <c r="M26" s="372" t="s">
        <v>2529</v>
      </c>
    </row>
    <row r="27" spans="1:13" ht="18.95" customHeight="1" x14ac:dyDescent="0.25">
      <c r="A27" s="362"/>
      <c r="B27" s="439">
        <v>17</v>
      </c>
      <c r="C27" s="439" t="s">
        <v>2479</v>
      </c>
      <c r="D27" s="364">
        <v>17</v>
      </c>
      <c r="E27" s="439">
        <v>11</v>
      </c>
      <c r="F27" s="365" t="s">
        <v>1348</v>
      </c>
      <c r="G27" s="441">
        <v>738000</v>
      </c>
      <c r="H27" s="366" t="s">
        <v>2481</v>
      </c>
      <c r="I27" s="441">
        <v>738000</v>
      </c>
      <c r="J27" s="391">
        <v>0</v>
      </c>
      <c r="K27" s="439" t="s">
        <v>2530</v>
      </c>
      <c r="L27" s="439" t="s">
        <v>2514</v>
      </c>
      <c r="M27" s="440" t="s">
        <v>2531</v>
      </c>
    </row>
    <row r="28" spans="1:13" ht="18.95" customHeight="1" x14ac:dyDescent="0.25">
      <c r="A28" s="362"/>
      <c r="B28" s="367">
        <v>18</v>
      </c>
      <c r="C28" s="367" t="s">
        <v>2479</v>
      </c>
      <c r="D28" s="368">
        <v>18</v>
      </c>
      <c r="E28" s="367">
        <v>11</v>
      </c>
      <c r="F28" s="369" t="s">
        <v>359</v>
      </c>
      <c r="G28" s="370">
        <v>364000</v>
      </c>
      <c r="H28" s="371" t="s">
        <v>2485</v>
      </c>
      <c r="I28" s="370">
        <v>364000</v>
      </c>
      <c r="J28" s="392">
        <v>0</v>
      </c>
      <c r="K28" s="367" t="s">
        <v>2532</v>
      </c>
      <c r="L28" s="367" t="s">
        <v>390</v>
      </c>
      <c r="M28" s="372" t="s">
        <v>2533</v>
      </c>
    </row>
    <row r="29" spans="1:13" ht="18.95" customHeight="1" x14ac:dyDescent="0.25">
      <c r="A29" s="362"/>
      <c r="B29" s="439">
        <v>19</v>
      </c>
      <c r="C29" s="439" t="s">
        <v>2479</v>
      </c>
      <c r="D29" s="364">
        <v>19</v>
      </c>
      <c r="E29" s="439">
        <v>11</v>
      </c>
      <c r="F29" s="365" t="s">
        <v>360</v>
      </c>
      <c r="G29" s="441">
        <v>1124100</v>
      </c>
      <c r="H29" s="373" t="s">
        <v>2485</v>
      </c>
      <c r="I29" s="441">
        <v>1124100</v>
      </c>
      <c r="J29" s="391">
        <v>0</v>
      </c>
      <c r="K29" s="439" t="s">
        <v>2534</v>
      </c>
      <c r="L29" s="439" t="s">
        <v>390</v>
      </c>
      <c r="M29" s="440" t="s">
        <v>2535</v>
      </c>
    </row>
    <row r="30" spans="1:13" ht="18.95" customHeight="1" x14ac:dyDescent="0.25">
      <c r="A30" s="362"/>
      <c r="B30" s="367">
        <v>20</v>
      </c>
      <c r="C30" s="367" t="s">
        <v>2479</v>
      </c>
      <c r="D30" s="368">
        <v>20</v>
      </c>
      <c r="E30" s="367">
        <v>11</v>
      </c>
      <c r="F30" s="369" t="s">
        <v>2536</v>
      </c>
      <c r="G30" s="370">
        <v>19000</v>
      </c>
      <c r="H30" s="374" t="s">
        <v>2481</v>
      </c>
      <c r="I30" s="370">
        <v>19000</v>
      </c>
      <c r="J30" s="392">
        <v>0</v>
      </c>
      <c r="K30" s="367" t="s">
        <v>2537</v>
      </c>
      <c r="L30" s="367" t="s">
        <v>2538</v>
      </c>
      <c r="M30" s="372" t="s">
        <v>2539</v>
      </c>
    </row>
    <row r="31" spans="1:13" ht="18.95" customHeight="1" x14ac:dyDescent="0.25">
      <c r="A31" s="362"/>
      <c r="B31" s="439">
        <v>21</v>
      </c>
      <c r="C31" s="439" t="s">
        <v>2479</v>
      </c>
      <c r="D31" s="364">
        <v>21</v>
      </c>
      <c r="E31" s="439">
        <v>11</v>
      </c>
      <c r="F31" s="365" t="s">
        <v>2540</v>
      </c>
      <c r="G31" s="441">
        <v>336000</v>
      </c>
      <c r="H31" s="366" t="s">
        <v>2481</v>
      </c>
      <c r="I31" s="441">
        <v>336000</v>
      </c>
      <c r="J31" s="391">
        <v>0</v>
      </c>
      <c r="K31" s="439" t="s">
        <v>2541</v>
      </c>
      <c r="L31" s="439" t="s">
        <v>2538</v>
      </c>
      <c r="M31" s="440" t="s">
        <v>2542</v>
      </c>
    </row>
    <row r="32" spans="1:13" ht="18.95" customHeight="1" x14ac:dyDescent="0.25">
      <c r="A32" s="362"/>
      <c r="B32" s="367">
        <v>22</v>
      </c>
      <c r="C32" s="367" t="s">
        <v>2479</v>
      </c>
      <c r="D32" s="368">
        <v>22</v>
      </c>
      <c r="E32" s="367">
        <v>11</v>
      </c>
      <c r="F32" s="369" t="s">
        <v>2543</v>
      </c>
      <c r="G32" s="370">
        <v>422400</v>
      </c>
      <c r="H32" s="374" t="s">
        <v>2481</v>
      </c>
      <c r="I32" s="370">
        <v>422400</v>
      </c>
      <c r="J32" s="392">
        <v>0</v>
      </c>
      <c r="K32" s="367" t="s">
        <v>2544</v>
      </c>
      <c r="L32" s="367" t="s">
        <v>390</v>
      </c>
      <c r="M32" s="372" t="s">
        <v>2545</v>
      </c>
    </row>
    <row r="33" spans="1:13" ht="18.95" customHeight="1" x14ac:dyDescent="0.25">
      <c r="A33" s="362"/>
      <c r="B33" s="439">
        <v>23</v>
      </c>
      <c r="C33" s="439" t="s">
        <v>2479</v>
      </c>
      <c r="D33" s="364">
        <v>23</v>
      </c>
      <c r="E33" s="439">
        <v>11</v>
      </c>
      <c r="F33" s="365" t="s">
        <v>2546</v>
      </c>
      <c r="G33" s="441">
        <v>58000</v>
      </c>
      <c r="H33" s="366" t="s">
        <v>2481</v>
      </c>
      <c r="I33" s="441">
        <v>58000</v>
      </c>
      <c r="J33" s="391">
        <v>0</v>
      </c>
      <c r="K33" s="439" t="s">
        <v>2547</v>
      </c>
      <c r="L33" s="439" t="s">
        <v>2538</v>
      </c>
      <c r="M33" s="440" t="s">
        <v>2548</v>
      </c>
    </row>
    <row r="34" spans="1:13" ht="18.95" customHeight="1" x14ac:dyDescent="0.25">
      <c r="A34" s="362"/>
      <c r="B34" s="367">
        <v>24</v>
      </c>
      <c r="C34" s="367" t="s">
        <v>2479</v>
      </c>
      <c r="D34" s="368">
        <v>24</v>
      </c>
      <c r="E34" s="367">
        <v>11</v>
      </c>
      <c r="F34" s="369" t="s">
        <v>2549</v>
      </c>
      <c r="G34" s="370">
        <v>10000</v>
      </c>
      <c r="H34" s="374" t="s">
        <v>2481</v>
      </c>
      <c r="I34" s="370">
        <v>10000</v>
      </c>
      <c r="J34" s="392">
        <v>0</v>
      </c>
      <c r="K34" s="367" t="s">
        <v>2550</v>
      </c>
      <c r="L34" s="367" t="s">
        <v>2538</v>
      </c>
      <c r="M34" s="372" t="s">
        <v>2551</v>
      </c>
    </row>
    <row r="35" spans="1:13" ht="18.95" customHeight="1" x14ac:dyDescent="0.25">
      <c r="A35" s="362"/>
      <c r="B35" s="439">
        <v>25</v>
      </c>
      <c r="C35" s="439" t="s">
        <v>2479</v>
      </c>
      <c r="D35" s="364">
        <v>25</v>
      </c>
      <c r="E35" s="439">
        <v>11</v>
      </c>
      <c r="F35" s="365" t="s">
        <v>1730</v>
      </c>
      <c r="G35" s="441">
        <v>15000</v>
      </c>
      <c r="H35" s="373" t="s">
        <v>2485</v>
      </c>
      <c r="I35" s="441">
        <v>15000</v>
      </c>
      <c r="J35" s="391">
        <v>0</v>
      </c>
      <c r="K35" s="439" t="s">
        <v>2552</v>
      </c>
      <c r="L35" s="439" t="s">
        <v>390</v>
      </c>
      <c r="M35" s="440" t="s">
        <v>2553</v>
      </c>
    </row>
    <row r="36" spans="1:13" ht="18.95" customHeight="1" x14ac:dyDescent="0.25">
      <c r="A36" s="362"/>
      <c r="B36" s="367">
        <v>26</v>
      </c>
      <c r="C36" s="367" t="s">
        <v>2479</v>
      </c>
      <c r="D36" s="368">
        <v>26</v>
      </c>
      <c r="E36" s="367">
        <v>11</v>
      </c>
      <c r="F36" s="369" t="s">
        <v>2554</v>
      </c>
      <c r="G36" s="370">
        <v>17000</v>
      </c>
      <c r="H36" s="374" t="s">
        <v>2481</v>
      </c>
      <c r="I36" s="370">
        <v>17000</v>
      </c>
      <c r="J36" s="392">
        <v>0</v>
      </c>
      <c r="K36" s="367" t="s">
        <v>2555</v>
      </c>
      <c r="L36" s="367" t="s">
        <v>2538</v>
      </c>
      <c r="M36" s="372" t="s">
        <v>2556</v>
      </c>
    </row>
    <row r="37" spans="1:13" ht="18.95" customHeight="1" x14ac:dyDescent="0.25">
      <c r="A37" s="362"/>
      <c r="B37" s="439">
        <v>27</v>
      </c>
      <c r="C37" s="439" t="s">
        <v>2479</v>
      </c>
      <c r="D37" s="364">
        <v>27</v>
      </c>
      <c r="E37" s="439">
        <v>11</v>
      </c>
      <c r="F37" s="365" t="s">
        <v>1333</v>
      </c>
      <c r="G37" s="441">
        <v>20000</v>
      </c>
      <c r="H37" s="366" t="s">
        <v>2481</v>
      </c>
      <c r="I37" s="441">
        <v>20000</v>
      </c>
      <c r="J37" s="391">
        <v>0</v>
      </c>
      <c r="K37" s="439" t="s">
        <v>2557</v>
      </c>
      <c r="L37" s="439" t="s">
        <v>2538</v>
      </c>
      <c r="M37" s="440" t="s">
        <v>2558</v>
      </c>
    </row>
    <row r="38" spans="1:13" ht="18.95" customHeight="1" x14ac:dyDescent="0.25">
      <c r="A38" s="362"/>
      <c r="B38" s="367">
        <v>28</v>
      </c>
      <c r="C38" s="367" t="s">
        <v>2479</v>
      </c>
      <c r="D38" s="368">
        <v>28</v>
      </c>
      <c r="E38" s="367">
        <v>11</v>
      </c>
      <c r="F38" s="369" t="s">
        <v>2559</v>
      </c>
      <c r="G38" s="370">
        <v>279350</v>
      </c>
      <c r="H38" s="374" t="s">
        <v>2481</v>
      </c>
      <c r="I38" s="370">
        <v>279350</v>
      </c>
      <c r="J38" s="392">
        <v>0</v>
      </c>
      <c r="K38" s="367" t="s">
        <v>2560</v>
      </c>
      <c r="L38" s="367" t="s">
        <v>2561</v>
      </c>
      <c r="M38" s="372" t="s">
        <v>2562</v>
      </c>
    </row>
    <row r="39" spans="1:13" ht="18.95" customHeight="1" x14ac:dyDescent="0.25">
      <c r="A39" s="362"/>
      <c r="B39" s="439">
        <v>29</v>
      </c>
      <c r="C39" s="439" t="s">
        <v>2479</v>
      </c>
      <c r="D39" s="364">
        <v>29</v>
      </c>
      <c r="E39" s="439">
        <v>11</v>
      </c>
      <c r="F39" s="365" t="s">
        <v>2559</v>
      </c>
      <c r="G39" s="441">
        <v>434750</v>
      </c>
      <c r="H39" s="366" t="s">
        <v>2481</v>
      </c>
      <c r="I39" s="441">
        <v>434750</v>
      </c>
      <c r="J39" s="391">
        <v>0</v>
      </c>
      <c r="K39" s="439" t="s">
        <v>2563</v>
      </c>
      <c r="L39" s="439" t="s">
        <v>2561</v>
      </c>
      <c r="M39" s="440" t="s">
        <v>2564</v>
      </c>
    </row>
    <row r="40" spans="1:13" ht="18.95" customHeight="1" x14ac:dyDescent="0.25">
      <c r="A40" s="362"/>
      <c r="B40" s="367">
        <v>30</v>
      </c>
      <c r="C40" s="367" t="s">
        <v>2479</v>
      </c>
      <c r="D40" s="368">
        <v>30</v>
      </c>
      <c r="E40" s="367">
        <v>11</v>
      </c>
      <c r="F40" s="369" t="s">
        <v>2559</v>
      </c>
      <c r="G40" s="370">
        <v>260250</v>
      </c>
      <c r="H40" s="374" t="s">
        <v>2481</v>
      </c>
      <c r="I40" s="370">
        <v>260250</v>
      </c>
      <c r="J40" s="392">
        <v>0</v>
      </c>
      <c r="K40" s="367" t="s">
        <v>2565</v>
      </c>
      <c r="L40" s="367" t="s">
        <v>2561</v>
      </c>
      <c r="M40" s="372" t="s">
        <v>2566</v>
      </c>
    </row>
    <row r="41" spans="1:13" ht="18.95" customHeight="1" x14ac:dyDescent="0.25">
      <c r="A41" s="362"/>
      <c r="B41" s="439">
        <v>31</v>
      </c>
      <c r="C41" s="439" t="s">
        <v>2479</v>
      </c>
      <c r="D41" s="364">
        <v>31</v>
      </c>
      <c r="E41" s="439">
        <v>11</v>
      </c>
      <c r="F41" s="365" t="s">
        <v>1723</v>
      </c>
      <c r="G41" s="441">
        <v>1200000</v>
      </c>
      <c r="H41" s="373" t="s">
        <v>2485</v>
      </c>
      <c r="I41" s="441">
        <v>1200000</v>
      </c>
      <c r="J41" s="391">
        <v>0</v>
      </c>
      <c r="K41" s="439" t="s">
        <v>2567</v>
      </c>
      <c r="L41" s="439" t="s">
        <v>390</v>
      </c>
      <c r="M41" s="440" t="s">
        <v>2568</v>
      </c>
    </row>
    <row r="42" spans="1:13" ht="18.95" customHeight="1" x14ac:dyDescent="0.25">
      <c r="A42" s="362"/>
      <c r="B42" s="367">
        <v>32</v>
      </c>
      <c r="C42" s="367" t="s">
        <v>2479</v>
      </c>
      <c r="D42" s="368">
        <v>32</v>
      </c>
      <c r="E42" s="367">
        <v>11</v>
      </c>
      <c r="F42" s="369" t="s">
        <v>1348</v>
      </c>
      <c r="G42" s="370">
        <v>1076000</v>
      </c>
      <c r="H42" s="371" t="s">
        <v>2485</v>
      </c>
      <c r="I42" s="370">
        <v>1076000</v>
      </c>
      <c r="J42" s="392">
        <v>0</v>
      </c>
      <c r="K42" s="367" t="s">
        <v>2569</v>
      </c>
      <c r="L42" s="367" t="s">
        <v>390</v>
      </c>
      <c r="M42" s="372" t="s">
        <v>2570</v>
      </c>
    </row>
    <row r="43" spans="1:13" ht="18.95" customHeight="1" x14ac:dyDescent="0.25">
      <c r="A43" s="362"/>
      <c r="B43" s="439">
        <v>33</v>
      </c>
      <c r="C43" s="439" t="s">
        <v>2479</v>
      </c>
      <c r="D43" s="364">
        <v>33</v>
      </c>
      <c r="E43" s="439">
        <v>11</v>
      </c>
      <c r="F43" s="365" t="s">
        <v>2571</v>
      </c>
      <c r="G43" s="441">
        <v>429800</v>
      </c>
      <c r="H43" s="376" t="s">
        <v>2572</v>
      </c>
      <c r="I43" s="441">
        <v>438415</v>
      </c>
      <c r="J43" s="391">
        <v>-8615</v>
      </c>
      <c r="K43" s="439" t="s">
        <v>2573</v>
      </c>
      <c r="L43" s="439" t="s">
        <v>2574</v>
      </c>
      <c r="M43" s="440" t="s">
        <v>2575</v>
      </c>
    </row>
    <row r="44" spans="1:13" ht="18.95" customHeight="1" x14ac:dyDescent="0.25">
      <c r="A44" s="362"/>
      <c r="B44" s="367">
        <v>34</v>
      </c>
      <c r="C44" s="367" t="s">
        <v>2479</v>
      </c>
      <c r="D44" s="368">
        <v>34</v>
      </c>
      <c r="E44" s="367">
        <v>11</v>
      </c>
      <c r="F44" s="369" t="s">
        <v>2576</v>
      </c>
      <c r="G44" s="370">
        <v>649800</v>
      </c>
      <c r="H44" s="374" t="s">
        <v>2481</v>
      </c>
      <c r="I44" s="370">
        <v>649800</v>
      </c>
      <c r="J44" s="392">
        <v>0</v>
      </c>
      <c r="K44" s="367" t="s">
        <v>2577</v>
      </c>
      <c r="L44" s="367" t="s">
        <v>2578</v>
      </c>
      <c r="M44" s="372" t="s">
        <v>2579</v>
      </c>
    </row>
    <row r="45" spans="1:13" ht="18.95" customHeight="1" x14ac:dyDescent="0.25">
      <c r="A45" s="362"/>
      <c r="B45" s="439">
        <v>35</v>
      </c>
      <c r="C45" s="439" t="s">
        <v>2479</v>
      </c>
      <c r="D45" s="364">
        <v>35</v>
      </c>
      <c r="E45" s="439">
        <v>11</v>
      </c>
      <c r="F45" s="365" t="s">
        <v>1729</v>
      </c>
      <c r="G45" s="441">
        <v>200000</v>
      </c>
      <c r="H45" s="373" t="s">
        <v>2485</v>
      </c>
      <c r="I45" s="441">
        <v>200000</v>
      </c>
      <c r="J45" s="391">
        <v>0</v>
      </c>
      <c r="K45" s="439" t="s">
        <v>2580</v>
      </c>
      <c r="L45" s="439" t="s">
        <v>390</v>
      </c>
      <c r="M45" s="440" t="s">
        <v>2581</v>
      </c>
    </row>
    <row r="46" spans="1:13" ht="18.95" customHeight="1" x14ac:dyDescent="0.25">
      <c r="A46" s="362"/>
      <c r="B46" s="367">
        <v>36</v>
      </c>
      <c r="C46" s="367" t="s">
        <v>2479</v>
      </c>
      <c r="D46" s="368">
        <v>36</v>
      </c>
      <c r="E46" s="367">
        <v>11</v>
      </c>
      <c r="F46" s="369" t="s">
        <v>2582</v>
      </c>
      <c r="G46" s="370">
        <v>432000</v>
      </c>
      <c r="H46" s="371" t="s">
        <v>2485</v>
      </c>
      <c r="I46" s="370">
        <v>432000</v>
      </c>
      <c r="J46" s="392">
        <v>0</v>
      </c>
      <c r="K46" s="367" t="s">
        <v>2583</v>
      </c>
      <c r="L46" s="367" t="s">
        <v>390</v>
      </c>
      <c r="M46" s="372" t="s">
        <v>2584</v>
      </c>
    </row>
    <row r="47" spans="1:13" s="111" customFormat="1" ht="18.95" customHeight="1" x14ac:dyDescent="0.25">
      <c r="A47" s="362"/>
      <c r="B47" s="439">
        <v>37</v>
      </c>
      <c r="C47" s="439" t="s">
        <v>2479</v>
      </c>
      <c r="D47" s="364">
        <v>37</v>
      </c>
      <c r="E47" s="377">
        <v>15</v>
      </c>
      <c r="F47" s="365" t="s">
        <v>2585</v>
      </c>
      <c r="G47" s="441">
        <v>4910200</v>
      </c>
      <c r="H47" s="378" t="s">
        <v>2586</v>
      </c>
      <c r="I47" s="379">
        <v>4920175</v>
      </c>
      <c r="J47" s="393">
        <v>-9975</v>
      </c>
      <c r="K47" s="439" t="s">
        <v>2587</v>
      </c>
      <c r="L47" s="439" t="s">
        <v>2588</v>
      </c>
      <c r="M47" s="440" t="s">
        <v>2589</v>
      </c>
    </row>
    <row r="48" spans="1:13" s="111" customFormat="1" ht="18.95" customHeight="1" x14ac:dyDescent="0.25">
      <c r="A48" s="362"/>
      <c r="B48" s="367">
        <v>38</v>
      </c>
      <c r="C48" s="367" t="s">
        <v>2479</v>
      </c>
      <c r="D48" s="368">
        <v>38</v>
      </c>
      <c r="E48" s="380">
        <v>15</v>
      </c>
      <c r="F48" s="369" t="s">
        <v>2590</v>
      </c>
      <c r="G48" s="370">
        <v>240000</v>
      </c>
      <c r="H48" s="381" t="s">
        <v>2591</v>
      </c>
      <c r="I48" s="382">
        <v>240000</v>
      </c>
      <c r="J48" s="394">
        <v>0</v>
      </c>
      <c r="K48" s="367" t="s">
        <v>2592</v>
      </c>
      <c r="L48" s="367" t="s">
        <v>2593</v>
      </c>
      <c r="M48" s="372" t="s">
        <v>2594</v>
      </c>
    </row>
    <row r="49" spans="1:13" ht="18.95" customHeight="1" thickBot="1" x14ac:dyDescent="0.3">
      <c r="A49" s="362"/>
      <c r="B49" s="439">
        <v>39</v>
      </c>
      <c r="C49" s="439" t="s">
        <v>2479</v>
      </c>
      <c r="D49" s="364">
        <v>39</v>
      </c>
      <c r="E49" s="439">
        <v>15</v>
      </c>
      <c r="F49" s="365" t="s">
        <v>2595</v>
      </c>
      <c r="G49" s="441">
        <v>118900</v>
      </c>
      <c r="H49" s="383" t="s">
        <v>2591</v>
      </c>
      <c r="I49" s="441">
        <v>118900</v>
      </c>
      <c r="J49" s="391">
        <v>0</v>
      </c>
      <c r="K49" s="439" t="s">
        <v>2596</v>
      </c>
      <c r="L49" s="439" t="s">
        <v>2593</v>
      </c>
      <c r="M49" s="440" t="s">
        <v>2597</v>
      </c>
    </row>
    <row r="50" spans="1:13" ht="18.95" customHeight="1" thickTop="1" x14ac:dyDescent="0.25">
      <c r="A50" s="362"/>
      <c r="B50" s="367">
        <v>40</v>
      </c>
      <c r="C50" s="367" t="s">
        <v>2479</v>
      </c>
      <c r="D50" s="368">
        <v>40</v>
      </c>
      <c r="E50" s="367">
        <v>15</v>
      </c>
      <c r="F50" s="372" t="s">
        <v>2598</v>
      </c>
      <c r="G50" s="370">
        <v>373900</v>
      </c>
      <c r="H50" s="371" t="s">
        <v>2599</v>
      </c>
      <c r="I50" s="370">
        <v>376852</v>
      </c>
      <c r="J50" s="392">
        <v>-2952</v>
      </c>
      <c r="K50" s="367" t="s">
        <v>2600</v>
      </c>
      <c r="L50" s="367" t="s">
        <v>2601</v>
      </c>
      <c r="M50" s="372" t="s">
        <v>2602</v>
      </c>
    </row>
    <row r="51" spans="1:13" ht="18.95" customHeight="1" x14ac:dyDescent="0.25">
      <c r="A51" s="362"/>
      <c r="B51" s="439">
        <v>41</v>
      </c>
      <c r="C51" s="439" t="s">
        <v>2603</v>
      </c>
      <c r="D51" s="364">
        <v>1</v>
      </c>
      <c r="E51" s="364">
        <v>15</v>
      </c>
      <c r="F51" s="440" t="s">
        <v>2604</v>
      </c>
      <c r="G51" s="441">
        <v>20000</v>
      </c>
      <c r="H51" s="383" t="s">
        <v>2591</v>
      </c>
      <c r="I51" s="441">
        <v>20000</v>
      </c>
      <c r="J51" s="391">
        <v>0</v>
      </c>
      <c r="K51" s="439" t="s">
        <v>2605</v>
      </c>
      <c r="L51" s="439" t="s">
        <v>2606</v>
      </c>
      <c r="M51" s="440" t="s">
        <v>2607</v>
      </c>
    </row>
    <row r="52" spans="1:13" ht="18.95" customHeight="1" x14ac:dyDescent="0.25">
      <c r="A52" s="362"/>
      <c r="B52" s="367">
        <v>42</v>
      </c>
      <c r="C52" s="367" t="s">
        <v>2603</v>
      </c>
      <c r="D52" s="583">
        <v>2</v>
      </c>
      <c r="E52" s="367">
        <v>15</v>
      </c>
      <c r="F52" s="372" t="s">
        <v>2608</v>
      </c>
      <c r="G52" s="370">
        <v>800000</v>
      </c>
      <c r="H52" s="374" t="s">
        <v>2609</v>
      </c>
      <c r="I52" s="370">
        <v>800000</v>
      </c>
      <c r="J52" s="392">
        <v>0</v>
      </c>
      <c r="K52" s="367" t="s">
        <v>2610</v>
      </c>
      <c r="L52" s="367" t="s">
        <v>962</v>
      </c>
      <c r="M52" s="372" t="s">
        <v>2611</v>
      </c>
    </row>
    <row r="53" spans="1:13" ht="18.95" customHeight="1" x14ac:dyDescent="0.25">
      <c r="A53" s="362"/>
      <c r="B53" s="439">
        <v>43</v>
      </c>
      <c r="C53" s="439" t="s">
        <v>2603</v>
      </c>
      <c r="D53" s="584">
        <v>3</v>
      </c>
      <c r="E53" s="439">
        <v>15</v>
      </c>
      <c r="F53" s="440" t="s">
        <v>1348</v>
      </c>
      <c r="G53" s="441">
        <v>1130000</v>
      </c>
      <c r="H53" s="366" t="s">
        <v>2612</v>
      </c>
      <c r="I53" s="441">
        <v>1130000</v>
      </c>
      <c r="J53" s="391">
        <v>0</v>
      </c>
      <c r="K53" s="439" t="s">
        <v>2613</v>
      </c>
      <c r="L53" s="439" t="s">
        <v>1816</v>
      </c>
      <c r="M53" s="440" t="s">
        <v>2614</v>
      </c>
    </row>
    <row r="54" spans="1:13" ht="18.95" customHeight="1" x14ac:dyDescent="0.25">
      <c r="B54" s="367">
        <v>44</v>
      </c>
      <c r="C54" s="367" t="s">
        <v>2603</v>
      </c>
      <c r="D54" s="367">
        <v>4</v>
      </c>
      <c r="E54" s="367">
        <v>15</v>
      </c>
      <c r="F54" s="372" t="s">
        <v>2615</v>
      </c>
      <c r="G54" s="370">
        <v>355900</v>
      </c>
      <c r="H54" s="374" t="s">
        <v>2490</v>
      </c>
      <c r="I54" s="370">
        <v>355875</v>
      </c>
      <c r="J54" s="392">
        <v>25</v>
      </c>
      <c r="K54" s="367" t="s">
        <v>2616</v>
      </c>
      <c r="L54" s="367" t="s">
        <v>416</v>
      </c>
      <c r="M54" s="372" t="s">
        <v>2617</v>
      </c>
    </row>
    <row r="55" spans="1:13" ht="18.95" customHeight="1" x14ac:dyDescent="0.25">
      <c r="B55" s="439">
        <v>45</v>
      </c>
      <c r="C55" s="439" t="s">
        <v>2603</v>
      </c>
      <c r="D55" s="439">
        <v>5</v>
      </c>
      <c r="E55" s="439">
        <v>15</v>
      </c>
      <c r="F55" s="440" t="s">
        <v>2615</v>
      </c>
      <c r="G55" s="441">
        <v>265200</v>
      </c>
      <c r="H55" s="366" t="s">
        <v>2490</v>
      </c>
      <c r="I55" s="441">
        <v>265200</v>
      </c>
      <c r="J55" s="391">
        <v>0</v>
      </c>
      <c r="K55" s="439" t="s">
        <v>2618</v>
      </c>
      <c r="L55" s="439" t="s">
        <v>2619</v>
      </c>
      <c r="M55" s="440" t="s">
        <v>2620</v>
      </c>
    </row>
    <row r="56" spans="1:13" ht="18.95" customHeight="1" x14ac:dyDescent="0.25">
      <c r="B56" s="367">
        <v>46</v>
      </c>
      <c r="C56" s="367" t="s">
        <v>2603</v>
      </c>
      <c r="D56" s="367">
        <v>6</v>
      </c>
      <c r="E56" s="367">
        <v>15</v>
      </c>
      <c r="F56" s="372" t="s">
        <v>2621</v>
      </c>
      <c r="G56" s="370">
        <v>316350</v>
      </c>
      <c r="H56" s="374" t="s">
        <v>2490</v>
      </c>
      <c r="I56" s="370">
        <v>316350</v>
      </c>
      <c r="J56" s="392">
        <v>0</v>
      </c>
      <c r="K56" s="367" t="s">
        <v>2622</v>
      </c>
      <c r="L56" s="367" t="s">
        <v>2623</v>
      </c>
      <c r="M56" s="372" t="s">
        <v>2624</v>
      </c>
    </row>
    <row r="57" spans="1:13" ht="18.95" customHeight="1" x14ac:dyDescent="0.25">
      <c r="B57" s="439">
        <v>47</v>
      </c>
      <c r="C57" s="439" t="s">
        <v>2603</v>
      </c>
      <c r="D57" s="439">
        <v>7</v>
      </c>
      <c r="E57" s="439">
        <v>15</v>
      </c>
      <c r="F57" s="440" t="s">
        <v>2625</v>
      </c>
      <c r="G57" s="441">
        <v>260850</v>
      </c>
      <c r="H57" s="366" t="s">
        <v>2626</v>
      </c>
      <c r="I57" s="441">
        <v>260850</v>
      </c>
      <c r="J57" s="391">
        <v>0</v>
      </c>
      <c r="K57" s="439" t="s">
        <v>2627</v>
      </c>
      <c r="L57" s="439" t="s">
        <v>2628</v>
      </c>
      <c r="M57" s="440" t="s">
        <v>2629</v>
      </c>
    </row>
    <row r="58" spans="1:13" ht="18.95" customHeight="1" x14ac:dyDescent="0.25">
      <c r="B58" s="367">
        <v>48</v>
      </c>
      <c r="C58" s="367" t="s">
        <v>2603</v>
      </c>
      <c r="D58" s="367">
        <v>8</v>
      </c>
      <c r="E58" s="367">
        <v>15</v>
      </c>
      <c r="F58" s="372" t="s">
        <v>2630</v>
      </c>
      <c r="G58" s="370">
        <v>577100</v>
      </c>
      <c r="H58" s="384" t="s">
        <v>2631</v>
      </c>
      <c r="I58" s="370">
        <v>577100</v>
      </c>
      <c r="J58" s="392">
        <v>0</v>
      </c>
      <c r="K58" s="367" t="s">
        <v>2632</v>
      </c>
      <c r="L58" s="367" t="s">
        <v>2633</v>
      </c>
      <c r="M58" s="372" t="s">
        <v>2634</v>
      </c>
    </row>
    <row r="59" spans="1:13" ht="18.95" customHeight="1" x14ac:dyDescent="0.25">
      <c r="B59" s="439">
        <v>49</v>
      </c>
      <c r="C59" s="439" t="s">
        <v>2603</v>
      </c>
      <c r="D59" s="439">
        <v>9</v>
      </c>
      <c r="E59" s="439">
        <v>15</v>
      </c>
      <c r="F59" s="440" t="s">
        <v>2635</v>
      </c>
      <c r="G59" s="441">
        <v>654750</v>
      </c>
      <c r="H59" s="366" t="s">
        <v>2626</v>
      </c>
      <c r="I59" s="441">
        <v>654750</v>
      </c>
      <c r="J59" s="391">
        <v>0</v>
      </c>
      <c r="K59" s="439" t="s">
        <v>2636</v>
      </c>
      <c r="L59" s="439" t="s">
        <v>2637</v>
      </c>
      <c r="M59" s="440" t="s">
        <v>2638</v>
      </c>
    </row>
    <row r="60" spans="1:13" ht="18.95" customHeight="1" x14ac:dyDescent="0.25">
      <c r="B60" s="367">
        <v>50</v>
      </c>
      <c r="C60" s="367" t="s">
        <v>2603</v>
      </c>
      <c r="D60" s="367">
        <v>10</v>
      </c>
      <c r="E60" s="367">
        <v>15</v>
      </c>
      <c r="F60" s="372" t="s">
        <v>2639</v>
      </c>
      <c r="G60" s="370">
        <v>523550</v>
      </c>
      <c r="H60" s="374" t="s">
        <v>2490</v>
      </c>
      <c r="I60" s="370">
        <v>523550</v>
      </c>
      <c r="J60" s="392">
        <v>0</v>
      </c>
      <c r="K60" s="367" t="s">
        <v>2640</v>
      </c>
      <c r="L60" s="367" t="s">
        <v>2641</v>
      </c>
      <c r="M60" s="372" t="s">
        <v>2642</v>
      </c>
    </row>
    <row r="61" spans="1:13" ht="18.95" customHeight="1" x14ac:dyDescent="0.25">
      <c r="B61" s="439">
        <v>51</v>
      </c>
      <c r="C61" s="439" t="s">
        <v>2603</v>
      </c>
      <c r="D61" s="439">
        <v>11</v>
      </c>
      <c r="E61" s="439">
        <v>15</v>
      </c>
      <c r="F61" s="440" t="s">
        <v>2643</v>
      </c>
      <c r="G61" s="441">
        <v>111750</v>
      </c>
      <c r="H61" s="383" t="s">
        <v>2631</v>
      </c>
      <c r="I61" s="441">
        <v>111750</v>
      </c>
      <c r="J61" s="391">
        <v>0</v>
      </c>
      <c r="K61" s="439" t="s">
        <v>2644</v>
      </c>
      <c r="L61" s="439" t="s">
        <v>2645</v>
      </c>
      <c r="M61" s="440" t="s">
        <v>2646</v>
      </c>
    </row>
    <row r="62" spans="1:13" ht="18.95" customHeight="1" x14ac:dyDescent="0.25">
      <c r="B62" s="367">
        <v>52</v>
      </c>
      <c r="C62" s="367" t="s">
        <v>2603</v>
      </c>
      <c r="D62" s="367">
        <v>12</v>
      </c>
      <c r="E62" s="367">
        <v>15</v>
      </c>
      <c r="F62" s="372" t="s">
        <v>2647</v>
      </c>
      <c r="G62" s="370">
        <v>106200</v>
      </c>
      <c r="H62" s="374" t="s">
        <v>2490</v>
      </c>
      <c r="I62" s="370">
        <v>106180</v>
      </c>
      <c r="J62" s="392">
        <v>20</v>
      </c>
      <c r="K62" s="367" t="s">
        <v>2648</v>
      </c>
      <c r="L62" s="367" t="s">
        <v>2649</v>
      </c>
      <c r="M62" s="372" t="s">
        <v>2650</v>
      </c>
    </row>
    <row r="63" spans="1:13" ht="18.95" customHeight="1" x14ac:dyDescent="0.25">
      <c r="B63" s="439">
        <v>53</v>
      </c>
      <c r="C63" s="439" t="s">
        <v>2603</v>
      </c>
      <c r="D63" s="439">
        <v>13</v>
      </c>
      <c r="E63" s="439">
        <v>15</v>
      </c>
      <c r="F63" s="440" t="s">
        <v>2108</v>
      </c>
      <c r="G63" s="441">
        <v>95800</v>
      </c>
      <c r="H63" s="383" t="s">
        <v>2591</v>
      </c>
      <c r="I63" s="441">
        <v>95800</v>
      </c>
      <c r="J63" s="391">
        <v>0</v>
      </c>
      <c r="K63" s="439" t="s">
        <v>2651</v>
      </c>
      <c r="L63" s="439" t="s">
        <v>2606</v>
      </c>
      <c r="M63" s="440" t="s">
        <v>2652</v>
      </c>
    </row>
    <row r="64" spans="1:13" ht="18.95" customHeight="1" x14ac:dyDescent="0.25">
      <c r="B64" s="367">
        <v>54</v>
      </c>
      <c r="C64" s="367" t="s">
        <v>2603</v>
      </c>
      <c r="D64" s="367">
        <v>14</v>
      </c>
      <c r="E64" s="367">
        <v>15</v>
      </c>
      <c r="F64" s="372" t="s">
        <v>2653</v>
      </c>
      <c r="G64" s="370">
        <v>114950</v>
      </c>
      <c r="H64" s="374" t="s">
        <v>2490</v>
      </c>
      <c r="I64" s="370">
        <v>114950</v>
      </c>
      <c r="J64" s="392">
        <v>0</v>
      </c>
      <c r="K64" s="367" t="s">
        <v>2567</v>
      </c>
      <c r="L64" s="367" t="s">
        <v>1661</v>
      </c>
      <c r="M64" s="372" t="s">
        <v>2654</v>
      </c>
    </row>
    <row r="65" spans="2:13" ht="18.95" customHeight="1" x14ac:dyDescent="0.25">
      <c r="B65" s="439">
        <v>55</v>
      </c>
      <c r="C65" s="439" t="s">
        <v>2603</v>
      </c>
      <c r="D65" s="439">
        <v>15</v>
      </c>
      <c r="E65" s="439">
        <v>16</v>
      </c>
      <c r="F65" s="440" t="s">
        <v>438</v>
      </c>
      <c r="G65" s="441">
        <v>532000</v>
      </c>
      <c r="H65" s="383" t="s">
        <v>2591</v>
      </c>
      <c r="I65" s="441">
        <v>532000</v>
      </c>
      <c r="J65" s="391">
        <v>0</v>
      </c>
      <c r="K65" s="439" t="s">
        <v>2655</v>
      </c>
      <c r="L65" s="439" t="s">
        <v>2606</v>
      </c>
      <c r="M65" s="440" t="s">
        <v>2656</v>
      </c>
    </row>
    <row r="66" spans="2:13" ht="18.95" customHeight="1" x14ac:dyDescent="0.25">
      <c r="B66" s="436">
        <v>56</v>
      </c>
      <c r="C66" s="436" t="s">
        <v>2603</v>
      </c>
      <c r="D66" s="436">
        <v>16</v>
      </c>
      <c r="E66" s="436">
        <v>16</v>
      </c>
      <c r="F66" s="437" t="s">
        <v>2657</v>
      </c>
      <c r="G66" s="438">
        <v>1000000</v>
      </c>
      <c r="H66" s="385" t="s">
        <v>2658</v>
      </c>
      <c r="I66" s="370">
        <v>1000000</v>
      </c>
      <c r="J66" s="392">
        <v>0</v>
      </c>
      <c r="K66" s="367" t="s">
        <v>2659</v>
      </c>
      <c r="L66" s="367" t="s">
        <v>2660</v>
      </c>
      <c r="M66" s="372" t="s">
        <v>2661</v>
      </c>
    </row>
    <row r="67" spans="2:13" ht="18.95" customHeight="1" x14ac:dyDescent="0.25">
      <c r="B67" s="439">
        <v>57</v>
      </c>
      <c r="C67" s="439" t="s">
        <v>2603</v>
      </c>
      <c r="D67" s="439">
        <v>17</v>
      </c>
      <c r="E67" s="439">
        <v>16</v>
      </c>
      <c r="F67" s="440" t="s">
        <v>2118</v>
      </c>
      <c r="G67" s="464">
        <v>1851300</v>
      </c>
      <c r="H67" s="383" t="s">
        <v>2490</v>
      </c>
      <c r="I67" s="441">
        <v>1851300</v>
      </c>
      <c r="J67" s="391">
        <v>0</v>
      </c>
      <c r="K67" s="439" t="s">
        <v>2662</v>
      </c>
      <c r="L67" s="439" t="s">
        <v>2606</v>
      </c>
      <c r="M67" s="440" t="s">
        <v>2663</v>
      </c>
    </row>
    <row r="68" spans="2:13" ht="18.95" customHeight="1" x14ac:dyDescent="0.25">
      <c r="B68" s="439">
        <v>58</v>
      </c>
      <c r="C68" s="439" t="s">
        <v>2603</v>
      </c>
      <c r="D68" s="439">
        <v>18</v>
      </c>
      <c r="E68" s="439">
        <v>16</v>
      </c>
      <c r="F68" s="440" t="s">
        <v>2664</v>
      </c>
      <c r="G68" s="464">
        <v>4302850</v>
      </c>
      <c r="H68" s="374" t="s">
        <v>2665</v>
      </c>
      <c r="I68" s="370">
        <v>4302852</v>
      </c>
      <c r="J68" s="392">
        <v>-2</v>
      </c>
      <c r="K68" s="367" t="s">
        <v>2666</v>
      </c>
      <c r="L68" s="367" t="s">
        <v>1023</v>
      </c>
      <c r="M68" s="372" t="s">
        <v>2667</v>
      </c>
    </row>
    <row r="69" spans="2:13" ht="20.100000000000001" customHeight="1" x14ac:dyDescent="0.25">
      <c r="B69" s="446">
        <v>59</v>
      </c>
      <c r="C69" s="572" t="s">
        <v>2603</v>
      </c>
      <c r="D69" s="572">
        <v>19</v>
      </c>
      <c r="E69" s="572">
        <v>21</v>
      </c>
      <c r="F69" t="s">
        <v>2668</v>
      </c>
      <c r="G69" s="464">
        <v>700000</v>
      </c>
      <c r="H69" s="449" t="s">
        <v>2669</v>
      </c>
      <c r="I69" s="448">
        <v>700000</v>
      </c>
      <c r="J69" s="448">
        <v>0</v>
      </c>
      <c r="K69" s="446" t="s">
        <v>2670</v>
      </c>
      <c r="L69" s="446" t="s">
        <v>2671</v>
      </c>
      <c r="M69" s="447" t="s">
        <v>2672</v>
      </c>
    </row>
    <row r="70" spans="2:13" ht="20.100000000000001" customHeight="1" x14ac:dyDescent="0.25">
      <c r="B70" s="450">
        <v>60</v>
      </c>
      <c r="C70" s="572" t="s">
        <v>2603</v>
      </c>
      <c r="D70" s="572">
        <v>20</v>
      </c>
      <c r="E70" s="572">
        <v>21</v>
      </c>
      <c r="F70" t="s">
        <v>2512</v>
      </c>
      <c r="G70" s="464">
        <v>225000</v>
      </c>
      <c r="H70" s="449" t="s">
        <v>2669</v>
      </c>
      <c r="I70" s="452">
        <v>225000</v>
      </c>
      <c r="J70" s="452">
        <v>0</v>
      </c>
      <c r="K70" s="450" t="s">
        <v>2673</v>
      </c>
      <c r="L70" s="450" t="s">
        <v>2674</v>
      </c>
      <c r="M70" s="451" t="s">
        <v>2675</v>
      </c>
    </row>
    <row r="71" spans="2:13" ht="21.95" customHeight="1" x14ac:dyDescent="0.25">
      <c r="B71" s="446">
        <v>61</v>
      </c>
      <c r="C71" s="572" t="s">
        <v>2603</v>
      </c>
      <c r="D71" s="572">
        <v>21</v>
      </c>
      <c r="E71" s="572">
        <v>21</v>
      </c>
      <c r="F71" t="s">
        <v>2676</v>
      </c>
      <c r="G71" s="464">
        <v>1250000</v>
      </c>
      <c r="H71" s="449" t="s">
        <v>2669</v>
      </c>
      <c r="I71" s="448">
        <v>1250000</v>
      </c>
      <c r="J71" s="448">
        <v>0</v>
      </c>
      <c r="K71" s="446" t="s">
        <v>2677</v>
      </c>
      <c r="L71" s="446" t="s">
        <v>2678</v>
      </c>
      <c r="M71" s="447" t="s">
        <v>2679</v>
      </c>
    </row>
    <row r="72" spans="2:13" x14ac:dyDescent="0.25">
      <c r="B72" s="450">
        <v>62</v>
      </c>
      <c r="C72" s="450" t="s">
        <v>2603</v>
      </c>
      <c r="D72" s="450">
        <v>22</v>
      </c>
      <c r="E72" s="450">
        <v>21</v>
      </c>
      <c r="F72" s="451" t="s">
        <v>2680</v>
      </c>
      <c r="G72" s="464">
        <v>1000000</v>
      </c>
      <c r="H72" s="449" t="s">
        <v>2669</v>
      </c>
      <c r="I72" s="452">
        <v>1000000</v>
      </c>
      <c r="J72" s="452">
        <v>0</v>
      </c>
      <c r="K72" s="450" t="s">
        <v>2681</v>
      </c>
      <c r="L72" s="450" t="s">
        <v>2682</v>
      </c>
      <c r="M72" s="451" t="s">
        <v>2683</v>
      </c>
    </row>
    <row r="73" spans="2:13" ht="21.95" customHeight="1" x14ac:dyDescent="0.25">
      <c r="B73" s="446">
        <v>63</v>
      </c>
      <c r="C73" s="572" t="s">
        <v>2603</v>
      </c>
      <c r="D73" s="572">
        <v>23</v>
      </c>
      <c r="E73" s="572">
        <v>21</v>
      </c>
      <c r="F73" t="s">
        <v>2684</v>
      </c>
      <c r="G73" s="464">
        <v>200000</v>
      </c>
      <c r="H73" t="s">
        <v>2669</v>
      </c>
      <c r="I73">
        <v>200000</v>
      </c>
      <c r="J73">
        <v>0</v>
      </c>
      <c r="K73" t="s">
        <v>2685</v>
      </c>
      <c r="L73" t="s">
        <v>2684</v>
      </c>
      <c r="M73" t="s">
        <v>2686</v>
      </c>
    </row>
    <row r="74" spans="2:13" ht="21.95" customHeight="1" x14ac:dyDescent="0.25">
      <c r="B74" s="450">
        <v>64</v>
      </c>
      <c r="C74" s="572" t="s">
        <v>2603</v>
      </c>
      <c r="D74" s="572">
        <v>24</v>
      </c>
      <c r="E74" s="572">
        <v>21</v>
      </c>
      <c r="F74" t="s">
        <v>391</v>
      </c>
      <c r="G74" s="464">
        <v>334000</v>
      </c>
      <c r="H74" t="s">
        <v>2669</v>
      </c>
      <c r="I74" s="452">
        <v>334000</v>
      </c>
      <c r="J74">
        <v>0</v>
      </c>
      <c r="K74" s="450" t="s">
        <v>2687</v>
      </c>
      <c r="L74" t="s">
        <v>391</v>
      </c>
      <c r="M74" t="s">
        <v>2688</v>
      </c>
    </row>
    <row r="75" spans="2:13" ht="20.100000000000001" customHeight="1" x14ac:dyDescent="0.25">
      <c r="B75" s="446">
        <v>65</v>
      </c>
      <c r="C75" s="572" t="s">
        <v>2603</v>
      </c>
      <c r="D75" s="572">
        <v>25</v>
      </c>
      <c r="E75" s="572">
        <v>21</v>
      </c>
      <c r="F75" t="s">
        <v>2689</v>
      </c>
      <c r="G75" s="464">
        <v>33850</v>
      </c>
      <c r="H75" t="s">
        <v>2669</v>
      </c>
      <c r="I75" s="448">
        <v>33850</v>
      </c>
      <c r="J75">
        <v>0</v>
      </c>
      <c r="K75" s="446" t="s">
        <v>2690</v>
      </c>
      <c r="L75" t="s">
        <v>2689</v>
      </c>
      <c r="M75" t="s">
        <v>2691</v>
      </c>
    </row>
    <row r="76" spans="2:13" ht="20.100000000000001" customHeight="1" x14ac:dyDescent="0.25">
      <c r="B76" s="450">
        <v>66</v>
      </c>
      <c r="C76" s="572" t="s">
        <v>2603</v>
      </c>
      <c r="D76" s="572">
        <v>26</v>
      </c>
      <c r="E76" s="572">
        <v>21</v>
      </c>
      <c r="F76" t="s">
        <v>2692</v>
      </c>
      <c r="G76" s="464">
        <v>680000</v>
      </c>
      <c r="H76" t="s">
        <v>2669</v>
      </c>
      <c r="I76" s="452">
        <v>680000</v>
      </c>
      <c r="J76">
        <v>0</v>
      </c>
      <c r="K76" s="450" t="s">
        <v>2693</v>
      </c>
      <c r="L76" t="s">
        <v>2694</v>
      </c>
      <c r="M76" t="s">
        <v>2695</v>
      </c>
    </row>
    <row r="77" spans="2:13" ht="20.100000000000001" customHeight="1" x14ac:dyDescent="0.25">
      <c r="B77" s="446">
        <v>67</v>
      </c>
      <c r="C77" s="572" t="s">
        <v>2603</v>
      </c>
      <c r="D77" s="572">
        <v>27</v>
      </c>
      <c r="E77" s="572">
        <v>21</v>
      </c>
      <c r="F77" t="s">
        <v>2696</v>
      </c>
      <c r="G77" s="464">
        <v>680000</v>
      </c>
      <c r="H77" t="s">
        <v>2669</v>
      </c>
      <c r="I77" s="448">
        <v>680000</v>
      </c>
      <c r="J77">
        <v>0</v>
      </c>
      <c r="K77" s="446" t="s">
        <v>2697</v>
      </c>
      <c r="L77" t="s">
        <v>2694</v>
      </c>
      <c r="M77" t="s">
        <v>2698</v>
      </c>
    </row>
    <row r="78" spans="2:13" ht="20.100000000000001" customHeight="1" x14ac:dyDescent="0.25">
      <c r="B78" s="450">
        <v>68</v>
      </c>
      <c r="C78" s="572" t="s">
        <v>2603</v>
      </c>
      <c r="D78" s="572">
        <v>28</v>
      </c>
      <c r="E78" s="572">
        <v>21</v>
      </c>
      <c r="F78" t="s">
        <v>2699</v>
      </c>
      <c r="G78" s="464">
        <v>276250</v>
      </c>
      <c r="H78" t="s">
        <v>2669</v>
      </c>
      <c r="I78" s="452">
        <v>276250</v>
      </c>
      <c r="J78">
        <v>0</v>
      </c>
      <c r="K78" s="450" t="s">
        <v>2700</v>
      </c>
      <c r="L78" t="s">
        <v>2699</v>
      </c>
      <c r="M78" t="s">
        <v>2701</v>
      </c>
    </row>
    <row r="79" spans="2:13" ht="20.100000000000001" customHeight="1" x14ac:dyDescent="0.25">
      <c r="B79" s="446">
        <v>69</v>
      </c>
      <c r="C79" s="572" t="s">
        <v>2603</v>
      </c>
      <c r="D79" s="572">
        <v>29</v>
      </c>
      <c r="E79" s="572">
        <v>21</v>
      </c>
      <c r="F79" t="s">
        <v>1348</v>
      </c>
      <c r="G79" s="464">
        <v>890000</v>
      </c>
      <c r="H79" t="s">
        <v>2669</v>
      </c>
      <c r="I79" s="448">
        <v>890000</v>
      </c>
      <c r="J79">
        <v>0</v>
      </c>
      <c r="K79" s="446" t="s">
        <v>2702</v>
      </c>
      <c r="L79" t="s">
        <v>1348</v>
      </c>
      <c r="M79" t="s">
        <v>2703</v>
      </c>
    </row>
    <row r="80" spans="2:13" ht="20.100000000000001" customHeight="1" x14ac:dyDescent="0.25">
      <c r="B80" s="450">
        <v>70</v>
      </c>
      <c r="C80" s="572" t="s">
        <v>2603</v>
      </c>
      <c r="D80" s="572">
        <v>30</v>
      </c>
      <c r="E80" s="572">
        <v>21</v>
      </c>
      <c r="F80" t="s">
        <v>2704</v>
      </c>
      <c r="G80" s="464">
        <v>728000</v>
      </c>
      <c r="H80" t="s">
        <v>2490</v>
      </c>
      <c r="I80" s="452">
        <v>728000</v>
      </c>
      <c r="J80">
        <v>0</v>
      </c>
      <c r="K80" s="450" t="s">
        <v>2705</v>
      </c>
      <c r="L80" t="s">
        <v>2706</v>
      </c>
      <c r="M80" t="s">
        <v>2707</v>
      </c>
    </row>
    <row r="81" spans="2:13" x14ac:dyDescent="0.25">
      <c r="B81" s="446">
        <v>71</v>
      </c>
      <c r="C81" s="446" t="s">
        <v>2603</v>
      </c>
      <c r="D81" s="446">
        <v>31</v>
      </c>
      <c r="E81" s="446">
        <v>21</v>
      </c>
      <c r="F81" s="447" t="s">
        <v>2708</v>
      </c>
      <c r="G81" s="464">
        <v>390000</v>
      </c>
      <c r="H81" s="449" t="s">
        <v>2490</v>
      </c>
      <c r="I81" s="448">
        <v>389775</v>
      </c>
      <c r="J81" s="448">
        <v>225</v>
      </c>
      <c r="K81" s="446" t="s">
        <v>2709</v>
      </c>
      <c r="L81" s="446" t="s">
        <v>2710</v>
      </c>
      <c r="M81" s="447" t="s">
        <v>2711</v>
      </c>
    </row>
    <row r="82" spans="2:13" ht="21.95" customHeight="1" x14ac:dyDescent="0.25">
      <c r="B82" s="450">
        <v>72</v>
      </c>
      <c r="C82" s="572" t="s">
        <v>2603</v>
      </c>
      <c r="D82" s="572">
        <v>32</v>
      </c>
      <c r="E82" s="572">
        <v>21</v>
      </c>
      <c r="F82" t="s">
        <v>2708</v>
      </c>
      <c r="G82" s="464">
        <v>744450</v>
      </c>
      <c r="H82" t="s">
        <v>2712</v>
      </c>
      <c r="I82">
        <v>744421</v>
      </c>
      <c r="J82">
        <v>29</v>
      </c>
      <c r="K82" t="s">
        <v>2713</v>
      </c>
      <c r="L82" t="s">
        <v>2710</v>
      </c>
      <c r="M82" t="s">
        <v>2714</v>
      </c>
    </row>
    <row r="83" spans="2:13" ht="21.95" customHeight="1" x14ac:dyDescent="0.25">
      <c r="B83" s="446">
        <v>73</v>
      </c>
      <c r="C83" s="572" t="s">
        <v>2603</v>
      </c>
      <c r="D83" s="572">
        <v>33</v>
      </c>
      <c r="E83" s="446">
        <v>21</v>
      </c>
      <c r="F83" s="447" t="s">
        <v>2715</v>
      </c>
      <c r="G83" s="464">
        <v>4671550</v>
      </c>
      <c r="H83" s="449" t="s">
        <v>2669</v>
      </c>
      <c r="I83" s="448">
        <v>4671550</v>
      </c>
      <c r="J83">
        <v>0</v>
      </c>
      <c r="K83" t="s">
        <v>2716</v>
      </c>
      <c r="L83" s="446" t="s">
        <v>2717</v>
      </c>
      <c r="M83" t="s">
        <v>2718</v>
      </c>
    </row>
    <row r="84" spans="2:13" ht="18.95" customHeight="1" x14ac:dyDescent="0.25">
      <c r="B84" s="450">
        <v>74</v>
      </c>
      <c r="C84" s="572" t="s">
        <v>2603</v>
      </c>
      <c r="D84" s="572">
        <v>34</v>
      </c>
      <c r="E84" s="450">
        <v>21</v>
      </c>
      <c r="F84" s="451" t="s">
        <v>2719</v>
      </c>
      <c r="G84" s="464">
        <v>3523150</v>
      </c>
      <c r="H84" s="449" t="s">
        <v>2669</v>
      </c>
      <c r="I84" s="452">
        <v>3523150</v>
      </c>
      <c r="J84">
        <v>0</v>
      </c>
      <c r="K84" t="s">
        <v>2720</v>
      </c>
      <c r="L84" s="450" t="s">
        <v>2721</v>
      </c>
      <c r="M84" t="s">
        <v>2722</v>
      </c>
    </row>
    <row r="85" spans="2:13" ht="18.95" customHeight="1" x14ac:dyDescent="0.25">
      <c r="B85" s="446">
        <v>75</v>
      </c>
      <c r="C85" s="572" t="s">
        <v>2603</v>
      </c>
      <c r="D85" s="572">
        <v>35</v>
      </c>
      <c r="E85" s="446">
        <v>21</v>
      </c>
      <c r="F85" s="447" t="s">
        <v>2723</v>
      </c>
      <c r="G85" s="464">
        <v>12337150</v>
      </c>
      <c r="H85" s="449" t="s">
        <v>2724</v>
      </c>
      <c r="I85" s="448">
        <v>12337132</v>
      </c>
      <c r="J85">
        <v>18</v>
      </c>
      <c r="K85" t="s">
        <v>2725</v>
      </c>
      <c r="L85" s="446" t="s">
        <v>1725</v>
      </c>
      <c r="M85" t="s">
        <v>2726</v>
      </c>
    </row>
    <row r="86" spans="2:13" ht="18.95" customHeight="1" x14ac:dyDescent="0.25">
      <c r="B86" s="723" t="s">
        <v>2727</v>
      </c>
      <c r="C86" s="652"/>
      <c r="D86" s="648"/>
      <c r="E86" s="457"/>
      <c r="F86" s="702">
        <v>60724569</v>
      </c>
      <c r="G86" s="642"/>
      <c r="H86" s="386" t="s">
        <v>2728</v>
      </c>
      <c r="I86" s="724">
        <v>60750111</v>
      </c>
      <c r="J86" s="652"/>
      <c r="K86" s="648"/>
      <c r="L86" s="718" t="s">
        <v>44</v>
      </c>
      <c r="M86" s="648"/>
    </row>
    <row r="87" spans="2:13" ht="18.95" customHeight="1" x14ac:dyDescent="0.25">
      <c r="B87" s="723" t="s">
        <v>2729</v>
      </c>
      <c r="C87" s="652"/>
      <c r="D87" s="648"/>
      <c r="E87" s="457"/>
      <c r="F87" s="702">
        <v>41681950</v>
      </c>
      <c r="G87" s="642"/>
      <c r="H87" s="386" t="s">
        <v>2730</v>
      </c>
      <c r="I87" s="724">
        <v>41681635</v>
      </c>
      <c r="J87" s="652"/>
      <c r="K87" s="648"/>
      <c r="L87" s="718" t="s">
        <v>44</v>
      </c>
      <c r="M87" s="648"/>
    </row>
    <row r="88" spans="2:13" ht="18.95" customHeight="1" thickBot="1" x14ac:dyDescent="0.3">
      <c r="B88" s="726" t="s">
        <v>2731</v>
      </c>
      <c r="C88" s="712"/>
      <c r="D88" s="713"/>
      <c r="E88" s="458"/>
      <c r="F88" s="702">
        <v>102406519</v>
      </c>
      <c r="G88" s="642"/>
      <c r="H88" s="387" t="s">
        <v>2732</v>
      </c>
      <c r="I88" s="711">
        <v>102431746</v>
      </c>
      <c r="J88" s="712"/>
      <c r="K88" s="713"/>
      <c r="L88" s="715" t="s">
        <v>44</v>
      </c>
      <c r="M88" s="713"/>
    </row>
    <row r="89" spans="2:13" ht="18.95" customHeight="1" thickTop="1" x14ac:dyDescent="0.25">
      <c r="B89" s="716"/>
      <c r="C89" s="707"/>
      <c r="D89" s="707"/>
      <c r="F89" s="698"/>
      <c r="G89" s="642"/>
      <c r="I89" s="698"/>
      <c r="J89" s="642"/>
      <c r="K89" s="642"/>
      <c r="L89" s="698"/>
      <c r="M89" s="642"/>
    </row>
    <row r="90" spans="2:13" ht="18.95" customHeight="1" x14ac:dyDescent="0.25">
      <c r="B90" s="710" t="s">
        <v>2733</v>
      </c>
      <c r="C90" s="707"/>
      <c r="D90" s="707"/>
      <c r="F90" s="698"/>
      <c r="G90" s="642"/>
      <c r="I90" s="698"/>
      <c r="J90" s="642"/>
      <c r="K90" s="642"/>
      <c r="L90" s="698"/>
      <c r="M90" s="642"/>
    </row>
    <row r="91" spans="2:13" ht="18.95" customHeight="1" x14ac:dyDescent="0.25">
      <c r="B91" s="722" t="s">
        <v>2734</v>
      </c>
      <c r="C91" s="704"/>
      <c r="D91" s="705"/>
      <c r="E91" s="459"/>
      <c r="F91" s="705"/>
      <c r="G91" s="705"/>
      <c r="H91" s="501"/>
      <c r="I91" s="703" t="s">
        <v>2735</v>
      </c>
      <c r="J91" s="704"/>
      <c r="K91" s="705"/>
      <c r="L91" s="705"/>
      <c r="M91" s="705"/>
    </row>
    <row r="92" spans="2:13" ht="18.95" customHeight="1" x14ac:dyDescent="0.25">
      <c r="B92" s="700" t="s">
        <v>2736</v>
      </c>
      <c r="C92" s="652"/>
      <c r="D92" s="648"/>
      <c r="E92" s="457"/>
      <c r="F92" s="648"/>
      <c r="G92" s="648"/>
      <c r="H92" s="500"/>
      <c r="I92" s="700" t="s">
        <v>2737</v>
      </c>
      <c r="J92" s="652"/>
      <c r="K92" s="648"/>
      <c r="L92" s="648"/>
      <c r="M92" s="648"/>
    </row>
    <row r="93" spans="2:13" ht="18.95" customHeight="1" x14ac:dyDescent="0.25">
      <c r="B93" s="700" t="s">
        <v>2738</v>
      </c>
      <c r="C93" s="652"/>
      <c r="D93" s="648"/>
      <c r="E93" s="457"/>
      <c r="F93" s="648"/>
      <c r="G93" s="648"/>
      <c r="H93" s="500"/>
      <c r="I93" s="700" t="s">
        <v>2739</v>
      </c>
      <c r="J93" s="652"/>
      <c r="K93" s="648"/>
      <c r="L93" s="648"/>
      <c r="M93" s="648"/>
    </row>
    <row r="94" spans="2:13" ht="18.95" customHeight="1" x14ac:dyDescent="0.25">
      <c r="B94" s="717" t="s">
        <v>2740</v>
      </c>
      <c r="C94" s="652"/>
      <c r="D94" s="648"/>
      <c r="E94" s="457"/>
      <c r="F94" s="648"/>
      <c r="G94" s="648"/>
      <c r="H94" s="500"/>
      <c r="I94" s="717" t="s">
        <v>2741</v>
      </c>
      <c r="J94" s="652"/>
      <c r="K94" s="648"/>
      <c r="L94" s="648"/>
      <c r="M94" s="648"/>
    </row>
    <row r="95" spans="2:13" ht="18.95" customHeight="1" x14ac:dyDescent="0.25">
      <c r="B95" s="700" t="s">
        <v>2742</v>
      </c>
      <c r="C95" s="652"/>
      <c r="D95" s="648"/>
      <c r="E95" s="457"/>
      <c r="F95" s="648"/>
      <c r="G95" s="648"/>
      <c r="H95" s="500"/>
      <c r="I95" s="700" t="s">
        <v>2743</v>
      </c>
      <c r="J95" s="652"/>
      <c r="K95" s="648"/>
      <c r="L95" s="648"/>
      <c r="M95" s="648"/>
    </row>
    <row r="96" spans="2:13" ht="18.95" customHeight="1" x14ac:dyDescent="0.25">
      <c r="B96" s="700" t="s">
        <v>2736</v>
      </c>
      <c r="C96" s="652"/>
      <c r="D96" s="648"/>
      <c r="E96" s="457"/>
      <c r="F96" s="648"/>
      <c r="G96" s="648"/>
      <c r="H96" s="500"/>
      <c r="I96" s="700" t="s">
        <v>2744</v>
      </c>
      <c r="J96" s="652"/>
      <c r="K96" s="648"/>
      <c r="L96" s="648"/>
      <c r="M96" s="648"/>
    </row>
    <row r="97" spans="2:13" ht="18.95" customHeight="1" x14ac:dyDescent="0.25">
      <c r="B97" s="717" t="s">
        <v>2745</v>
      </c>
      <c r="C97" s="652"/>
      <c r="D97" s="648"/>
      <c r="E97" s="457"/>
      <c r="F97" s="648"/>
      <c r="G97" s="648"/>
      <c r="H97" s="500"/>
      <c r="I97" s="717" t="s">
        <v>2746</v>
      </c>
      <c r="J97" s="652"/>
      <c r="K97" s="648"/>
      <c r="L97" s="648"/>
      <c r="M97" s="648"/>
    </row>
    <row r="98" spans="2:13" ht="21.95" customHeight="1" x14ac:dyDescent="0.25">
      <c r="B98" s="716"/>
      <c r="C98" s="707"/>
      <c r="D98" s="707"/>
      <c r="F98" s="698"/>
      <c r="G98" s="642"/>
      <c r="I98" s="698"/>
      <c r="J98" s="642"/>
      <c r="K98" s="642"/>
      <c r="L98" s="698"/>
      <c r="M98" s="642"/>
    </row>
    <row r="99" spans="2:13" x14ac:dyDescent="0.25">
      <c r="B99" s="506" t="s">
        <v>2747</v>
      </c>
    </row>
    <row r="100" spans="2:13" x14ac:dyDescent="0.25">
      <c r="B100" s="504" t="s">
        <v>2748</v>
      </c>
      <c r="C100" s="459"/>
      <c r="D100" s="460"/>
      <c r="E100" s="455" t="s">
        <v>2749</v>
      </c>
      <c r="F100" s="507" t="s">
        <v>2750</v>
      </c>
      <c r="G100" s="501"/>
      <c r="H100" s="414" t="s">
        <v>865</v>
      </c>
      <c r="I100" s="507" t="s">
        <v>2751</v>
      </c>
      <c r="J100" s="505"/>
      <c r="K100" s="501"/>
      <c r="L100" s="507" t="s">
        <v>2752</v>
      </c>
      <c r="M100" s="501"/>
    </row>
    <row r="101" spans="2:13" x14ac:dyDescent="0.25">
      <c r="B101" s="453" t="s">
        <v>1230</v>
      </c>
      <c r="C101" s="457"/>
      <c r="D101" s="461"/>
      <c r="E101" s="439">
        <v>112</v>
      </c>
      <c r="F101" s="443">
        <v>43616226</v>
      </c>
      <c r="G101" s="500"/>
      <c r="H101" s="388">
        <v>0.41362918161515821</v>
      </c>
      <c r="I101" s="442" t="s">
        <v>2753</v>
      </c>
      <c r="J101" s="566"/>
      <c r="K101" s="500"/>
      <c r="L101" s="442" t="s">
        <v>2754</v>
      </c>
      <c r="M101" s="500"/>
    </row>
    <row r="102" spans="2:13" x14ac:dyDescent="0.25">
      <c r="B102" s="453" t="s">
        <v>2755</v>
      </c>
      <c r="C102" s="457"/>
      <c r="D102" s="461"/>
      <c r="E102" s="439">
        <v>35</v>
      </c>
      <c r="F102" s="443">
        <v>24987237</v>
      </c>
      <c r="G102" s="500"/>
      <c r="H102" s="388">
        <v>0.23696342712306201</v>
      </c>
      <c r="I102" s="442" t="s">
        <v>2756</v>
      </c>
      <c r="J102" s="566"/>
      <c r="K102" s="500"/>
      <c r="L102" s="442" t="s">
        <v>2757</v>
      </c>
      <c r="M102" s="500"/>
    </row>
    <row r="103" spans="2:13" x14ac:dyDescent="0.25">
      <c r="B103" s="453" t="s">
        <v>2758</v>
      </c>
      <c r="C103" s="457"/>
      <c r="D103" s="461"/>
      <c r="E103" s="439">
        <v>114</v>
      </c>
      <c r="F103" s="443">
        <v>7021245</v>
      </c>
      <c r="G103" s="500"/>
      <c r="H103" s="388">
        <v>6.6585124152408817E-2</v>
      </c>
      <c r="I103" s="442" t="s">
        <v>2759</v>
      </c>
      <c r="J103" s="566"/>
      <c r="K103" s="500"/>
      <c r="L103" s="442" t="s">
        <v>2760</v>
      </c>
      <c r="M103" s="500"/>
    </row>
    <row r="104" spans="2:13" x14ac:dyDescent="0.25">
      <c r="B104" s="453" t="s">
        <v>1267</v>
      </c>
      <c r="C104" s="457"/>
      <c r="D104" s="461"/>
      <c r="E104" s="439">
        <v>4</v>
      </c>
      <c r="F104" s="443">
        <v>1193345</v>
      </c>
      <c r="G104" s="500"/>
      <c r="H104" s="388">
        <v>1.1316942363021989E-2</v>
      </c>
      <c r="I104" s="442" t="s">
        <v>2761</v>
      </c>
      <c r="J104" s="566"/>
      <c r="K104" s="500"/>
      <c r="L104" s="442" t="s">
        <v>2762</v>
      </c>
      <c r="M104" s="500"/>
    </row>
    <row r="105" spans="2:13" x14ac:dyDescent="0.25">
      <c r="B105" s="453" t="s">
        <v>91</v>
      </c>
      <c r="C105" s="457"/>
      <c r="D105" s="461"/>
      <c r="E105" s="439">
        <v>95</v>
      </c>
      <c r="F105" s="443">
        <v>5929256</v>
      </c>
      <c r="G105" s="500"/>
      <c r="H105" s="388">
        <v>5.6229379104619608E-2</v>
      </c>
      <c r="I105" s="442" t="s">
        <v>2763</v>
      </c>
      <c r="J105" s="566"/>
      <c r="K105" s="500"/>
      <c r="L105" s="442" t="s">
        <v>2764</v>
      </c>
      <c r="M105" s="500"/>
    </row>
    <row r="106" spans="2:13" x14ac:dyDescent="0.25">
      <c r="B106" s="453" t="s">
        <v>1101</v>
      </c>
      <c r="C106" s="457"/>
      <c r="D106" s="461"/>
      <c r="E106" s="439">
        <v>115</v>
      </c>
      <c r="F106" s="443">
        <v>5402726</v>
      </c>
      <c r="G106" s="500"/>
      <c r="H106" s="388">
        <v>5.1236095802303878E-2</v>
      </c>
      <c r="I106" s="442" t="s">
        <v>2765</v>
      </c>
      <c r="J106" s="566"/>
      <c r="K106" s="500"/>
      <c r="L106" s="442" t="s">
        <v>2766</v>
      </c>
      <c r="M106" s="500"/>
    </row>
    <row r="107" spans="2:13" x14ac:dyDescent="0.25">
      <c r="B107" s="453" t="s">
        <v>2767</v>
      </c>
      <c r="C107" s="457"/>
      <c r="D107" s="461"/>
      <c r="E107" s="439">
        <v>51</v>
      </c>
      <c r="F107" s="443">
        <v>5259582</v>
      </c>
      <c r="G107" s="500"/>
      <c r="H107" s="388">
        <v>4.9878607064669393E-2</v>
      </c>
      <c r="I107" s="442" t="s">
        <v>2768</v>
      </c>
      <c r="J107" s="566"/>
      <c r="K107" s="500"/>
      <c r="L107" s="442" t="s">
        <v>2769</v>
      </c>
      <c r="M107" s="500"/>
    </row>
    <row r="108" spans="2:13" x14ac:dyDescent="0.25">
      <c r="B108" s="453" t="s">
        <v>1614</v>
      </c>
      <c r="C108" s="457"/>
      <c r="D108" s="461"/>
      <c r="E108" s="439">
        <v>8</v>
      </c>
      <c r="F108" s="443">
        <v>3655999</v>
      </c>
      <c r="G108" s="500"/>
      <c r="H108" s="388">
        <v>3.4671222456427953E-2</v>
      </c>
      <c r="I108" s="442" t="s">
        <v>2770</v>
      </c>
      <c r="J108" s="566"/>
      <c r="K108" s="500"/>
      <c r="L108" s="442" t="s">
        <v>2771</v>
      </c>
      <c r="M108" s="500"/>
    </row>
    <row r="109" spans="2:13" x14ac:dyDescent="0.25">
      <c r="B109" s="453" t="s">
        <v>2772</v>
      </c>
      <c r="C109" s="457"/>
      <c r="D109" s="461"/>
      <c r="E109" s="439">
        <v>50</v>
      </c>
      <c r="F109" s="443">
        <v>4021790</v>
      </c>
      <c r="G109" s="500"/>
      <c r="H109" s="388">
        <v>3.8140156975709619E-2</v>
      </c>
      <c r="I109" s="442" t="s">
        <v>2773</v>
      </c>
      <c r="J109" s="566"/>
      <c r="K109" s="500"/>
      <c r="L109" s="442" t="s">
        <v>2774</v>
      </c>
      <c r="M109" s="500"/>
    </row>
    <row r="110" spans="2:13" x14ac:dyDescent="0.25">
      <c r="B110" s="453" t="s">
        <v>1745</v>
      </c>
      <c r="C110" s="457"/>
      <c r="D110" s="461"/>
      <c r="E110" s="439">
        <v>11</v>
      </c>
      <c r="F110" s="443">
        <v>1552000</v>
      </c>
      <c r="G110" s="500"/>
      <c r="H110" s="388">
        <v>1.471820349304696E-2</v>
      </c>
      <c r="I110" s="442" t="s">
        <v>2775</v>
      </c>
      <c r="J110" s="566"/>
      <c r="K110" s="500"/>
      <c r="L110" s="442" t="s">
        <v>2776</v>
      </c>
      <c r="M110" s="500"/>
    </row>
    <row r="111" spans="2:13" x14ac:dyDescent="0.25">
      <c r="B111" s="453" t="s">
        <v>2777</v>
      </c>
      <c r="C111" s="457"/>
      <c r="D111" s="461"/>
      <c r="E111" s="439">
        <v>13</v>
      </c>
      <c r="F111" s="443">
        <v>1308300</v>
      </c>
      <c r="G111" s="500"/>
      <c r="H111" s="388">
        <v>1.2407104143011169E-2</v>
      </c>
      <c r="I111" s="442" t="s">
        <v>2778</v>
      </c>
      <c r="J111" s="566"/>
      <c r="K111" s="500"/>
      <c r="L111" s="442" t="s">
        <v>2779</v>
      </c>
      <c r="M111" s="500"/>
    </row>
    <row r="112" spans="2:13" x14ac:dyDescent="0.25">
      <c r="B112" s="453" t="s">
        <v>2780</v>
      </c>
      <c r="C112" s="457"/>
      <c r="D112" s="461"/>
      <c r="E112" s="439">
        <v>23</v>
      </c>
      <c r="F112" s="443">
        <v>1101646</v>
      </c>
      <c r="G112" s="500"/>
      <c r="H112" s="388">
        <v>1.0447326034343561E-2</v>
      </c>
      <c r="I112" s="442" t="s">
        <v>2781</v>
      </c>
      <c r="J112" s="566"/>
      <c r="K112" s="500"/>
      <c r="L112" s="442" t="s">
        <v>2782</v>
      </c>
      <c r="M112" s="500"/>
    </row>
    <row r="113" spans="2:13" x14ac:dyDescent="0.25">
      <c r="B113" s="453" t="s">
        <v>905</v>
      </c>
      <c r="C113" s="457"/>
      <c r="D113" s="461"/>
      <c r="E113" s="439">
        <v>11</v>
      </c>
      <c r="F113" s="443">
        <v>384200</v>
      </c>
      <c r="G113" s="500"/>
      <c r="H113" s="388">
        <v>3.643514034812269E-3</v>
      </c>
      <c r="I113" s="442" t="s">
        <v>2783</v>
      </c>
      <c r="J113" s="566"/>
      <c r="K113" s="500"/>
      <c r="L113" s="442" t="s">
        <v>2784</v>
      </c>
      <c r="M113" s="500"/>
    </row>
    <row r="114" spans="2:13" x14ac:dyDescent="0.25">
      <c r="B114" s="453" t="s">
        <v>2785</v>
      </c>
      <c r="C114" s="457"/>
      <c r="D114" s="461"/>
      <c r="E114" s="439">
        <v>2</v>
      </c>
      <c r="F114" s="443">
        <v>14100</v>
      </c>
      <c r="G114" s="500"/>
      <c r="H114" s="388">
        <v>1.3371563740461481E-4</v>
      </c>
      <c r="I114" s="442" t="s">
        <v>2786</v>
      </c>
      <c r="J114" s="566"/>
      <c r="K114" s="500"/>
      <c r="L114" s="442" t="s">
        <v>2787</v>
      </c>
      <c r="M114" s="500"/>
    </row>
    <row r="115" spans="2:13" x14ac:dyDescent="0.25">
      <c r="B115" s="462" t="s">
        <v>2788</v>
      </c>
      <c r="C115" s="458"/>
      <c r="D115" s="463"/>
      <c r="E115" s="389">
        <v>644</v>
      </c>
      <c r="F115" s="445">
        <v>105447652</v>
      </c>
      <c r="G115" s="503"/>
      <c r="H115" s="390">
        <v>1</v>
      </c>
      <c r="I115" s="444" t="s">
        <v>2789</v>
      </c>
      <c r="J115" s="502"/>
      <c r="K115" s="503"/>
      <c r="L115" s="444" t="s">
        <v>2790</v>
      </c>
      <c r="M115" s="503"/>
    </row>
  </sheetData>
  <autoFilter ref="B10:J53" xr:uid="{00000000-0009-0000-0000-000008000000}"/>
  <mergeCells count="73">
    <mergeCell ref="L86:M86"/>
    <mergeCell ref="B2:M2"/>
    <mergeCell ref="L95:M95"/>
    <mergeCell ref="B98:D98"/>
    <mergeCell ref="L7:M7"/>
    <mergeCell ref="L91:M91"/>
    <mergeCell ref="I97:K97"/>
    <mergeCell ref="L98:M98"/>
    <mergeCell ref="B7:C7"/>
    <mergeCell ref="F87:G87"/>
    <mergeCell ref="J5:K5"/>
    <mergeCell ref="I93:K93"/>
    <mergeCell ref="B88:D88"/>
    <mergeCell ref="F6:G6"/>
    <mergeCell ref="I87:K87"/>
    <mergeCell ref="I96:K96"/>
    <mergeCell ref="L87:M87"/>
    <mergeCell ref="H6:I6"/>
    <mergeCell ref="F95:G95"/>
    <mergeCell ref="J6:K6"/>
    <mergeCell ref="F86:G86"/>
    <mergeCell ref="H7:I7"/>
    <mergeCell ref="F90:G90"/>
    <mergeCell ref="J7:K7"/>
    <mergeCell ref="L94:M94"/>
    <mergeCell ref="F93:G93"/>
    <mergeCell ref="I90:K90"/>
    <mergeCell ref="F89:G89"/>
    <mergeCell ref="I92:K92"/>
    <mergeCell ref="F7:G7"/>
    <mergeCell ref="I86:K86"/>
    <mergeCell ref="I95:K95"/>
    <mergeCell ref="L96:M96"/>
    <mergeCell ref="L90:M90"/>
    <mergeCell ref="F92:G92"/>
    <mergeCell ref="I98:K98"/>
    <mergeCell ref="L93:M93"/>
    <mergeCell ref="F94:G94"/>
    <mergeCell ref="F97:G97"/>
    <mergeCell ref="L92:M92"/>
    <mergeCell ref="F91:G91"/>
    <mergeCell ref="I94:K94"/>
    <mergeCell ref="L97:M97"/>
    <mergeCell ref="F96:G96"/>
    <mergeCell ref="B3:M3"/>
    <mergeCell ref="L6:M6"/>
    <mergeCell ref="I89:K89"/>
    <mergeCell ref="B5:C5"/>
    <mergeCell ref="B93:D93"/>
    <mergeCell ref="B6:C6"/>
    <mergeCell ref="B90:D90"/>
    <mergeCell ref="F5:G5"/>
    <mergeCell ref="L89:M89"/>
    <mergeCell ref="B92:D92"/>
    <mergeCell ref="L5:M5"/>
    <mergeCell ref="I88:K88"/>
    <mergeCell ref="B9:M9"/>
    <mergeCell ref="L88:M88"/>
    <mergeCell ref="B89:D89"/>
    <mergeCell ref="D6:E6"/>
    <mergeCell ref="F98:G98"/>
    <mergeCell ref="D5:E5"/>
    <mergeCell ref="B96:D96"/>
    <mergeCell ref="H5:I5"/>
    <mergeCell ref="F88:G88"/>
    <mergeCell ref="I91:K91"/>
    <mergeCell ref="B95:D95"/>
    <mergeCell ref="D7:E7"/>
    <mergeCell ref="B94:D94"/>
    <mergeCell ref="B91:D91"/>
    <mergeCell ref="B86:D86"/>
    <mergeCell ref="B87:D87"/>
    <mergeCell ref="B97:D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255"/>
  <sheetViews>
    <sheetView topLeftCell="A132" zoomScaleNormal="100" workbookViewId="0">
      <selection activeCell="H165" sqref="H165:H166"/>
    </sheetView>
  </sheetViews>
  <sheetFormatPr baseColWidth="10" defaultColWidth="9.140625" defaultRowHeight="15" x14ac:dyDescent="0.25"/>
  <cols>
    <col min="1" max="1" width="3" style="565" customWidth="1"/>
    <col min="2" max="2" width="12" style="565" customWidth="1"/>
    <col min="3" max="3" width="20" style="565" customWidth="1"/>
    <col min="4" max="4" width="26" style="565" customWidth="1"/>
    <col min="5" max="5" width="17.42578125" style="565" customWidth="1"/>
    <col min="6" max="6" width="19.7109375" style="573" customWidth="1"/>
    <col min="7" max="7" width="22.42578125" style="565" bestFit="1" customWidth="1"/>
    <col min="8" max="9" width="17.42578125" style="565" bestFit="1" customWidth="1"/>
    <col min="10" max="10" width="41.85546875" style="565" bestFit="1" customWidth="1"/>
    <col min="11" max="11" width="17.85546875" style="565" bestFit="1" customWidth="1"/>
    <col min="12" max="12" width="80.28515625" style="565" bestFit="1" customWidth="1"/>
  </cols>
  <sheetData>
    <row r="2" spans="2:12" ht="27.95" customHeight="1" x14ac:dyDescent="0.25">
      <c r="B2" s="727" t="s">
        <v>2791</v>
      </c>
      <c r="C2" s="642"/>
      <c r="D2" s="642"/>
      <c r="E2" s="642"/>
      <c r="F2" s="728"/>
      <c r="G2" s="642"/>
      <c r="H2" s="642"/>
      <c r="I2" s="642"/>
      <c r="J2" s="642"/>
      <c r="K2" s="642"/>
      <c r="L2" s="642"/>
    </row>
    <row r="3" spans="2:12" ht="20.100000000000001" customHeight="1" x14ac:dyDescent="0.25">
      <c r="B3" s="740" t="s">
        <v>2792</v>
      </c>
      <c r="C3" s="642"/>
      <c r="D3" s="642"/>
      <c r="E3" s="642"/>
      <c r="F3" s="728"/>
      <c r="G3" s="642"/>
      <c r="H3" s="642"/>
      <c r="I3" s="642"/>
      <c r="J3" s="642"/>
      <c r="K3" s="642"/>
      <c r="L3" s="642"/>
    </row>
    <row r="5" spans="2:12" ht="15.95" customHeight="1" x14ac:dyDescent="0.25">
      <c r="B5" s="734" t="s">
        <v>2793</v>
      </c>
      <c r="C5" s="730"/>
      <c r="D5" s="734" t="s">
        <v>2794</v>
      </c>
      <c r="E5" s="730"/>
      <c r="F5" s="77"/>
      <c r="G5" s="734" t="s">
        <v>2795</v>
      </c>
      <c r="H5" s="730"/>
      <c r="I5" s="734" t="s">
        <v>2796</v>
      </c>
      <c r="J5" s="730"/>
      <c r="K5" s="734" t="s">
        <v>2797</v>
      </c>
      <c r="L5" s="730"/>
    </row>
    <row r="6" spans="2:12" ht="21.95" customHeight="1" x14ac:dyDescent="0.25">
      <c r="B6" s="729">
        <v>25175286</v>
      </c>
      <c r="C6" s="730"/>
      <c r="D6" s="729">
        <v>2208436</v>
      </c>
      <c r="E6" s="730"/>
      <c r="F6" s="77"/>
      <c r="G6" s="729">
        <v>868000</v>
      </c>
      <c r="H6" s="730"/>
      <c r="I6" s="729">
        <v>2905950</v>
      </c>
      <c r="J6" s="730"/>
      <c r="K6" s="736">
        <v>69</v>
      </c>
      <c r="L6" s="730"/>
    </row>
    <row r="7" spans="2:12" ht="15" customHeight="1" x14ac:dyDescent="0.25">
      <c r="B7" s="733" t="s">
        <v>2798</v>
      </c>
      <c r="C7" s="730"/>
      <c r="D7" s="733" t="s">
        <v>2799</v>
      </c>
      <c r="E7" s="730"/>
      <c r="F7" s="77"/>
      <c r="G7" s="733" t="s">
        <v>2800</v>
      </c>
      <c r="H7" s="730"/>
      <c r="I7" s="733" t="s">
        <v>2801</v>
      </c>
      <c r="J7" s="730"/>
      <c r="K7" s="733" t="s">
        <v>2802</v>
      </c>
      <c r="L7" s="730"/>
    </row>
    <row r="9" spans="2:12" ht="21.95" customHeight="1" x14ac:dyDescent="0.25">
      <c r="B9" s="735" t="s">
        <v>2803</v>
      </c>
      <c r="C9" s="642"/>
      <c r="D9" s="642"/>
      <c r="E9" s="642"/>
      <c r="F9" s="728"/>
      <c r="G9" s="642"/>
      <c r="H9" s="642"/>
      <c r="I9" s="642"/>
      <c r="J9" s="642"/>
      <c r="K9" s="642"/>
      <c r="L9" s="642"/>
    </row>
    <row r="10" spans="2:12" ht="24" customHeight="1" x14ac:dyDescent="0.25">
      <c r="B10" s="62" t="s">
        <v>2804</v>
      </c>
      <c r="C10" s="63" t="s">
        <v>2805</v>
      </c>
      <c r="D10" s="63" t="s">
        <v>2806</v>
      </c>
      <c r="E10" s="64" t="s">
        <v>2807</v>
      </c>
      <c r="F10" s="63"/>
      <c r="G10" s="63" t="s">
        <v>2808</v>
      </c>
      <c r="H10" s="62" t="s">
        <v>2809</v>
      </c>
      <c r="I10" s="62" t="s">
        <v>2810</v>
      </c>
      <c r="J10" s="63" t="s">
        <v>2811</v>
      </c>
      <c r="K10" s="64" t="s">
        <v>2812</v>
      </c>
      <c r="L10" s="63" t="s">
        <v>2813</v>
      </c>
    </row>
    <row r="11" spans="2:12" ht="20.100000000000001" customHeight="1" x14ac:dyDescent="0.25">
      <c r="B11" s="65" t="s">
        <v>2814</v>
      </c>
      <c r="C11" s="66" t="s">
        <v>2815</v>
      </c>
      <c r="D11" s="66" t="s">
        <v>2816</v>
      </c>
      <c r="E11" s="298">
        <v>10000</v>
      </c>
      <c r="F11" s="296" t="s">
        <v>1512</v>
      </c>
      <c r="G11" s="66" t="s">
        <v>1614</v>
      </c>
      <c r="H11" s="67" t="s">
        <v>2817</v>
      </c>
      <c r="I11" s="65" t="s">
        <v>44</v>
      </c>
      <c r="J11" s="66" t="s">
        <v>2818</v>
      </c>
      <c r="K11" s="68" t="s">
        <v>44</v>
      </c>
      <c r="L11" s="66" t="s">
        <v>2819</v>
      </c>
    </row>
    <row r="12" spans="2:12" ht="20.100000000000001" customHeight="1" x14ac:dyDescent="0.25">
      <c r="B12" s="69" t="s">
        <v>2814</v>
      </c>
      <c r="C12" s="70" t="s">
        <v>2815</v>
      </c>
      <c r="D12" s="70" t="s">
        <v>2820</v>
      </c>
      <c r="E12" s="297">
        <v>37100</v>
      </c>
      <c r="F12" s="296" t="s">
        <v>1513</v>
      </c>
      <c r="G12" s="70" t="s">
        <v>2821</v>
      </c>
      <c r="H12" s="67" t="s">
        <v>2817</v>
      </c>
      <c r="I12" s="69" t="s">
        <v>44</v>
      </c>
      <c r="J12" s="70" t="s">
        <v>2818</v>
      </c>
      <c r="K12" s="71" t="s">
        <v>44</v>
      </c>
      <c r="L12" s="70" t="s">
        <v>2822</v>
      </c>
    </row>
    <row r="13" spans="2:12" ht="20.100000000000001" customHeight="1" x14ac:dyDescent="0.25">
      <c r="B13" s="65" t="s">
        <v>2814</v>
      </c>
      <c r="C13" s="66" t="s">
        <v>2815</v>
      </c>
      <c r="D13" s="66" t="s">
        <v>1941</v>
      </c>
      <c r="E13" s="298">
        <v>66000</v>
      </c>
      <c r="F13" s="296" t="s">
        <v>889</v>
      </c>
      <c r="G13" s="66" t="s">
        <v>2823</v>
      </c>
      <c r="H13" s="72" t="s">
        <v>2824</v>
      </c>
      <c r="I13" s="65" t="s">
        <v>44</v>
      </c>
      <c r="J13" s="66" t="s">
        <v>2825</v>
      </c>
      <c r="K13" s="68" t="s">
        <v>44</v>
      </c>
      <c r="L13" s="66" t="s">
        <v>2826</v>
      </c>
    </row>
    <row r="14" spans="2:12" ht="20.100000000000001" customHeight="1" x14ac:dyDescent="0.25">
      <c r="B14" s="69" t="s">
        <v>2814</v>
      </c>
      <c r="C14" s="70" t="s">
        <v>2815</v>
      </c>
      <c r="D14" s="70" t="s">
        <v>2827</v>
      </c>
      <c r="E14" s="297">
        <v>4000</v>
      </c>
      <c r="F14" s="296" t="s">
        <v>1514</v>
      </c>
      <c r="G14" s="70" t="s">
        <v>2828</v>
      </c>
      <c r="H14" s="72" t="s">
        <v>2829</v>
      </c>
      <c r="I14" s="69" t="s">
        <v>44</v>
      </c>
      <c r="J14" s="70" t="s">
        <v>2830</v>
      </c>
      <c r="K14" s="71" t="s">
        <v>44</v>
      </c>
      <c r="L14" s="70" t="s">
        <v>2831</v>
      </c>
    </row>
    <row r="15" spans="2:12" ht="20.100000000000001" customHeight="1" x14ac:dyDescent="0.25">
      <c r="B15" s="65" t="s">
        <v>2814</v>
      </c>
      <c r="C15" s="66" t="s">
        <v>2815</v>
      </c>
      <c r="D15" s="66" t="s">
        <v>2832</v>
      </c>
      <c r="E15" s="298">
        <v>15000</v>
      </c>
      <c r="F15" s="296" t="s">
        <v>904</v>
      </c>
      <c r="G15" s="66" t="s">
        <v>905</v>
      </c>
      <c r="H15" s="67" t="s">
        <v>2817</v>
      </c>
      <c r="I15" s="65" t="s">
        <v>44</v>
      </c>
      <c r="J15" s="66" t="s">
        <v>2818</v>
      </c>
      <c r="K15" s="68" t="s">
        <v>44</v>
      </c>
      <c r="L15" s="66" t="s">
        <v>2833</v>
      </c>
    </row>
    <row r="16" spans="2:12" ht="20.100000000000001" customHeight="1" x14ac:dyDescent="0.25">
      <c r="B16" s="69" t="s">
        <v>2814</v>
      </c>
      <c r="C16" s="70" t="s">
        <v>2815</v>
      </c>
      <c r="D16" s="70" t="s">
        <v>2834</v>
      </c>
      <c r="E16" s="297">
        <v>85000</v>
      </c>
      <c r="F16" s="296" t="s">
        <v>898</v>
      </c>
      <c r="G16" s="70" t="s">
        <v>2835</v>
      </c>
      <c r="H16" s="67" t="s">
        <v>2817</v>
      </c>
      <c r="I16" s="69" t="s">
        <v>44</v>
      </c>
      <c r="J16" s="70" t="s">
        <v>2818</v>
      </c>
      <c r="K16" s="71" t="s">
        <v>44</v>
      </c>
      <c r="L16" s="70" t="s">
        <v>2836</v>
      </c>
    </row>
    <row r="17" spans="2:12" ht="20.100000000000001" customHeight="1" x14ac:dyDescent="0.25">
      <c r="B17" s="65" t="s">
        <v>2837</v>
      </c>
      <c r="C17" s="66" t="s">
        <v>2838</v>
      </c>
      <c r="D17" s="66" t="s">
        <v>2839</v>
      </c>
      <c r="E17" s="298">
        <v>132000</v>
      </c>
      <c r="F17" s="296" t="s">
        <v>1600</v>
      </c>
      <c r="G17" s="66" t="s">
        <v>2823</v>
      </c>
      <c r="H17" s="72" t="s">
        <v>2824</v>
      </c>
      <c r="I17" s="65" t="s">
        <v>44</v>
      </c>
      <c r="J17" s="66" t="s">
        <v>2825</v>
      </c>
      <c r="K17" s="68" t="s">
        <v>44</v>
      </c>
      <c r="L17" s="66" t="s">
        <v>2840</v>
      </c>
    </row>
    <row r="18" spans="2:12" ht="20.100000000000001" customHeight="1" x14ac:dyDescent="0.25">
      <c r="B18" s="69" t="s">
        <v>2837</v>
      </c>
      <c r="C18" s="70" t="s">
        <v>2838</v>
      </c>
      <c r="D18" s="70" t="s">
        <v>2841</v>
      </c>
      <c r="E18" s="297">
        <v>66000</v>
      </c>
      <c r="F18" s="296" t="s">
        <v>1598</v>
      </c>
      <c r="G18" s="70" t="s">
        <v>2823</v>
      </c>
      <c r="H18" s="72" t="s">
        <v>2824</v>
      </c>
      <c r="I18" s="69" t="s">
        <v>44</v>
      </c>
      <c r="J18" s="70" t="s">
        <v>2825</v>
      </c>
      <c r="K18" s="71" t="s">
        <v>44</v>
      </c>
      <c r="L18" s="70" t="s">
        <v>2842</v>
      </c>
    </row>
    <row r="19" spans="2:12" ht="20.100000000000001" customHeight="1" x14ac:dyDescent="0.25">
      <c r="B19" s="65" t="s">
        <v>2837</v>
      </c>
      <c r="C19" s="66" t="s">
        <v>2838</v>
      </c>
      <c r="D19" s="66" t="s">
        <v>915</v>
      </c>
      <c r="E19" s="298">
        <v>66000</v>
      </c>
      <c r="F19" s="296" t="s">
        <v>1599</v>
      </c>
      <c r="G19" s="66" t="s">
        <v>2823</v>
      </c>
      <c r="H19" s="72" t="s">
        <v>2824</v>
      </c>
      <c r="I19" s="65" t="s">
        <v>44</v>
      </c>
      <c r="J19" s="66" t="s">
        <v>2825</v>
      </c>
      <c r="K19" s="68" t="s">
        <v>44</v>
      </c>
      <c r="L19" s="66" t="s">
        <v>2842</v>
      </c>
    </row>
    <row r="20" spans="2:12" ht="20.100000000000001" customHeight="1" x14ac:dyDescent="0.25">
      <c r="B20" s="69" t="s">
        <v>2837</v>
      </c>
      <c r="C20" s="70" t="s">
        <v>2838</v>
      </c>
      <c r="D20" s="70" t="s">
        <v>748</v>
      </c>
      <c r="E20" s="297">
        <v>10000</v>
      </c>
      <c r="F20" s="296" t="s">
        <v>2843</v>
      </c>
      <c r="G20" s="70" t="s">
        <v>2844</v>
      </c>
      <c r="H20" s="73" t="s">
        <v>2845</v>
      </c>
      <c r="I20" s="69" t="s">
        <v>2846</v>
      </c>
      <c r="J20" s="70" t="s">
        <v>2847</v>
      </c>
      <c r="K20" s="297">
        <v>10000</v>
      </c>
      <c r="L20" s="70" t="s">
        <v>2848</v>
      </c>
    </row>
    <row r="21" spans="2:12" ht="20.100000000000001" customHeight="1" x14ac:dyDescent="0.25">
      <c r="B21" s="65" t="s">
        <v>2837</v>
      </c>
      <c r="C21" s="66" t="s">
        <v>2838</v>
      </c>
      <c r="D21" s="66" t="s">
        <v>1256</v>
      </c>
      <c r="E21" s="298">
        <v>30000</v>
      </c>
      <c r="F21" s="296" t="s">
        <v>2849</v>
      </c>
      <c r="G21" s="66" t="s">
        <v>2850</v>
      </c>
      <c r="H21" s="73" t="s">
        <v>2845</v>
      </c>
      <c r="I21" s="65" t="s">
        <v>2851</v>
      </c>
      <c r="J21" s="66" t="s">
        <v>2852</v>
      </c>
      <c r="K21" s="298">
        <v>30000</v>
      </c>
      <c r="L21" s="66" t="s">
        <v>2853</v>
      </c>
    </row>
    <row r="22" spans="2:12" ht="20.100000000000001" customHeight="1" x14ac:dyDescent="0.25">
      <c r="B22" s="69" t="s">
        <v>2837</v>
      </c>
      <c r="C22" s="70" t="s">
        <v>2838</v>
      </c>
      <c r="D22" s="70" t="s">
        <v>2854</v>
      </c>
      <c r="E22" s="297">
        <v>35100</v>
      </c>
      <c r="F22" s="296" t="s">
        <v>1608</v>
      </c>
      <c r="G22" s="70" t="s">
        <v>2785</v>
      </c>
      <c r="H22" s="67" t="s">
        <v>2817</v>
      </c>
      <c r="I22" s="69" t="s">
        <v>44</v>
      </c>
      <c r="J22" s="70" t="s">
        <v>2818</v>
      </c>
      <c r="K22" s="71" t="s">
        <v>44</v>
      </c>
      <c r="L22" s="70" t="s">
        <v>2855</v>
      </c>
    </row>
    <row r="23" spans="2:12" ht="20.100000000000001" customHeight="1" x14ac:dyDescent="0.25">
      <c r="B23" s="65" t="s">
        <v>2837</v>
      </c>
      <c r="C23" s="66" t="s">
        <v>2838</v>
      </c>
      <c r="D23" s="66" t="s">
        <v>1548</v>
      </c>
      <c r="E23" s="298">
        <v>66000</v>
      </c>
      <c r="F23" s="296" t="s">
        <v>1610</v>
      </c>
      <c r="G23" s="66" t="s">
        <v>25</v>
      </c>
      <c r="H23" s="74" t="s">
        <v>2856</v>
      </c>
      <c r="I23" s="65" t="s">
        <v>2857</v>
      </c>
      <c r="J23" s="66" t="s">
        <v>2858</v>
      </c>
      <c r="K23" s="298">
        <v>85400</v>
      </c>
      <c r="L23" s="66" t="s">
        <v>2859</v>
      </c>
    </row>
    <row r="24" spans="2:12" ht="20.100000000000001" customHeight="1" x14ac:dyDescent="0.25">
      <c r="B24" s="69" t="s">
        <v>2837</v>
      </c>
      <c r="C24" s="70" t="s">
        <v>2838</v>
      </c>
      <c r="D24" s="70" t="s">
        <v>1593</v>
      </c>
      <c r="E24" s="297">
        <v>147000</v>
      </c>
      <c r="F24" s="296" t="s">
        <v>2860</v>
      </c>
      <c r="G24" s="70" t="s">
        <v>2861</v>
      </c>
      <c r="H24" s="73" t="s">
        <v>2845</v>
      </c>
      <c r="I24" s="69" t="s">
        <v>2862</v>
      </c>
      <c r="J24" s="70" t="s">
        <v>2863</v>
      </c>
      <c r="K24" s="297">
        <v>147000</v>
      </c>
      <c r="L24" s="70" t="s">
        <v>2864</v>
      </c>
    </row>
    <row r="25" spans="2:12" ht="20.100000000000001" customHeight="1" x14ac:dyDescent="0.25">
      <c r="B25" s="65" t="s">
        <v>2837</v>
      </c>
      <c r="C25" s="66" t="s">
        <v>2838</v>
      </c>
      <c r="D25" s="66" t="s">
        <v>2865</v>
      </c>
      <c r="E25" s="298">
        <v>14000</v>
      </c>
      <c r="F25" s="296" t="s">
        <v>2866</v>
      </c>
      <c r="G25" s="66" t="s">
        <v>2867</v>
      </c>
      <c r="H25" s="73" t="s">
        <v>2845</v>
      </c>
      <c r="I25" s="65" t="s">
        <v>2868</v>
      </c>
      <c r="J25" s="66" t="s">
        <v>2869</v>
      </c>
      <c r="K25" s="298">
        <v>14000</v>
      </c>
      <c r="L25" s="66" t="s">
        <v>2870</v>
      </c>
    </row>
    <row r="26" spans="2:12" ht="20.100000000000001" customHeight="1" x14ac:dyDescent="0.25">
      <c r="B26" s="69" t="s">
        <v>2837</v>
      </c>
      <c r="C26" s="70" t="s">
        <v>2838</v>
      </c>
      <c r="D26" s="70" t="s">
        <v>2871</v>
      </c>
      <c r="E26" s="297">
        <v>78500</v>
      </c>
      <c r="F26" s="296" t="s">
        <v>1611</v>
      </c>
      <c r="G26" s="70" t="s">
        <v>25</v>
      </c>
      <c r="H26" s="74" t="s">
        <v>2856</v>
      </c>
      <c r="I26" s="69" t="s">
        <v>2872</v>
      </c>
      <c r="J26" s="70" t="s">
        <v>2873</v>
      </c>
      <c r="K26" s="297">
        <v>74200</v>
      </c>
      <c r="L26" s="70" t="s">
        <v>2874</v>
      </c>
    </row>
    <row r="27" spans="2:12" ht="20.100000000000001" customHeight="1" x14ac:dyDescent="0.25">
      <c r="B27" s="65" t="s">
        <v>2837</v>
      </c>
      <c r="C27" s="66" t="s">
        <v>2838</v>
      </c>
      <c r="D27" s="66" t="s">
        <v>2875</v>
      </c>
      <c r="E27" s="298">
        <v>90000</v>
      </c>
      <c r="F27" s="296" t="s">
        <v>1603</v>
      </c>
      <c r="G27" s="66" t="s">
        <v>2876</v>
      </c>
      <c r="H27" s="67" t="s">
        <v>2817</v>
      </c>
      <c r="I27" s="65" t="s">
        <v>44</v>
      </c>
      <c r="J27" s="66" t="s">
        <v>2818</v>
      </c>
      <c r="K27" s="68" t="s">
        <v>44</v>
      </c>
      <c r="L27" s="66" t="s">
        <v>2877</v>
      </c>
    </row>
    <row r="28" spans="2:12" ht="20.100000000000001" customHeight="1" x14ac:dyDescent="0.25">
      <c r="B28" s="69" t="s">
        <v>2837</v>
      </c>
      <c r="C28" s="70" t="s">
        <v>2838</v>
      </c>
      <c r="D28" s="70" t="s">
        <v>1811</v>
      </c>
      <c r="E28" s="297">
        <v>81000</v>
      </c>
      <c r="F28" s="296" t="s">
        <v>1604</v>
      </c>
      <c r="G28" s="70" t="s">
        <v>2878</v>
      </c>
      <c r="H28" s="67" t="s">
        <v>2817</v>
      </c>
      <c r="I28" s="69" t="s">
        <v>44</v>
      </c>
      <c r="J28" s="70" t="s">
        <v>2818</v>
      </c>
      <c r="K28" s="71" t="s">
        <v>44</v>
      </c>
      <c r="L28" s="70" t="s">
        <v>2879</v>
      </c>
    </row>
    <row r="29" spans="2:12" ht="20.100000000000001" customHeight="1" x14ac:dyDescent="0.25">
      <c r="B29" s="65" t="s">
        <v>2837</v>
      </c>
      <c r="C29" s="66" t="s">
        <v>2838</v>
      </c>
      <c r="D29" s="66" t="s">
        <v>2880</v>
      </c>
      <c r="E29" s="298">
        <v>5555</v>
      </c>
      <c r="F29" s="296" t="s">
        <v>2881</v>
      </c>
      <c r="G29" s="66" t="s">
        <v>2882</v>
      </c>
      <c r="H29" s="73" t="s">
        <v>2883</v>
      </c>
      <c r="I29" s="65" t="s">
        <v>2884</v>
      </c>
      <c r="J29" s="66" t="s">
        <v>2885</v>
      </c>
      <c r="K29" s="298">
        <v>5555</v>
      </c>
      <c r="L29" s="66" t="s">
        <v>2886</v>
      </c>
    </row>
    <row r="30" spans="2:12" ht="20.100000000000001" customHeight="1" x14ac:dyDescent="0.25">
      <c r="B30" s="69" t="s">
        <v>2837</v>
      </c>
      <c r="C30" s="70" t="s">
        <v>2838</v>
      </c>
      <c r="D30" s="70" t="s">
        <v>2887</v>
      </c>
      <c r="E30" s="297">
        <v>90125</v>
      </c>
      <c r="F30" s="296" t="s">
        <v>2888</v>
      </c>
      <c r="G30" s="70" t="s">
        <v>2861</v>
      </c>
      <c r="H30" s="73" t="s">
        <v>2883</v>
      </c>
      <c r="I30" s="69" t="s">
        <v>2889</v>
      </c>
      <c r="J30" s="70" t="s">
        <v>2890</v>
      </c>
      <c r="K30" s="297">
        <v>90125</v>
      </c>
      <c r="L30" s="70" t="s">
        <v>2891</v>
      </c>
    </row>
    <row r="31" spans="2:12" ht="20.100000000000001" customHeight="1" x14ac:dyDescent="0.25">
      <c r="B31" s="65" t="s">
        <v>2837</v>
      </c>
      <c r="C31" s="66" t="s">
        <v>2838</v>
      </c>
      <c r="D31" s="66" t="s">
        <v>2892</v>
      </c>
      <c r="E31" s="298">
        <v>61606</v>
      </c>
      <c r="F31" s="296" t="s">
        <v>2893</v>
      </c>
      <c r="G31" s="66" t="s">
        <v>1230</v>
      </c>
      <c r="H31" s="73" t="s">
        <v>2883</v>
      </c>
      <c r="I31" s="65" t="s">
        <v>2894</v>
      </c>
      <c r="J31" s="66" t="s">
        <v>2895</v>
      </c>
      <c r="K31" s="298">
        <v>61606</v>
      </c>
      <c r="L31" s="66" t="s">
        <v>2896</v>
      </c>
    </row>
    <row r="32" spans="2:12" ht="20.100000000000001" customHeight="1" x14ac:dyDescent="0.25">
      <c r="B32" s="69" t="s">
        <v>2837</v>
      </c>
      <c r="C32" s="70" t="s">
        <v>2838</v>
      </c>
      <c r="D32" s="70" t="s">
        <v>2897</v>
      </c>
      <c r="E32" s="297">
        <v>13500</v>
      </c>
      <c r="F32" s="296" t="s">
        <v>1601</v>
      </c>
      <c r="G32" s="70" t="s">
        <v>2898</v>
      </c>
      <c r="H32" s="67" t="s">
        <v>2817</v>
      </c>
      <c r="I32" s="69" t="s">
        <v>44</v>
      </c>
      <c r="J32" s="70" t="s">
        <v>2818</v>
      </c>
      <c r="K32" s="71" t="s">
        <v>44</v>
      </c>
      <c r="L32" s="70" t="s">
        <v>2899</v>
      </c>
    </row>
    <row r="33" spans="2:12" ht="20.100000000000001" customHeight="1" x14ac:dyDescent="0.25">
      <c r="B33" s="65" t="s">
        <v>2837</v>
      </c>
      <c r="C33" s="66" t="s">
        <v>2838</v>
      </c>
      <c r="D33" s="66" t="s">
        <v>2900</v>
      </c>
      <c r="E33" s="298">
        <v>130000</v>
      </c>
      <c r="F33" s="296" t="s">
        <v>1607</v>
      </c>
      <c r="G33" s="66" t="s">
        <v>2901</v>
      </c>
      <c r="H33" s="67" t="s">
        <v>2817</v>
      </c>
      <c r="I33" s="65" t="s">
        <v>44</v>
      </c>
      <c r="J33" s="66" t="s">
        <v>2818</v>
      </c>
      <c r="K33" s="68" t="s">
        <v>44</v>
      </c>
      <c r="L33" s="66" t="s">
        <v>2902</v>
      </c>
    </row>
    <row r="34" spans="2:12" ht="20.100000000000001" customHeight="1" x14ac:dyDescent="0.25">
      <c r="B34" s="69" t="s">
        <v>2903</v>
      </c>
      <c r="C34" s="70" t="s">
        <v>2904</v>
      </c>
      <c r="D34" s="70" t="s">
        <v>2905</v>
      </c>
      <c r="E34" s="297">
        <v>5000</v>
      </c>
      <c r="F34" s="296" t="s">
        <v>1605</v>
      </c>
      <c r="G34" s="70" t="s">
        <v>1235</v>
      </c>
      <c r="H34" s="67" t="s">
        <v>2817</v>
      </c>
      <c r="I34" s="69" t="s">
        <v>44</v>
      </c>
      <c r="J34" s="70" t="s">
        <v>2818</v>
      </c>
      <c r="K34" s="71" t="s">
        <v>44</v>
      </c>
      <c r="L34" s="70" t="s">
        <v>2906</v>
      </c>
    </row>
    <row r="35" spans="2:12" ht="20.100000000000001" customHeight="1" x14ac:dyDescent="0.25">
      <c r="B35" s="65" t="s">
        <v>2903</v>
      </c>
      <c r="C35" s="66" t="s">
        <v>2904</v>
      </c>
      <c r="D35" s="66" t="s">
        <v>2907</v>
      </c>
      <c r="E35" s="298">
        <v>20000</v>
      </c>
      <c r="F35" s="296" t="s">
        <v>1609</v>
      </c>
      <c r="G35" s="66" t="s">
        <v>1614</v>
      </c>
      <c r="H35" s="67" t="s">
        <v>2817</v>
      </c>
      <c r="I35" s="65" t="s">
        <v>44</v>
      </c>
      <c r="J35" s="66" t="s">
        <v>2818</v>
      </c>
      <c r="K35" s="68" t="s">
        <v>44</v>
      </c>
      <c r="L35" s="66" t="s">
        <v>2908</v>
      </c>
    </row>
    <row r="36" spans="2:12" ht="20.100000000000001" customHeight="1" x14ac:dyDescent="0.25">
      <c r="B36" s="69" t="s">
        <v>2903</v>
      </c>
      <c r="C36" s="70" t="s">
        <v>2904</v>
      </c>
      <c r="D36" s="70" t="s">
        <v>2909</v>
      </c>
      <c r="E36" s="297">
        <v>86600</v>
      </c>
      <c r="F36" s="296" t="s">
        <v>1606</v>
      </c>
      <c r="G36" s="70" t="s">
        <v>2861</v>
      </c>
      <c r="H36" s="67" t="s">
        <v>2817</v>
      </c>
      <c r="I36" s="69" t="s">
        <v>44</v>
      </c>
      <c r="J36" s="70" t="s">
        <v>2818</v>
      </c>
      <c r="K36" s="71" t="s">
        <v>44</v>
      </c>
      <c r="L36" s="70" t="s">
        <v>2910</v>
      </c>
    </row>
    <row r="37" spans="2:12" ht="20.100000000000001" customHeight="1" x14ac:dyDescent="0.25">
      <c r="B37" s="65" t="s">
        <v>2903</v>
      </c>
      <c r="C37" s="66" t="s">
        <v>2904</v>
      </c>
      <c r="D37" s="66" t="s">
        <v>2911</v>
      </c>
      <c r="E37" s="298">
        <v>20000</v>
      </c>
      <c r="F37" s="296" t="s">
        <v>1602</v>
      </c>
      <c r="G37" s="66" t="s">
        <v>2828</v>
      </c>
      <c r="H37" s="72" t="s">
        <v>2829</v>
      </c>
      <c r="I37" s="65" t="s">
        <v>44</v>
      </c>
      <c r="J37" s="66" t="s">
        <v>2830</v>
      </c>
      <c r="K37" s="68" t="s">
        <v>44</v>
      </c>
      <c r="L37" s="66" t="s">
        <v>2912</v>
      </c>
    </row>
    <row r="38" spans="2:12" ht="20.100000000000001" customHeight="1" x14ac:dyDescent="0.25">
      <c r="B38" s="69" t="s">
        <v>2903</v>
      </c>
      <c r="C38" s="70" t="s">
        <v>2904</v>
      </c>
      <c r="D38" s="70" t="s">
        <v>2913</v>
      </c>
      <c r="E38" s="297">
        <v>72200</v>
      </c>
      <c r="F38" s="296" t="s">
        <v>319</v>
      </c>
      <c r="G38" s="70" t="s">
        <v>2914</v>
      </c>
      <c r="H38" s="67" t="s">
        <v>2817</v>
      </c>
      <c r="I38" s="69" t="s">
        <v>44</v>
      </c>
      <c r="J38" s="70" t="s">
        <v>2818</v>
      </c>
      <c r="K38" s="71" t="s">
        <v>44</v>
      </c>
      <c r="L38" s="70" t="s">
        <v>2915</v>
      </c>
    </row>
    <row r="39" spans="2:12" ht="20.100000000000001" customHeight="1" x14ac:dyDescent="0.25">
      <c r="B39" s="65" t="s">
        <v>2903</v>
      </c>
      <c r="C39" s="66" t="s">
        <v>2904</v>
      </c>
      <c r="D39" s="66" t="s">
        <v>1941</v>
      </c>
      <c r="E39" s="298">
        <v>66000</v>
      </c>
      <c r="F39" s="296" t="s">
        <v>918</v>
      </c>
      <c r="G39" s="66" t="s">
        <v>2823</v>
      </c>
      <c r="H39" s="72" t="s">
        <v>2824</v>
      </c>
      <c r="I39" s="65" t="s">
        <v>44</v>
      </c>
      <c r="J39" s="66" t="s">
        <v>2825</v>
      </c>
      <c r="K39" s="68" t="s">
        <v>44</v>
      </c>
      <c r="L39" s="66" t="s">
        <v>2842</v>
      </c>
    </row>
    <row r="40" spans="2:12" ht="20.100000000000001" customHeight="1" x14ac:dyDescent="0.25">
      <c r="B40" s="69" t="s">
        <v>2916</v>
      </c>
      <c r="C40" s="70" t="s">
        <v>2838</v>
      </c>
      <c r="D40" s="70" t="s">
        <v>2841</v>
      </c>
      <c r="E40" s="297">
        <v>66000</v>
      </c>
      <c r="F40" s="296" t="s">
        <v>1598</v>
      </c>
      <c r="G40" s="70" t="s">
        <v>2823</v>
      </c>
      <c r="H40" s="72" t="s">
        <v>2824</v>
      </c>
      <c r="I40" s="69" t="s">
        <v>44</v>
      </c>
      <c r="J40" s="70" t="s">
        <v>2825</v>
      </c>
      <c r="K40" s="71" t="s">
        <v>44</v>
      </c>
      <c r="L40" s="70" t="s">
        <v>2842</v>
      </c>
    </row>
    <row r="41" spans="2:12" ht="20.100000000000001" customHeight="1" x14ac:dyDescent="0.25">
      <c r="B41" s="65" t="s">
        <v>2916</v>
      </c>
      <c r="C41" s="66" t="s">
        <v>2838</v>
      </c>
      <c r="D41" s="66" t="s">
        <v>2917</v>
      </c>
      <c r="E41" s="298">
        <v>66000</v>
      </c>
      <c r="F41" s="296" t="s">
        <v>1646</v>
      </c>
      <c r="G41" s="66" t="s">
        <v>2823</v>
      </c>
      <c r="H41" s="72" t="s">
        <v>2824</v>
      </c>
      <c r="I41" s="65" t="s">
        <v>44</v>
      </c>
      <c r="J41" s="66" t="s">
        <v>2825</v>
      </c>
      <c r="K41" s="68" t="s">
        <v>44</v>
      </c>
      <c r="L41" s="66" t="s">
        <v>2842</v>
      </c>
    </row>
    <row r="42" spans="2:12" ht="20.100000000000001" customHeight="1" x14ac:dyDescent="0.25">
      <c r="B42" s="69" t="s">
        <v>2916</v>
      </c>
      <c r="C42" s="70" t="s">
        <v>2838</v>
      </c>
      <c r="D42" s="70" t="s">
        <v>748</v>
      </c>
      <c r="E42" s="297">
        <v>19000</v>
      </c>
      <c r="F42" s="296" t="s">
        <v>2843</v>
      </c>
      <c r="G42" s="70" t="s">
        <v>2844</v>
      </c>
      <c r="H42" s="73" t="s">
        <v>2845</v>
      </c>
      <c r="I42" s="69" t="s">
        <v>2918</v>
      </c>
      <c r="J42" s="70" t="s">
        <v>2919</v>
      </c>
      <c r="K42" s="297">
        <v>19000</v>
      </c>
      <c r="L42" s="70" t="s">
        <v>2920</v>
      </c>
    </row>
    <row r="43" spans="2:12" ht="20.100000000000001" customHeight="1" x14ac:dyDescent="0.25">
      <c r="B43" s="65" t="s">
        <v>2916</v>
      </c>
      <c r="C43" s="66" t="s">
        <v>2838</v>
      </c>
      <c r="D43" s="66" t="s">
        <v>2921</v>
      </c>
      <c r="E43" s="298">
        <v>31000</v>
      </c>
      <c r="F43" s="296" t="s">
        <v>1648</v>
      </c>
      <c r="G43" s="66" t="s">
        <v>1235</v>
      </c>
      <c r="H43" s="67" t="s">
        <v>2817</v>
      </c>
      <c r="I43" s="65" t="s">
        <v>44</v>
      </c>
      <c r="J43" s="66" t="s">
        <v>2818</v>
      </c>
      <c r="K43" s="68" t="s">
        <v>44</v>
      </c>
      <c r="L43" s="66" t="s">
        <v>2922</v>
      </c>
    </row>
    <row r="44" spans="2:12" ht="20.100000000000001" customHeight="1" x14ac:dyDescent="0.25">
      <c r="B44" s="69" t="s">
        <v>2916</v>
      </c>
      <c r="C44" s="70" t="s">
        <v>2838</v>
      </c>
      <c r="D44" s="70" t="s">
        <v>2923</v>
      </c>
      <c r="E44" s="297">
        <v>76500</v>
      </c>
      <c r="F44" s="296" t="s">
        <v>341</v>
      </c>
      <c r="G44" s="70" t="s">
        <v>2924</v>
      </c>
      <c r="H44" s="67" t="s">
        <v>2817</v>
      </c>
      <c r="I44" s="69" t="s">
        <v>44</v>
      </c>
      <c r="J44" s="70" t="s">
        <v>2818</v>
      </c>
      <c r="K44" s="71" t="s">
        <v>44</v>
      </c>
      <c r="L44" s="70" t="s">
        <v>2925</v>
      </c>
    </row>
    <row r="45" spans="2:12" ht="20.100000000000001" customHeight="1" x14ac:dyDescent="0.25">
      <c r="B45" s="65" t="s">
        <v>2916</v>
      </c>
      <c r="C45" s="66" t="s">
        <v>2838</v>
      </c>
      <c r="D45" s="66" t="s">
        <v>2926</v>
      </c>
      <c r="E45" s="298">
        <v>40000</v>
      </c>
      <c r="F45" s="296" t="s">
        <v>1647</v>
      </c>
      <c r="G45" s="66" t="s">
        <v>2927</v>
      </c>
      <c r="H45" s="67" t="s">
        <v>2817</v>
      </c>
      <c r="I45" s="65" t="s">
        <v>44</v>
      </c>
      <c r="J45" s="66" t="s">
        <v>2818</v>
      </c>
      <c r="K45" s="68" t="s">
        <v>44</v>
      </c>
      <c r="L45" s="66" t="s">
        <v>2928</v>
      </c>
    </row>
    <row r="46" spans="2:12" ht="20.100000000000001" customHeight="1" x14ac:dyDescent="0.25">
      <c r="B46" s="69" t="s">
        <v>2916</v>
      </c>
      <c r="C46" s="70" t="s">
        <v>2838</v>
      </c>
      <c r="D46" s="70" t="s">
        <v>1256</v>
      </c>
      <c r="E46" s="297">
        <v>30000</v>
      </c>
      <c r="F46" s="296" t="s">
        <v>2849</v>
      </c>
      <c r="G46" s="70" t="s">
        <v>2850</v>
      </c>
      <c r="H46" s="73" t="s">
        <v>2845</v>
      </c>
      <c r="I46" s="69" t="s">
        <v>2929</v>
      </c>
      <c r="J46" s="70" t="s">
        <v>2930</v>
      </c>
      <c r="K46" s="297">
        <v>30000</v>
      </c>
      <c r="L46" s="70" t="s">
        <v>2931</v>
      </c>
    </row>
    <row r="47" spans="2:12" ht="20.100000000000001" customHeight="1" x14ac:dyDescent="0.25">
      <c r="B47" s="65" t="s">
        <v>2916</v>
      </c>
      <c r="C47" s="66" t="s">
        <v>2838</v>
      </c>
      <c r="D47" s="66" t="s">
        <v>1117</v>
      </c>
      <c r="E47" s="298">
        <v>25000</v>
      </c>
      <c r="F47" s="296" t="s">
        <v>2932</v>
      </c>
      <c r="G47" s="66" t="s">
        <v>2933</v>
      </c>
      <c r="H47" s="73" t="s">
        <v>2845</v>
      </c>
      <c r="I47" s="65" t="s">
        <v>2934</v>
      </c>
      <c r="J47" s="66" t="s">
        <v>2935</v>
      </c>
      <c r="K47" s="298">
        <v>25000</v>
      </c>
      <c r="L47" s="66" t="s">
        <v>2936</v>
      </c>
    </row>
    <row r="48" spans="2:12" ht="20.100000000000001" customHeight="1" x14ac:dyDescent="0.25">
      <c r="B48" s="69" t="s">
        <v>2937</v>
      </c>
      <c r="C48" s="70" t="s">
        <v>2938</v>
      </c>
      <c r="D48" s="70" t="s">
        <v>1460</v>
      </c>
      <c r="E48" s="297">
        <v>47300</v>
      </c>
      <c r="F48" s="296" t="s">
        <v>2939</v>
      </c>
      <c r="G48" s="70" t="s">
        <v>2940</v>
      </c>
      <c r="H48" s="73" t="s">
        <v>2845</v>
      </c>
      <c r="I48" s="69" t="s">
        <v>2941</v>
      </c>
      <c r="J48" s="70" t="s">
        <v>2942</v>
      </c>
      <c r="K48" s="297">
        <v>47250</v>
      </c>
      <c r="L48" s="70" t="s">
        <v>2943</v>
      </c>
    </row>
    <row r="49" spans="2:12" ht="20.100000000000001" customHeight="1" x14ac:dyDescent="0.25">
      <c r="B49" s="65" t="s">
        <v>2937</v>
      </c>
      <c r="C49" s="66" t="s">
        <v>2938</v>
      </c>
      <c r="D49" s="66" t="s">
        <v>1643</v>
      </c>
      <c r="E49" s="298">
        <v>76900</v>
      </c>
      <c r="F49" s="296" t="s">
        <v>2944</v>
      </c>
      <c r="G49" s="66" t="s">
        <v>2945</v>
      </c>
      <c r="H49" s="73" t="s">
        <v>2845</v>
      </c>
      <c r="I49" s="65" t="s">
        <v>2946</v>
      </c>
      <c r="J49" s="66" t="s">
        <v>2947</v>
      </c>
      <c r="K49" s="298">
        <v>76860</v>
      </c>
      <c r="L49" s="66" t="s">
        <v>2948</v>
      </c>
    </row>
    <row r="50" spans="2:12" ht="20.100000000000001" customHeight="1" x14ac:dyDescent="0.25">
      <c r="B50" s="69" t="s">
        <v>2937</v>
      </c>
      <c r="C50" s="70" t="s">
        <v>2938</v>
      </c>
      <c r="D50" s="70" t="s">
        <v>2949</v>
      </c>
      <c r="E50" s="297">
        <v>4500</v>
      </c>
      <c r="F50" s="296" t="s">
        <v>2950</v>
      </c>
      <c r="G50" s="70" t="s">
        <v>2951</v>
      </c>
      <c r="H50" s="73" t="s">
        <v>2883</v>
      </c>
      <c r="I50" s="69" t="s">
        <v>2952</v>
      </c>
      <c r="J50" s="70" t="s">
        <v>2953</v>
      </c>
      <c r="K50" s="297">
        <v>4500</v>
      </c>
      <c r="L50" s="70" t="s">
        <v>2954</v>
      </c>
    </row>
    <row r="51" spans="2:12" ht="20.100000000000001" customHeight="1" x14ac:dyDescent="0.25">
      <c r="B51" s="65" t="s">
        <v>2937</v>
      </c>
      <c r="C51" s="66" t="s">
        <v>2938</v>
      </c>
      <c r="D51" s="66" t="s">
        <v>2955</v>
      </c>
      <c r="E51" s="298">
        <v>130000</v>
      </c>
      <c r="F51" s="296" t="s">
        <v>1649</v>
      </c>
      <c r="G51" s="66" t="s">
        <v>2956</v>
      </c>
      <c r="H51" s="67" t="s">
        <v>2817</v>
      </c>
      <c r="I51" s="65" t="s">
        <v>44</v>
      </c>
      <c r="J51" s="66" t="s">
        <v>2818</v>
      </c>
      <c r="K51" s="68" t="s">
        <v>44</v>
      </c>
      <c r="L51" s="66" t="s">
        <v>2957</v>
      </c>
    </row>
    <row r="52" spans="2:12" ht="20.100000000000001" customHeight="1" x14ac:dyDescent="0.25">
      <c r="B52" s="69" t="s">
        <v>2937</v>
      </c>
      <c r="C52" s="70" t="s">
        <v>2938</v>
      </c>
      <c r="D52" s="70" t="s">
        <v>2076</v>
      </c>
      <c r="E52" s="297">
        <v>500000</v>
      </c>
      <c r="F52" s="296" t="s">
        <v>941</v>
      </c>
      <c r="G52" s="70" t="s">
        <v>2958</v>
      </c>
      <c r="H52" s="72" t="s">
        <v>2959</v>
      </c>
      <c r="I52" s="69" t="s">
        <v>44</v>
      </c>
      <c r="J52" s="70" t="s">
        <v>2960</v>
      </c>
      <c r="K52" s="71" t="s">
        <v>44</v>
      </c>
      <c r="L52" s="70" t="s">
        <v>2961</v>
      </c>
    </row>
    <row r="53" spans="2:12" ht="20.100000000000001" customHeight="1" x14ac:dyDescent="0.25">
      <c r="B53" s="65" t="s">
        <v>2937</v>
      </c>
      <c r="C53" s="66" t="s">
        <v>2938</v>
      </c>
      <c r="D53" s="66" t="s">
        <v>1941</v>
      </c>
      <c r="E53" s="298">
        <v>66000</v>
      </c>
      <c r="F53" s="296" t="s">
        <v>938</v>
      </c>
      <c r="G53" s="66" t="s">
        <v>2823</v>
      </c>
      <c r="H53" s="72" t="s">
        <v>2824</v>
      </c>
      <c r="I53" s="65" t="s">
        <v>44</v>
      </c>
      <c r="J53" s="66" t="s">
        <v>2825</v>
      </c>
      <c r="K53" s="68" t="s">
        <v>44</v>
      </c>
      <c r="L53" s="66" t="s">
        <v>2842</v>
      </c>
    </row>
    <row r="54" spans="2:12" ht="20.100000000000001" customHeight="1" x14ac:dyDescent="0.25">
      <c r="B54" s="69" t="s">
        <v>2962</v>
      </c>
      <c r="C54" s="70" t="s">
        <v>2838</v>
      </c>
      <c r="D54" s="70" t="s">
        <v>2841</v>
      </c>
      <c r="E54" s="297">
        <v>66000</v>
      </c>
      <c r="F54" s="296" t="s">
        <v>1598</v>
      </c>
      <c r="G54" s="70" t="s">
        <v>2823</v>
      </c>
      <c r="H54" s="72" t="s">
        <v>2824</v>
      </c>
      <c r="I54" s="69" t="s">
        <v>44</v>
      </c>
      <c r="J54" s="70" t="s">
        <v>2825</v>
      </c>
      <c r="K54" s="71" t="s">
        <v>44</v>
      </c>
      <c r="L54" s="70" t="s">
        <v>2842</v>
      </c>
    </row>
    <row r="55" spans="2:12" ht="20.100000000000001" customHeight="1" x14ac:dyDescent="0.25">
      <c r="B55" s="65" t="s">
        <v>2962</v>
      </c>
      <c r="C55" s="66" t="s">
        <v>2838</v>
      </c>
      <c r="D55" s="66" t="s">
        <v>2917</v>
      </c>
      <c r="E55" s="298">
        <v>66000</v>
      </c>
      <c r="F55" s="296" t="s">
        <v>1646</v>
      </c>
      <c r="G55" s="66" t="s">
        <v>2823</v>
      </c>
      <c r="H55" s="72" t="s">
        <v>2824</v>
      </c>
      <c r="I55" s="65" t="s">
        <v>44</v>
      </c>
      <c r="J55" s="66" t="s">
        <v>2825</v>
      </c>
      <c r="K55" s="68" t="s">
        <v>44</v>
      </c>
      <c r="L55" s="66" t="s">
        <v>2842</v>
      </c>
    </row>
    <row r="56" spans="2:12" ht="20.100000000000001" customHeight="1" x14ac:dyDescent="0.25">
      <c r="B56" s="69" t="s">
        <v>2962</v>
      </c>
      <c r="C56" s="70" t="s">
        <v>2838</v>
      </c>
      <c r="D56" s="70" t="s">
        <v>748</v>
      </c>
      <c r="E56" s="297">
        <v>34000</v>
      </c>
      <c r="F56" s="296" t="s">
        <v>2843</v>
      </c>
      <c r="G56" s="70" t="s">
        <v>2844</v>
      </c>
      <c r="H56" s="73" t="s">
        <v>2845</v>
      </c>
      <c r="I56" s="69" t="s">
        <v>2963</v>
      </c>
      <c r="J56" s="70" t="s">
        <v>2964</v>
      </c>
      <c r="K56" s="297">
        <v>34000</v>
      </c>
      <c r="L56" s="70" t="s">
        <v>2965</v>
      </c>
    </row>
    <row r="57" spans="2:12" ht="20.100000000000001" customHeight="1" x14ac:dyDescent="0.25">
      <c r="B57" s="65" t="s">
        <v>2962</v>
      </c>
      <c r="C57" s="66" t="s">
        <v>2838</v>
      </c>
      <c r="D57" s="66" t="s">
        <v>1117</v>
      </c>
      <c r="E57" s="298">
        <v>20000</v>
      </c>
      <c r="F57" s="296" t="s">
        <v>2932</v>
      </c>
      <c r="G57" s="66" t="s">
        <v>2933</v>
      </c>
      <c r="H57" s="73" t="s">
        <v>2845</v>
      </c>
      <c r="I57" s="65" t="s">
        <v>2966</v>
      </c>
      <c r="J57" s="66" t="s">
        <v>2967</v>
      </c>
      <c r="K57" s="298">
        <v>20000</v>
      </c>
      <c r="L57" s="66" t="s">
        <v>2968</v>
      </c>
    </row>
    <row r="58" spans="2:12" ht="20.100000000000001" customHeight="1" x14ac:dyDescent="0.25">
      <c r="B58" s="69" t="s">
        <v>2962</v>
      </c>
      <c r="C58" s="70" t="s">
        <v>2838</v>
      </c>
      <c r="D58" s="70" t="s">
        <v>1256</v>
      </c>
      <c r="E58" s="297">
        <v>30000</v>
      </c>
      <c r="F58" s="296" t="s">
        <v>2849</v>
      </c>
      <c r="G58" s="70" t="s">
        <v>2850</v>
      </c>
      <c r="H58" s="73" t="s">
        <v>2845</v>
      </c>
      <c r="I58" s="69" t="s">
        <v>2969</v>
      </c>
      <c r="J58" s="70" t="s">
        <v>2970</v>
      </c>
      <c r="K58" s="297">
        <v>30000</v>
      </c>
      <c r="L58" s="70" t="s">
        <v>2971</v>
      </c>
    </row>
    <row r="59" spans="2:12" ht="20.100000000000001" customHeight="1" x14ac:dyDescent="0.25">
      <c r="B59" s="65" t="s">
        <v>2962</v>
      </c>
      <c r="C59" s="66" t="s">
        <v>2838</v>
      </c>
      <c r="D59" s="66" t="s">
        <v>2972</v>
      </c>
      <c r="E59" s="298">
        <v>75350</v>
      </c>
      <c r="F59" s="296" t="s">
        <v>1696</v>
      </c>
      <c r="G59" s="66" t="s">
        <v>2940</v>
      </c>
      <c r="H59" s="74" t="s">
        <v>2856</v>
      </c>
      <c r="I59" s="65" t="s">
        <v>2973</v>
      </c>
      <c r="J59" s="66" t="s">
        <v>2974</v>
      </c>
      <c r="K59" s="298">
        <v>66400</v>
      </c>
      <c r="L59" s="66" t="s">
        <v>2975</v>
      </c>
    </row>
    <row r="60" spans="2:12" ht="20.100000000000001" customHeight="1" x14ac:dyDescent="0.25">
      <c r="B60" s="69" t="s">
        <v>2962</v>
      </c>
      <c r="C60" s="70" t="s">
        <v>2838</v>
      </c>
      <c r="D60" s="70" t="s">
        <v>2976</v>
      </c>
      <c r="E60" s="297">
        <v>352450</v>
      </c>
      <c r="F60" s="296" t="s">
        <v>2977</v>
      </c>
      <c r="G60" s="70" t="s">
        <v>2956</v>
      </c>
      <c r="H60" s="73" t="s">
        <v>2883</v>
      </c>
      <c r="I60" s="69" t="s">
        <v>2978</v>
      </c>
      <c r="J60" s="70" t="s">
        <v>2979</v>
      </c>
      <c r="K60" s="297">
        <v>352450</v>
      </c>
      <c r="L60" s="70" t="s">
        <v>2980</v>
      </c>
    </row>
    <row r="61" spans="2:12" ht="20.100000000000001" customHeight="1" x14ac:dyDescent="0.25">
      <c r="B61" s="65" t="s">
        <v>2962</v>
      </c>
      <c r="C61" s="66" t="s">
        <v>2838</v>
      </c>
      <c r="D61" s="66" t="s">
        <v>2981</v>
      </c>
      <c r="E61" s="298">
        <v>614300</v>
      </c>
      <c r="F61" s="296" t="s">
        <v>2982</v>
      </c>
      <c r="G61" s="66" t="s">
        <v>2983</v>
      </c>
      <c r="H61" s="73" t="s">
        <v>2984</v>
      </c>
      <c r="I61" s="65" t="s">
        <v>2985</v>
      </c>
      <c r="J61" s="66" t="s">
        <v>2986</v>
      </c>
      <c r="K61" s="298">
        <v>621140</v>
      </c>
      <c r="L61" s="66" t="s">
        <v>2987</v>
      </c>
    </row>
    <row r="62" spans="2:12" ht="20.100000000000001" customHeight="1" x14ac:dyDescent="0.25">
      <c r="B62" s="69" t="s">
        <v>2988</v>
      </c>
      <c r="C62" s="70" t="s">
        <v>2904</v>
      </c>
      <c r="D62" s="70" t="s">
        <v>2989</v>
      </c>
      <c r="E62" s="297">
        <v>70000</v>
      </c>
      <c r="F62" s="296" t="s">
        <v>958</v>
      </c>
      <c r="G62" s="70" t="s">
        <v>2990</v>
      </c>
      <c r="H62" s="72" t="s">
        <v>2824</v>
      </c>
      <c r="I62" s="69" t="s">
        <v>44</v>
      </c>
      <c r="J62" s="70" t="s">
        <v>2825</v>
      </c>
      <c r="K62" s="71" t="s">
        <v>44</v>
      </c>
      <c r="L62" s="70" t="s">
        <v>2991</v>
      </c>
    </row>
    <row r="63" spans="2:12" ht="20.100000000000001" customHeight="1" x14ac:dyDescent="0.25">
      <c r="B63" s="65" t="s">
        <v>2988</v>
      </c>
      <c r="C63" s="66" t="s">
        <v>2904</v>
      </c>
      <c r="D63" s="66" t="s">
        <v>1941</v>
      </c>
      <c r="E63" s="298">
        <v>66000</v>
      </c>
      <c r="F63" s="296" t="s">
        <v>918</v>
      </c>
      <c r="G63" s="66" t="s">
        <v>2823</v>
      </c>
      <c r="H63" s="74" t="s">
        <v>2856</v>
      </c>
      <c r="I63" s="65" t="s">
        <v>2992</v>
      </c>
      <c r="J63" s="66" t="s">
        <v>2993</v>
      </c>
      <c r="K63" s="298">
        <v>58000</v>
      </c>
      <c r="L63" s="66" t="s">
        <v>2994</v>
      </c>
    </row>
    <row r="64" spans="2:12" ht="20.100000000000001" customHeight="1" x14ac:dyDescent="0.25">
      <c r="B64" s="69" t="s">
        <v>2988</v>
      </c>
      <c r="C64" s="70" t="s">
        <v>2904</v>
      </c>
      <c r="D64" s="70" t="s">
        <v>2995</v>
      </c>
      <c r="E64" s="297">
        <v>109000</v>
      </c>
      <c r="F64" s="296" t="s">
        <v>2996</v>
      </c>
      <c r="G64" s="70" t="s">
        <v>2997</v>
      </c>
      <c r="H64" s="73" t="s">
        <v>2845</v>
      </c>
      <c r="I64" s="69" t="s">
        <v>2998</v>
      </c>
      <c r="J64" s="70" t="s">
        <v>2999</v>
      </c>
      <c r="K64" s="297">
        <v>108950</v>
      </c>
      <c r="L64" s="70" t="s">
        <v>3000</v>
      </c>
    </row>
    <row r="65" spans="2:12" ht="20.100000000000001" customHeight="1" x14ac:dyDescent="0.25">
      <c r="B65" s="65" t="s">
        <v>2988</v>
      </c>
      <c r="C65" s="66" t="s">
        <v>2904</v>
      </c>
      <c r="D65" s="66" t="s">
        <v>3001</v>
      </c>
      <c r="E65" s="298">
        <v>28000</v>
      </c>
      <c r="F65" s="296" t="s">
        <v>960</v>
      </c>
      <c r="G65" s="66" t="s">
        <v>905</v>
      </c>
      <c r="H65" s="67" t="s">
        <v>2817</v>
      </c>
      <c r="I65" s="65" t="s">
        <v>44</v>
      </c>
      <c r="J65" s="66" t="s">
        <v>2818</v>
      </c>
      <c r="K65" s="68" t="s">
        <v>44</v>
      </c>
      <c r="L65" s="66" t="s">
        <v>3002</v>
      </c>
    </row>
    <row r="66" spans="2:12" ht="20.100000000000001" customHeight="1" x14ac:dyDescent="0.25">
      <c r="B66" s="69" t="s">
        <v>2988</v>
      </c>
      <c r="C66" s="70" t="s">
        <v>2904</v>
      </c>
      <c r="D66" s="70" t="s">
        <v>2083</v>
      </c>
      <c r="E66" s="297">
        <v>50000</v>
      </c>
      <c r="F66" s="296" t="s">
        <v>3003</v>
      </c>
      <c r="G66" s="70" t="s">
        <v>905</v>
      </c>
      <c r="H66" s="73" t="s">
        <v>2845</v>
      </c>
      <c r="I66" s="69" t="s">
        <v>3004</v>
      </c>
      <c r="J66" s="70" t="s">
        <v>3005</v>
      </c>
      <c r="K66" s="297">
        <v>50000</v>
      </c>
      <c r="L66" s="70" t="s">
        <v>3006</v>
      </c>
    </row>
    <row r="67" spans="2:12" ht="20.100000000000001" customHeight="1" x14ac:dyDescent="0.25">
      <c r="B67" s="65" t="s">
        <v>2988</v>
      </c>
      <c r="C67" s="66" t="s">
        <v>2904</v>
      </c>
      <c r="D67" s="66" t="s">
        <v>3007</v>
      </c>
      <c r="E67" s="298">
        <v>75000</v>
      </c>
      <c r="F67" s="296" t="s">
        <v>3008</v>
      </c>
      <c r="G67" s="66" t="s">
        <v>3009</v>
      </c>
      <c r="H67" s="73" t="s">
        <v>2845</v>
      </c>
      <c r="I67" s="65" t="s">
        <v>3010</v>
      </c>
      <c r="J67" s="66" t="s">
        <v>3011</v>
      </c>
      <c r="K67" s="298">
        <v>75000</v>
      </c>
      <c r="L67" s="66" t="s">
        <v>3012</v>
      </c>
    </row>
    <row r="68" spans="2:12" ht="20.100000000000001" customHeight="1" x14ac:dyDescent="0.25">
      <c r="B68" s="69" t="s">
        <v>2988</v>
      </c>
      <c r="C68" s="70" t="s">
        <v>2904</v>
      </c>
      <c r="D68" s="70" t="s">
        <v>3013</v>
      </c>
      <c r="E68" s="297">
        <v>329500</v>
      </c>
      <c r="F68" s="296" t="s">
        <v>702</v>
      </c>
      <c r="G68" s="70" t="s">
        <v>2983</v>
      </c>
      <c r="H68" s="67" t="s">
        <v>2817</v>
      </c>
      <c r="I68" s="69" t="s">
        <v>44</v>
      </c>
      <c r="J68" s="70" t="s">
        <v>2818</v>
      </c>
      <c r="K68" s="71" t="s">
        <v>44</v>
      </c>
      <c r="L68" s="70" t="s">
        <v>3014</v>
      </c>
    </row>
    <row r="69" spans="2:12" ht="20.100000000000001" customHeight="1" x14ac:dyDescent="0.25">
      <c r="B69" s="65" t="s">
        <v>3015</v>
      </c>
      <c r="C69" s="66" t="s">
        <v>3016</v>
      </c>
      <c r="D69" s="66" t="s">
        <v>2841</v>
      </c>
      <c r="E69" s="298">
        <v>66000</v>
      </c>
      <c r="F69" s="296" t="s">
        <v>1736</v>
      </c>
      <c r="G69" s="66" t="s">
        <v>2823</v>
      </c>
      <c r="H69" s="72" t="s">
        <v>2824</v>
      </c>
      <c r="I69" s="65" t="s">
        <v>44</v>
      </c>
      <c r="J69" s="66" t="s">
        <v>2825</v>
      </c>
      <c r="K69" s="68" t="s">
        <v>44</v>
      </c>
      <c r="L69" s="66" t="s">
        <v>2842</v>
      </c>
    </row>
    <row r="70" spans="2:12" ht="20.100000000000001" customHeight="1" x14ac:dyDescent="0.25">
      <c r="B70" s="69" t="s">
        <v>3015</v>
      </c>
      <c r="C70" s="70" t="s">
        <v>3016</v>
      </c>
      <c r="D70" s="70" t="s">
        <v>2917</v>
      </c>
      <c r="E70" s="297">
        <v>66000</v>
      </c>
      <c r="F70" s="296" t="s">
        <v>1737</v>
      </c>
      <c r="G70" s="70" t="s">
        <v>2823</v>
      </c>
      <c r="H70" s="72" t="s">
        <v>2824</v>
      </c>
      <c r="I70" s="69" t="s">
        <v>44</v>
      </c>
      <c r="J70" s="70" t="s">
        <v>2825</v>
      </c>
      <c r="K70" s="71" t="s">
        <v>44</v>
      </c>
      <c r="L70" s="70" t="s">
        <v>2842</v>
      </c>
    </row>
    <row r="71" spans="2:12" ht="20.100000000000001" customHeight="1" x14ac:dyDescent="0.25">
      <c r="B71" s="65" t="s">
        <v>3015</v>
      </c>
      <c r="C71" s="66" t="s">
        <v>3016</v>
      </c>
      <c r="D71" s="66" t="s">
        <v>921</v>
      </c>
      <c r="E71" s="298">
        <v>66000</v>
      </c>
      <c r="F71" s="296" t="s">
        <v>1738</v>
      </c>
      <c r="G71" s="66" t="s">
        <v>2823</v>
      </c>
      <c r="H71" s="72" t="s">
        <v>2824</v>
      </c>
      <c r="I71" s="65" t="s">
        <v>44</v>
      </c>
      <c r="J71" s="66" t="s">
        <v>2825</v>
      </c>
      <c r="K71" s="68" t="s">
        <v>44</v>
      </c>
      <c r="L71" s="66" t="s">
        <v>2842</v>
      </c>
    </row>
    <row r="72" spans="2:12" ht="20.100000000000001" customHeight="1" x14ac:dyDescent="0.25">
      <c r="B72" s="69" t="s">
        <v>3015</v>
      </c>
      <c r="C72" s="70" t="s">
        <v>3016</v>
      </c>
      <c r="D72" s="70" t="s">
        <v>748</v>
      </c>
      <c r="E72" s="297">
        <v>29000</v>
      </c>
      <c r="F72" s="296" t="s">
        <v>1742</v>
      </c>
      <c r="G72" s="70" t="s">
        <v>2844</v>
      </c>
      <c r="H72" s="67" t="s">
        <v>2817</v>
      </c>
      <c r="I72" s="69" t="s">
        <v>44</v>
      </c>
      <c r="J72" s="70" t="s">
        <v>2818</v>
      </c>
      <c r="K72" s="71" t="s">
        <v>44</v>
      </c>
      <c r="L72" s="70" t="s">
        <v>3017</v>
      </c>
    </row>
    <row r="73" spans="2:12" ht="20.100000000000001" customHeight="1" x14ac:dyDescent="0.25">
      <c r="B73" s="65" t="s">
        <v>3015</v>
      </c>
      <c r="C73" s="66" t="s">
        <v>3016</v>
      </c>
      <c r="D73" s="66" t="s">
        <v>1256</v>
      </c>
      <c r="E73" s="298">
        <v>30000</v>
      </c>
      <c r="F73" s="296" t="s">
        <v>1739</v>
      </c>
      <c r="G73" s="66" t="s">
        <v>2850</v>
      </c>
      <c r="H73" s="67" t="s">
        <v>2817</v>
      </c>
      <c r="I73" s="65" t="s">
        <v>44</v>
      </c>
      <c r="J73" s="66" t="s">
        <v>2818</v>
      </c>
      <c r="K73" s="68" t="s">
        <v>44</v>
      </c>
      <c r="L73" s="66" t="s">
        <v>3018</v>
      </c>
    </row>
    <row r="74" spans="2:12" ht="20.100000000000001" customHeight="1" x14ac:dyDescent="0.25">
      <c r="B74" s="69" t="s">
        <v>3015</v>
      </c>
      <c r="C74" s="70" t="s">
        <v>3016</v>
      </c>
      <c r="D74" s="70" t="s">
        <v>3019</v>
      </c>
      <c r="E74" s="297">
        <v>300000</v>
      </c>
      <c r="F74" s="296" t="s">
        <v>1740</v>
      </c>
      <c r="G74" s="70" t="s">
        <v>3020</v>
      </c>
      <c r="H74" s="75" t="s">
        <v>3021</v>
      </c>
      <c r="I74" s="69" t="s">
        <v>44</v>
      </c>
      <c r="J74" s="70" t="s">
        <v>3022</v>
      </c>
      <c r="K74" s="71" t="s">
        <v>44</v>
      </c>
      <c r="L74" s="70" t="s">
        <v>3023</v>
      </c>
    </row>
    <row r="75" spans="2:12" ht="20.100000000000001" customHeight="1" x14ac:dyDescent="0.25">
      <c r="B75" s="65" t="s">
        <v>3015</v>
      </c>
      <c r="C75" s="66" t="s">
        <v>3016</v>
      </c>
      <c r="D75" s="66" t="s">
        <v>3024</v>
      </c>
      <c r="E75" s="298">
        <v>85000</v>
      </c>
      <c r="F75" s="296" t="s">
        <v>1741</v>
      </c>
      <c r="G75" s="66" t="s">
        <v>3025</v>
      </c>
      <c r="H75" s="67" t="s">
        <v>2817</v>
      </c>
      <c r="I75" s="65" t="s">
        <v>44</v>
      </c>
      <c r="J75" s="66" t="s">
        <v>2818</v>
      </c>
      <c r="K75" s="68" t="s">
        <v>44</v>
      </c>
      <c r="L75" s="66" t="s">
        <v>3026</v>
      </c>
    </row>
    <row r="76" spans="2:12" ht="20.100000000000001" customHeight="1" x14ac:dyDescent="0.25">
      <c r="B76" s="69" t="s">
        <v>3015</v>
      </c>
      <c r="C76" s="70" t="s">
        <v>3016</v>
      </c>
      <c r="D76" s="70" t="s">
        <v>1292</v>
      </c>
      <c r="E76" s="297">
        <v>77300</v>
      </c>
      <c r="F76" s="296" t="s">
        <v>1743</v>
      </c>
      <c r="G76" s="70" t="s">
        <v>3027</v>
      </c>
      <c r="H76" s="67" t="s">
        <v>2817</v>
      </c>
      <c r="I76" s="69" t="s">
        <v>44</v>
      </c>
      <c r="J76" s="70" t="s">
        <v>2818</v>
      </c>
      <c r="K76" s="71" t="s">
        <v>44</v>
      </c>
      <c r="L76" s="70" t="s">
        <v>3028</v>
      </c>
    </row>
    <row r="77" spans="2:12" ht="20.100000000000001" customHeight="1" x14ac:dyDescent="0.25">
      <c r="B77" s="65" t="s">
        <v>3015</v>
      </c>
      <c r="C77" s="66" t="s">
        <v>3016</v>
      </c>
      <c r="D77" s="66" t="s">
        <v>2972</v>
      </c>
      <c r="E77" s="298">
        <v>46500</v>
      </c>
      <c r="F77" s="296" t="s">
        <v>1744</v>
      </c>
      <c r="G77" s="66" t="s">
        <v>2940</v>
      </c>
      <c r="H77" s="67" t="s">
        <v>2817</v>
      </c>
      <c r="I77" s="65" t="s">
        <v>44</v>
      </c>
      <c r="J77" s="66" t="s">
        <v>2818</v>
      </c>
      <c r="K77" s="68" t="s">
        <v>44</v>
      </c>
      <c r="L77" s="66" t="s">
        <v>3029</v>
      </c>
    </row>
    <row r="78" spans="2:12" ht="20.100000000000001" customHeight="1" x14ac:dyDescent="0.25">
      <c r="B78" s="69" t="s">
        <v>3015</v>
      </c>
      <c r="C78" s="70" t="s">
        <v>3016</v>
      </c>
      <c r="D78" s="70" t="s">
        <v>3030</v>
      </c>
      <c r="E78" s="297">
        <v>377500</v>
      </c>
      <c r="F78" s="296" t="s">
        <v>362</v>
      </c>
      <c r="G78" s="70" t="s">
        <v>3031</v>
      </c>
      <c r="H78" s="67" t="s">
        <v>2817</v>
      </c>
      <c r="I78" s="69" t="s">
        <v>44</v>
      </c>
      <c r="J78" s="70" t="s">
        <v>2818</v>
      </c>
      <c r="K78" s="71" t="s">
        <v>44</v>
      </c>
      <c r="L78" s="70" t="s">
        <v>3032</v>
      </c>
    </row>
    <row r="79" spans="2:12" ht="20.100000000000001" customHeight="1" x14ac:dyDescent="0.25">
      <c r="B79" s="65" t="s">
        <v>3015</v>
      </c>
      <c r="C79" s="66" t="s">
        <v>3016</v>
      </c>
      <c r="D79" s="66" t="s">
        <v>3033</v>
      </c>
      <c r="E79" s="298">
        <v>72000</v>
      </c>
      <c r="F79" s="296" t="s">
        <v>3034</v>
      </c>
      <c r="G79" s="66" t="s">
        <v>3035</v>
      </c>
      <c r="H79" s="73" t="s">
        <v>2845</v>
      </c>
      <c r="I79" s="65" t="s">
        <v>3036</v>
      </c>
      <c r="J79" s="66" t="s">
        <v>3037</v>
      </c>
      <c r="K79" s="298">
        <v>72000</v>
      </c>
      <c r="L79" s="66" t="s">
        <v>3038</v>
      </c>
    </row>
    <row r="80" spans="2:12" ht="21.95" customHeight="1" x14ac:dyDescent="0.25">
      <c r="B80" s="76" t="s">
        <v>2448</v>
      </c>
      <c r="C80" s="76" t="s">
        <v>44</v>
      </c>
      <c r="D80" s="76" t="s">
        <v>3039</v>
      </c>
      <c r="E80" s="303">
        <v>5982386</v>
      </c>
      <c r="F80" s="304"/>
      <c r="G80" s="76" t="s">
        <v>3040</v>
      </c>
      <c r="H80" s="76" t="s">
        <v>3041</v>
      </c>
      <c r="I80" s="76" t="s">
        <v>44</v>
      </c>
      <c r="J80" s="76" t="s">
        <v>3042</v>
      </c>
      <c r="K80" s="303">
        <v>2208436</v>
      </c>
      <c r="L80" s="76" t="s">
        <v>3043</v>
      </c>
    </row>
    <row r="83" spans="2:12" ht="21.95" customHeight="1" x14ac:dyDescent="0.25">
      <c r="B83" s="735" t="s">
        <v>3044</v>
      </c>
      <c r="C83" s="642"/>
      <c r="D83" s="642"/>
      <c r="E83" s="642"/>
      <c r="F83" s="728"/>
      <c r="G83" s="642"/>
      <c r="H83" s="642"/>
      <c r="I83" s="642"/>
      <c r="J83" s="642"/>
      <c r="K83" s="642"/>
      <c r="L83" s="642"/>
    </row>
    <row r="84" spans="2:12" ht="24" customHeight="1" x14ac:dyDescent="0.25">
      <c r="B84" s="62" t="s">
        <v>2804</v>
      </c>
      <c r="C84" s="63" t="s">
        <v>3045</v>
      </c>
      <c r="D84" s="64" t="s">
        <v>3046</v>
      </c>
      <c r="E84" s="64" t="s">
        <v>3047</v>
      </c>
      <c r="F84" s="63"/>
      <c r="G84" s="64" t="s">
        <v>3048</v>
      </c>
      <c r="H84" s="64" t="s">
        <v>3049</v>
      </c>
      <c r="I84" s="64" t="s">
        <v>3050</v>
      </c>
      <c r="J84" s="64" t="s">
        <v>3051</v>
      </c>
      <c r="K84" s="64" t="s">
        <v>3052</v>
      </c>
      <c r="L84" s="63" t="s">
        <v>3053</v>
      </c>
    </row>
    <row r="85" spans="2:12" ht="20.100000000000001" customHeight="1" x14ac:dyDescent="0.25">
      <c r="B85" s="65" t="s">
        <v>2814</v>
      </c>
      <c r="C85" s="66" t="s">
        <v>2815</v>
      </c>
      <c r="D85" s="298">
        <v>401500</v>
      </c>
      <c r="E85" s="298">
        <v>99000</v>
      </c>
      <c r="F85" s="296"/>
      <c r="G85" s="298">
        <v>1139400</v>
      </c>
      <c r="H85" s="298">
        <v>1751000</v>
      </c>
      <c r="I85" s="298">
        <v>217100</v>
      </c>
      <c r="J85" s="298">
        <v>1756800</v>
      </c>
      <c r="K85" s="305">
        <v>-5800</v>
      </c>
      <c r="L85" s="66" t="s">
        <v>3054</v>
      </c>
    </row>
    <row r="86" spans="2:12" ht="20.100000000000001" customHeight="1" x14ac:dyDescent="0.25">
      <c r="B86" s="69" t="s">
        <v>2837</v>
      </c>
      <c r="C86" s="70" t="s">
        <v>2838</v>
      </c>
      <c r="D86" s="297">
        <v>1716400</v>
      </c>
      <c r="E86" s="297">
        <v>0</v>
      </c>
      <c r="F86" s="306"/>
      <c r="G86" s="297">
        <v>646000</v>
      </c>
      <c r="H86" s="297">
        <v>3478786</v>
      </c>
      <c r="I86" s="297">
        <v>1116386</v>
      </c>
      <c r="J86" s="297">
        <v>3481800</v>
      </c>
      <c r="K86" s="307">
        <v>-3014</v>
      </c>
      <c r="L86" s="70" t="s">
        <v>3055</v>
      </c>
    </row>
    <row r="87" spans="2:12" ht="20.100000000000001" customHeight="1" x14ac:dyDescent="0.25">
      <c r="B87" s="65" t="s">
        <v>2903</v>
      </c>
      <c r="C87" s="66" t="s">
        <v>2904</v>
      </c>
      <c r="D87" s="298">
        <v>894400</v>
      </c>
      <c r="E87" s="298">
        <v>169500</v>
      </c>
      <c r="F87" s="296"/>
      <c r="G87" s="298">
        <v>1580000</v>
      </c>
      <c r="H87" s="298">
        <v>2919100</v>
      </c>
      <c r="I87" s="298">
        <v>269800</v>
      </c>
      <c r="J87" s="298">
        <v>2919800</v>
      </c>
      <c r="K87" s="307">
        <v>-700</v>
      </c>
      <c r="L87" s="66" t="s">
        <v>3056</v>
      </c>
    </row>
    <row r="88" spans="2:12" ht="20.100000000000001" customHeight="1" x14ac:dyDescent="0.25">
      <c r="B88" s="69" t="s">
        <v>2916</v>
      </c>
      <c r="C88" s="70" t="s">
        <v>2838</v>
      </c>
      <c r="D88" s="297">
        <v>1459600</v>
      </c>
      <c r="E88" s="297">
        <v>31000</v>
      </c>
      <c r="F88" s="306"/>
      <c r="G88" s="297">
        <v>789100</v>
      </c>
      <c r="H88" s="297">
        <v>3735100</v>
      </c>
      <c r="I88" s="297">
        <v>328500</v>
      </c>
      <c r="J88" s="297">
        <v>3732300</v>
      </c>
      <c r="K88" s="307">
        <v>2800</v>
      </c>
      <c r="L88" s="70" t="s">
        <v>3057</v>
      </c>
    </row>
    <row r="89" spans="2:12" ht="20.100000000000001" customHeight="1" x14ac:dyDescent="0.25">
      <c r="B89" s="65" t="s">
        <v>2937</v>
      </c>
      <c r="C89" s="66" t="s">
        <v>2938</v>
      </c>
      <c r="D89" s="298">
        <v>979700</v>
      </c>
      <c r="E89" s="298">
        <v>114000</v>
      </c>
      <c r="F89" s="296"/>
      <c r="G89" s="298">
        <v>997200</v>
      </c>
      <c r="H89" s="298">
        <v>2909600</v>
      </c>
      <c r="I89" s="298">
        <v>824700</v>
      </c>
      <c r="J89" s="298">
        <v>2897600</v>
      </c>
      <c r="K89" s="305">
        <v>12000</v>
      </c>
      <c r="L89" s="66" t="s">
        <v>3058</v>
      </c>
    </row>
    <row r="90" spans="2:12" ht="20.100000000000001" customHeight="1" x14ac:dyDescent="0.25">
      <c r="B90" s="69" t="s">
        <v>2962</v>
      </c>
      <c r="C90" s="70" t="s">
        <v>2838</v>
      </c>
      <c r="D90" s="297">
        <v>1520700</v>
      </c>
      <c r="E90" s="297">
        <v>0</v>
      </c>
      <c r="F90" s="306"/>
      <c r="G90" s="297">
        <v>837000</v>
      </c>
      <c r="H90" s="297">
        <v>3615200</v>
      </c>
      <c r="I90" s="297">
        <v>1258100</v>
      </c>
      <c r="J90" s="297">
        <v>3618900</v>
      </c>
      <c r="K90" s="307">
        <v>-3700</v>
      </c>
      <c r="L90" s="70" t="s">
        <v>3059</v>
      </c>
    </row>
    <row r="91" spans="2:12" ht="20.100000000000001" customHeight="1" x14ac:dyDescent="0.25">
      <c r="B91" s="65" t="s">
        <v>2988</v>
      </c>
      <c r="C91" s="66" t="s">
        <v>2904</v>
      </c>
      <c r="D91" s="298">
        <v>1076900</v>
      </c>
      <c r="E91" s="298">
        <v>201000</v>
      </c>
      <c r="F91" s="296"/>
      <c r="G91" s="298">
        <v>816500</v>
      </c>
      <c r="H91" s="298">
        <v>2992200</v>
      </c>
      <c r="I91" s="298">
        <v>677500</v>
      </c>
      <c r="J91" s="298">
        <v>2991300</v>
      </c>
      <c r="K91" s="307">
        <v>900</v>
      </c>
      <c r="L91" s="66" t="s">
        <v>3060</v>
      </c>
    </row>
    <row r="92" spans="2:12" ht="20.100000000000001" customHeight="1" x14ac:dyDescent="0.25">
      <c r="B92" s="69" t="s">
        <v>3015</v>
      </c>
      <c r="C92" s="70" t="s">
        <v>3016</v>
      </c>
      <c r="D92" s="297">
        <v>2027100</v>
      </c>
      <c r="E92" s="297">
        <v>70900</v>
      </c>
      <c r="F92" s="306"/>
      <c r="G92" s="297">
        <v>833000</v>
      </c>
      <c r="H92" s="297">
        <v>3774300</v>
      </c>
      <c r="I92" s="297">
        <v>822300</v>
      </c>
      <c r="J92" s="297">
        <v>3775700</v>
      </c>
      <c r="K92" s="307">
        <v>-1400</v>
      </c>
      <c r="L92" s="70" t="s">
        <v>3061</v>
      </c>
    </row>
    <row r="93" spans="2:12" ht="21.95" customHeight="1" x14ac:dyDescent="0.25">
      <c r="B93" s="76" t="s">
        <v>2448</v>
      </c>
      <c r="C93" s="76" t="s">
        <v>3062</v>
      </c>
      <c r="D93" s="303">
        <v>10076300</v>
      </c>
      <c r="E93" s="303">
        <v>685400</v>
      </c>
      <c r="F93" s="304"/>
      <c r="G93" s="303">
        <v>7638200</v>
      </c>
      <c r="H93" s="303">
        <v>25175286</v>
      </c>
      <c r="I93" s="303">
        <v>5514386</v>
      </c>
      <c r="J93" s="303">
        <v>25174200</v>
      </c>
      <c r="K93" s="303">
        <v>1086</v>
      </c>
      <c r="L93" s="76" t="s">
        <v>3063</v>
      </c>
    </row>
    <row r="96" spans="2:12" ht="21.95" customHeight="1" x14ac:dyDescent="0.25">
      <c r="B96" s="735" t="s">
        <v>3064</v>
      </c>
      <c r="C96" s="642"/>
      <c r="D96" s="642"/>
      <c r="E96" s="642"/>
      <c r="F96" s="728"/>
      <c r="G96" s="642"/>
      <c r="H96" s="642"/>
      <c r="I96" s="642"/>
      <c r="J96" s="642"/>
      <c r="K96" s="642"/>
      <c r="L96" s="642"/>
    </row>
    <row r="97" spans="2:12" ht="42" customHeight="1" x14ac:dyDescent="0.25">
      <c r="B97" s="738" t="s">
        <v>3065</v>
      </c>
      <c r="C97" s="730"/>
      <c r="D97" s="731" t="s">
        <v>3066</v>
      </c>
      <c r="E97" s="732"/>
      <c r="F97" s="732"/>
      <c r="G97" s="732"/>
      <c r="H97" s="732"/>
      <c r="I97" s="732"/>
      <c r="J97" s="732"/>
      <c r="K97" s="732"/>
      <c r="L97" s="730"/>
    </row>
    <row r="98" spans="2:12" ht="42" customHeight="1" x14ac:dyDescent="0.25">
      <c r="B98" s="738" t="s">
        <v>3067</v>
      </c>
      <c r="C98" s="730"/>
      <c r="D98" s="731" t="s">
        <v>3068</v>
      </c>
      <c r="E98" s="732"/>
      <c r="F98" s="732"/>
      <c r="G98" s="732"/>
      <c r="H98" s="732"/>
      <c r="I98" s="732"/>
      <c r="J98" s="732"/>
      <c r="K98" s="732"/>
      <c r="L98" s="730"/>
    </row>
    <row r="99" spans="2:12" ht="42" customHeight="1" x14ac:dyDescent="0.25">
      <c r="B99" s="738" t="s">
        <v>3069</v>
      </c>
      <c r="C99" s="730"/>
      <c r="D99" s="731" t="s">
        <v>3070</v>
      </c>
      <c r="E99" s="732"/>
      <c r="F99" s="732"/>
      <c r="G99" s="732"/>
      <c r="H99" s="732"/>
      <c r="I99" s="732"/>
      <c r="J99" s="732"/>
      <c r="K99" s="732"/>
      <c r="L99" s="730"/>
    </row>
    <row r="100" spans="2:12" ht="42" customHeight="1" x14ac:dyDescent="0.25">
      <c r="B100" s="738" t="s">
        <v>3071</v>
      </c>
      <c r="C100" s="730"/>
      <c r="D100" s="731" t="s">
        <v>3072</v>
      </c>
      <c r="E100" s="732"/>
      <c r="F100" s="732"/>
      <c r="G100" s="732"/>
      <c r="H100" s="732"/>
      <c r="I100" s="732"/>
      <c r="J100" s="732"/>
      <c r="K100" s="732"/>
      <c r="L100" s="730"/>
    </row>
    <row r="103" spans="2:12" ht="15.75" customHeight="1" x14ac:dyDescent="0.25">
      <c r="B103" s="190" t="s">
        <v>3073</v>
      </c>
    </row>
    <row r="104" spans="2:12" x14ac:dyDescent="0.25">
      <c r="B104" s="191" t="s">
        <v>2804</v>
      </c>
      <c r="C104" s="191" t="s">
        <v>2805</v>
      </c>
      <c r="D104" s="191" t="s">
        <v>2806</v>
      </c>
      <c r="E104" s="191" t="s">
        <v>2807</v>
      </c>
      <c r="F104" s="191" t="s">
        <v>110</v>
      </c>
      <c r="G104" s="191" t="s">
        <v>2809</v>
      </c>
      <c r="H104" s="191" t="s">
        <v>3074</v>
      </c>
      <c r="I104" s="191" t="s">
        <v>3075</v>
      </c>
    </row>
    <row r="105" spans="2:12" x14ac:dyDescent="0.25">
      <c r="B105" s="192" t="s">
        <v>3076</v>
      </c>
      <c r="C105" s="192" t="s">
        <v>3077</v>
      </c>
      <c r="D105" s="193" t="s">
        <v>3078</v>
      </c>
      <c r="E105" s="308">
        <v>66000</v>
      </c>
      <c r="F105" s="192" t="s">
        <v>1768</v>
      </c>
      <c r="G105" s="192" t="s">
        <v>2824</v>
      </c>
      <c r="H105" s="193" t="s">
        <v>2071</v>
      </c>
      <c r="I105" s="193" t="s">
        <v>3079</v>
      </c>
    </row>
    <row r="106" spans="2:12" x14ac:dyDescent="0.25">
      <c r="B106" s="192" t="s">
        <v>3076</v>
      </c>
      <c r="C106" s="192" t="s">
        <v>3077</v>
      </c>
      <c r="D106" s="193" t="s">
        <v>3080</v>
      </c>
      <c r="E106" s="308">
        <v>66000</v>
      </c>
      <c r="F106" s="192" t="s">
        <v>1768</v>
      </c>
      <c r="G106" s="192" t="s">
        <v>2824</v>
      </c>
      <c r="H106" s="193" t="s">
        <v>2071</v>
      </c>
      <c r="I106" s="193" t="s">
        <v>3079</v>
      </c>
    </row>
    <row r="107" spans="2:12" x14ac:dyDescent="0.25">
      <c r="B107" s="192" t="s">
        <v>3076</v>
      </c>
      <c r="C107" s="192" t="s">
        <v>3077</v>
      </c>
      <c r="D107" s="193" t="s">
        <v>3081</v>
      </c>
      <c r="E107" s="308">
        <v>66000</v>
      </c>
      <c r="F107" s="192" t="s">
        <v>1768</v>
      </c>
      <c r="G107" s="192" t="s">
        <v>2824</v>
      </c>
      <c r="H107" s="193" t="s">
        <v>2071</v>
      </c>
      <c r="I107" s="193" t="s">
        <v>3079</v>
      </c>
    </row>
    <row r="108" spans="2:12" x14ac:dyDescent="0.25">
      <c r="B108" s="192" t="s">
        <v>3076</v>
      </c>
      <c r="C108" s="192" t="s">
        <v>3077</v>
      </c>
      <c r="D108" s="193" t="s">
        <v>3082</v>
      </c>
      <c r="E108" s="308">
        <v>30000</v>
      </c>
      <c r="F108" s="192" t="s">
        <v>1333</v>
      </c>
      <c r="G108" s="192" t="s">
        <v>3083</v>
      </c>
      <c r="H108" s="193" t="s">
        <v>2071</v>
      </c>
      <c r="I108" s="193" t="s">
        <v>3084</v>
      </c>
    </row>
    <row r="109" spans="2:12" x14ac:dyDescent="0.25">
      <c r="B109" s="192" t="s">
        <v>3076</v>
      </c>
      <c r="C109" s="192" t="s">
        <v>3077</v>
      </c>
      <c r="D109" s="193" t="s">
        <v>3085</v>
      </c>
      <c r="E109" s="308">
        <v>5000</v>
      </c>
      <c r="F109" s="192" t="s">
        <v>1805</v>
      </c>
      <c r="G109" s="192" t="s">
        <v>2829</v>
      </c>
      <c r="H109" s="193" t="s">
        <v>3086</v>
      </c>
      <c r="I109" s="193" t="s">
        <v>3087</v>
      </c>
    </row>
    <row r="110" spans="2:12" x14ac:dyDescent="0.25">
      <c r="B110" s="192" t="s">
        <v>3076</v>
      </c>
      <c r="C110" s="192" t="s">
        <v>3077</v>
      </c>
      <c r="D110" s="193" t="s">
        <v>3088</v>
      </c>
      <c r="E110" s="308">
        <v>19000</v>
      </c>
      <c r="F110" s="192" t="s">
        <v>91</v>
      </c>
      <c r="G110" s="192" t="s">
        <v>3083</v>
      </c>
      <c r="H110" s="193" t="s">
        <v>2071</v>
      </c>
      <c r="I110" s="193" t="s">
        <v>3084</v>
      </c>
    </row>
    <row r="111" spans="2:12" x14ac:dyDescent="0.25">
      <c r="B111" s="192" t="s">
        <v>3076</v>
      </c>
      <c r="C111" s="192" t="s">
        <v>3077</v>
      </c>
      <c r="D111" s="193" t="s">
        <v>3089</v>
      </c>
      <c r="E111" s="308">
        <v>14200</v>
      </c>
      <c r="F111" s="192" t="s">
        <v>91</v>
      </c>
      <c r="G111" s="192" t="s">
        <v>3083</v>
      </c>
      <c r="H111" s="193" t="s">
        <v>2071</v>
      </c>
      <c r="I111" s="193" t="s">
        <v>3084</v>
      </c>
    </row>
    <row r="112" spans="2:12" x14ac:dyDescent="0.25">
      <c r="B112" s="192" t="s">
        <v>3076</v>
      </c>
      <c r="C112" s="192" t="s">
        <v>3077</v>
      </c>
      <c r="D112" s="193" t="s">
        <v>3090</v>
      </c>
      <c r="E112" s="308">
        <v>110000</v>
      </c>
      <c r="F112" s="192" t="s">
        <v>1614</v>
      </c>
      <c r="G112" s="192" t="s">
        <v>3083</v>
      </c>
      <c r="H112" s="193" t="s">
        <v>2071</v>
      </c>
      <c r="I112" s="193" t="s">
        <v>3084</v>
      </c>
    </row>
    <row r="113" spans="2:9" x14ac:dyDescent="0.25">
      <c r="B113" s="192" t="s">
        <v>3091</v>
      </c>
      <c r="C113" s="192" t="s">
        <v>3077</v>
      </c>
      <c r="D113" s="193" t="s">
        <v>3092</v>
      </c>
      <c r="E113" s="308">
        <v>3500</v>
      </c>
      <c r="F113" s="192" t="s">
        <v>1745</v>
      </c>
      <c r="G113" s="192" t="s">
        <v>3083</v>
      </c>
      <c r="H113" s="193" t="s">
        <v>2071</v>
      </c>
      <c r="I113" s="193" t="s">
        <v>3084</v>
      </c>
    </row>
    <row r="114" spans="2:9" x14ac:dyDescent="0.25">
      <c r="B114" s="192" t="s">
        <v>3091</v>
      </c>
      <c r="C114" s="192" t="s">
        <v>3077</v>
      </c>
      <c r="D114" s="193" t="s">
        <v>3093</v>
      </c>
      <c r="E114" s="308">
        <v>144700</v>
      </c>
      <c r="F114" s="192" t="s">
        <v>1230</v>
      </c>
      <c r="G114" s="192" t="s">
        <v>3083</v>
      </c>
      <c r="H114" s="193" t="s">
        <v>2071</v>
      </c>
      <c r="I114" s="193" t="s">
        <v>3084</v>
      </c>
    </row>
    <row r="115" spans="2:9" x14ac:dyDescent="0.25">
      <c r="B115" s="192" t="s">
        <v>3091</v>
      </c>
      <c r="C115" s="192" t="s">
        <v>3077</v>
      </c>
      <c r="D115" s="193" t="s">
        <v>3094</v>
      </c>
      <c r="E115" s="308">
        <v>16550</v>
      </c>
      <c r="F115" s="192" t="s">
        <v>1658</v>
      </c>
      <c r="G115" s="192" t="s">
        <v>3083</v>
      </c>
      <c r="H115" s="193" t="s">
        <v>2071</v>
      </c>
      <c r="I115" s="193" t="s">
        <v>3084</v>
      </c>
    </row>
    <row r="116" spans="2:9" x14ac:dyDescent="0.25">
      <c r="B116" s="192" t="s">
        <v>3091</v>
      </c>
      <c r="C116" s="192" t="s">
        <v>3077</v>
      </c>
      <c r="D116" s="193" t="s">
        <v>3095</v>
      </c>
      <c r="E116" s="308">
        <v>14000</v>
      </c>
      <c r="F116" s="192" t="s">
        <v>1520</v>
      </c>
      <c r="G116" s="192" t="s">
        <v>3083</v>
      </c>
      <c r="H116" s="193" t="s">
        <v>2071</v>
      </c>
      <c r="I116" s="193" t="s">
        <v>3084</v>
      </c>
    </row>
    <row r="117" spans="2:9" x14ac:dyDescent="0.25">
      <c r="B117" s="192" t="s">
        <v>3091</v>
      </c>
      <c r="C117" s="192" t="s">
        <v>3077</v>
      </c>
      <c r="D117" s="193" t="s">
        <v>3096</v>
      </c>
      <c r="E117" s="308">
        <v>11100</v>
      </c>
      <c r="F117" s="192" t="s">
        <v>1663</v>
      </c>
      <c r="G117" s="192" t="s">
        <v>3083</v>
      </c>
      <c r="H117" s="193" t="s">
        <v>2071</v>
      </c>
      <c r="I117" s="193" t="s">
        <v>3084</v>
      </c>
    </row>
    <row r="118" spans="2:9" x14ac:dyDescent="0.25">
      <c r="B118" s="192" t="s">
        <v>3091</v>
      </c>
      <c r="C118" s="192" t="s">
        <v>3077</v>
      </c>
      <c r="D118" s="193" t="s">
        <v>3097</v>
      </c>
      <c r="E118" s="308">
        <v>90000</v>
      </c>
      <c r="F118" s="192" t="s">
        <v>1230</v>
      </c>
      <c r="G118" s="192" t="s">
        <v>3083</v>
      </c>
      <c r="H118" s="193" t="s">
        <v>2071</v>
      </c>
      <c r="I118" s="193" t="s">
        <v>3084</v>
      </c>
    </row>
    <row r="119" spans="2:9" x14ac:dyDescent="0.25">
      <c r="B119" s="192" t="s">
        <v>3091</v>
      </c>
      <c r="C119" s="192" t="s">
        <v>3077</v>
      </c>
      <c r="D119" s="193" t="s">
        <v>3098</v>
      </c>
      <c r="E119" s="308">
        <v>66000</v>
      </c>
      <c r="F119" s="192" t="s">
        <v>1768</v>
      </c>
      <c r="G119" s="192" t="s">
        <v>2824</v>
      </c>
      <c r="H119" s="193" t="s">
        <v>2071</v>
      </c>
      <c r="I119" s="193" t="s">
        <v>3079</v>
      </c>
    </row>
    <row r="120" spans="2:9" x14ac:dyDescent="0.25">
      <c r="B120" s="192" t="s">
        <v>3099</v>
      </c>
      <c r="C120" s="192" t="s">
        <v>3077</v>
      </c>
      <c r="D120" s="193" t="s">
        <v>3078</v>
      </c>
      <c r="E120" s="308">
        <v>66000</v>
      </c>
      <c r="F120" s="192" t="s">
        <v>1768</v>
      </c>
      <c r="G120" s="192" t="s">
        <v>2824</v>
      </c>
      <c r="H120" s="193" t="s">
        <v>2071</v>
      </c>
      <c r="I120" s="193" t="s">
        <v>3079</v>
      </c>
    </row>
    <row r="121" spans="2:9" x14ac:dyDescent="0.25">
      <c r="B121" s="192" t="s">
        <v>3099</v>
      </c>
      <c r="C121" s="192" t="s">
        <v>3077</v>
      </c>
      <c r="D121" s="193" t="s">
        <v>3100</v>
      </c>
      <c r="E121" s="308">
        <v>30000</v>
      </c>
      <c r="F121" s="192" t="s">
        <v>1658</v>
      </c>
      <c r="G121" s="192" t="s">
        <v>3083</v>
      </c>
      <c r="H121" s="193" t="s">
        <v>2071</v>
      </c>
      <c r="I121" s="193" t="s">
        <v>3101</v>
      </c>
    </row>
    <row r="122" spans="2:9" x14ac:dyDescent="0.25">
      <c r="B122" s="192" t="s">
        <v>3099</v>
      </c>
      <c r="C122" s="192" t="s">
        <v>3077</v>
      </c>
      <c r="D122" s="193" t="s">
        <v>3102</v>
      </c>
      <c r="E122" s="308">
        <v>34000</v>
      </c>
      <c r="F122" s="192" t="s">
        <v>91</v>
      </c>
      <c r="G122" s="192" t="s">
        <v>3083</v>
      </c>
      <c r="H122" s="193" t="s">
        <v>2071</v>
      </c>
      <c r="I122" s="193" t="s">
        <v>3084</v>
      </c>
    </row>
    <row r="123" spans="2:9" x14ac:dyDescent="0.25">
      <c r="B123" s="192" t="s">
        <v>3099</v>
      </c>
      <c r="C123" s="192" t="s">
        <v>3077</v>
      </c>
      <c r="D123" s="193" t="s">
        <v>3082</v>
      </c>
      <c r="E123" s="308">
        <v>30000</v>
      </c>
      <c r="F123" s="192" t="s">
        <v>1333</v>
      </c>
      <c r="G123" s="192" t="s">
        <v>3103</v>
      </c>
      <c r="H123" s="193" t="s">
        <v>3104</v>
      </c>
      <c r="I123" s="193" t="s">
        <v>3105</v>
      </c>
    </row>
    <row r="124" spans="2:9" x14ac:dyDescent="0.25">
      <c r="B124" s="192" t="s">
        <v>3099</v>
      </c>
      <c r="C124" s="192" t="s">
        <v>3077</v>
      </c>
      <c r="D124" s="193" t="s">
        <v>3106</v>
      </c>
      <c r="E124" s="308">
        <v>76700</v>
      </c>
      <c r="F124" s="192" t="s">
        <v>1235</v>
      </c>
      <c r="G124" s="192" t="s">
        <v>3083</v>
      </c>
      <c r="H124" s="193" t="s">
        <v>2071</v>
      </c>
      <c r="I124" s="193" t="s">
        <v>3084</v>
      </c>
    </row>
    <row r="125" spans="2:9" x14ac:dyDescent="0.25">
      <c r="B125" s="192" t="s">
        <v>3099</v>
      </c>
      <c r="C125" s="192" t="s">
        <v>3077</v>
      </c>
      <c r="D125" s="193" t="s">
        <v>3107</v>
      </c>
      <c r="E125" s="308">
        <v>330000</v>
      </c>
      <c r="F125" s="192" t="s">
        <v>1230</v>
      </c>
      <c r="G125" s="192" t="s">
        <v>2984</v>
      </c>
      <c r="H125" s="193" t="s">
        <v>3108</v>
      </c>
      <c r="I125" s="193" t="s">
        <v>3109</v>
      </c>
    </row>
    <row r="126" spans="2:9" x14ac:dyDescent="0.25">
      <c r="B126" s="192" t="s">
        <v>3099</v>
      </c>
      <c r="C126" s="192" t="s">
        <v>3077</v>
      </c>
      <c r="D126" s="193" t="s">
        <v>3110</v>
      </c>
      <c r="E126" s="308">
        <v>69000</v>
      </c>
      <c r="F126" s="192" t="s">
        <v>1745</v>
      </c>
      <c r="G126" s="192" t="s">
        <v>3083</v>
      </c>
      <c r="H126" s="193" t="s">
        <v>2071</v>
      </c>
      <c r="I126" s="193" t="s">
        <v>3084</v>
      </c>
    </row>
    <row r="127" spans="2:9" x14ac:dyDescent="0.25">
      <c r="B127" s="192" t="s">
        <v>3099</v>
      </c>
      <c r="C127" s="192" t="s">
        <v>3077</v>
      </c>
      <c r="D127" s="193" t="s">
        <v>3111</v>
      </c>
      <c r="E127" s="308">
        <v>109400</v>
      </c>
      <c r="F127" s="192" t="s">
        <v>1614</v>
      </c>
      <c r="G127" s="192" t="s">
        <v>3083</v>
      </c>
      <c r="H127" s="193" t="s">
        <v>2071</v>
      </c>
      <c r="I127" s="193" t="s">
        <v>3084</v>
      </c>
    </row>
    <row r="128" spans="2:9" x14ac:dyDescent="0.25">
      <c r="B128" s="192" t="s">
        <v>3099</v>
      </c>
      <c r="C128" s="192" t="s">
        <v>3077</v>
      </c>
      <c r="D128" s="193" t="s">
        <v>3112</v>
      </c>
      <c r="E128" s="308">
        <v>338400</v>
      </c>
      <c r="F128" s="192" t="s">
        <v>91</v>
      </c>
      <c r="G128" s="192" t="s">
        <v>2984</v>
      </c>
      <c r="H128" s="193" t="s">
        <v>3113</v>
      </c>
      <c r="I128" s="193" t="s">
        <v>3114</v>
      </c>
    </row>
    <row r="129" spans="2:9" x14ac:dyDescent="0.25">
      <c r="B129" s="192" t="s">
        <v>3115</v>
      </c>
      <c r="C129" s="192" t="s">
        <v>3077</v>
      </c>
      <c r="D129" s="193" t="s">
        <v>3116</v>
      </c>
      <c r="E129" s="308">
        <v>3800</v>
      </c>
      <c r="F129" s="192" t="s">
        <v>1805</v>
      </c>
      <c r="G129" s="192" t="s">
        <v>2829</v>
      </c>
      <c r="H129" s="193" t="s">
        <v>3086</v>
      </c>
      <c r="I129" s="193" t="s">
        <v>3117</v>
      </c>
    </row>
    <row r="130" spans="2:9" x14ac:dyDescent="0.25">
      <c r="B130" s="192" t="s">
        <v>3115</v>
      </c>
      <c r="C130" s="192" t="s">
        <v>3077</v>
      </c>
      <c r="D130" s="193" t="s">
        <v>3098</v>
      </c>
      <c r="E130" s="308">
        <v>66000</v>
      </c>
      <c r="F130" s="192" t="s">
        <v>1768</v>
      </c>
      <c r="G130" s="192" t="s">
        <v>2824</v>
      </c>
      <c r="H130" s="193" t="s">
        <v>2071</v>
      </c>
      <c r="I130" s="193" t="s">
        <v>3079</v>
      </c>
    </row>
    <row r="131" spans="2:9" x14ac:dyDescent="0.25">
      <c r="B131" s="192" t="s">
        <v>3115</v>
      </c>
      <c r="C131" s="192" t="s">
        <v>3077</v>
      </c>
      <c r="D131" s="193" t="s">
        <v>3118</v>
      </c>
      <c r="E131" s="308">
        <v>6900</v>
      </c>
      <c r="F131" s="192" t="s">
        <v>1614</v>
      </c>
      <c r="G131" s="192" t="s">
        <v>3083</v>
      </c>
      <c r="H131" s="193" t="s">
        <v>2071</v>
      </c>
      <c r="I131" s="193" t="s">
        <v>3084</v>
      </c>
    </row>
    <row r="132" spans="2:9" x14ac:dyDescent="0.25">
      <c r="B132" s="192" t="s">
        <v>3115</v>
      </c>
      <c r="C132" s="192" t="s">
        <v>3077</v>
      </c>
      <c r="D132" s="193" t="s">
        <v>3119</v>
      </c>
      <c r="E132" s="308">
        <v>70900</v>
      </c>
      <c r="F132" s="192" t="s">
        <v>1230</v>
      </c>
      <c r="G132" s="192" t="s">
        <v>3083</v>
      </c>
      <c r="H132" s="193" t="s">
        <v>2071</v>
      </c>
      <c r="I132" s="193" t="s">
        <v>3084</v>
      </c>
    </row>
    <row r="133" spans="2:9" x14ac:dyDescent="0.25">
      <c r="B133" s="192" t="s">
        <v>3120</v>
      </c>
      <c r="C133" s="192" t="s">
        <v>3077</v>
      </c>
      <c r="D133" s="193" t="s">
        <v>3081</v>
      </c>
      <c r="E133" s="308">
        <v>66000</v>
      </c>
      <c r="F133" s="192" t="s">
        <v>1768</v>
      </c>
      <c r="G133" s="192" t="s">
        <v>2824</v>
      </c>
      <c r="H133" s="193" t="s">
        <v>2071</v>
      </c>
      <c r="I133" s="193" t="s">
        <v>3079</v>
      </c>
    </row>
    <row r="134" spans="2:9" x14ac:dyDescent="0.25">
      <c r="B134" s="192" t="s">
        <v>3120</v>
      </c>
      <c r="C134" s="192" t="s">
        <v>3077</v>
      </c>
      <c r="D134" s="193" t="s">
        <v>3121</v>
      </c>
      <c r="E134" s="308">
        <v>29000</v>
      </c>
      <c r="F134" s="192" t="s">
        <v>91</v>
      </c>
      <c r="G134" s="192" t="s">
        <v>3083</v>
      </c>
      <c r="H134" s="193" t="s">
        <v>2071</v>
      </c>
      <c r="I134" s="193" t="s">
        <v>3084</v>
      </c>
    </row>
    <row r="135" spans="2:9" x14ac:dyDescent="0.25">
      <c r="B135" s="192" t="s">
        <v>3120</v>
      </c>
      <c r="C135" s="192" t="s">
        <v>3077</v>
      </c>
      <c r="D135" s="193" t="s">
        <v>3082</v>
      </c>
      <c r="E135" s="308">
        <v>30000</v>
      </c>
      <c r="F135" s="192" t="s">
        <v>1333</v>
      </c>
      <c r="G135" s="192" t="s">
        <v>3083</v>
      </c>
      <c r="H135" s="193" t="s">
        <v>2071</v>
      </c>
      <c r="I135" s="193" t="s">
        <v>3084</v>
      </c>
    </row>
    <row r="136" spans="2:9" x14ac:dyDescent="0.25">
      <c r="B136" s="192" t="s">
        <v>3120</v>
      </c>
      <c r="C136" s="192" t="s">
        <v>3077</v>
      </c>
      <c r="D136" s="193" t="s">
        <v>3122</v>
      </c>
      <c r="E136" s="308">
        <v>220000</v>
      </c>
      <c r="F136" s="192" t="s">
        <v>91</v>
      </c>
      <c r="G136" s="192" t="s">
        <v>2984</v>
      </c>
      <c r="H136" s="193" t="s">
        <v>3123</v>
      </c>
      <c r="I136" s="193" t="s">
        <v>3124</v>
      </c>
    </row>
    <row r="137" spans="2:9" x14ac:dyDescent="0.25">
      <c r="B137" s="192" t="s">
        <v>3125</v>
      </c>
      <c r="C137" s="192" t="s">
        <v>3077</v>
      </c>
      <c r="D137" s="193" t="s">
        <v>3098</v>
      </c>
      <c r="E137" s="308">
        <v>66000</v>
      </c>
      <c r="F137" s="192" t="s">
        <v>1768</v>
      </c>
      <c r="G137" s="192" t="s">
        <v>2824</v>
      </c>
      <c r="H137" s="193" t="s">
        <v>2071</v>
      </c>
      <c r="I137" s="193" t="s">
        <v>3079</v>
      </c>
    </row>
    <row r="138" spans="2:9" x14ac:dyDescent="0.25">
      <c r="B138" s="192" t="s">
        <v>3125</v>
      </c>
      <c r="C138" s="192" t="s">
        <v>3077</v>
      </c>
      <c r="D138" s="193" t="s">
        <v>3126</v>
      </c>
      <c r="E138" s="308">
        <v>37700</v>
      </c>
      <c r="F138" s="192" t="s">
        <v>1768</v>
      </c>
      <c r="G138" s="192" t="s">
        <v>2824</v>
      </c>
      <c r="H138" s="193" t="s">
        <v>2071</v>
      </c>
      <c r="I138" s="193" t="s">
        <v>3079</v>
      </c>
    </row>
    <row r="139" spans="2:9" x14ac:dyDescent="0.25">
      <c r="B139" s="192" t="s">
        <v>3125</v>
      </c>
      <c r="C139" s="192" t="s">
        <v>3077</v>
      </c>
      <c r="D139" s="193" t="s">
        <v>3127</v>
      </c>
      <c r="E139" s="308">
        <v>70000</v>
      </c>
      <c r="F139" s="192" t="s">
        <v>1768</v>
      </c>
      <c r="G139" s="192" t="s">
        <v>2824</v>
      </c>
      <c r="H139" s="193" t="s">
        <v>2071</v>
      </c>
      <c r="I139" s="193" t="s">
        <v>3079</v>
      </c>
    </row>
    <row r="140" spans="2:9" x14ac:dyDescent="0.25">
      <c r="B140" s="192" t="s">
        <v>3125</v>
      </c>
      <c r="C140" s="192" t="s">
        <v>3077</v>
      </c>
      <c r="D140" s="193" t="s">
        <v>3128</v>
      </c>
      <c r="E140" s="308">
        <v>75000</v>
      </c>
      <c r="F140" s="192" t="s">
        <v>1520</v>
      </c>
      <c r="G140" s="192" t="s">
        <v>3083</v>
      </c>
      <c r="H140" s="193" t="s">
        <v>2071</v>
      </c>
      <c r="I140" s="193" t="s">
        <v>3084</v>
      </c>
    </row>
    <row r="141" spans="2:9" x14ac:dyDescent="0.25">
      <c r="B141" s="192" t="s">
        <v>3125</v>
      </c>
      <c r="C141" s="192" t="s">
        <v>3077</v>
      </c>
      <c r="D141" s="193" t="s">
        <v>3129</v>
      </c>
      <c r="E141" s="308">
        <v>31500</v>
      </c>
      <c r="F141" s="192" t="s">
        <v>1520</v>
      </c>
      <c r="G141" s="192" t="s">
        <v>3083</v>
      </c>
      <c r="H141" s="193" t="s">
        <v>2071</v>
      </c>
      <c r="I141" s="193" t="s">
        <v>3084</v>
      </c>
    </row>
    <row r="142" spans="2:9" x14ac:dyDescent="0.25">
      <c r="B142" s="192" t="s">
        <v>3125</v>
      </c>
      <c r="C142" s="192" t="s">
        <v>3077</v>
      </c>
      <c r="D142" s="193" t="s">
        <v>3130</v>
      </c>
      <c r="E142" s="308">
        <v>40000</v>
      </c>
      <c r="F142" s="192" t="s">
        <v>1235</v>
      </c>
      <c r="G142" s="192" t="s">
        <v>3083</v>
      </c>
      <c r="H142" s="193" t="s">
        <v>2071</v>
      </c>
      <c r="I142" s="193" t="s">
        <v>3084</v>
      </c>
    </row>
    <row r="143" spans="2:9" x14ac:dyDescent="0.25">
      <c r="B143" s="192" t="s">
        <v>3125</v>
      </c>
      <c r="C143" s="192" t="s">
        <v>3077</v>
      </c>
      <c r="D143" s="193" t="s">
        <v>3131</v>
      </c>
      <c r="E143" s="308">
        <v>44000</v>
      </c>
      <c r="F143" s="192" t="s">
        <v>1520</v>
      </c>
      <c r="G143" s="192" t="s">
        <v>3083</v>
      </c>
      <c r="H143" s="193" t="s">
        <v>2071</v>
      </c>
      <c r="I143" s="193" t="s">
        <v>3084</v>
      </c>
    </row>
    <row r="144" spans="2:9" x14ac:dyDescent="0.25">
      <c r="B144" s="192" t="s">
        <v>3125</v>
      </c>
      <c r="C144" s="192" t="s">
        <v>3077</v>
      </c>
      <c r="D144" s="193" t="s">
        <v>3132</v>
      </c>
      <c r="E144" s="308">
        <v>4000</v>
      </c>
      <c r="F144" s="192" t="s">
        <v>1235</v>
      </c>
      <c r="G144" s="192" t="s">
        <v>3083</v>
      </c>
      <c r="H144" s="193" t="s">
        <v>2071</v>
      </c>
      <c r="I144" s="193" t="s">
        <v>3084</v>
      </c>
    </row>
    <row r="145" spans="2:9" x14ac:dyDescent="0.25">
      <c r="B145" s="192" t="s">
        <v>3125</v>
      </c>
      <c r="C145" s="192" t="s">
        <v>3077</v>
      </c>
      <c r="D145" s="193" t="s">
        <v>3133</v>
      </c>
      <c r="E145" s="308">
        <v>4000</v>
      </c>
      <c r="F145" s="192" t="s">
        <v>1235</v>
      </c>
      <c r="G145" s="192" t="s">
        <v>3083</v>
      </c>
      <c r="H145" s="193" t="s">
        <v>2071</v>
      </c>
      <c r="I145" s="193" t="s">
        <v>3084</v>
      </c>
    </row>
    <row r="146" spans="2:9" x14ac:dyDescent="0.25">
      <c r="B146" s="192" t="s">
        <v>3125</v>
      </c>
      <c r="C146" s="192" t="s">
        <v>3077</v>
      </c>
      <c r="D146" s="193" t="s">
        <v>3134</v>
      </c>
      <c r="E146" s="308">
        <v>8000</v>
      </c>
      <c r="F146" s="192" t="s">
        <v>1658</v>
      </c>
      <c r="G146" s="192" t="s">
        <v>3083</v>
      </c>
      <c r="H146" s="193" t="s">
        <v>2071</v>
      </c>
      <c r="I146" s="193" t="s">
        <v>3084</v>
      </c>
    </row>
    <row r="147" spans="2:9" x14ac:dyDescent="0.25">
      <c r="B147" s="192" t="s">
        <v>3135</v>
      </c>
      <c r="C147" s="192" t="s">
        <v>3077</v>
      </c>
      <c r="D147" s="193" t="s">
        <v>3136</v>
      </c>
      <c r="E147" s="308">
        <v>30000</v>
      </c>
      <c r="F147" s="192" t="s">
        <v>1658</v>
      </c>
      <c r="G147" s="192" t="s">
        <v>3083</v>
      </c>
      <c r="H147" s="193" t="s">
        <v>2071</v>
      </c>
      <c r="I147" s="193" t="s">
        <v>3084</v>
      </c>
    </row>
    <row r="148" spans="2:9" x14ac:dyDescent="0.25">
      <c r="B148" s="192" t="s">
        <v>3135</v>
      </c>
      <c r="C148" s="192" t="s">
        <v>3077</v>
      </c>
      <c r="D148" s="193" t="s">
        <v>3137</v>
      </c>
      <c r="E148" s="308">
        <v>24000</v>
      </c>
      <c r="F148" s="192" t="s">
        <v>91</v>
      </c>
      <c r="G148" s="192" t="s">
        <v>3083</v>
      </c>
      <c r="H148" s="193" t="s">
        <v>2071</v>
      </c>
      <c r="I148" s="193" t="s">
        <v>3084</v>
      </c>
    </row>
    <row r="149" spans="2:9" x14ac:dyDescent="0.25">
      <c r="B149" s="192" t="s">
        <v>3135</v>
      </c>
      <c r="C149" s="192" t="s">
        <v>3077</v>
      </c>
      <c r="D149" s="193" t="s">
        <v>3138</v>
      </c>
      <c r="E149" s="308">
        <v>30000</v>
      </c>
      <c r="F149" s="192" t="s">
        <v>1333</v>
      </c>
      <c r="G149" s="192" t="s">
        <v>3083</v>
      </c>
      <c r="H149" s="193" t="s">
        <v>2071</v>
      </c>
      <c r="I149" s="193" t="s">
        <v>3084</v>
      </c>
    </row>
    <row r="150" spans="2:9" x14ac:dyDescent="0.25">
      <c r="B150" s="192" t="s">
        <v>3135</v>
      </c>
      <c r="C150" s="192" t="s">
        <v>3077</v>
      </c>
      <c r="D150" s="193" t="s">
        <v>3139</v>
      </c>
      <c r="E150" s="308">
        <v>66000</v>
      </c>
      <c r="F150" s="192" t="s">
        <v>1768</v>
      </c>
      <c r="G150" s="192" t="s">
        <v>2824</v>
      </c>
      <c r="H150" s="193" t="s">
        <v>2071</v>
      </c>
      <c r="I150" s="193" t="s">
        <v>3079</v>
      </c>
    </row>
    <row r="151" spans="2:9" x14ac:dyDescent="0.25">
      <c r="B151" s="192" t="s">
        <v>3135</v>
      </c>
      <c r="C151" s="192" t="s">
        <v>3077</v>
      </c>
      <c r="D151" s="193" t="s">
        <v>3140</v>
      </c>
      <c r="E151" s="308">
        <v>66000</v>
      </c>
      <c r="F151" s="192" t="s">
        <v>1768</v>
      </c>
      <c r="G151" s="192" t="s">
        <v>2824</v>
      </c>
      <c r="H151" s="193" t="s">
        <v>2071</v>
      </c>
      <c r="I151" s="193" t="s">
        <v>3079</v>
      </c>
    </row>
    <row r="152" spans="2:9" x14ac:dyDescent="0.25">
      <c r="B152" s="192" t="s">
        <v>3135</v>
      </c>
      <c r="C152" s="192" t="s">
        <v>3077</v>
      </c>
      <c r="D152" s="193" t="s">
        <v>3141</v>
      </c>
      <c r="E152" s="308">
        <v>70000</v>
      </c>
      <c r="F152" s="192" t="s">
        <v>1267</v>
      </c>
      <c r="G152" s="192" t="s">
        <v>3083</v>
      </c>
      <c r="H152" s="193" t="s">
        <v>2071</v>
      </c>
      <c r="I152" s="193" t="s">
        <v>3084</v>
      </c>
    </row>
    <row r="153" spans="2:9" x14ac:dyDescent="0.25">
      <c r="B153" s="192" t="s">
        <v>3135</v>
      </c>
      <c r="C153" s="192" t="s">
        <v>3077</v>
      </c>
      <c r="D153" s="193" t="s">
        <v>3142</v>
      </c>
      <c r="E153" s="308">
        <v>8000</v>
      </c>
      <c r="F153" s="192" t="s">
        <v>1658</v>
      </c>
      <c r="G153" s="192" t="s">
        <v>3083</v>
      </c>
      <c r="H153" s="193" t="s">
        <v>2071</v>
      </c>
      <c r="I153" s="193" t="s">
        <v>3084</v>
      </c>
    </row>
    <row r="154" spans="2:9" x14ac:dyDescent="0.25">
      <c r="B154" s="192" t="s">
        <v>3143</v>
      </c>
      <c r="C154" s="192" t="s">
        <v>3077</v>
      </c>
      <c r="D154" s="193" t="s">
        <v>3144</v>
      </c>
      <c r="E154" s="308">
        <v>524200</v>
      </c>
      <c r="F154" s="192" t="s">
        <v>91</v>
      </c>
      <c r="G154" s="192" t="s">
        <v>2984</v>
      </c>
      <c r="H154" s="193" t="s">
        <v>3145</v>
      </c>
      <c r="I154" s="193" t="s">
        <v>3146</v>
      </c>
    </row>
    <row r="155" spans="2:9" x14ac:dyDescent="0.25">
      <c r="B155" s="192" t="s">
        <v>3143</v>
      </c>
      <c r="C155" s="192" t="s">
        <v>3077</v>
      </c>
      <c r="D155" s="193" t="s">
        <v>3147</v>
      </c>
      <c r="E155" s="308">
        <v>250000</v>
      </c>
      <c r="F155" s="192" t="s">
        <v>1235</v>
      </c>
      <c r="G155" s="192" t="s">
        <v>3083</v>
      </c>
      <c r="H155" s="193" t="s">
        <v>2071</v>
      </c>
      <c r="I155" s="193" t="s">
        <v>3084</v>
      </c>
    </row>
    <row r="156" spans="2:9" x14ac:dyDescent="0.25">
      <c r="B156" s="192" t="s">
        <v>3143</v>
      </c>
      <c r="C156" s="192" t="s">
        <v>3077</v>
      </c>
      <c r="D156" s="193" t="s">
        <v>3148</v>
      </c>
      <c r="E156" s="308">
        <v>378000</v>
      </c>
      <c r="F156" s="192" t="s">
        <v>1230</v>
      </c>
      <c r="G156" s="192" t="s">
        <v>2984</v>
      </c>
      <c r="H156" s="193" t="s">
        <v>3149</v>
      </c>
      <c r="I156" s="193" t="s">
        <v>3150</v>
      </c>
    </row>
    <row r="157" spans="2:9" x14ac:dyDescent="0.25">
      <c r="B157" s="192" t="s">
        <v>3143</v>
      </c>
      <c r="C157" s="192" t="s">
        <v>3077</v>
      </c>
      <c r="D157" s="193" t="s">
        <v>3151</v>
      </c>
      <c r="E157" s="308">
        <v>66000</v>
      </c>
      <c r="F157" s="192" t="s">
        <v>1768</v>
      </c>
      <c r="G157" s="192" t="s">
        <v>2824</v>
      </c>
      <c r="H157" s="193" t="s">
        <v>2071</v>
      </c>
      <c r="I157" s="193" t="s">
        <v>3079</v>
      </c>
    </row>
    <row r="158" spans="2:9" x14ac:dyDescent="0.25">
      <c r="B158" s="194" t="s">
        <v>3152</v>
      </c>
      <c r="C158" s="195"/>
      <c r="D158" s="195"/>
      <c r="E158" s="309">
        <v>4190550</v>
      </c>
      <c r="F158" s="195"/>
      <c r="G158" s="194" t="s">
        <v>3041</v>
      </c>
      <c r="H158" s="195"/>
      <c r="I158" s="195"/>
    </row>
    <row r="161" spans="2:10" ht="16.5" customHeight="1" x14ac:dyDescent="0.25">
      <c r="B161" s="739" t="s">
        <v>3153</v>
      </c>
      <c r="C161" s="642"/>
      <c r="D161" s="642"/>
      <c r="E161" s="642"/>
      <c r="F161" s="728"/>
      <c r="G161" s="642"/>
      <c r="H161" s="642"/>
      <c r="I161" s="642"/>
      <c r="J161" s="642"/>
    </row>
    <row r="163" spans="2:10" x14ac:dyDescent="0.25">
      <c r="B163" s="331" t="s">
        <v>3154</v>
      </c>
    </row>
    <row r="164" spans="2:10" x14ac:dyDescent="0.25">
      <c r="B164" s="332" t="s">
        <v>2804</v>
      </c>
      <c r="C164" s="332" t="s">
        <v>3155</v>
      </c>
      <c r="D164" s="332" t="s">
        <v>3046</v>
      </c>
      <c r="E164" s="332" t="s">
        <v>3047</v>
      </c>
      <c r="F164" s="332" t="s">
        <v>3156</v>
      </c>
      <c r="G164" s="332" t="s">
        <v>3157</v>
      </c>
      <c r="H164" s="332" t="s">
        <v>3158</v>
      </c>
      <c r="I164" s="332" t="s">
        <v>2475</v>
      </c>
      <c r="J164" s="332" t="s">
        <v>3159</v>
      </c>
    </row>
    <row r="165" spans="2:10" x14ac:dyDescent="0.25">
      <c r="B165" s="333" t="s">
        <v>3160</v>
      </c>
      <c r="C165" s="334" t="s">
        <v>3161</v>
      </c>
      <c r="D165" s="335">
        <v>2027100</v>
      </c>
      <c r="E165" s="335">
        <v>70900</v>
      </c>
      <c r="F165" s="335">
        <v>833000</v>
      </c>
      <c r="G165" s="335">
        <v>3774300</v>
      </c>
      <c r="H165" s="430">
        <v>3775700</v>
      </c>
      <c r="I165" s="335">
        <v>-1400</v>
      </c>
      <c r="J165" s="334" t="s">
        <v>3162</v>
      </c>
    </row>
    <row r="166" spans="2:10" x14ac:dyDescent="0.25">
      <c r="B166" s="336" t="s">
        <v>3163</v>
      </c>
      <c r="C166" s="337" t="s">
        <v>2815</v>
      </c>
      <c r="D166" s="338">
        <v>846000</v>
      </c>
      <c r="E166" s="338">
        <v>56000</v>
      </c>
      <c r="F166" s="338">
        <v>2000</v>
      </c>
      <c r="G166" s="338">
        <v>2127600</v>
      </c>
      <c r="H166" s="431">
        <v>2135500</v>
      </c>
      <c r="I166" s="338">
        <v>-7900</v>
      </c>
      <c r="J166" s="337" t="s">
        <v>3164</v>
      </c>
    </row>
    <row r="167" spans="2:10" x14ac:dyDescent="0.25">
      <c r="B167" s="333" t="s">
        <v>3165</v>
      </c>
      <c r="C167" s="334" t="s">
        <v>2838</v>
      </c>
      <c r="D167" s="335">
        <v>2827200</v>
      </c>
      <c r="E167" s="335">
        <v>94500</v>
      </c>
      <c r="F167" s="335">
        <v>892000</v>
      </c>
      <c r="G167" s="335">
        <v>5360500</v>
      </c>
      <c r="H167" s="335">
        <v>5362200</v>
      </c>
      <c r="I167" s="335">
        <v>-1700</v>
      </c>
      <c r="J167" s="334" t="s">
        <v>3166</v>
      </c>
    </row>
    <row r="168" spans="2:10" x14ac:dyDescent="0.25">
      <c r="B168" s="336" t="s">
        <v>3167</v>
      </c>
      <c r="C168" s="337" t="s">
        <v>2938</v>
      </c>
      <c r="D168" s="338">
        <v>2242700</v>
      </c>
      <c r="E168" s="338">
        <v>323000</v>
      </c>
      <c r="F168" s="338">
        <v>1736000</v>
      </c>
      <c r="G168" s="338">
        <v>4727600</v>
      </c>
      <c r="H168" s="338">
        <v>4727200</v>
      </c>
      <c r="I168" s="338">
        <v>400</v>
      </c>
      <c r="J168" s="337" t="s">
        <v>3168</v>
      </c>
    </row>
    <row r="169" spans="2:10" x14ac:dyDescent="0.25">
      <c r="B169" s="333" t="s">
        <v>3169</v>
      </c>
      <c r="C169" s="334" t="s">
        <v>2838</v>
      </c>
      <c r="D169" s="335">
        <v>4872900</v>
      </c>
      <c r="E169" s="335">
        <v>303800</v>
      </c>
      <c r="F169" s="335">
        <v>3499000</v>
      </c>
      <c r="G169" s="335">
        <v>9057900</v>
      </c>
      <c r="H169" s="335">
        <v>9058400</v>
      </c>
      <c r="I169" s="335">
        <v>-500</v>
      </c>
      <c r="J169" s="334" t="s">
        <v>3170</v>
      </c>
    </row>
    <row r="170" spans="2:10" x14ac:dyDescent="0.25">
      <c r="B170" s="336" t="s">
        <v>3171</v>
      </c>
      <c r="C170" s="337" t="s">
        <v>3172</v>
      </c>
      <c r="D170" s="338">
        <v>4031200</v>
      </c>
      <c r="E170" s="338">
        <v>167000</v>
      </c>
      <c r="F170" s="338">
        <v>3239000</v>
      </c>
      <c r="G170" s="338">
        <v>8027400</v>
      </c>
      <c r="H170" s="338">
        <v>7974200</v>
      </c>
      <c r="I170" s="338">
        <v>53200</v>
      </c>
      <c r="J170" s="337" t="s">
        <v>3173</v>
      </c>
    </row>
    <row r="171" spans="2:10" x14ac:dyDescent="0.25">
      <c r="B171" s="333" t="s">
        <v>3174</v>
      </c>
      <c r="C171" s="334" t="s">
        <v>3175</v>
      </c>
      <c r="D171" s="335">
        <v>1773900</v>
      </c>
      <c r="E171" s="335">
        <v>0</v>
      </c>
      <c r="F171" s="335">
        <v>804000</v>
      </c>
      <c r="G171" s="335">
        <v>2972900</v>
      </c>
      <c r="H171" s="335">
        <v>3023700</v>
      </c>
      <c r="I171" s="335">
        <v>-50800</v>
      </c>
      <c r="J171" s="334" t="s">
        <v>3176</v>
      </c>
    </row>
    <row r="172" spans="2:10" x14ac:dyDescent="0.25">
      <c r="B172" s="336" t="s">
        <v>3177</v>
      </c>
      <c r="C172" s="337" t="s">
        <v>3172</v>
      </c>
      <c r="D172" s="338">
        <v>412500</v>
      </c>
      <c r="E172" s="338">
        <v>275600</v>
      </c>
      <c r="F172" s="338">
        <v>830000</v>
      </c>
      <c r="G172" s="338">
        <v>1644600</v>
      </c>
      <c r="H172" s="338">
        <v>1645400</v>
      </c>
      <c r="I172" s="338">
        <v>-800</v>
      </c>
      <c r="J172" s="337" t="s">
        <v>3178</v>
      </c>
    </row>
    <row r="173" spans="2:10" x14ac:dyDescent="0.25">
      <c r="B173" s="339" t="s">
        <v>3179</v>
      </c>
      <c r="C173" s="340" t="s">
        <v>3180</v>
      </c>
      <c r="D173" s="341">
        <v>19033500</v>
      </c>
      <c r="E173" s="341">
        <v>1290800</v>
      </c>
      <c r="F173" s="341">
        <v>11835000</v>
      </c>
      <c r="G173" s="341">
        <v>37692800</v>
      </c>
      <c r="H173" s="341">
        <v>37702300</v>
      </c>
      <c r="I173" s="341">
        <v>-9500</v>
      </c>
      <c r="J173" s="339" t="s">
        <v>3181</v>
      </c>
    </row>
    <row r="176" spans="2:10" x14ac:dyDescent="0.25">
      <c r="B176" s="331" t="s">
        <v>3182</v>
      </c>
    </row>
    <row r="177" spans="2:9" x14ac:dyDescent="0.25">
      <c r="B177" s="332" t="s">
        <v>2804</v>
      </c>
      <c r="C177" s="332" t="s">
        <v>2805</v>
      </c>
      <c r="D177" s="332" t="s">
        <v>2806</v>
      </c>
      <c r="E177" s="332" t="s">
        <v>2807</v>
      </c>
      <c r="F177" s="332" t="s">
        <v>110</v>
      </c>
      <c r="G177" s="332" t="s">
        <v>2809</v>
      </c>
      <c r="H177" s="332" t="s">
        <v>3074</v>
      </c>
      <c r="I177" s="332" t="s">
        <v>3075</v>
      </c>
    </row>
    <row r="178" spans="2:9" x14ac:dyDescent="0.25">
      <c r="B178" s="336" t="s">
        <v>3160</v>
      </c>
      <c r="C178" s="337" t="s">
        <v>3016</v>
      </c>
      <c r="D178" s="337" t="s">
        <v>3183</v>
      </c>
      <c r="E178" s="338">
        <v>66000</v>
      </c>
      <c r="F178" s="336" t="s">
        <v>1768</v>
      </c>
      <c r="G178" s="336" t="s">
        <v>3103</v>
      </c>
      <c r="H178" s="337" t="s">
        <v>3184</v>
      </c>
      <c r="I178" s="337" t="s">
        <v>3185</v>
      </c>
    </row>
    <row r="179" spans="2:9" x14ac:dyDescent="0.25">
      <c r="B179" s="333" t="s">
        <v>3160</v>
      </c>
      <c r="C179" s="334" t="s">
        <v>3016</v>
      </c>
      <c r="D179" s="334" t="s">
        <v>3186</v>
      </c>
      <c r="E179" s="335">
        <v>66000</v>
      </c>
      <c r="F179" s="333" t="s">
        <v>1768</v>
      </c>
      <c r="G179" s="333" t="s">
        <v>3103</v>
      </c>
      <c r="H179" s="334" t="s">
        <v>3187</v>
      </c>
      <c r="I179" s="334" t="s">
        <v>3185</v>
      </c>
    </row>
    <row r="180" spans="2:9" x14ac:dyDescent="0.25">
      <c r="B180" s="336" t="s">
        <v>3160</v>
      </c>
      <c r="C180" s="337" t="s">
        <v>3016</v>
      </c>
      <c r="D180" s="337" t="s">
        <v>3188</v>
      </c>
      <c r="E180" s="338">
        <v>66000</v>
      </c>
      <c r="F180" s="336" t="s">
        <v>1768</v>
      </c>
      <c r="G180" s="336" t="s">
        <v>3103</v>
      </c>
      <c r="H180" s="337" t="s">
        <v>3189</v>
      </c>
      <c r="I180" s="337" t="s">
        <v>3185</v>
      </c>
    </row>
    <row r="181" spans="2:9" x14ac:dyDescent="0.25">
      <c r="B181" s="333" t="s">
        <v>3160</v>
      </c>
      <c r="C181" s="334" t="s">
        <v>3016</v>
      </c>
      <c r="D181" s="334" t="s">
        <v>3190</v>
      </c>
      <c r="E181" s="335">
        <v>29000</v>
      </c>
      <c r="F181" s="333" t="s">
        <v>1101</v>
      </c>
      <c r="G181" s="333" t="s">
        <v>3103</v>
      </c>
      <c r="H181" s="334" t="s">
        <v>3191</v>
      </c>
      <c r="I181" s="334" t="s">
        <v>3192</v>
      </c>
    </row>
    <row r="182" spans="2:9" x14ac:dyDescent="0.25">
      <c r="B182" s="336" t="s">
        <v>3160</v>
      </c>
      <c r="C182" s="337" t="s">
        <v>3016</v>
      </c>
      <c r="D182" s="337" t="s">
        <v>3193</v>
      </c>
      <c r="E182" s="338">
        <v>30000</v>
      </c>
      <c r="F182" s="336" t="s">
        <v>1333</v>
      </c>
      <c r="G182" s="336" t="s">
        <v>3103</v>
      </c>
      <c r="H182" s="337" t="s">
        <v>3194</v>
      </c>
      <c r="I182" s="337" t="s">
        <v>3195</v>
      </c>
    </row>
    <row r="183" spans="2:9" x14ac:dyDescent="0.25">
      <c r="B183" s="333" t="s">
        <v>3160</v>
      </c>
      <c r="C183" s="334" t="s">
        <v>3016</v>
      </c>
      <c r="D183" s="334" t="s">
        <v>3196</v>
      </c>
      <c r="E183" s="335">
        <v>85000</v>
      </c>
      <c r="F183" s="333" t="s">
        <v>1614</v>
      </c>
      <c r="G183" s="333" t="s">
        <v>3103</v>
      </c>
      <c r="H183" s="334" t="s">
        <v>3197</v>
      </c>
      <c r="I183" s="334" t="s">
        <v>3198</v>
      </c>
    </row>
    <row r="184" spans="2:9" x14ac:dyDescent="0.25">
      <c r="B184" s="336" t="s">
        <v>3160</v>
      </c>
      <c r="C184" s="337" t="s">
        <v>3016</v>
      </c>
      <c r="D184" s="337" t="s">
        <v>3199</v>
      </c>
      <c r="E184" s="338">
        <v>77300</v>
      </c>
      <c r="F184" s="336" t="s">
        <v>1658</v>
      </c>
      <c r="G184" s="336" t="s">
        <v>3103</v>
      </c>
      <c r="H184" s="337" t="s">
        <v>3200</v>
      </c>
      <c r="I184" s="337" t="s">
        <v>3201</v>
      </c>
    </row>
    <row r="185" spans="2:9" x14ac:dyDescent="0.25">
      <c r="B185" s="333" t="s">
        <v>3160</v>
      </c>
      <c r="C185" s="334" t="s">
        <v>3016</v>
      </c>
      <c r="D185" s="334" t="s">
        <v>3202</v>
      </c>
      <c r="E185" s="335">
        <v>46500</v>
      </c>
      <c r="F185" s="333" t="s">
        <v>1658</v>
      </c>
      <c r="G185" s="333" t="s">
        <v>3103</v>
      </c>
      <c r="H185" s="334" t="s">
        <v>3203</v>
      </c>
      <c r="I185" s="334" t="s">
        <v>3204</v>
      </c>
    </row>
    <row r="186" spans="2:9" x14ac:dyDescent="0.25">
      <c r="B186" s="336" t="s">
        <v>3160</v>
      </c>
      <c r="C186" s="337" t="s">
        <v>3016</v>
      </c>
      <c r="D186" s="337" t="s">
        <v>3205</v>
      </c>
      <c r="E186" s="338">
        <v>377500</v>
      </c>
      <c r="F186" s="336" t="s">
        <v>1230</v>
      </c>
      <c r="G186" s="336" t="s">
        <v>2984</v>
      </c>
      <c r="H186" s="337" t="s">
        <v>3206</v>
      </c>
      <c r="I186" s="337" t="s">
        <v>3207</v>
      </c>
    </row>
    <row r="187" spans="2:9" x14ac:dyDescent="0.25">
      <c r="B187" s="333" t="s">
        <v>3163</v>
      </c>
      <c r="C187" s="334" t="s">
        <v>2815</v>
      </c>
      <c r="D187" s="334" t="s">
        <v>3208</v>
      </c>
      <c r="E187" s="335">
        <v>40000</v>
      </c>
      <c r="F187" s="333" t="s">
        <v>1333</v>
      </c>
      <c r="G187" s="333" t="s">
        <v>3103</v>
      </c>
      <c r="H187" s="334" t="s">
        <v>3209</v>
      </c>
      <c r="I187" s="334" t="s">
        <v>3210</v>
      </c>
    </row>
    <row r="188" spans="2:9" x14ac:dyDescent="0.25">
      <c r="B188" s="336" t="s">
        <v>3163</v>
      </c>
      <c r="C188" s="337" t="s">
        <v>2815</v>
      </c>
      <c r="D188" s="337" t="s">
        <v>3211</v>
      </c>
      <c r="E188" s="338">
        <v>26700</v>
      </c>
      <c r="F188" s="336" t="s">
        <v>1333</v>
      </c>
      <c r="G188" s="336" t="s">
        <v>3103</v>
      </c>
      <c r="H188" s="337" t="s">
        <v>3212</v>
      </c>
      <c r="I188" s="337" t="s">
        <v>3210</v>
      </c>
    </row>
    <row r="189" spans="2:9" x14ac:dyDescent="0.25">
      <c r="B189" s="333" t="s">
        <v>3163</v>
      </c>
      <c r="C189" s="334" t="s">
        <v>2815</v>
      </c>
      <c r="D189" s="334" t="s">
        <v>3213</v>
      </c>
      <c r="E189" s="335">
        <v>50000</v>
      </c>
      <c r="F189" s="333" t="s">
        <v>1333</v>
      </c>
      <c r="G189" s="333" t="s">
        <v>3103</v>
      </c>
      <c r="H189" s="334" t="s">
        <v>3214</v>
      </c>
      <c r="I189" s="334" t="s">
        <v>3210</v>
      </c>
    </row>
    <row r="190" spans="2:9" x14ac:dyDescent="0.25">
      <c r="B190" s="336" t="s">
        <v>3163</v>
      </c>
      <c r="C190" s="337" t="s">
        <v>2815</v>
      </c>
      <c r="D190" s="337" t="s">
        <v>3215</v>
      </c>
      <c r="E190" s="338">
        <v>20000</v>
      </c>
      <c r="F190" s="336" t="s">
        <v>1333</v>
      </c>
      <c r="G190" s="336" t="s">
        <v>3103</v>
      </c>
      <c r="H190" s="337" t="s">
        <v>3216</v>
      </c>
      <c r="I190" s="337" t="s">
        <v>3210</v>
      </c>
    </row>
    <row r="191" spans="2:9" x14ac:dyDescent="0.25">
      <c r="B191" s="333" t="s">
        <v>3163</v>
      </c>
      <c r="C191" s="334" t="s">
        <v>2815</v>
      </c>
      <c r="D191" s="334" t="s">
        <v>3217</v>
      </c>
      <c r="E191" s="335">
        <v>345000</v>
      </c>
      <c r="F191" s="333" t="s">
        <v>1768</v>
      </c>
      <c r="G191" s="333" t="s">
        <v>3218</v>
      </c>
      <c r="H191" s="334" t="s">
        <v>3219</v>
      </c>
      <c r="I191" s="334" t="s">
        <v>3220</v>
      </c>
    </row>
    <row r="192" spans="2:9" x14ac:dyDescent="0.25">
      <c r="B192" s="336" t="s">
        <v>3163</v>
      </c>
      <c r="C192" s="337" t="s">
        <v>2815</v>
      </c>
      <c r="D192" s="337" t="s">
        <v>3221</v>
      </c>
      <c r="E192" s="338">
        <v>130550</v>
      </c>
      <c r="F192" s="336" t="s">
        <v>1658</v>
      </c>
      <c r="G192" s="336" t="s">
        <v>2984</v>
      </c>
      <c r="H192" s="337" t="s">
        <v>3222</v>
      </c>
      <c r="I192" s="337" t="s">
        <v>3223</v>
      </c>
    </row>
    <row r="193" spans="2:9" x14ac:dyDescent="0.25">
      <c r="B193" s="333" t="s">
        <v>3163</v>
      </c>
      <c r="C193" s="334" t="s">
        <v>2815</v>
      </c>
      <c r="D193" s="334" t="s">
        <v>3224</v>
      </c>
      <c r="E193" s="335">
        <v>35900</v>
      </c>
      <c r="F193" s="333" t="s">
        <v>1658</v>
      </c>
      <c r="G193" s="333" t="s">
        <v>2984</v>
      </c>
      <c r="H193" s="334" t="s">
        <v>3225</v>
      </c>
      <c r="I193" s="334" t="s">
        <v>3226</v>
      </c>
    </row>
    <row r="194" spans="2:9" x14ac:dyDescent="0.25">
      <c r="B194" s="336" t="s">
        <v>3163</v>
      </c>
      <c r="C194" s="337" t="s">
        <v>2815</v>
      </c>
      <c r="D194" s="337" t="s">
        <v>3227</v>
      </c>
      <c r="E194" s="338">
        <v>330000</v>
      </c>
      <c r="F194" s="336" t="s">
        <v>1230</v>
      </c>
      <c r="G194" s="336" t="s">
        <v>2984</v>
      </c>
      <c r="H194" s="337" t="s">
        <v>3228</v>
      </c>
      <c r="I194" s="337" t="s">
        <v>3229</v>
      </c>
    </row>
    <row r="195" spans="2:9" x14ac:dyDescent="0.25">
      <c r="B195" s="333" t="s">
        <v>3163</v>
      </c>
      <c r="C195" s="334" t="s">
        <v>2815</v>
      </c>
      <c r="D195" s="334" t="s">
        <v>3230</v>
      </c>
      <c r="E195" s="335">
        <v>190000</v>
      </c>
      <c r="F195" s="333" t="s">
        <v>1235</v>
      </c>
      <c r="G195" s="333" t="s">
        <v>3218</v>
      </c>
      <c r="H195" s="334" t="s">
        <v>3231</v>
      </c>
      <c r="I195" s="334" t="s">
        <v>3232</v>
      </c>
    </row>
    <row r="196" spans="2:9" x14ac:dyDescent="0.25">
      <c r="B196" s="336" t="s">
        <v>3163</v>
      </c>
      <c r="C196" s="337" t="s">
        <v>2815</v>
      </c>
      <c r="D196" s="337" t="s">
        <v>3233</v>
      </c>
      <c r="E196" s="338">
        <v>66000</v>
      </c>
      <c r="F196" s="336" t="s">
        <v>1768</v>
      </c>
      <c r="G196" s="336" t="s">
        <v>3103</v>
      </c>
      <c r="H196" s="337" t="s">
        <v>3234</v>
      </c>
      <c r="I196" s="337" t="s">
        <v>3185</v>
      </c>
    </row>
    <row r="197" spans="2:9" x14ac:dyDescent="0.25">
      <c r="B197" s="333" t="s">
        <v>3163</v>
      </c>
      <c r="C197" s="334" t="s">
        <v>2815</v>
      </c>
      <c r="D197" s="334" t="s">
        <v>3235</v>
      </c>
      <c r="E197" s="335">
        <v>49500</v>
      </c>
      <c r="F197" s="333" t="s">
        <v>1768</v>
      </c>
      <c r="G197" s="333" t="s">
        <v>3103</v>
      </c>
      <c r="H197" s="334" t="s">
        <v>3236</v>
      </c>
      <c r="I197" s="334" t="s">
        <v>3237</v>
      </c>
    </row>
    <row r="198" spans="2:9" x14ac:dyDescent="0.25">
      <c r="B198" s="336" t="s">
        <v>3165</v>
      </c>
      <c r="C198" s="337" t="s">
        <v>2838</v>
      </c>
      <c r="D198" s="337" t="s">
        <v>3188</v>
      </c>
      <c r="E198" s="338">
        <v>66000</v>
      </c>
      <c r="F198" s="336" t="s">
        <v>1768</v>
      </c>
      <c r="G198" s="336" t="s">
        <v>3218</v>
      </c>
      <c r="H198" s="337" t="s">
        <v>3238</v>
      </c>
      <c r="I198" s="337" t="s">
        <v>3239</v>
      </c>
    </row>
    <row r="199" spans="2:9" x14ac:dyDescent="0.25">
      <c r="B199" s="333" t="s">
        <v>3165</v>
      </c>
      <c r="C199" s="334" t="s">
        <v>2838</v>
      </c>
      <c r="D199" s="334" t="s">
        <v>3183</v>
      </c>
      <c r="E199" s="335">
        <v>66000</v>
      </c>
      <c r="F199" s="333" t="s">
        <v>1768</v>
      </c>
      <c r="G199" s="333" t="s">
        <v>3218</v>
      </c>
      <c r="H199" s="334" t="s">
        <v>3240</v>
      </c>
      <c r="I199" s="334" t="s">
        <v>3239</v>
      </c>
    </row>
    <row r="200" spans="2:9" x14ac:dyDescent="0.25">
      <c r="B200" s="336" t="s">
        <v>3165</v>
      </c>
      <c r="C200" s="337" t="s">
        <v>2838</v>
      </c>
      <c r="D200" s="337" t="s">
        <v>3186</v>
      </c>
      <c r="E200" s="338">
        <v>66000</v>
      </c>
      <c r="F200" s="336" t="s">
        <v>1768</v>
      </c>
      <c r="G200" s="336" t="s">
        <v>3218</v>
      </c>
      <c r="H200" s="337" t="s">
        <v>3241</v>
      </c>
      <c r="I200" s="337" t="s">
        <v>3239</v>
      </c>
    </row>
    <row r="201" spans="2:9" x14ac:dyDescent="0.25">
      <c r="B201" s="333" t="s">
        <v>3165</v>
      </c>
      <c r="C201" s="334" t="s">
        <v>2838</v>
      </c>
      <c r="D201" s="334" t="s">
        <v>3242</v>
      </c>
      <c r="E201" s="335">
        <v>750000</v>
      </c>
      <c r="F201" s="333" t="s">
        <v>1255</v>
      </c>
      <c r="G201" s="333" t="s">
        <v>3218</v>
      </c>
      <c r="H201" s="334" t="s">
        <v>3243</v>
      </c>
      <c r="I201" s="334" t="s">
        <v>3244</v>
      </c>
    </row>
    <row r="202" spans="2:9" x14ac:dyDescent="0.25">
      <c r="B202" s="336" t="s">
        <v>3165</v>
      </c>
      <c r="C202" s="337" t="s">
        <v>2838</v>
      </c>
      <c r="D202" s="337" t="s">
        <v>3245</v>
      </c>
      <c r="E202" s="338">
        <v>241800</v>
      </c>
      <c r="F202" s="336" t="s">
        <v>1805</v>
      </c>
      <c r="G202" s="336" t="s">
        <v>3218</v>
      </c>
      <c r="H202" s="337" t="s">
        <v>3246</v>
      </c>
      <c r="I202" s="337" t="s">
        <v>3247</v>
      </c>
    </row>
    <row r="203" spans="2:9" x14ac:dyDescent="0.25">
      <c r="B203" s="333" t="s">
        <v>3165</v>
      </c>
      <c r="C203" s="334" t="s">
        <v>2838</v>
      </c>
      <c r="D203" s="334" t="s">
        <v>3248</v>
      </c>
      <c r="E203" s="335">
        <v>138000</v>
      </c>
      <c r="F203" s="333" t="s">
        <v>1658</v>
      </c>
      <c r="G203" s="333" t="s">
        <v>2984</v>
      </c>
      <c r="H203" s="334" t="s">
        <v>3249</v>
      </c>
      <c r="I203" s="334" t="s">
        <v>3250</v>
      </c>
    </row>
    <row r="204" spans="2:9" x14ac:dyDescent="0.25">
      <c r="B204" s="336" t="s">
        <v>3165</v>
      </c>
      <c r="C204" s="337" t="s">
        <v>2838</v>
      </c>
      <c r="D204" s="337" t="s">
        <v>3251</v>
      </c>
      <c r="E204" s="338">
        <v>180000</v>
      </c>
      <c r="F204" s="336" t="s">
        <v>1520</v>
      </c>
      <c r="G204" s="336" t="s">
        <v>2984</v>
      </c>
      <c r="H204" s="337" t="s">
        <v>3252</v>
      </c>
      <c r="I204" s="337" t="s">
        <v>3253</v>
      </c>
    </row>
    <row r="205" spans="2:9" x14ac:dyDescent="0.25">
      <c r="B205" s="333" t="s">
        <v>3165</v>
      </c>
      <c r="C205" s="334" t="s">
        <v>2838</v>
      </c>
      <c r="D205" s="334" t="s">
        <v>3254</v>
      </c>
      <c r="E205" s="335">
        <v>34000</v>
      </c>
      <c r="F205" s="333" t="s">
        <v>1520</v>
      </c>
      <c r="G205" s="333" t="s">
        <v>2984</v>
      </c>
      <c r="H205" s="334" t="s">
        <v>3255</v>
      </c>
      <c r="I205" s="334" t="s">
        <v>3256</v>
      </c>
    </row>
    <row r="206" spans="2:9" x14ac:dyDescent="0.25">
      <c r="B206" s="336" t="s">
        <v>3165</v>
      </c>
      <c r="C206" s="337" t="s">
        <v>2838</v>
      </c>
      <c r="D206" s="337" t="s">
        <v>3257</v>
      </c>
      <c r="E206" s="338">
        <v>38200</v>
      </c>
      <c r="F206" s="336" t="s">
        <v>1230</v>
      </c>
      <c r="G206" s="336" t="s">
        <v>3218</v>
      </c>
      <c r="H206" s="337" t="s">
        <v>3258</v>
      </c>
      <c r="I206" s="337" t="s">
        <v>3259</v>
      </c>
    </row>
    <row r="207" spans="2:9" x14ac:dyDescent="0.25">
      <c r="B207" s="333" t="s">
        <v>3165</v>
      </c>
      <c r="C207" s="334" t="s">
        <v>2838</v>
      </c>
      <c r="D207" s="334" t="s">
        <v>3260</v>
      </c>
      <c r="E207" s="335">
        <v>83000</v>
      </c>
      <c r="F207" s="333" t="s">
        <v>91</v>
      </c>
      <c r="G207" s="333" t="s">
        <v>2984</v>
      </c>
      <c r="H207" s="334" t="s">
        <v>3261</v>
      </c>
      <c r="I207" s="334" t="s">
        <v>3262</v>
      </c>
    </row>
    <row r="208" spans="2:9" x14ac:dyDescent="0.25">
      <c r="B208" s="336" t="s">
        <v>3165</v>
      </c>
      <c r="C208" s="337" t="s">
        <v>2838</v>
      </c>
      <c r="D208" s="337" t="s">
        <v>3263</v>
      </c>
      <c r="E208" s="338">
        <v>90000</v>
      </c>
      <c r="F208" s="336" t="s">
        <v>1235</v>
      </c>
      <c r="G208" s="336" t="s">
        <v>2984</v>
      </c>
      <c r="H208" s="337" t="s">
        <v>3264</v>
      </c>
      <c r="I208" s="337" t="s">
        <v>3265</v>
      </c>
    </row>
    <row r="209" spans="2:9" x14ac:dyDescent="0.25">
      <c r="B209" s="333" t="s">
        <v>3165</v>
      </c>
      <c r="C209" s="334" t="s">
        <v>2838</v>
      </c>
      <c r="D209" s="334" t="s">
        <v>3266</v>
      </c>
      <c r="E209" s="335">
        <v>100000</v>
      </c>
      <c r="F209" s="333" t="s">
        <v>1230</v>
      </c>
      <c r="G209" s="333" t="s">
        <v>3218</v>
      </c>
      <c r="H209" s="334" t="s">
        <v>3267</v>
      </c>
      <c r="I209" s="334" t="s">
        <v>3268</v>
      </c>
    </row>
    <row r="210" spans="2:9" x14ac:dyDescent="0.25">
      <c r="B210" s="336" t="s">
        <v>3167</v>
      </c>
      <c r="C210" s="337" t="s">
        <v>2938</v>
      </c>
      <c r="D210" s="337" t="s">
        <v>3233</v>
      </c>
      <c r="E210" s="338">
        <v>66000</v>
      </c>
      <c r="F210" s="336" t="s">
        <v>1768</v>
      </c>
      <c r="G210" s="336" t="s">
        <v>3218</v>
      </c>
      <c r="H210" s="337" t="s">
        <v>3269</v>
      </c>
      <c r="I210" s="337" t="s">
        <v>3270</v>
      </c>
    </row>
    <row r="211" spans="2:9" x14ac:dyDescent="0.25">
      <c r="B211" s="333" t="s">
        <v>3167</v>
      </c>
      <c r="C211" s="334" t="s">
        <v>2938</v>
      </c>
      <c r="D211" s="334" t="s">
        <v>3186</v>
      </c>
      <c r="E211" s="335">
        <v>66000</v>
      </c>
      <c r="F211" s="333" t="s">
        <v>1768</v>
      </c>
      <c r="G211" s="333" t="s">
        <v>3218</v>
      </c>
      <c r="H211" s="334" t="s">
        <v>3271</v>
      </c>
      <c r="I211" s="334" t="s">
        <v>3272</v>
      </c>
    </row>
    <row r="212" spans="2:9" x14ac:dyDescent="0.25">
      <c r="B212" s="336" t="s">
        <v>3167</v>
      </c>
      <c r="C212" s="337" t="s">
        <v>2938</v>
      </c>
      <c r="D212" s="337" t="s">
        <v>3208</v>
      </c>
      <c r="E212" s="338">
        <v>40000</v>
      </c>
      <c r="F212" s="336" t="s">
        <v>1333</v>
      </c>
      <c r="G212" s="336" t="s">
        <v>3218</v>
      </c>
      <c r="H212" s="337" t="s">
        <v>3273</v>
      </c>
      <c r="I212" s="337" t="s">
        <v>3274</v>
      </c>
    </row>
    <row r="213" spans="2:9" x14ac:dyDescent="0.25">
      <c r="B213" s="333" t="s">
        <v>3167</v>
      </c>
      <c r="C213" s="334" t="s">
        <v>2938</v>
      </c>
      <c r="D213" s="334" t="s">
        <v>3275</v>
      </c>
      <c r="E213" s="335">
        <v>30000</v>
      </c>
      <c r="F213" s="333" t="s">
        <v>1333</v>
      </c>
      <c r="G213" s="333" t="s">
        <v>3218</v>
      </c>
      <c r="H213" s="334" t="s">
        <v>3276</v>
      </c>
      <c r="I213" s="334" t="s">
        <v>3277</v>
      </c>
    </row>
    <row r="214" spans="2:9" x14ac:dyDescent="0.25">
      <c r="B214" s="336" t="s">
        <v>3167</v>
      </c>
      <c r="C214" s="337" t="s">
        <v>2938</v>
      </c>
      <c r="D214" s="337" t="s">
        <v>3278</v>
      </c>
      <c r="E214" s="338">
        <v>27500</v>
      </c>
      <c r="F214" s="336" t="s">
        <v>1333</v>
      </c>
      <c r="G214" s="336" t="s">
        <v>3218</v>
      </c>
      <c r="H214" s="337" t="s">
        <v>3279</v>
      </c>
      <c r="I214" s="337" t="s">
        <v>3280</v>
      </c>
    </row>
    <row r="215" spans="2:9" x14ac:dyDescent="0.25">
      <c r="B215" s="333" t="s">
        <v>3167</v>
      </c>
      <c r="C215" s="334" t="s">
        <v>2938</v>
      </c>
      <c r="D215" s="334" t="s">
        <v>3213</v>
      </c>
      <c r="E215" s="335">
        <v>50000</v>
      </c>
      <c r="F215" s="333" t="s">
        <v>1333</v>
      </c>
      <c r="G215" s="333" t="s">
        <v>3218</v>
      </c>
      <c r="H215" s="334" t="s">
        <v>3281</v>
      </c>
      <c r="I215" s="334" t="s">
        <v>3282</v>
      </c>
    </row>
    <row r="216" spans="2:9" x14ac:dyDescent="0.25">
      <c r="B216" s="336" t="s">
        <v>3167</v>
      </c>
      <c r="C216" s="337" t="s">
        <v>2938</v>
      </c>
      <c r="D216" s="337" t="s">
        <v>3283</v>
      </c>
      <c r="E216" s="338">
        <v>147000</v>
      </c>
      <c r="F216" s="336" t="s">
        <v>1520</v>
      </c>
      <c r="G216" s="336" t="s">
        <v>2984</v>
      </c>
      <c r="H216" s="337" t="s">
        <v>3284</v>
      </c>
      <c r="I216" s="337" t="s">
        <v>3285</v>
      </c>
    </row>
    <row r="217" spans="2:9" x14ac:dyDescent="0.25">
      <c r="B217" s="333" t="s">
        <v>3169</v>
      </c>
      <c r="C217" s="334" t="s">
        <v>2838</v>
      </c>
      <c r="D217" s="334" t="s">
        <v>3186</v>
      </c>
      <c r="E217" s="335">
        <v>66000</v>
      </c>
      <c r="F217" s="333" t="s">
        <v>1768</v>
      </c>
      <c r="G217" s="333" t="s">
        <v>3218</v>
      </c>
      <c r="H217" s="334" t="s">
        <v>3286</v>
      </c>
      <c r="I217" s="334" t="s">
        <v>3239</v>
      </c>
    </row>
    <row r="218" spans="2:9" x14ac:dyDescent="0.25">
      <c r="B218" s="336" t="s">
        <v>3169</v>
      </c>
      <c r="C218" s="337" t="s">
        <v>2838</v>
      </c>
      <c r="D218" s="337" t="s">
        <v>3188</v>
      </c>
      <c r="E218" s="338">
        <v>66000</v>
      </c>
      <c r="F218" s="336" t="s">
        <v>1768</v>
      </c>
      <c r="G218" s="336" t="s">
        <v>3218</v>
      </c>
      <c r="H218" s="337" t="s">
        <v>3287</v>
      </c>
      <c r="I218" s="337" t="s">
        <v>3239</v>
      </c>
    </row>
    <row r="219" spans="2:9" x14ac:dyDescent="0.25">
      <c r="B219" s="333" t="s">
        <v>3169</v>
      </c>
      <c r="C219" s="334" t="s">
        <v>2838</v>
      </c>
      <c r="D219" s="334" t="s">
        <v>3288</v>
      </c>
      <c r="E219" s="335">
        <v>68000</v>
      </c>
      <c r="F219" s="333" t="s">
        <v>1230</v>
      </c>
      <c r="G219" s="333" t="s">
        <v>2984</v>
      </c>
      <c r="H219" s="334" t="s">
        <v>3289</v>
      </c>
      <c r="I219" s="334" t="s">
        <v>3290</v>
      </c>
    </row>
    <row r="220" spans="2:9" x14ac:dyDescent="0.25">
      <c r="B220" s="336" t="s">
        <v>3169</v>
      </c>
      <c r="C220" s="337" t="s">
        <v>2838</v>
      </c>
      <c r="D220" s="337" t="s">
        <v>3291</v>
      </c>
      <c r="E220" s="338">
        <v>105000</v>
      </c>
      <c r="F220" s="336" t="s">
        <v>1235</v>
      </c>
      <c r="G220" s="336" t="s">
        <v>2984</v>
      </c>
      <c r="H220" s="337" t="s">
        <v>3292</v>
      </c>
      <c r="I220" s="337" t="s">
        <v>3293</v>
      </c>
    </row>
    <row r="221" spans="2:9" x14ac:dyDescent="0.25">
      <c r="B221" s="333" t="s">
        <v>3169</v>
      </c>
      <c r="C221" s="334" t="s">
        <v>2838</v>
      </c>
      <c r="D221" s="334" t="s">
        <v>3294</v>
      </c>
      <c r="E221" s="335">
        <v>28000</v>
      </c>
      <c r="F221" s="333" t="s">
        <v>1230</v>
      </c>
      <c r="G221" s="333" t="s">
        <v>2984</v>
      </c>
      <c r="H221" s="334" t="s">
        <v>3295</v>
      </c>
      <c r="I221" s="334" t="s">
        <v>3296</v>
      </c>
    </row>
    <row r="222" spans="2:9" x14ac:dyDescent="0.25">
      <c r="B222" s="336" t="s">
        <v>3169</v>
      </c>
      <c r="C222" s="337" t="s">
        <v>2838</v>
      </c>
      <c r="D222" s="337" t="s">
        <v>3297</v>
      </c>
      <c r="E222" s="338">
        <v>3000</v>
      </c>
      <c r="F222" s="336" t="s">
        <v>1235</v>
      </c>
      <c r="G222" s="336" t="s">
        <v>2984</v>
      </c>
      <c r="H222" s="337" t="s">
        <v>3298</v>
      </c>
      <c r="I222" s="337" t="s">
        <v>3299</v>
      </c>
    </row>
    <row r="223" spans="2:9" x14ac:dyDescent="0.25">
      <c r="B223" s="333" t="s">
        <v>3169</v>
      </c>
      <c r="C223" s="334" t="s">
        <v>2838</v>
      </c>
      <c r="D223" s="334" t="s">
        <v>3300</v>
      </c>
      <c r="E223" s="335">
        <v>6200</v>
      </c>
      <c r="F223" s="333" t="s">
        <v>1658</v>
      </c>
      <c r="G223" s="333" t="s">
        <v>2984</v>
      </c>
      <c r="H223" s="334" t="s">
        <v>3301</v>
      </c>
      <c r="I223" s="334" t="s">
        <v>3302</v>
      </c>
    </row>
    <row r="224" spans="2:9" x14ac:dyDescent="0.25">
      <c r="B224" s="336" t="s">
        <v>3169</v>
      </c>
      <c r="C224" s="337" t="s">
        <v>2838</v>
      </c>
      <c r="D224" s="337" t="s">
        <v>3303</v>
      </c>
      <c r="E224" s="338">
        <v>20000</v>
      </c>
      <c r="F224" s="336" t="s">
        <v>1520</v>
      </c>
      <c r="G224" s="336" t="s">
        <v>2984</v>
      </c>
      <c r="H224" s="337" t="s">
        <v>3304</v>
      </c>
      <c r="I224" s="337" t="s">
        <v>3305</v>
      </c>
    </row>
    <row r="225" spans="2:9" x14ac:dyDescent="0.25">
      <c r="B225" s="333" t="s">
        <v>3169</v>
      </c>
      <c r="C225" s="334" t="s">
        <v>2838</v>
      </c>
      <c r="D225" s="334" t="s">
        <v>3306</v>
      </c>
      <c r="E225" s="335">
        <v>20000</v>
      </c>
      <c r="F225" s="333" t="s">
        <v>1658</v>
      </c>
      <c r="G225" s="333" t="s">
        <v>3218</v>
      </c>
      <c r="H225" s="334" t="s">
        <v>3307</v>
      </c>
      <c r="I225" s="334" t="s">
        <v>3308</v>
      </c>
    </row>
    <row r="226" spans="2:9" x14ac:dyDescent="0.25">
      <c r="B226" s="336" t="s">
        <v>3171</v>
      </c>
      <c r="C226" s="337" t="s">
        <v>3172</v>
      </c>
      <c r="D226" s="337" t="s">
        <v>3309</v>
      </c>
      <c r="E226" s="338">
        <v>319100</v>
      </c>
      <c r="F226" s="336" t="s">
        <v>91</v>
      </c>
      <c r="G226" s="336" t="s">
        <v>2984</v>
      </c>
      <c r="H226" s="337" t="s">
        <v>3310</v>
      </c>
      <c r="I226" s="337" t="s">
        <v>3311</v>
      </c>
    </row>
    <row r="227" spans="2:9" x14ac:dyDescent="0.25">
      <c r="B227" s="333" t="s">
        <v>3171</v>
      </c>
      <c r="C227" s="334" t="s">
        <v>3172</v>
      </c>
      <c r="D227" s="334" t="s">
        <v>3312</v>
      </c>
      <c r="E227" s="335">
        <v>81100</v>
      </c>
      <c r="F227" s="333" t="s">
        <v>1230</v>
      </c>
      <c r="G227" s="333" t="s">
        <v>3218</v>
      </c>
      <c r="H227" s="334" t="s">
        <v>3313</v>
      </c>
      <c r="I227" s="334" t="s">
        <v>3314</v>
      </c>
    </row>
    <row r="228" spans="2:9" x14ac:dyDescent="0.25">
      <c r="B228" s="336" t="s">
        <v>3171</v>
      </c>
      <c r="C228" s="337" t="s">
        <v>3172</v>
      </c>
      <c r="D228" s="337" t="s">
        <v>3315</v>
      </c>
      <c r="E228" s="338">
        <v>70000</v>
      </c>
      <c r="F228" s="336" t="s">
        <v>1768</v>
      </c>
      <c r="G228" s="336" t="s">
        <v>3218</v>
      </c>
      <c r="H228" s="337" t="s">
        <v>3316</v>
      </c>
      <c r="I228" s="337" t="s">
        <v>3272</v>
      </c>
    </row>
    <row r="229" spans="2:9" x14ac:dyDescent="0.25">
      <c r="B229" s="333" t="s">
        <v>3171</v>
      </c>
      <c r="C229" s="334" t="s">
        <v>3172</v>
      </c>
      <c r="D229" s="334" t="s">
        <v>3317</v>
      </c>
      <c r="E229" s="335">
        <v>22500</v>
      </c>
      <c r="F229" s="333" t="s">
        <v>1805</v>
      </c>
      <c r="G229" s="333" t="s">
        <v>3218</v>
      </c>
      <c r="H229" s="334" t="s">
        <v>3318</v>
      </c>
      <c r="I229" s="334" t="s">
        <v>3319</v>
      </c>
    </row>
    <row r="230" spans="2:9" x14ac:dyDescent="0.25">
      <c r="B230" s="336" t="s">
        <v>3171</v>
      </c>
      <c r="C230" s="337" t="s">
        <v>3172</v>
      </c>
      <c r="D230" s="337" t="s">
        <v>3320</v>
      </c>
      <c r="E230" s="338">
        <v>9000</v>
      </c>
      <c r="F230" s="336" t="s">
        <v>1805</v>
      </c>
      <c r="G230" s="336" t="s">
        <v>3218</v>
      </c>
      <c r="H230" s="337" t="s">
        <v>3321</v>
      </c>
      <c r="I230" s="337" t="s">
        <v>3322</v>
      </c>
    </row>
    <row r="231" spans="2:9" x14ac:dyDescent="0.25">
      <c r="B231" s="333" t="s">
        <v>3171</v>
      </c>
      <c r="C231" s="334" t="s">
        <v>3172</v>
      </c>
      <c r="D231" s="334" t="s">
        <v>3323</v>
      </c>
      <c r="E231" s="335">
        <v>24500</v>
      </c>
      <c r="F231" s="333" t="s">
        <v>1805</v>
      </c>
      <c r="G231" s="333" t="s">
        <v>3218</v>
      </c>
      <c r="H231" s="334" t="s">
        <v>3324</v>
      </c>
      <c r="I231" s="334" t="s">
        <v>3325</v>
      </c>
    </row>
    <row r="232" spans="2:9" x14ac:dyDescent="0.25">
      <c r="B232" s="336" t="s">
        <v>3171</v>
      </c>
      <c r="C232" s="337" t="s">
        <v>3172</v>
      </c>
      <c r="D232" s="337" t="s">
        <v>3326</v>
      </c>
      <c r="E232" s="338">
        <v>66000</v>
      </c>
      <c r="F232" s="336" t="s">
        <v>1768</v>
      </c>
      <c r="G232" s="336" t="s">
        <v>3218</v>
      </c>
      <c r="H232" s="337" t="s">
        <v>3327</v>
      </c>
      <c r="I232" s="337" t="s">
        <v>3270</v>
      </c>
    </row>
    <row r="233" spans="2:9" x14ac:dyDescent="0.25">
      <c r="B233" s="333" t="s">
        <v>3174</v>
      </c>
      <c r="C233" s="334" t="s">
        <v>3175</v>
      </c>
      <c r="D233" s="334" t="s">
        <v>3183</v>
      </c>
      <c r="E233" s="335">
        <v>66000</v>
      </c>
      <c r="F233" s="333" t="s">
        <v>1768</v>
      </c>
      <c r="G233" s="333" t="s">
        <v>3218</v>
      </c>
      <c r="H233" s="334" t="s">
        <v>3328</v>
      </c>
      <c r="I233" s="334" t="s">
        <v>3239</v>
      </c>
    </row>
    <row r="234" spans="2:9" x14ac:dyDescent="0.25">
      <c r="B234" s="336" t="s">
        <v>3174</v>
      </c>
      <c r="C234" s="337" t="s">
        <v>3175</v>
      </c>
      <c r="D234" s="337" t="s">
        <v>3186</v>
      </c>
      <c r="E234" s="338">
        <v>66000</v>
      </c>
      <c r="F234" s="336" t="s">
        <v>1768</v>
      </c>
      <c r="G234" s="336" t="s">
        <v>3218</v>
      </c>
      <c r="H234" s="337" t="s">
        <v>3329</v>
      </c>
      <c r="I234" s="337" t="s">
        <v>3239</v>
      </c>
    </row>
    <row r="235" spans="2:9" x14ac:dyDescent="0.25">
      <c r="B235" s="333" t="s">
        <v>3174</v>
      </c>
      <c r="C235" s="334" t="s">
        <v>3175</v>
      </c>
      <c r="D235" s="334" t="s">
        <v>3188</v>
      </c>
      <c r="E235" s="335">
        <v>66000</v>
      </c>
      <c r="F235" s="333" t="s">
        <v>1768</v>
      </c>
      <c r="G235" s="333" t="s">
        <v>3218</v>
      </c>
      <c r="H235" s="334" t="s">
        <v>3330</v>
      </c>
      <c r="I235" s="334" t="s">
        <v>3239</v>
      </c>
    </row>
    <row r="236" spans="2:9" x14ac:dyDescent="0.25">
      <c r="B236" s="336" t="s">
        <v>3174</v>
      </c>
      <c r="C236" s="337" t="s">
        <v>3175</v>
      </c>
      <c r="D236" s="337" t="s">
        <v>3331</v>
      </c>
      <c r="E236" s="338">
        <v>138000</v>
      </c>
      <c r="F236" s="336" t="s">
        <v>1520</v>
      </c>
      <c r="G236" s="336" t="s">
        <v>2984</v>
      </c>
      <c r="H236" s="337" t="s">
        <v>3332</v>
      </c>
      <c r="I236" s="337" t="s">
        <v>3333</v>
      </c>
    </row>
    <row r="237" spans="2:9" x14ac:dyDescent="0.25">
      <c r="B237" s="333" t="s">
        <v>3174</v>
      </c>
      <c r="C237" s="334" t="s">
        <v>3175</v>
      </c>
      <c r="D237" s="334" t="s">
        <v>3193</v>
      </c>
      <c r="E237" s="335">
        <v>30000</v>
      </c>
      <c r="F237" s="333" t="s">
        <v>1333</v>
      </c>
      <c r="G237" s="333" t="s">
        <v>3218</v>
      </c>
      <c r="H237" s="334" t="s">
        <v>3334</v>
      </c>
      <c r="I237" s="334" t="s">
        <v>3335</v>
      </c>
    </row>
    <row r="238" spans="2:9" x14ac:dyDescent="0.25">
      <c r="B238" s="336" t="s">
        <v>3174</v>
      </c>
      <c r="C238" s="337" t="s">
        <v>3175</v>
      </c>
      <c r="D238" s="337" t="s">
        <v>3190</v>
      </c>
      <c r="E238" s="338">
        <v>29000</v>
      </c>
      <c r="F238" s="336" t="s">
        <v>1520</v>
      </c>
      <c r="G238" s="336" t="s">
        <v>2984</v>
      </c>
      <c r="H238" s="337" t="s">
        <v>3336</v>
      </c>
      <c r="I238" s="337" t="s">
        <v>3337</v>
      </c>
    </row>
    <row r="239" spans="2:9" x14ac:dyDescent="0.25">
      <c r="B239" s="333" t="s">
        <v>3177</v>
      </c>
      <c r="C239" s="334" t="s">
        <v>3172</v>
      </c>
      <c r="D239" s="334" t="s">
        <v>3338</v>
      </c>
      <c r="E239" s="335">
        <v>126500</v>
      </c>
      <c r="F239" s="333" t="s">
        <v>91</v>
      </c>
      <c r="G239" s="333" t="s">
        <v>2984</v>
      </c>
      <c r="H239" s="334" t="s">
        <v>3339</v>
      </c>
      <c r="I239" s="334" t="s">
        <v>3340</v>
      </c>
    </row>
    <row r="240" spans="2:9" x14ac:dyDescent="0.25">
      <c r="B240" s="339" t="s">
        <v>3341</v>
      </c>
      <c r="C240" s="340" t="s">
        <v>3342</v>
      </c>
      <c r="D240" s="342"/>
      <c r="E240" s="341">
        <v>5902350</v>
      </c>
      <c r="F240" s="342"/>
      <c r="G240" s="340" t="s">
        <v>3041</v>
      </c>
      <c r="H240" s="339" t="s">
        <v>3343</v>
      </c>
      <c r="I240" s="339" t="s">
        <v>3344</v>
      </c>
    </row>
    <row r="243" spans="2:10" ht="16.5" customHeight="1" x14ac:dyDescent="0.25">
      <c r="B243" s="737" t="s">
        <v>3345</v>
      </c>
      <c r="C243" s="642"/>
      <c r="D243" s="642"/>
      <c r="E243" s="642"/>
      <c r="F243" s="728"/>
      <c r="G243" s="642"/>
      <c r="H243" s="642"/>
      <c r="I243" s="642"/>
      <c r="J243" s="642"/>
    </row>
    <row r="245" spans="2:10" x14ac:dyDescent="0.25">
      <c r="B245" s="343" t="s">
        <v>3346</v>
      </c>
      <c r="H245" s="417"/>
    </row>
    <row r="246" spans="2:10" x14ac:dyDescent="0.25">
      <c r="B246" s="344" t="s">
        <v>2804</v>
      </c>
      <c r="C246" s="344" t="s">
        <v>3155</v>
      </c>
      <c r="D246" s="344" t="s">
        <v>3046</v>
      </c>
      <c r="E246" s="344" t="s">
        <v>3047</v>
      </c>
      <c r="F246" s="344" t="s">
        <v>3156</v>
      </c>
      <c r="G246" s="344" t="s">
        <v>3157</v>
      </c>
      <c r="H246" s="344" t="s">
        <v>3158</v>
      </c>
      <c r="I246" s="344" t="s">
        <v>2475</v>
      </c>
      <c r="J246" s="344" t="s">
        <v>3159</v>
      </c>
    </row>
    <row r="247" spans="2:10" x14ac:dyDescent="0.25">
      <c r="B247" s="415" t="s">
        <v>3076</v>
      </c>
      <c r="C247" s="346" t="s">
        <v>2838</v>
      </c>
      <c r="D247" s="347">
        <v>2035300</v>
      </c>
      <c r="E247" s="347">
        <v>148200</v>
      </c>
      <c r="F247" s="347">
        <v>2027000</v>
      </c>
      <c r="G247" s="347">
        <v>4476700</v>
      </c>
      <c r="H247" s="347">
        <v>4476800</v>
      </c>
      <c r="I247" s="347">
        <v>-100</v>
      </c>
      <c r="J247" s="346" t="s">
        <v>3347</v>
      </c>
    </row>
    <row r="248" spans="2:10" x14ac:dyDescent="0.25">
      <c r="B248" s="416" t="s">
        <v>3091</v>
      </c>
      <c r="C248" s="349" t="s">
        <v>2815</v>
      </c>
      <c r="D248" s="350">
        <v>950400</v>
      </c>
      <c r="E248" s="350">
        <v>346000</v>
      </c>
      <c r="F248" s="350">
        <v>460900</v>
      </c>
      <c r="G248" s="350">
        <v>2102550</v>
      </c>
      <c r="H248" s="350">
        <v>2102200</v>
      </c>
      <c r="I248" s="350">
        <v>350</v>
      </c>
      <c r="J248" s="349" t="s">
        <v>3348</v>
      </c>
    </row>
    <row r="249" spans="2:10" x14ac:dyDescent="0.25">
      <c r="B249" s="345" t="s">
        <v>3099</v>
      </c>
      <c r="C249" s="346" t="s">
        <v>2838</v>
      </c>
      <c r="D249" s="347">
        <v>1342900</v>
      </c>
      <c r="E249" s="347">
        <v>95000</v>
      </c>
      <c r="F249" s="347">
        <v>238400</v>
      </c>
      <c r="G249" s="347">
        <v>2754800</v>
      </c>
      <c r="H249" s="347">
        <v>2754800</v>
      </c>
      <c r="I249" s="347">
        <v>0</v>
      </c>
      <c r="J249" s="346" t="s">
        <v>3349</v>
      </c>
    </row>
    <row r="250" spans="2:10" x14ac:dyDescent="0.25">
      <c r="B250" s="348" t="s">
        <v>3115</v>
      </c>
      <c r="C250" s="349" t="s">
        <v>2904</v>
      </c>
      <c r="D250" s="350">
        <v>856500</v>
      </c>
      <c r="E250" s="350">
        <v>104500</v>
      </c>
      <c r="F250" s="350">
        <v>1161000</v>
      </c>
      <c r="G250" s="350">
        <v>2269600</v>
      </c>
      <c r="H250" s="350">
        <v>2270100</v>
      </c>
      <c r="I250" s="350">
        <v>-500</v>
      </c>
      <c r="J250" s="349" t="s">
        <v>3350</v>
      </c>
    </row>
    <row r="251" spans="2:10" x14ac:dyDescent="0.25">
      <c r="B251" s="345" t="s">
        <v>3120</v>
      </c>
      <c r="C251" s="346" t="s">
        <v>2838</v>
      </c>
      <c r="D251" s="347">
        <v>1378700</v>
      </c>
      <c r="E251" s="347">
        <v>73500</v>
      </c>
      <c r="F251" s="347">
        <v>2215000</v>
      </c>
      <c r="G251" s="347">
        <v>4012200</v>
      </c>
      <c r="H251" s="347">
        <v>4010950</v>
      </c>
      <c r="I251" s="347">
        <v>1250</v>
      </c>
      <c r="J251" s="346" t="s">
        <v>3351</v>
      </c>
    </row>
    <row r="252" spans="2:10" x14ac:dyDescent="0.25">
      <c r="B252" s="348" t="s">
        <v>3125</v>
      </c>
      <c r="C252" s="349" t="s">
        <v>2815</v>
      </c>
      <c r="D252" s="350">
        <v>972000</v>
      </c>
      <c r="E252" s="350">
        <v>388500</v>
      </c>
      <c r="F252" s="350">
        <v>641200</v>
      </c>
      <c r="G252" s="350">
        <v>2381900</v>
      </c>
      <c r="H252" s="350">
        <v>2378500</v>
      </c>
      <c r="I252" s="350">
        <v>3400</v>
      </c>
      <c r="J252" s="349" t="s">
        <v>3352</v>
      </c>
    </row>
    <row r="253" spans="2:10" x14ac:dyDescent="0.25">
      <c r="B253" s="345" t="s">
        <v>3135</v>
      </c>
      <c r="C253" s="346" t="s">
        <v>2838</v>
      </c>
      <c r="D253" s="347">
        <v>2507600</v>
      </c>
      <c r="E253" s="347">
        <v>20000</v>
      </c>
      <c r="F253" s="347">
        <v>1427000</v>
      </c>
      <c r="G253" s="347">
        <v>4248600</v>
      </c>
      <c r="H253" s="347">
        <v>4248100</v>
      </c>
      <c r="I253" s="347">
        <v>500</v>
      </c>
      <c r="J253" s="346" t="s">
        <v>3353</v>
      </c>
    </row>
    <row r="254" spans="2:10" x14ac:dyDescent="0.25">
      <c r="B254" s="348" t="s">
        <v>3143</v>
      </c>
      <c r="C254" s="349" t="s">
        <v>2938</v>
      </c>
      <c r="D254" s="350">
        <v>537600</v>
      </c>
      <c r="E254" s="350">
        <v>56000</v>
      </c>
      <c r="F254" s="350">
        <v>55000</v>
      </c>
      <c r="G254" s="350">
        <v>1866800</v>
      </c>
      <c r="H254" s="350">
        <v>1866800</v>
      </c>
      <c r="I254" s="350">
        <v>0</v>
      </c>
      <c r="J254" s="349" t="s">
        <v>3354</v>
      </c>
    </row>
    <row r="255" spans="2:10" x14ac:dyDescent="0.25">
      <c r="B255" s="351" t="s">
        <v>3179</v>
      </c>
      <c r="C255" s="352" t="s">
        <v>3355</v>
      </c>
      <c r="D255" s="353">
        <v>10581000</v>
      </c>
      <c r="E255" s="353">
        <v>1231700</v>
      </c>
      <c r="F255" s="353">
        <v>8225500</v>
      </c>
      <c r="G255" s="353">
        <v>24113150</v>
      </c>
      <c r="H255" s="353">
        <v>24108250</v>
      </c>
      <c r="I255" s="353">
        <v>4900</v>
      </c>
      <c r="J255" s="351" t="s">
        <v>3356</v>
      </c>
    </row>
  </sheetData>
  <autoFilter ref="B10:L80" xr:uid="{00000000-0009-0000-0000-000009000000}"/>
  <mergeCells count="30">
    <mergeCell ref="D6:E6"/>
    <mergeCell ref="B243:J243"/>
    <mergeCell ref="B96:L96"/>
    <mergeCell ref="G7:H7"/>
    <mergeCell ref="I7:J7"/>
    <mergeCell ref="B98:C98"/>
    <mergeCell ref="B99:C99"/>
    <mergeCell ref="D100:L100"/>
    <mergeCell ref="D99:L99"/>
    <mergeCell ref="B161:J161"/>
    <mergeCell ref="B97:C97"/>
    <mergeCell ref="B100:C100"/>
    <mergeCell ref="B7:C7"/>
    <mergeCell ref="D97:L97"/>
    <mergeCell ref="B2:L2"/>
    <mergeCell ref="G6:H6"/>
    <mergeCell ref="D98:L98"/>
    <mergeCell ref="D7:E7"/>
    <mergeCell ref="G5:H5"/>
    <mergeCell ref="I5:J5"/>
    <mergeCell ref="B9:L9"/>
    <mergeCell ref="B83:L83"/>
    <mergeCell ref="B6:C6"/>
    <mergeCell ref="K7:L7"/>
    <mergeCell ref="B5:C5"/>
    <mergeCell ref="D5:E5"/>
    <mergeCell ref="K6:L6"/>
    <mergeCell ref="I6:J6"/>
    <mergeCell ref="B3:L3"/>
    <mergeCell ref="K5:L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C136"/>
  <sheetViews>
    <sheetView workbookViewId="0">
      <selection activeCell="A109" sqref="A109:A136"/>
    </sheetView>
  </sheetViews>
  <sheetFormatPr baseColWidth="10" defaultRowHeight="15" x14ac:dyDescent="0.25"/>
  <cols>
    <col min="1" max="1" width="35.85546875" style="565" bestFit="1" customWidth="1"/>
    <col min="3" max="3" width="19.28515625" style="585" bestFit="1" customWidth="1"/>
  </cols>
  <sheetData>
    <row r="1" spans="1:3" x14ac:dyDescent="0.25">
      <c r="A1" s="80" t="s">
        <v>185</v>
      </c>
      <c r="B1" t="s">
        <v>3357</v>
      </c>
      <c r="C1" s="585" t="s">
        <v>3358</v>
      </c>
    </row>
    <row r="2" spans="1:3" hidden="1" x14ac:dyDescent="0.25">
      <c r="A2" s="44" t="s">
        <v>191</v>
      </c>
      <c r="B2">
        <v>1</v>
      </c>
      <c r="C2" s="585">
        <v>82465</v>
      </c>
    </row>
    <row r="3" spans="1:3" hidden="1" x14ac:dyDescent="0.25">
      <c r="A3" s="44" t="s">
        <v>1238</v>
      </c>
      <c r="B3">
        <v>1</v>
      </c>
      <c r="C3" s="585">
        <v>54400</v>
      </c>
    </row>
    <row r="4" spans="1:3" hidden="1" x14ac:dyDescent="0.25">
      <c r="A4" s="44" t="s">
        <v>1242</v>
      </c>
      <c r="B4">
        <v>1</v>
      </c>
      <c r="C4" s="585">
        <v>15000</v>
      </c>
    </row>
    <row r="5" spans="1:3" hidden="1" x14ac:dyDescent="0.25">
      <c r="A5" s="44" t="s">
        <v>194</v>
      </c>
      <c r="B5">
        <v>1</v>
      </c>
      <c r="C5" s="585">
        <v>330000</v>
      </c>
    </row>
    <row r="6" spans="1:3" hidden="1" x14ac:dyDescent="0.25">
      <c r="A6" s="44" t="s">
        <v>197</v>
      </c>
      <c r="B6">
        <v>1</v>
      </c>
      <c r="C6" s="585">
        <v>364080</v>
      </c>
    </row>
    <row r="7" spans="1:3" hidden="1" x14ac:dyDescent="0.25">
      <c r="A7" s="44" t="s">
        <v>202</v>
      </c>
      <c r="B7">
        <v>1</v>
      </c>
      <c r="C7" s="585">
        <v>899430</v>
      </c>
    </row>
    <row r="8" spans="1:3" hidden="1" x14ac:dyDescent="0.25">
      <c r="A8" s="88" t="s">
        <v>1248</v>
      </c>
      <c r="B8">
        <v>1</v>
      </c>
      <c r="C8" s="585">
        <v>12243950</v>
      </c>
    </row>
    <row r="9" spans="1:3" hidden="1" x14ac:dyDescent="0.25">
      <c r="A9" s="44" t="s">
        <v>1251</v>
      </c>
      <c r="B9">
        <v>1</v>
      </c>
      <c r="C9" s="585">
        <v>34000</v>
      </c>
    </row>
    <row r="10" spans="1:3" hidden="1" x14ac:dyDescent="0.25">
      <c r="A10" s="44" t="s">
        <v>207</v>
      </c>
      <c r="B10">
        <v>1</v>
      </c>
      <c r="C10" s="585">
        <v>152000</v>
      </c>
    </row>
    <row r="11" spans="1:3" hidden="1" x14ac:dyDescent="0.25">
      <c r="A11" s="44" t="s">
        <v>561</v>
      </c>
      <c r="B11">
        <v>1</v>
      </c>
      <c r="C11" s="585">
        <v>411700</v>
      </c>
    </row>
    <row r="12" spans="1:3" x14ac:dyDescent="0.25">
      <c r="A12" s="44" t="s">
        <v>209</v>
      </c>
      <c r="B12">
        <v>1</v>
      </c>
      <c r="C12" s="585">
        <v>2546555</v>
      </c>
    </row>
    <row r="13" spans="1:3" x14ac:dyDescent="0.25">
      <c r="A13" s="44" t="s">
        <v>218</v>
      </c>
      <c r="B13">
        <v>1</v>
      </c>
      <c r="C13" s="585">
        <v>1978665</v>
      </c>
    </row>
    <row r="14" spans="1:3" hidden="1" x14ac:dyDescent="0.25">
      <c r="A14" s="44" t="s">
        <v>228</v>
      </c>
      <c r="B14">
        <v>2</v>
      </c>
      <c r="C14" s="585">
        <v>162100</v>
      </c>
    </row>
    <row r="15" spans="1:3" hidden="1" x14ac:dyDescent="0.25">
      <c r="A15" s="44" t="s">
        <v>1301</v>
      </c>
      <c r="B15">
        <v>2</v>
      </c>
      <c r="C15" s="585">
        <v>19000</v>
      </c>
    </row>
    <row r="16" spans="1:3" hidden="1" x14ac:dyDescent="0.25">
      <c r="A16" s="44" t="s">
        <v>1299</v>
      </c>
      <c r="B16">
        <v>2</v>
      </c>
      <c r="C16" s="585">
        <v>155000</v>
      </c>
    </row>
    <row r="17" spans="1:3" hidden="1" x14ac:dyDescent="0.25">
      <c r="A17" s="44" t="s">
        <v>1296</v>
      </c>
      <c r="B17">
        <v>2</v>
      </c>
      <c r="C17" s="585">
        <v>29000</v>
      </c>
    </row>
    <row r="18" spans="1:3" hidden="1" x14ac:dyDescent="0.25">
      <c r="A18" s="44" t="s">
        <v>225</v>
      </c>
      <c r="B18">
        <v>2</v>
      </c>
      <c r="C18" s="585">
        <v>438415</v>
      </c>
    </row>
    <row r="19" spans="1:3" hidden="1" x14ac:dyDescent="0.25">
      <c r="A19" s="44" t="s">
        <v>222</v>
      </c>
      <c r="B19">
        <v>2</v>
      </c>
      <c r="C19" s="585">
        <v>260250</v>
      </c>
    </row>
    <row r="20" spans="1:3" hidden="1" x14ac:dyDescent="0.25">
      <c r="A20" s="44" t="s">
        <v>1283</v>
      </c>
      <c r="B20">
        <v>2</v>
      </c>
      <c r="C20" s="585">
        <v>107500</v>
      </c>
    </row>
    <row r="21" spans="1:3" hidden="1" x14ac:dyDescent="0.25">
      <c r="A21" s="44" t="s">
        <v>1279</v>
      </c>
      <c r="B21">
        <v>2</v>
      </c>
      <c r="C21" s="585">
        <v>22500</v>
      </c>
    </row>
    <row r="22" spans="1:3" hidden="1" x14ac:dyDescent="0.25">
      <c r="A22" s="44" t="s">
        <v>1275</v>
      </c>
      <c r="B22">
        <v>2</v>
      </c>
      <c r="C22" s="585">
        <v>9920</v>
      </c>
    </row>
    <row r="23" spans="1:3" hidden="1" x14ac:dyDescent="0.25">
      <c r="A23" s="44" t="s">
        <v>1273</v>
      </c>
      <c r="B23">
        <v>2</v>
      </c>
      <c r="C23" s="585">
        <v>16320</v>
      </c>
    </row>
    <row r="24" spans="1:3" hidden="1" x14ac:dyDescent="0.25">
      <c r="A24" s="44" t="s">
        <v>571</v>
      </c>
      <c r="B24">
        <v>2</v>
      </c>
      <c r="C24" s="585">
        <v>165346</v>
      </c>
    </row>
    <row r="25" spans="1:3" hidden="1" x14ac:dyDescent="0.25">
      <c r="A25" s="44" t="s">
        <v>245</v>
      </c>
      <c r="B25">
        <v>3</v>
      </c>
      <c r="C25" s="585">
        <v>4500</v>
      </c>
    </row>
    <row r="26" spans="1:3" hidden="1" x14ac:dyDescent="0.25">
      <c r="A26" s="44" t="s">
        <v>1358</v>
      </c>
      <c r="B26">
        <v>3</v>
      </c>
      <c r="C26" s="585">
        <v>19000</v>
      </c>
    </row>
    <row r="27" spans="1:3" hidden="1" x14ac:dyDescent="0.25">
      <c r="A27" s="44" t="s">
        <v>1353</v>
      </c>
      <c r="B27">
        <v>3</v>
      </c>
      <c r="C27" s="585">
        <v>312000</v>
      </c>
    </row>
    <row r="28" spans="1:3" hidden="1" x14ac:dyDescent="0.25">
      <c r="A28" s="44" t="s">
        <v>1347</v>
      </c>
      <c r="B28">
        <v>3</v>
      </c>
      <c r="C28" s="585">
        <v>19000</v>
      </c>
    </row>
    <row r="29" spans="1:3" hidden="1" x14ac:dyDescent="0.25">
      <c r="A29" s="44" t="s">
        <v>241</v>
      </c>
      <c r="B29">
        <v>3</v>
      </c>
      <c r="C29" s="585">
        <v>91950</v>
      </c>
    </row>
    <row r="30" spans="1:3" hidden="1" x14ac:dyDescent="0.25">
      <c r="A30" s="44" t="s">
        <v>237</v>
      </c>
      <c r="B30">
        <v>3</v>
      </c>
      <c r="C30" s="585">
        <v>820000</v>
      </c>
    </row>
    <row r="31" spans="1:3" hidden="1" x14ac:dyDescent="0.25">
      <c r="A31" s="44" t="s">
        <v>232</v>
      </c>
      <c r="B31">
        <v>3</v>
      </c>
      <c r="C31" s="585">
        <v>150600</v>
      </c>
    </row>
    <row r="32" spans="1:3" hidden="1" x14ac:dyDescent="0.25">
      <c r="A32" s="44" t="s">
        <v>1343</v>
      </c>
      <c r="B32">
        <v>3</v>
      </c>
      <c r="C32" s="585">
        <v>104000</v>
      </c>
    </row>
    <row r="33" spans="1:3" hidden="1" x14ac:dyDescent="0.25">
      <c r="A33" s="44" t="s">
        <v>590</v>
      </c>
      <c r="B33">
        <v>3</v>
      </c>
      <c r="C33" s="585">
        <v>342640</v>
      </c>
    </row>
    <row r="34" spans="1:3" hidden="1" x14ac:dyDescent="0.25">
      <c r="A34" s="44" t="s">
        <v>579</v>
      </c>
      <c r="B34">
        <v>3</v>
      </c>
      <c r="C34" s="585">
        <v>524500</v>
      </c>
    </row>
    <row r="35" spans="1:3" hidden="1" x14ac:dyDescent="0.25">
      <c r="A35" s="44" t="s">
        <v>1339</v>
      </c>
      <c r="B35">
        <v>3</v>
      </c>
      <c r="C35" s="585">
        <v>339650</v>
      </c>
    </row>
    <row r="36" spans="1:3" hidden="1" x14ac:dyDescent="0.25">
      <c r="A36" s="44" t="s">
        <v>1336</v>
      </c>
      <c r="B36">
        <v>3</v>
      </c>
      <c r="C36" s="585">
        <v>738000</v>
      </c>
    </row>
    <row r="37" spans="1:3" hidden="1" x14ac:dyDescent="0.25">
      <c r="A37" s="44" t="s">
        <v>1312</v>
      </c>
      <c r="B37">
        <v>3</v>
      </c>
      <c r="C37" s="585">
        <v>213500</v>
      </c>
    </row>
    <row r="38" spans="1:3" hidden="1" x14ac:dyDescent="0.25">
      <c r="A38" s="44" t="s">
        <v>1310</v>
      </c>
      <c r="B38">
        <v>3</v>
      </c>
      <c r="C38" s="585">
        <v>18600</v>
      </c>
    </row>
    <row r="39" spans="1:3" hidden="1" x14ac:dyDescent="0.25">
      <c r="A39" s="44" t="s">
        <v>1308</v>
      </c>
      <c r="B39">
        <v>3</v>
      </c>
      <c r="C39" s="585">
        <v>238000</v>
      </c>
    </row>
    <row r="40" spans="1:3" hidden="1" x14ac:dyDescent="0.25">
      <c r="A40" s="44" t="s">
        <v>261</v>
      </c>
      <c r="B40">
        <v>4</v>
      </c>
      <c r="C40" s="585">
        <v>29000</v>
      </c>
    </row>
    <row r="41" spans="1:3" hidden="1" x14ac:dyDescent="0.25">
      <c r="A41" s="44" t="s">
        <v>1462</v>
      </c>
      <c r="B41">
        <v>4</v>
      </c>
      <c r="C41" s="585">
        <v>1781350</v>
      </c>
    </row>
    <row r="42" spans="1:3" hidden="1" x14ac:dyDescent="0.25">
      <c r="A42" s="44" t="s">
        <v>1459</v>
      </c>
      <c r="B42">
        <v>4</v>
      </c>
      <c r="C42" s="585">
        <v>293500</v>
      </c>
    </row>
    <row r="43" spans="1:3" hidden="1" x14ac:dyDescent="0.25">
      <c r="A43" s="44" t="s">
        <v>258</v>
      </c>
      <c r="B43">
        <v>4</v>
      </c>
      <c r="C43" s="585">
        <v>516750</v>
      </c>
    </row>
    <row r="44" spans="1:3" hidden="1" x14ac:dyDescent="0.25">
      <c r="A44" s="44" t="s">
        <v>256</v>
      </c>
      <c r="B44">
        <v>4</v>
      </c>
      <c r="C44" s="585">
        <v>434750</v>
      </c>
    </row>
    <row r="45" spans="1:3" hidden="1" x14ac:dyDescent="0.25">
      <c r="A45" s="44" t="s">
        <v>253</v>
      </c>
      <c r="B45">
        <v>4</v>
      </c>
      <c r="C45" s="585">
        <v>100000</v>
      </c>
    </row>
    <row r="46" spans="1:3" hidden="1" x14ac:dyDescent="0.25">
      <c r="A46" s="44" t="s">
        <v>1450</v>
      </c>
      <c r="B46">
        <v>4</v>
      </c>
      <c r="C46" s="585">
        <v>15000</v>
      </c>
    </row>
    <row r="47" spans="1:3" hidden="1" x14ac:dyDescent="0.25">
      <c r="A47" s="44" t="s">
        <v>1364</v>
      </c>
      <c r="B47">
        <v>4</v>
      </c>
      <c r="C47" s="585">
        <v>8850</v>
      </c>
    </row>
    <row r="48" spans="1:3" hidden="1" x14ac:dyDescent="0.25">
      <c r="A48" s="44" t="s">
        <v>1360</v>
      </c>
      <c r="B48">
        <v>4</v>
      </c>
      <c r="C48" s="585">
        <v>43269</v>
      </c>
    </row>
    <row r="49" spans="1:3" hidden="1" x14ac:dyDescent="0.25">
      <c r="A49" s="44" t="s">
        <v>1479</v>
      </c>
      <c r="B49">
        <v>5</v>
      </c>
      <c r="C49" s="585">
        <v>7583980</v>
      </c>
    </row>
    <row r="50" spans="1:3" hidden="1" x14ac:dyDescent="0.25">
      <c r="A50" s="44" t="s">
        <v>1476</v>
      </c>
      <c r="B50">
        <v>5</v>
      </c>
      <c r="C50" s="585">
        <v>172500</v>
      </c>
    </row>
    <row r="51" spans="1:3" hidden="1" x14ac:dyDescent="0.25">
      <c r="A51" s="44" t="s">
        <v>1474</v>
      </c>
      <c r="B51">
        <v>5</v>
      </c>
      <c r="C51" s="585">
        <v>34000</v>
      </c>
    </row>
    <row r="52" spans="1:3" hidden="1" x14ac:dyDescent="0.25">
      <c r="A52" s="44" t="s">
        <v>1470</v>
      </c>
      <c r="B52">
        <v>5</v>
      </c>
      <c r="C52" s="585">
        <v>29000</v>
      </c>
    </row>
    <row r="53" spans="1:3" hidden="1" x14ac:dyDescent="0.25">
      <c r="A53" s="44" t="s">
        <v>1467</v>
      </c>
      <c r="B53">
        <v>5</v>
      </c>
      <c r="C53" s="585">
        <v>36000</v>
      </c>
    </row>
    <row r="54" spans="1:3" hidden="1" x14ac:dyDescent="0.25">
      <c r="A54" s="44" t="s">
        <v>1465</v>
      </c>
      <c r="B54">
        <v>5</v>
      </c>
      <c r="C54" s="585">
        <v>75000</v>
      </c>
    </row>
    <row r="55" spans="1:3" x14ac:dyDescent="0.25">
      <c r="A55" s="44" t="s">
        <v>274</v>
      </c>
      <c r="B55">
        <v>5</v>
      </c>
      <c r="C55" s="585">
        <v>254200</v>
      </c>
    </row>
    <row r="56" spans="1:3" hidden="1" x14ac:dyDescent="0.25">
      <c r="A56" s="44" t="s">
        <v>1493</v>
      </c>
      <c r="B56">
        <v>6</v>
      </c>
      <c r="C56" s="585">
        <v>39000</v>
      </c>
    </row>
    <row r="57" spans="1:3" hidden="1" x14ac:dyDescent="0.25">
      <c r="A57" s="44" t="s">
        <v>1489</v>
      </c>
      <c r="B57">
        <v>6</v>
      </c>
      <c r="C57" s="585">
        <v>485000</v>
      </c>
    </row>
    <row r="58" spans="1:3" hidden="1" x14ac:dyDescent="0.25">
      <c r="A58" s="44" t="s">
        <v>305</v>
      </c>
      <c r="B58">
        <v>7</v>
      </c>
      <c r="C58" s="585">
        <v>649800</v>
      </c>
    </row>
    <row r="59" spans="1:3" hidden="1" x14ac:dyDescent="0.25">
      <c r="A59" s="44" t="s">
        <v>1517</v>
      </c>
      <c r="B59">
        <v>7</v>
      </c>
      <c r="C59" s="585">
        <v>19000</v>
      </c>
    </row>
    <row r="60" spans="1:3" hidden="1" x14ac:dyDescent="0.25">
      <c r="A60" s="81" t="s">
        <v>318</v>
      </c>
      <c r="B60">
        <v>7</v>
      </c>
      <c r="C60" s="585">
        <v>10000</v>
      </c>
    </row>
    <row r="61" spans="1:3" hidden="1" x14ac:dyDescent="0.25">
      <c r="A61" s="84" t="s">
        <v>1511</v>
      </c>
      <c r="B61">
        <v>7</v>
      </c>
      <c r="C61" s="585">
        <v>61606.04</v>
      </c>
    </row>
    <row r="62" spans="1:3" hidden="1" x14ac:dyDescent="0.25">
      <c r="A62" s="44" t="s">
        <v>300</v>
      </c>
      <c r="B62">
        <v>7</v>
      </c>
      <c r="C62" s="585">
        <v>443900</v>
      </c>
    </row>
    <row r="63" spans="1:3" hidden="1" x14ac:dyDescent="0.25">
      <c r="A63" s="44" t="s">
        <v>882</v>
      </c>
      <c r="B63">
        <v>7</v>
      </c>
      <c r="C63" s="585">
        <v>130000</v>
      </c>
    </row>
    <row r="64" spans="1:3" hidden="1" x14ac:dyDescent="0.25">
      <c r="A64" s="44" t="s">
        <v>298</v>
      </c>
      <c r="B64">
        <v>7</v>
      </c>
      <c r="C64" s="585">
        <v>104000</v>
      </c>
    </row>
    <row r="65" spans="1:3" hidden="1" x14ac:dyDescent="0.25">
      <c r="A65" s="44" t="s">
        <v>295</v>
      </c>
      <c r="B65">
        <v>7</v>
      </c>
      <c r="C65" s="585">
        <v>1528617</v>
      </c>
    </row>
    <row r="66" spans="1:3" hidden="1" x14ac:dyDescent="0.25">
      <c r="A66" s="44" t="s">
        <v>291</v>
      </c>
      <c r="B66">
        <v>7</v>
      </c>
      <c r="C66" s="585">
        <v>994000</v>
      </c>
    </row>
    <row r="67" spans="1:3" hidden="1" x14ac:dyDescent="0.25">
      <c r="A67" s="44" t="s">
        <v>1505</v>
      </c>
      <c r="B67">
        <v>7</v>
      </c>
      <c r="C67" s="585">
        <v>3070650</v>
      </c>
    </row>
    <row r="68" spans="1:3" hidden="1" x14ac:dyDescent="0.25">
      <c r="A68" s="44" t="s">
        <v>1503</v>
      </c>
      <c r="B68">
        <v>7</v>
      </c>
      <c r="C68" s="585">
        <v>5555</v>
      </c>
    </row>
    <row r="69" spans="1:3" hidden="1" x14ac:dyDescent="0.25">
      <c r="A69" s="44" t="s">
        <v>1500</v>
      </c>
      <c r="B69">
        <v>7</v>
      </c>
      <c r="C69" s="585">
        <v>90125</v>
      </c>
    </row>
    <row r="70" spans="1:3" hidden="1" x14ac:dyDescent="0.25">
      <c r="A70" s="44" t="s">
        <v>1613</v>
      </c>
      <c r="B70">
        <v>8</v>
      </c>
      <c r="C70" s="585">
        <v>10000</v>
      </c>
    </row>
    <row r="71" spans="1:3" hidden="1" x14ac:dyDescent="0.25">
      <c r="A71" s="44" t="s">
        <v>3359</v>
      </c>
      <c r="B71" t="e">
        <v>#N/A</v>
      </c>
      <c r="C71" s="585">
        <v>1035990</v>
      </c>
    </row>
    <row r="72" spans="1:3" hidden="1" x14ac:dyDescent="0.25">
      <c r="A72" s="44" t="s">
        <v>1595</v>
      </c>
      <c r="B72">
        <v>8</v>
      </c>
      <c r="C72" s="585">
        <v>953150</v>
      </c>
    </row>
    <row r="73" spans="1:3" hidden="1" x14ac:dyDescent="0.25">
      <c r="A73" s="44" t="s">
        <v>310</v>
      </c>
      <c r="B73">
        <v>8</v>
      </c>
      <c r="C73" s="585">
        <v>372600</v>
      </c>
    </row>
    <row r="74" spans="1:3" hidden="1" x14ac:dyDescent="0.25">
      <c r="A74" s="44" t="s">
        <v>1559</v>
      </c>
      <c r="B74">
        <v>8</v>
      </c>
      <c r="C74" s="585">
        <v>161000</v>
      </c>
    </row>
    <row r="75" spans="1:3" hidden="1" x14ac:dyDescent="0.25">
      <c r="A75" s="44" t="s">
        <v>1526</v>
      </c>
      <c r="B75">
        <v>8</v>
      </c>
      <c r="C75" s="585">
        <v>0</v>
      </c>
    </row>
    <row r="76" spans="1:3" hidden="1" x14ac:dyDescent="0.25">
      <c r="A76" s="44" t="s">
        <v>1523</v>
      </c>
      <c r="B76">
        <v>8</v>
      </c>
      <c r="C76" s="585">
        <v>227500</v>
      </c>
    </row>
    <row r="77" spans="1:3" hidden="1" x14ac:dyDescent="0.25">
      <c r="A77" s="44" t="s">
        <v>1651</v>
      </c>
      <c r="B77">
        <v>9</v>
      </c>
      <c r="C77" s="585">
        <v>4065132</v>
      </c>
    </row>
    <row r="78" spans="1:3" hidden="1" x14ac:dyDescent="0.25">
      <c r="A78" s="44" t="s">
        <v>339</v>
      </c>
      <c r="B78">
        <v>9</v>
      </c>
      <c r="C78" s="585">
        <v>2362400</v>
      </c>
    </row>
    <row r="79" spans="1:3" hidden="1" x14ac:dyDescent="0.25">
      <c r="A79" s="44" t="s">
        <v>3360</v>
      </c>
      <c r="B79" t="e">
        <v>#N/A</v>
      </c>
      <c r="C79" s="585">
        <v>426900</v>
      </c>
    </row>
    <row r="80" spans="1:3" hidden="1" x14ac:dyDescent="0.25">
      <c r="A80" s="44" t="s">
        <v>1645</v>
      </c>
      <c r="B80">
        <v>9</v>
      </c>
      <c r="C80" s="585">
        <v>577100</v>
      </c>
    </row>
    <row r="81" spans="1:3" hidden="1" x14ac:dyDescent="0.25">
      <c r="A81" s="44" t="s">
        <v>1642</v>
      </c>
      <c r="B81">
        <v>9</v>
      </c>
      <c r="C81" s="585">
        <v>55000</v>
      </c>
    </row>
    <row r="82" spans="1:3" hidden="1" x14ac:dyDescent="0.25">
      <c r="A82" s="44" t="s">
        <v>648</v>
      </c>
      <c r="B82">
        <v>9</v>
      </c>
      <c r="C82" s="585">
        <v>621099.99999999988</v>
      </c>
    </row>
    <row r="83" spans="1:3" hidden="1" x14ac:dyDescent="0.25">
      <c r="A83" s="44" t="s">
        <v>1638</v>
      </c>
      <c r="B83">
        <v>9</v>
      </c>
      <c r="C83" s="585">
        <v>47250</v>
      </c>
    </row>
    <row r="84" spans="1:3" hidden="1" x14ac:dyDescent="0.25">
      <c r="A84" s="44" t="s">
        <v>334</v>
      </c>
      <c r="B84">
        <v>9</v>
      </c>
      <c r="C84" s="585">
        <v>76860</v>
      </c>
    </row>
    <row r="85" spans="1:3" hidden="1" x14ac:dyDescent="0.25">
      <c r="A85" s="44" t="s">
        <v>332</v>
      </c>
      <c r="B85">
        <v>9</v>
      </c>
      <c r="C85" s="585">
        <v>0</v>
      </c>
    </row>
    <row r="86" spans="1:3" hidden="1" x14ac:dyDescent="0.25">
      <c r="A86" s="44" t="s">
        <v>645</v>
      </c>
      <c r="B86">
        <v>9</v>
      </c>
      <c r="C86" s="585">
        <v>330000</v>
      </c>
    </row>
    <row r="87" spans="1:3" x14ac:dyDescent="0.25">
      <c r="A87" s="44" t="s">
        <v>324</v>
      </c>
      <c r="B87">
        <v>9</v>
      </c>
      <c r="C87" s="585">
        <v>352450</v>
      </c>
    </row>
    <row r="88" spans="1:3" hidden="1" x14ac:dyDescent="0.25">
      <c r="A88" s="44" t="s">
        <v>1712</v>
      </c>
      <c r="B88">
        <v>10</v>
      </c>
      <c r="C88" s="585">
        <v>34000</v>
      </c>
    </row>
    <row r="89" spans="1:3" hidden="1" x14ac:dyDescent="0.25">
      <c r="A89" s="44" t="s">
        <v>3361</v>
      </c>
      <c r="B89" t="e">
        <v>#N/A</v>
      </c>
      <c r="C89" s="585">
        <v>19000</v>
      </c>
    </row>
    <row r="90" spans="1:3" hidden="1" x14ac:dyDescent="0.25">
      <c r="A90" s="44" t="s">
        <v>349</v>
      </c>
      <c r="B90">
        <v>10</v>
      </c>
      <c r="C90" s="585">
        <v>654750</v>
      </c>
    </row>
    <row r="91" spans="1:3" hidden="1" x14ac:dyDescent="0.25">
      <c r="A91" s="44" t="s">
        <v>1707</v>
      </c>
      <c r="B91">
        <v>10</v>
      </c>
      <c r="C91" s="585">
        <v>20000</v>
      </c>
    </row>
    <row r="92" spans="1:3" hidden="1" x14ac:dyDescent="0.25">
      <c r="A92" s="44" t="s">
        <v>1699</v>
      </c>
      <c r="B92">
        <v>10</v>
      </c>
      <c r="C92" s="585">
        <v>336000</v>
      </c>
    </row>
    <row r="93" spans="1:3" hidden="1" x14ac:dyDescent="0.25">
      <c r="A93" s="44" t="s">
        <v>1694</v>
      </c>
      <c r="B93">
        <v>10</v>
      </c>
      <c r="C93" s="585">
        <v>58000</v>
      </c>
    </row>
    <row r="94" spans="1:3" hidden="1" x14ac:dyDescent="0.25">
      <c r="A94" s="44" t="s">
        <v>953</v>
      </c>
      <c r="B94">
        <v>10</v>
      </c>
      <c r="C94" s="585">
        <v>10000</v>
      </c>
    </row>
    <row r="95" spans="1:3" hidden="1" x14ac:dyDescent="0.25">
      <c r="A95" s="44" t="s">
        <v>1691</v>
      </c>
      <c r="B95">
        <v>10</v>
      </c>
      <c r="C95" s="585">
        <v>30000</v>
      </c>
    </row>
    <row r="96" spans="1:3" hidden="1" x14ac:dyDescent="0.25">
      <c r="A96" s="44" t="s">
        <v>1689</v>
      </c>
      <c r="B96">
        <v>10</v>
      </c>
      <c r="C96" s="585">
        <v>20000</v>
      </c>
    </row>
    <row r="97" spans="1:3" hidden="1" x14ac:dyDescent="0.25">
      <c r="A97" s="44" t="s">
        <v>950</v>
      </c>
      <c r="B97">
        <v>10</v>
      </c>
      <c r="C97" s="585">
        <v>50000</v>
      </c>
    </row>
    <row r="98" spans="1:3" hidden="1" x14ac:dyDescent="0.25">
      <c r="A98" s="44" t="s">
        <v>947</v>
      </c>
      <c r="B98">
        <v>10</v>
      </c>
      <c r="C98" s="585">
        <v>108950</v>
      </c>
    </row>
    <row r="99" spans="1:3" hidden="1" x14ac:dyDescent="0.25">
      <c r="A99" s="44" t="s">
        <v>345</v>
      </c>
      <c r="B99">
        <v>10</v>
      </c>
      <c r="C99" s="585">
        <v>184000</v>
      </c>
    </row>
    <row r="100" spans="1:3" hidden="1" x14ac:dyDescent="0.25">
      <c r="A100" s="44" t="s">
        <v>944</v>
      </c>
      <c r="B100">
        <v>10</v>
      </c>
      <c r="C100" s="585">
        <v>17000</v>
      </c>
    </row>
    <row r="101" spans="1:3" hidden="1" x14ac:dyDescent="0.25">
      <c r="A101" s="44" t="s">
        <v>343</v>
      </c>
      <c r="B101">
        <v>10</v>
      </c>
      <c r="C101" s="585">
        <v>75350</v>
      </c>
    </row>
    <row r="102" spans="1:3" hidden="1" x14ac:dyDescent="0.25">
      <c r="A102" s="44" t="s">
        <v>1673</v>
      </c>
      <c r="B102">
        <v>10</v>
      </c>
      <c r="C102" s="585">
        <v>0</v>
      </c>
    </row>
    <row r="103" spans="1:3" hidden="1" x14ac:dyDescent="0.25">
      <c r="A103" s="44" t="s">
        <v>1668</v>
      </c>
      <c r="B103">
        <v>10</v>
      </c>
      <c r="C103" s="585">
        <v>75000</v>
      </c>
    </row>
    <row r="104" spans="1:3" hidden="1" x14ac:dyDescent="0.25">
      <c r="A104" s="92" t="s">
        <v>358</v>
      </c>
      <c r="B104">
        <v>11</v>
      </c>
      <c r="C104" s="585">
        <v>5241000</v>
      </c>
    </row>
    <row r="105" spans="1:3" hidden="1" x14ac:dyDescent="0.25">
      <c r="A105" s="44" t="s">
        <v>962</v>
      </c>
      <c r="B105">
        <v>11</v>
      </c>
      <c r="C105" s="585">
        <v>72000</v>
      </c>
    </row>
    <row r="106" spans="1:3" hidden="1" x14ac:dyDescent="0.25">
      <c r="A106" s="44" t="s">
        <v>1719</v>
      </c>
      <c r="B106">
        <v>11</v>
      </c>
      <c r="C106" s="585">
        <v>1525700</v>
      </c>
    </row>
    <row r="107" spans="1:3" hidden="1" x14ac:dyDescent="0.25">
      <c r="A107" s="44" t="s">
        <v>1715</v>
      </c>
      <c r="B107">
        <v>11</v>
      </c>
      <c r="C107" s="585">
        <v>25647300</v>
      </c>
    </row>
    <row r="108" spans="1:3" x14ac:dyDescent="0.25">
      <c r="A108" s="93"/>
    </row>
    <row r="109" spans="1:3" x14ac:dyDescent="0.25">
      <c r="A109" s="395" t="s">
        <v>209</v>
      </c>
    </row>
    <row r="110" spans="1:3" x14ac:dyDescent="0.25">
      <c r="A110" s="395" t="s">
        <v>209</v>
      </c>
    </row>
    <row r="111" spans="1:3" x14ac:dyDescent="0.25">
      <c r="A111" s="395" t="s">
        <v>209</v>
      </c>
    </row>
    <row r="112" spans="1:3" x14ac:dyDescent="0.25">
      <c r="A112" s="395" t="s">
        <v>209</v>
      </c>
    </row>
    <row r="113" spans="1:1" x14ac:dyDescent="0.25">
      <c r="A113" s="395" t="s">
        <v>218</v>
      </c>
    </row>
    <row r="114" spans="1:1" x14ac:dyDescent="0.25">
      <c r="A114" s="395" t="s">
        <v>274</v>
      </c>
    </row>
    <row r="115" spans="1:1" x14ac:dyDescent="0.25">
      <c r="A115" s="395" t="s">
        <v>274</v>
      </c>
    </row>
    <row r="116" spans="1:1" x14ac:dyDescent="0.25">
      <c r="A116" s="395" t="s">
        <v>274</v>
      </c>
    </row>
    <row r="117" spans="1:1" x14ac:dyDescent="0.25">
      <c r="A117" s="395" t="s">
        <v>274</v>
      </c>
    </row>
    <row r="118" spans="1:1" x14ac:dyDescent="0.25">
      <c r="A118" s="395" t="s">
        <v>274</v>
      </c>
    </row>
    <row r="119" spans="1:1" x14ac:dyDescent="0.25">
      <c r="A119" s="395" t="s">
        <v>274</v>
      </c>
    </row>
    <row r="120" spans="1:1" x14ac:dyDescent="0.25">
      <c r="A120" s="395" t="s">
        <v>274</v>
      </c>
    </row>
    <row r="121" spans="1:1" x14ac:dyDescent="0.25">
      <c r="A121" s="395" t="s">
        <v>274</v>
      </c>
    </row>
    <row r="122" spans="1:1" x14ac:dyDescent="0.25">
      <c r="A122" s="395" t="s">
        <v>300</v>
      </c>
    </row>
    <row r="123" spans="1:1" x14ac:dyDescent="0.25">
      <c r="A123" s="395" t="s">
        <v>300</v>
      </c>
    </row>
    <row r="124" spans="1:1" x14ac:dyDescent="0.25">
      <c r="A124" s="395" t="s">
        <v>300</v>
      </c>
    </row>
    <row r="125" spans="1:1" x14ac:dyDescent="0.25">
      <c r="A125" s="396" t="s">
        <v>324</v>
      </c>
    </row>
    <row r="126" spans="1:1" x14ac:dyDescent="0.25">
      <c r="A126" s="396" t="s">
        <v>324</v>
      </c>
    </row>
    <row r="127" spans="1:1" x14ac:dyDescent="0.25">
      <c r="A127" s="396" t="s">
        <v>324</v>
      </c>
    </row>
    <row r="128" spans="1:1" x14ac:dyDescent="0.25">
      <c r="A128" s="396" t="s">
        <v>324</v>
      </c>
    </row>
    <row r="129" spans="1:1" x14ac:dyDescent="0.25">
      <c r="A129" s="396" t="s">
        <v>324</v>
      </c>
    </row>
    <row r="130" spans="1:1" x14ac:dyDescent="0.25">
      <c r="A130" s="396" t="s">
        <v>324</v>
      </c>
    </row>
    <row r="131" spans="1:1" x14ac:dyDescent="0.25">
      <c r="A131" s="319" t="s">
        <v>441</v>
      </c>
    </row>
    <row r="132" spans="1:1" x14ac:dyDescent="0.25">
      <c r="A132" s="319" t="s">
        <v>441</v>
      </c>
    </row>
    <row r="133" spans="1:1" x14ac:dyDescent="0.25">
      <c r="A133" s="319" t="s">
        <v>441</v>
      </c>
    </row>
    <row r="134" spans="1:1" x14ac:dyDescent="0.25">
      <c r="A134" s="319" t="s">
        <v>441</v>
      </c>
    </row>
    <row r="135" spans="1:1" x14ac:dyDescent="0.25">
      <c r="A135" s="319" t="s">
        <v>441</v>
      </c>
    </row>
    <row r="136" spans="1:1" x14ac:dyDescent="0.25">
      <c r="A136" s="319" t="s">
        <v>441</v>
      </c>
    </row>
  </sheetData>
  <autoFilter ref="A1:C107" xr:uid="{00000000-0009-0000-0000-00000A000000}">
    <filterColumn colId="0">
      <filters>
        <filter val="YP24140"/>
        <filter val="YP24152"/>
        <filter val="YP24244"/>
        <filter val="YP24314"/>
      </filters>
    </filterColumn>
    <sortState xmlns:xlrd2="http://schemas.microsoft.com/office/spreadsheetml/2017/richdata2" ref="A2:C107">
      <sortCondition ref="B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39"/>
  <sheetViews>
    <sheetView topLeftCell="A10" zoomScaleNormal="100" workbookViewId="0">
      <selection activeCell="C10" sqref="C10"/>
    </sheetView>
  </sheetViews>
  <sheetFormatPr baseColWidth="10" defaultColWidth="9.140625" defaultRowHeight="15" x14ac:dyDescent="0.25"/>
  <cols>
    <col min="1" max="1" width="3" style="565" customWidth="1"/>
    <col min="2" max="2" width="24" style="565" customWidth="1"/>
    <col min="3" max="3" width="36.42578125" style="565" bestFit="1" customWidth="1"/>
    <col min="4" max="4" width="18" style="565" customWidth="1"/>
    <col min="5" max="5" width="16" style="565" customWidth="1"/>
    <col min="6" max="6" width="15.5703125" style="565" bestFit="1" customWidth="1"/>
    <col min="7" max="7" width="24" style="565" customWidth="1"/>
    <col min="8" max="8" width="14" style="565" customWidth="1"/>
    <col min="9" max="9" width="18" style="565" customWidth="1"/>
    <col min="10" max="10" width="16" style="565" customWidth="1"/>
    <col min="11" max="11" width="4" style="565" customWidth="1"/>
    <col min="12" max="12" width="9.140625" style="425" customWidth="1"/>
  </cols>
  <sheetData>
    <row r="1" spans="1:15" x14ac:dyDescent="0.25">
      <c r="A1" s="471"/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</row>
    <row r="2" spans="1:15" ht="27.95" customHeight="1" x14ac:dyDescent="0.25">
      <c r="A2" s="471"/>
      <c r="B2" s="742" t="s">
        <v>3362</v>
      </c>
      <c r="C2" s="642"/>
      <c r="D2" s="642"/>
      <c r="E2" s="642"/>
      <c r="F2" s="642"/>
      <c r="G2" s="642"/>
      <c r="H2" s="642"/>
      <c r="I2" s="642"/>
      <c r="J2" s="642"/>
      <c r="K2" s="642"/>
      <c r="L2" s="471"/>
      <c r="M2" s="471"/>
      <c r="N2" s="471"/>
      <c r="O2" s="471"/>
    </row>
    <row r="3" spans="1:15" ht="18" customHeight="1" x14ac:dyDescent="0.25">
      <c r="A3" s="471"/>
      <c r="B3" s="747" t="s">
        <v>3363</v>
      </c>
      <c r="C3" s="642"/>
      <c r="D3" s="642"/>
      <c r="E3" s="642"/>
      <c r="F3" s="642"/>
      <c r="G3" s="642"/>
      <c r="H3" s="642"/>
      <c r="I3" s="642"/>
      <c r="J3" s="642"/>
      <c r="K3" s="642"/>
      <c r="L3" s="471"/>
      <c r="M3" s="471"/>
      <c r="N3" s="471"/>
      <c r="O3" s="471"/>
    </row>
    <row r="4" spans="1:15" x14ac:dyDescent="0.2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</row>
    <row r="5" spans="1:15" ht="15.95" customHeight="1" x14ac:dyDescent="0.25">
      <c r="A5" s="471"/>
      <c r="B5" s="746" t="s">
        <v>3364</v>
      </c>
      <c r="C5" s="648"/>
      <c r="D5" s="746" t="s">
        <v>3365</v>
      </c>
      <c r="E5" s="648"/>
      <c r="F5" s="746" t="s">
        <v>3366</v>
      </c>
      <c r="G5" s="648"/>
      <c r="H5" s="746" t="s">
        <v>3367</v>
      </c>
      <c r="I5" s="648"/>
      <c r="J5" s="746" t="s">
        <v>3368</v>
      </c>
      <c r="K5" s="648"/>
      <c r="L5" s="471"/>
      <c r="M5" s="471"/>
      <c r="N5" s="471"/>
      <c r="O5" s="471"/>
    </row>
    <row r="6" spans="1:15" ht="24" customHeight="1" x14ac:dyDescent="0.25">
      <c r="A6" s="471"/>
      <c r="B6" s="744">
        <f>F54</f>
        <v>172260088.60999998</v>
      </c>
      <c r="C6" s="648"/>
      <c r="D6" s="744">
        <f>G54</f>
        <v>99468730.74000001</v>
      </c>
      <c r="E6" s="648"/>
      <c r="F6" s="744">
        <f>H54</f>
        <v>72791357.86999999</v>
      </c>
      <c r="G6" s="648"/>
      <c r="H6" s="749">
        <f>I54</f>
        <v>0.57743341213064769</v>
      </c>
      <c r="I6" s="648"/>
      <c r="J6" s="750">
        <f>COUNTA(C11:C53)</f>
        <v>43</v>
      </c>
      <c r="K6" s="648"/>
      <c r="L6" s="471"/>
      <c r="M6" s="471"/>
      <c r="N6" s="471"/>
      <c r="O6" s="471"/>
    </row>
    <row r="7" spans="1:15" ht="15" customHeight="1" x14ac:dyDescent="0.25">
      <c r="A7" s="471"/>
      <c r="B7" s="748" t="s">
        <v>3369</v>
      </c>
      <c r="C7" s="648"/>
      <c r="D7" s="748" t="s">
        <v>3370</v>
      </c>
      <c r="E7" s="648"/>
      <c r="F7" s="748" t="s">
        <v>3371</v>
      </c>
      <c r="G7" s="648"/>
      <c r="H7" s="748" t="s">
        <v>3372</v>
      </c>
      <c r="I7" s="648"/>
      <c r="J7" s="748" t="s">
        <v>3373</v>
      </c>
      <c r="K7" s="648"/>
      <c r="L7" s="471"/>
      <c r="M7" s="471"/>
      <c r="N7" s="471"/>
      <c r="O7" s="471"/>
    </row>
    <row r="8" spans="1:15" x14ac:dyDescent="0.25">
      <c r="A8" s="471"/>
      <c r="B8" s="471"/>
      <c r="C8" s="471"/>
      <c r="D8" s="471"/>
      <c r="E8" s="471"/>
      <c r="F8" s="471"/>
      <c r="G8" s="471"/>
      <c r="H8" s="471"/>
      <c r="I8" s="471"/>
      <c r="J8" s="471"/>
      <c r="K8" s="471"/>
      <c r="L8" s="471"/>
      <c r="M8" s="471"/>
      <c r="N8" s="471"/>
      <c r="O8" s="471"/>
    </row>
    <row r="9" spans="1:15" ht="21.95" customHeight="1" x14ac:dyDescent="0.25">
      <c r="A9" s="471"/>
      <c r="B9" s="745" t="s">
        <v>3374</v>
      </c>
      <c r="C9" s="642"/>
      <c r="D9" s="642"/>
      <c r="E9" s="642"/>
      <c r="F9" s="642"/>
      <c r="G9" s="642"/>
      <c r="H9" s="642"/>
      <c r="I9" s="642"/>
      <c r="J9" s="642"/>
      <c r="K9" s="642"/>
      <c r="L9" s="471"/>
      <c r="M9" s="471"/>
      <c r="N9" s="471"/>
      <c r="O9" s="471"/>
    </row>
    <row r="10" spans="1:15" ht="24" customHeight="1" x14ac:dyDescent="0.25">
      <c r="A10" s="471"/>
      <c r="B10" s="472" t="s">
        <v>2468</v>
      </c>
      <c r="C10" s="472" t="s">
        <v>1229</v>
      </c>
      <c r="D10" s="472" t="s">
        <v>3375</v>
      </c>
      <c r="E10" s="472" t="s">
        <v>3376</v>
      </c>
      <c r="F10" s="472" t="s">
        <v>3377</v>
      </c>
      <c r="G10" s="472" t="s">
        <v>3378</v>
      </c>
      <c r="H10" s="472" t="s">
        <v>3379</v>
      </c>
      <c r="I10" s="472" t="s">
        <v>3380</v>
      </c>
      <c r="J10" s="472" t="s">
        <v>3381</v>
      </c>
      <c r="K10" s="471"/>
      <c r="L10" s="471"/>
      <c r="M10" s="471"/>
      <c r="N10" s="471"/>
      <c r="O10" s="471"/>
    </row>
    <row r="11" spans="1:15" ht="18.95" customHeight="1" x14ac:dyDescent="0.25">
      <c r="A11" s="471"/>
      <c r="B11" s="473">
        <v>1</v>
      </c>
      <c r="C11" s="474" t="s">
        <v>1266</v>
      </c>
      <c r="D11" s="473" t="s">
        <v>1230</v>
      </c>
      <c r="E11" s="473">
        <v>10</v>
      </c>
      <c r="F11" s="475">
        <v>41324985.799999997</v>
      </c>
      <c r="G11" s="475">
        <v>19944172</v>
      </c>
      <c r="H11" s="475">
        <f t="shared" ref="H11:H53" si="0">F11-G11</f>
        <v>21380813.799999997</v>
      </c>
      <c r="I11" s="476">
        <f t="shared" ref="I11:I53" si="1">IF(F11&gt;0, G11/F11, 0)</f>
        <v>0.48261775809249041</v>
      </c>
      <c r="J11" s="477" t="s">
        <v>3382</v>
      </c>
      <c r="K11" s="471"/>
      <c r="L11" s="471"/>
      <c r="M11" s="471"/>
      <c r="N11" s="471"/>
      <c r="O11" s="471"/>
    </row>
    <row r="12" spans="1:15" ht="18.95" customHeight="1" x14ac:dyDescent="0.25">
      <c r="A12" s="471"/>
      <c r="B12" s="478">
        <v>2</v>
      </c>
      <c r="C12" s="479" t="s">
        <v>1728</v>
      </c>
      <c r="D12" s="478" t="s">
        <v>3383</v>
      </c>
      <c r="E12" s="478">
        <v>2</v>
      </c>
      <c r="F12" s="480">
        <v>34917985</v>
      </c>
      <c r="G12" s="480">
        <v>16523800</v>
      </c>
      <c r="H12" s="480">
        <f t="shared" si="0"/>
        <v>18394185</v>
      </c>
      <c r="I12" s="481">
        <f t="shared" si="1"/>
        <v>0.47321745513093039</v>
      </c>
      <c r="J12" s="482" t="s">
        <v>3382</v>
      </c>
      <c r="K12" s="471"/>
      <c r="L12" s="471"/>
      <c r="M12" s="471"/>
      <c r="N12" s="471"/>
      <c r="O12" s="471"/>
    </row>
    <row r="13" spans="1:15" ht="18.95" customHeight="1" x14ac:dyDescent="0.25">
      <c r="A13" s="471"/>
      <c r="B13" s="473">
        <v>3</v>
      </c>
      <c r="C13" s="474" t="s">
        <v>1294</v>
      </c>
      <c r="D13" s="473" t="s">
        <v>1940</v>
      </c>
      <c r="E13" s="473">
        <v>95</v>
      </c>
      <c r="F13" s="475">
        <v>15045786.74</v>
      </c>
      <c r="G13" s="475">
        <v>15045786.74</v>
      </c>
      <c r="H13" s="475">
        <f t="shared" si="0"/>
        <v>0</v>
      </c>
      <c r="I13" s="476">
        <f t="shared" si="1"/>
        <v>1</v>
      </c>
      <c r="J13" s="483" t="s">
        <v>3384</v>
      </c>
      <c r="K13" s="471"/>
      <c r="L13" s="471"/>
      <c r="M13" s="471"/>
      <c r="N13" s="471"/>
      <c r="O13" s="471"/>
    </row>
    <row r="14" spans="1:15" ht="18.95" customHeight="1" x14ac:dyDescent="0.25">
      <c r="A14" s="471"/>
      <c r="B14" s="478">
        <v>4</v>
      </c>
      <c r="C14" s="479" t="s">
        <v>1365</v>
      </c>
      <c r="D14" s="478" t="s">
        <v>1101</v>
      </c>
      <c r="E14" s="478">
        <v>7</v>
      </c>
      <c r="F14" s="480">
        <v>8474600</v>
      </c>
      <c r="G14" s="480">
        <v>0</v>
      </c>
      <c r="H14" s="480">
        <f t="shared" si="0"/>
        <v>8474600</v>
      </c>
      <c r="I14" s="481">
        <f t="shared" si="1"/>
        <v>0</v>
      </c>
      <c r="J14" s="484" t="s">
        <v>2452</v>
      </c>
      <c r="K14" s="471"/>
      <c r="L14" s="471"/>
      <c r="M14" s="471"/>
      <c r="N14" s="471"/>
      <c r="O14" s="471"/>
    </row>
    <row r="15" spans="1:15" ht="18.95" customHeight="1" x14ac:dyDescent="0.25">
      <c r="A15" s="471"/>
      <c r="B15" s="473">
        <v>5</v>
      </c>
      <c r="C15" s="474" t="s">
        <v>1734</v>
      </c>
      <c r="D15" s="473" t="s">
        <v>1235</v>
      </c>
      <c r="E15" s="473">
        <v>6</v>
      </c>
      <c r="F15" s="475">
        <v>6960500</v>
      </c>
      <c r="G15" s="475">
        <v>2288950</v>
      </c>
      <c r="H15" s="475">
        <f t="shared" si="0"/>
        <v>4671550</v>
      </c>
      <c r="I15" s="476">
        <f t="shared" si="1"/>
        <v>0.32884850226276846</v>
      </c>
      <c r="J15" s="477" t="s">
        <v>3382</v>
      </c>
      <c r="K15" s="471"/>
      <c r="L15" s="471"/>
      <c r="M15" s="471"/>
      <c r="N15" s="471"/>
      <c r="O15" s="471"/>
    </row>
    <row r="16" spans="1:15" ht="18.95" customHeight="1" x14ac:dyDescent="0.25">
      <c r="A16" s="471"/>
      <c r="B16" s="478">
        <v>6</v>
      </c>
      <c r="C16" s="479" t="s">
        <v>1344</v>
      </c>
      <c r="D16" s="478" t="s">
        <v>1940</v>
      </c>
      <c r="E16" s="478">
        <v>13</v>
      </c>
      <c r="F16" s="480">
        <v>5716161</v>
      </c>
      <c r="G16" s="480">
        <v>0</v>
      </c>
      <c r="H16" s="480">
        <f t="shared" si="0"/>
        <v>5716161</v>
      </c>
      <c r="I16" s="481">
        <f t="shared" si="1"/>
        <v>0</v>
      </c>
      <c r="J16" s="484" t="s">
        <v>2452</v>
      </c>
      <c r="K16" s="471"/>
      <c r="L16" s="471"/>
      <c r="M16" s="471"/>
      <c r="N16" s="471"/>
      <c r="O16" s="471"/>
    </row>
    <row r="17" spans="1:15" ht="18.95" customHeight="1" x14ac:dyDescent="0.25">
      <c r="A17" s="471"/>
      <c r="B17" s="473">
        <v>7</v>
      </c>
      <c r="C17" s="474" t="s">
        <v>1716</v>
      </c>
      <c r="D17" s="473" t="s">
        <v>3385</v>
      </c>
      <c r="E17" s="473">
        <v>1</v>
      </c>
      <c r="F17" s="475">
        <v>5241000</v>
      </c>
      <c r="G17" s="475">
        <v>5241000</v>
      </c>
      <c r="H17" s="475">
        <f t="shared" si="0"/>
        <v>0</v>
      </c>
      <c r="I17" s="476">
        <f t="shared" si="1"/>
        <v>1</v>
      </c>
      <c r="J17" s="483" t="s">
        <v>3384</v>
      </c>
      <c r="K17" s="471"/>
      <c r="L17" s="471"/>
      <c r="M17" s="471"/>
      <c r="N17" s="471"/>
      <c r="O17" s="471"/>
    </row>
    <row r="18" spans="1:15" ht="18.95" customHeight="1" x14ac:dyDescent="0.25">
      <c r="A18" s="471"/>
      <c r="B18" s="478">
        <v>8</v>
      </c>
      <c r="C18" s="479" t="s">
        <v>1895</v>
      </c>
      <c r="D18" s="478" t="s">
        <v>1267</v>
      </c>
      <c r="E18" s="478">
        <v>1</v>
      </c>
      <c r="F18" s="480">
        <v>4920175</v>
      </c>
      <c r="G18" s="480">
        <v>4920175</v>
      </c>
      <c r="H18" s="480">
        <f t="shared" si="0"/>
        <v>0</v>
      </c>
      <c r="I18" s="481">
        <f t="shared" si="1"/>
        <v>1</v>
      </c>
      <c r="J18" s="485" t="s">
        <v>3384</v>
      </c>
      <c r="K18" s="471"/>
      <c r="L18" s="471"/>
      <c r="M18" s="471"/>
      <c r="N18" s="471"/>
      <c r="O18" s="471"/>
    </row>
    <row r="19" spans="1:15" ht="18.95" customHeight="1" x14ac:dyDescent="0.25">
      <c r="A19" s="471"/>
      <c r="B19" s="473">
        <v>9</v>
      </c>
      <c r="C19" s="474" t="s">
        <v>1261</v>
      </c>
      <c r="D19" s="473" t="s">
        <v>3383</v>
      </c>
      <c r="E19" s="473">
        <v>62</v>
      </c>
      <c r="F19" s="475">
        <v>4823800</v>
      </c>
      <c r="G19" s="475">
        <v>4823800</v>
      </c>
      <c r="H19" s="475">
        <f t="shared" si="0"/>
        <v>0</v>
      </c>
      <c r="I19" s="476">
        <f t="shared" si="1"/>
        <v>1</v>
      </c>
      <c r="J19" s="483" t="s">
        <v>3384</v>
      </c>
      <c r="K19" s="471"/>
      <c r="L19" s="471"/>
      <c r="M19" s="471"/>
      <c r="N19" s="471"/>
      <c r="O19" s="471"/>
    </row>
    <row r="20" spans="1:15" ht="18.95" customHeight="1" x14ac:dyDescent="0.25">
      <c r="A20" s="471"/>
      <c r="B20" s="478">
        <v>10</v>
      </c>
      <c r="C20" s="479" t="s">
        <v>1245</v>
      </c>
      <c r="D20" s="478" t="s">
        <v>1230</v>
      </c>
      <c r="E20" s="478">
        <v>11</v>
      </c>
      <c r="F20" s="480">
        <v>4473480</v>
      </c>
      <c r="G20" s="480">
        <v>4473480</v>
      </c>
      <c r="H20" s="480">
        <f t="shared" si="0"/>
        <v>0</v>
      </c>
      <c r="I20" s="481">
        <f t="shared" si="1"/>
        <v>1</v>
      </c>
      <c r="J20" s="485" t="s">
        <v>3384</v>
      </c>
      <c r="K20" s="471"/>
      <c r="L20" s="471"/>
      <c r="M20" s="471"/>
      <c r="N20" s="471"/>
      <c r="O20" s="471"/>
    </row>
    <row r="21" spans="1:15" ht="18.95" customHeight="1" x14ac:dyDescent="0.25">
      <c r="A21" s="471"/>
      <c r="B21" s="473">
        <v>11</v>
      </c>
      <c r="C21" s="474" t="s">
        <v>1907</v>
      </c>
      <c r="D21" s="473" t="s">
        <v>3383</v>
      </c>
      <c r="E21" s="473">
        <v>1</v>
      </c>
      <c r="F21" s="475">
        <v>4302852</v>
      </c>
      <c r="G21" s="475">
        <v>4302852</v>
      </c>
      <c r="H21" s="475">
        <f t="shared" si="0"/>
        <v>0</v>
      </c>
      <c r="I21" s="476">
        <f t="shared" si="1"/>
        <v>1</v>
      </c>
      <c r="J21" s="483" t="s">
        <v>3384</v>
      </c>
      <c r="K21" s="471"/>
      <c r="L21" s="471"/>
      <c r="M21" s="471"/>
      <c r="N21" s="471"/>
      <c r="O21" s="471"/>
    </row>
    <row r="22" spans="1:15" ht="18.95" customHeight="1" x14ac:dyDescent="0.25">
      <c r="A22" s="471"/>
      <c r="B22" s="478">
        <v>12</v>
      </c>
      <c r="C22" s="479" t="s">
        <v>1348</v>
      </c>
      <c r="D22" s="478" t="s">
        <v>1658</v>
      </c>
      <c r="E22" s="478">
        <v>4</v>
      </c>
      <c r="F22" s="480">
        <v>4020000</v>
      </c>
      <c r="G22" s="480">
        <v>4020000</v>
      </c>
      <c r="H22" s="480">
        <f t="shared" si="0"/>
        <v>0</v>
      </c>
      <c r="I22" s="481">
        <f t="shared" si="1"/>
        <v>1</v>
      </c>
      <c r="J22" s="485" t="s">
        <v>3384</v>
      </c>
      <c r="K22" s="471"/>
      <c r="L22" s="471"/>
      <c r="M22" s="471"/>
      <c r="N22" s="471"/>
      <c r="O22" s="471"/>
    </row>
    <row r="23" spans="1:15" ht="18.95" customHeight="1" x14ac:dyDescent="0.25">
      <c r="A23" s="471"/>
      <c r="B23" s="473">
        <v>13</v>
      </c>
      <c r="C23" s="474" t="s">
        <v>1262</v>
      </c>
      <c r="D23" s="473" t="s">
        <v>1267</v>
      </c>
      <c r="E23" s="473">
        <v>21</v>
      </c>
      <c r="F23" s="475">
        <v>3643100</v>
      </c>
      <c r="G23" s="475">
        <v>3643100</v>
      </c>
      <c r="H23" s="475">
        <f t="shared" si="0"/>
        <v>0</v>
      </c>
      <c r="I23" s="476">
        <f t="shared" si="1"/>
        <v>1</v>
      </c>
      <c r="J23" s="483" t="s">
        <v>3384</v>
      </c>
      <c r="K23" s="471"/>
      <c r="L23" s="471"/>
      <c r="M23" s="471"/>
      <c r="N23" s="471"/>
      <c r="O23" s="471"/>
    </row>
    <row r="24" spans="1:15" ht="18.95" customHeight="1" x14ac:dyDescent="0.25">
      <c r="A24" s="471"/>
      <c r="B24" s="478">
        <v>14</v>
      </c>
      <c r="C24" s="479" t="s">
        <v>1247</v>
      </c>
      <c r="D24" s="478" t="s">
        <v>1230</v>
      </c>
      <c r="E24" s="478">
        <v>5</v>
      </c>
      <c r="F24" s="480">
        <v>3535161</v>
      </c>
      <c r="G24" s="480">
        <v>0</v>
      </c>
      <c r="H24" s="480">
        <f t="shared" si="0"/>
        <v>3535161</v>
      </c>
      <c r="I24" s="481">
        <f t="shared" si="1"/>
        <v>0</v>
      </c>
      <c r="J24" s="484" t="s">
        <v>2452</v>
      </c>
      <c r="K24" s="471"/>
      <c r="L24" s="471"/>
      <c r="M24" s="471"/>
      <c r="N24" s="471"/>
      <c r="O24" s="471"/>
    </row>
    <row r="25" spans="1:15" ht="18.95" customHeight="1" x14ac:dyDescent="0.25">
      <c r="A25" s="471"/>
      <c r="B25" s="473">
        <v>15</v>
      </c>
      <c r="C25" s="474" t="s">
        <v>1843</v>
      </c>
      <c r="D25" s="473" t="s">
        <v>1614</v>
      </c>
      <c r="E25" s="473">
        <v>3</v>
      </c>
      <c r="F25" s="475">
        <v>3510000</v>
      </c>
      <c r="G25" s="475">
        <v>1000000</v>
      </c>
      <c r="H25" s="475">
        <f t="shared" si="0"/>
        <v>2510000</v>
      </c>
      <c r="I25" s="476">
        <f t="shared" si="1"/>
        <v>0.28490028490028491</v>
      </c>
      <c r="J25" s="477" t="s">
        <v>3382</v>
      </c>
      <c r="K25" s="471"/>
      <c r="L25" s="471"/>
      <c r="M25" s="471"/>
      <c r="N25" s="471"/>
      <c r="O25" s="471"/>
    </row>
    <row r="26" spans="1:15" ht="18.95" customHeight="1" x14ac:dyDescent="0.25">
      <c r="A26" s="471"/>
      <c r="B26" s="478">
        <v>16</v>
      </c>
      <c r="C26" s="479" t="s">
        <v>1501</v>
      </c>
      <c r="D26" s="478" t="s">
        <v>1940</v>
      </c>
      <c r="E26" s="478">
        <v>2</v>
      </c>
      <c r="F26" s="480">
        <v>2222443</v>
      </c>
      <c r="G26" s="480">
        <v>2222443</v>
      </c>
      <c r="H26" s="480">
        <f t="shared" si="0"/>
        <v>0</v>
      </c>
      <c r="I26" s="481">
        <f t="shared" si="1"/>
        <v>1</v>
      </c>
      <c r="J26" s="485" t="s">
        <v>3384</v>
      </c>
      <c r="K26" s="471"/>
      <c r="L26" s="471"/>
      <c r="M26" s="471"/>
      <c r="N26" s="471"/>
      <c r="O26" s="471"/>
    </row>
    <row r="27" spans="1:15" ht="18.95" customHeight="1" x14ac:dyDescent="0.25">
      <c r="A27" s="471"/>
      <c r="B27" s="473">
        <v>17</v>
      </c>
      <c r="C27" s="474" t="s">
        <v>967</v>
      </c>
      <c r="D27" s="473" t="s">
        <v>3383</v>
      </c>
      <c r="E27" s="473">
        <v>2</v>
      </c>
      <c r="F27" s="475">
        <v>2100000</v>
      </c>
      <c r="G27" s="475">
        <v>2100000</v>
      </c>
      <c r="H27" s="475">
        <f t="shared" si="0"/>
        <v>0</v>
      </c>
      <c r="I27" s="476">
        <f t="shared" si="1"/>
        <v>1</v>
      </c>
      <c r="J27" s="483" t="s">
        <v>3384</v>
      </c>
      <c r="K27" s="471"/>
      <c r="L27" s="471"/>
      <c r="M27" s="471"/>
      <c r="N27" s="471"/>
      <c r="O27" s="471"/>
    </row>
    <row r="28" spans="1:15" ht="18.95" customHeight="1" x14ac:dyDescent="0.25">
      <c r="A28" s="471"/>
      <c r="B28" s="478">
        <v>18</v>
      </c>
      <c r="C28" s="479" t="s">
        <v>2119</v>
      </c>
      <c r="D28" s="478" t="s">
        <v>1940</v>
      </c>
      <c r="E28" s="478">
        <v>1</v>
      </c>
      <c r="F28" s="480">
        <v>1851300</v>
      </c>
      <c r="G28" s="480">
        <v>1851300</v>
      </c>
      <c r="H28" s="480">
        <f t="shared" si="0"/>
        <v>0</v>
      </c>
      <c r="I28" s="481">
        <f t="shared" si="1"/>
        <v>1</v>
      </c>
      <c r="J28" s="485" t="s">
        <v>3384</v>
      </c>
      <c r="K28" s="471"/>
      <c r="L28" s="471"/>
      <c r="M28" s="471"/>
      <c r="N28" s="471"/>
      <c r="O28" s="471"/>
    </row>
    <row r="29" spans="1:15" ht="18.95" customHeight="1" x14ac:dyDescent="0.25">
      <c r="A29" s="471"/>
      <c r="B29" s="473">
        <v>19</v>
      </c>
      <c r="C29" s="474" t="s">
        <v>1341</v>
      </c>
      <c r="D29" s="473" t="s">
        <v>91</v>
      </c>
      <c r="E29" s="473">
        <v>7</v>
      </c>
      <c r="F29" s="475">
        <v>1740382</v>
      </c>
      <c r="G29" s="475">
        <v>0</v>
      </c>
      <c r="H29" s="475">
        <f t="shared" si="0"/>
        <v>1740382</v>
      </c>
      <c r="I29" s="476">
        <f t="shared" si="1"/>
        <v>0</v>
      </c>
      <c r="J29" s="486" t="s">
        <v>2452</v>
      </c>
      <c r="K29" s="471"/>
      <c r="L29" s="471"/>
      <c r="M29" s="471"/>
      <c r="N29" s="471"/>
      <c r="O29" s="471"/>
    </row>
    <row r="30" spans="1:15" ht="18.95" customHeight="1" x14ac:dyDescent="0.25">
      <c r="A30" s="471"/>
      <c r="B30" s="478">
        <v>20</v>
      </c>
      <c r="C30" s="479" t="s">
        <v>1507</v>
      </c>
      <c r="D30" s="478" t="s">
        <v>1940</v>
      </c>
      <c r="E30" s="478">
        <v>3</v>
      </c>
      <c r="F30" s="480">
        <v>1398300</v>
      </c>
      <c r="G30" s="480">
        <v>1398300</v>
      </c>
      <c r="H30" s="480">
        <f t="shared" si="0"/>
        <v>0</v>
      </c>
      <c r="I30" s="481">
        <f t="shared" si="1"/>
        <v>1</v>
      </c>
      <c r="J30" s="485" t="s">
        <v>3384</v>
      </c>
      <c r="K30" s="471"/>
      <c r="L30" s="471"/>
      <c r="M30" s="471"/>
      <c r="N30" s="471"/>
      <c r="O30" s="471"/>
    </row>
    <row r="31" spans="1:15" ht="18.95" customHeight="1" x14ac:dyDescent="0.25">
      <c r="A31" s="471"/>
      <c r="B31" s="473">
        <v>21</v>
      </c>
      <c r="C31" s="474" t="s">
        <v>1456</v>
      </c>
      <c r="D31" s="473" t="s">
        <v>1230</v>
      </c>
      <c r="E31" s="473">
        <v>3</v>
      </c>
      <c r="F31" s="475">
        <v>1137825</v>
      </c>
      <c r="G31" s="475">
        <v>1137825</v>
      </c>
      <c r="H31" s="475">
        <f t="shared" si="0"/>
        <v>0</v>
      </c>
      <c r="I31" s="476">
        <f t="shared" si="1"/>
        <v>1</v>
      </c>
      <c r="J31" s="483" t="s">
        <v>3384</v>
      </c>
      <c r="K31" s="471"/>
      <c r="L31" s="471"/>
      <c r="M31" s="471"/>
      <c r="N31" s="471"/>
      <c r="O31" s="471"/>
    </row>
    <row r="32" spans="1:15" ht="18.95" customHeight="1" x14ac:dyDescent="0.25">
      <c r="A32" s="471"/>
      <c r="B32" s="478">
        <v>22</v>
      </c>
      <c r="C32" s="479" t="s">
        <v>1263</v>
      </c>
      <c r="D32" s="478" t="s">
        <v>91</v>
      </c>
      <c r="E32" s="478">
        <v>3</v>
      </c>
      <c r="F32" s="480">
        <v>1098000</v>
      </c>
      <c r="G32" s="480">
        <v>0</v>
      </c>
      <c r="H32" s="480">
        <f t="shared" si="0"/>
        <v>1098000</v>
      </c>
      <c r="I32" s="481">
        <f t="shared" si="1"/>
        <v>0</v>
      </c>
      <c r="J32" s="484" t="s">
        <v>2452</v>
      </c>
      <c r="K32" s="471"/>
      <c r="L32" s="471"/>
      <c r="M32" s="471"/>
      <c r="N32" s="471"/>
      <c r="O32" s="471"/>
    </row>
    <row r="33" spans="1:15" ht="18.95" customHeight="1" x14ac:dyDescent="0.25">
      <c r="A33" s="471"/>
      <c r="B33" s="473">
        <v>23</v>
      </c>
      <c r="C33" s="474" t="s">
        <v>1271</v>
      </c>
      <c r="D33" s="473" t="s">
        <v>1267</v>
      </c>
      <c r="E33" s="473">
        <v>2</v>
      </c>
      <c r="F33" s="475">
        <v>1027525</v>
      </c>
      <c r="G33" s="475">
        <v>1027525</v>
      </c>
      <c r="H33" s="475">
        <f t="shared" si="0"/>
        <v>0</v>
      </c>
      <c r="I33" s="476">
        <f t="shared" si="1"/>
        <v>1</v>
      </c>
      <c r="J33" s="483" t="s">
        <v>3384</v>
      </c>
      <c r="K33" s="471"/>
      <c r="L33" s="471"/>
      <c r="M33" s="471"/>
      <c r="N33" s="471"/>
      <c r="O33" s="471"/>
    </row>
    <row r="34" spans="1:15" ht="18.95" customHeight="1" x14ac:dyDescent="0.25">
      <c r="A34" s="471"/>
      <c r="B34" s="478">
        <v>24</v>
      </c>
      <c r="C34" s="479" t="s">
        <v>1640</v>
      </c>
      <c r="D34" s="478" t="s">
        <v>1235</v>
      </c>
      <c r="E34" s="478">
        <v>2</v>
      </c>
      <c r="F34" s="480">
        <v>1007604.07</v>
      </c>
      <c r="G34" s="480">
        <v>0</v>
      </c>
      <c r="H34" s="480">
        <f t="shared" si="0"/>
        <v>1007604.07</v>
      </c>
      <c r="I34" s="481">
        <f t="shared" si="1"/>
        <v>0</v>
      </c>
      <c r="J34" s="484" t="s">
        <v>2452</v>
      </c>
      <c r="K34" s="471"/>
      <c r="L34" s="471"/>
      <c r="M34" s="471"/>
      <c r="N34" s="471"/>
      <c r="O34" s="471"/>
    </row>
    <row r="35" spans="1:15" ht="18.95" customHeight="1" x14ac:dyDescent="0.25">
      <c r="A35" s="471"/>
      <c r="B35" s="473">
        <v>25</v>
      </c>
      <c r="C35" s="474" t="s">
        <v>1232</v>
      </c>
      <c r="D35" s="473" t="s">
        <v>1658</v>
      </c>
      <c r="E35" s="473">
        <v>19</v>
      </c>
      <c r="F35" s="475">
        <v>826280</v>
      </c>
      <c r="G35" s="475">
        <v>826280</v>
      </c>
      <c r="H35" s="475">
        <f t="shared" si="0"/>
        <v>0</v>
      </c>
      <c r="I35" s="476">
        <f t="shared" si="1"/>
        <v>1</v>
      </c>
      <c r="J35" s="483" t="s">
        <v>3384</v>
      </c>
      <c r="K35" s="471"/>
      <c r="L35" s="471"/>
      <c r="M35" s="471"/>
      <c r="N35" s="471"/>
      <c r="O35" s="471"/>
    </row>
    <row r="36" spans="1:15" ht="18.95" customHeight="1" x14ac:dyDescent="0.25">
      <c r="A36" s="471"/>
      <c r="B36" s="478">
        <v>26</v>
      </c>
      <c r="C36" s="479" t="s">
        <v>1252</v>
      </c>
      <c r="D36" s="478" t="s">
        <v>91</v>
      </c>
      <c r="E36" s="478">
        <v>32</v>
      </c>
      <c r="F36" s="480">
        <v>808000</v>
      </c>
      <c r="G36" s="480">
        <v>0</v>
      </c>
      <c r="H36" s="480">
        <f t="shared" si="0"/>
        <v>808000</v>
      </c>
      <c r="I36" s="481">
        <f t="shared" si="1"/>
        <v>0</v>
      </c>
      <c r="J36" s="484" t="s">
        <v>2452</v>
      </c>
      <c r="K36" s="471"/>
      <c r="L36" s="471"/>
      <c r="M36" s="471"/>
      <c r="N36" s="471"/>
      <c r="O36" s="471"/>
    </row>
    <row r="37" spans="1:15" ht="18.95" customHeight="1" x14ac:dyDescent="0.25">
      <c r="A37" s="471"/>
      <c r="B37" s="473">
        <v>27</v>
      </c>
      <c r="C37" s="474" t="s">
        <v>1284</v>
      </c>
      <c r="D37" s="473" t="s">
        <v>1658</v>
      </c>
      <c r="E37" s="473">
        <v>2</v>
      </c>
      <c r="F37" s="475">
        <v>772651</v>
      </c>
      <c r="G37" s="475">
        <v>0</v>
      </c>
      <c r="H37" s="475">
        <f t="shared" si="0"/>
        <v>772651</v>
      </c>
      <c r="I37" s="476">
        <f t="shared" si="1"/>
        <v>0</v>
      </c>
      <c r="J37" s="486" t="s">
        <v>2452</v>
      </c>
      <c r="K37" s="471"/>
      <c r="L37" s="471"/>
      <c r="M37" s="471"/>
      <c r="N37" s="471"/>
      <c r="O37" s="471"/>
    </row>
    <row r="38" spans="1:15" ht="18.95" customHeight="1" x14ac:dyDescent="0.25">
      <c r="A38" s="471"/>
      <c r="B38" s="478">
        <v>28</v>
      </c>
      <c r="C38" s="479" t="s">
        <v>1038</v>
      </c>
      <c r="D38" s="478" t="s">
        <v>1940</v>
      </c>
      <c r="E38" s="478">
        <v>2</v>
      </c>
      <c r="F38" s="480">
        <v>755500</v>
      </c>
      <c r="G38" s="480">
        <v>0</v>
      </c>
      <c r="H38" s="480">
        <f t="shared" si="0"/>
        <v>755500</v>
      </c>
      <c r="I38" s="481">
        <f t="shared" si="1"/>
        <v>0</v>
      </c>
      <c r="J38" s="484" t="s">
        <v>2452</v>
      </c>
      <c r="K38" s="471"/>
      <c r="L38" s="471"/>
      <c r="M38" s="471"/>
      <c r="N38" s="471"/>
      <c r="O38" s="471"/>
    </row>
    <row r="39" spans="1:15" ht="18.95" customHeight="1" x14ac:dyDescent="0.25">
      <c r="A39" s="471"/>
      <c r="B39" s="473">
        <v>29</v>
      </c>
      <c r="C39" s="474" t="s">
        <v>1857</v>
      </c>
      <c r="D39" s="473" t="s">
        <v>1230</v>
      </c>
      <c r="E39" s="473">
        <v>1</v>
      </c>
      <c r="F39" s="475">
        <v>728000</v>
      </c>
      <c r="G39" s="475">
        <v>0</v>
      </c>
      <c r="H39" s="475">
        <f t="shared" si="0"/>
        <v>728000</v>
      </c>
      <c r="I39" s="476">
        <f t="shared" si="1"/>
        <v>0</v>
      </c>
      <c r="J39" s="486" t="s">
        <v>2452</v>
      </c>
      <c r="K39" s="471"/>
      <c r="L39" s="471"/>
      <c r="M39" s="471"/>
      <c r="N39" s="471"/>
      <c r="O39" s="471"/>
    </row>
    <row r="40" spans="1:15" ht="18.95" customHeight="1" x14ac:dyDescent="0.25">
      <c r="A40" s="471"/>
      <c r="B40" s="478">
        <v>30</v>
      </c>
      <c r="C40" s="479" t="s">
        <v>1243</v>
      </c>
      <c r="D40" s="478" t="s">
        <v>1940</v>
      </c>
      <c r="E40" s="478">
        <v>12</v>
      </c>
      <c r="F40" s="480">
        <v>675000</v>
      </c>
      <c r="G40" s="480">
        <v>675000</v>
      </c>
      <c r="H40" s="480">
        <f t="shared" si="0"/>
        <v>0</v>
      </c>
      <c r="I40" s="481">
        <f t="shared" si="1"/>
        <v>1</v>
      </c>
      <c r="J40" s="485" t="s">
        <v>3384</v>
      </c>
      <c r="K40" s="471"/>
      <c r="L40" s="471"/>
      <c r="M40" s="471"/>
      <c r="N40" s="471"/>
      <c r="O40" s="471"/>
    </row>
    <row r="41" spans="1:15" ht="18.95" customHeight="1" x14ac:dyDescent="0.25">
      <c r="A41" s="471"/>
      <c r="B41" s="473">
        <v>31</v>
      </c>
      <c r="C41" s="474" t="s">
        <v>1244</v>
      </c>
      <c r="D41" s="473" t="s">
        <v>1230</v>
      </c>
      <c r="E41" s="473">
        <v>2</v>
      </c>
      <c r="F41" s="475">
        <v>660000</v>
      </c>
      <c r="G41" s="475">
        <v>0</v>
      </c>
      <c r="H41" s="475">
        <f t="shared" si="0"/>
        <v>660000</v>
      </c>
      <c r="I41" s="476">
        <f t="shared" si="1"/>
        <v>0</v>
      </c>
      <c r="J41" s="486" t="s">
        <v>2452</v>
      </c>
      <c r="K41" s="471"/>
      <c r="L41" s="471"/>
      <c r="M41" s="471"/>
      <c r="N41" s="471"/>
      <c r="O41" s="471"/>
    </row>
    <row r="42" spans="1:15" ht="18.95" customHeight="1" x14ac:dyDescent="0.25">
      <c r="A42" s="471"/>
      <c r="B42" s="478">
        <v>32</v>
      </c>
      <c r="C42" s="479" t="s">
        <v>1258</v>
      </c>
      <c r="D42" s="478" t="s">
        <v>1940</v>
      </c>
      <c r="E42" s="478">
        <v>17</v>
      </c>
      <c r="F42" s="480">
        <v>490000</v>
      </c>
      <c r="G42" s="480">
        <v>490000</v>
      </c>
      <c r="H42" s="480">
        <f t="shared" si="0"/>
        <v>0</v>
      </c>
      <c r="I42" s="481">
        <f t="shared" si="1"/>
        <v>1</v>
      </c>
      <c r="J42" s="485" t="s">
        <v>3384</v>
      </c>
      <c r="K42" s="471"/>
      <c r="L42" s="471"/>
      <c r="M42" s="471"/>
      <c r="N42" s="471"/>
      <c r="O42" s="471"/>
    </row>
    <row r="43" spans="1:15" ht="18.95" customHeight="1" x14ac:dyDescent="0.25">
      <c r="A43" s="471"/>
      <c r="B43" s="473">
        <v>33</v>
      </c>
      <c r="C43" s="474" t="s">
        <v>2096</v>
      </c>
      <c r="D43" s="473" t="s">
        <v>1614</v>
      </c>
      <c r="E43" s="473">
        <v>3</v>
      </c>
      <c r="F43" s="475">
        <v>468980</v>
      </c>
      <c r="G43" s="475">
        <v>468980</v>
      </c>
      <c r="H43" s="475">
        <f t="shared" si="0"/>
        <v>0</v>
      </c>
      <c r="I43" s="476">
        <f t="shared" si="1"/>
        <v>1</v>
      </c>
      <c r="J43" s="483" t="s">
        <v>3384</v>
      </c>
      <c r="K43" s="471"/>
      <c r="L43" s="471"/>
      <c r="M43" s="471"/>
      <c r="N43" s="471"/>
      <c r="O43" s="471"/>
    </row>
    <row r="44" spans="1:15" ht="18.95" customHeight="1" x14ac:dyDescent="0.25">
      <c r="A44" s="471"/>
      <c r="B44" s="478">
        <v>34</v>
      </c>
      <c r="C44" s="479" t="s">
        <v>1890</v>
      </c>
      <c r="D44" s="478" t="s">
        <v>1940</v>
      </c>
      <c r="E44" s="478">
        <v>1</v>
      </c>
      <c r="F44" s="480">
        <v>376852</v>
      </c>
      <c r="G44" s="480">
        <v>376852</v>
      </c>
      <c r="H44" s="480">
        <f t="shared" si="0"/>
        <v>0</v>
      </c>
      <c r="I44" s="481">
        <f t="shared" si="1"/>
        <v>1</v>
      </c>
      <c r="J44" s="485" t="s">
        <v>3384</v>
      </c>
      <c r="K44" s="471"/>
      <c r="L44" s="471"/>
      <c r="M44" s="471"/>
      <c r="N44" s="471"/>
      <c r="O44" s="471"/>
    </row>
    <row r="45" spans="1:15" ht="18.95" customHeight="1" x14ac:dyDescent="0.25">
      <c r="A45" s="471"/>
      <c r="B45" s="473">
        <v>35</v>
      </c>
      <c r="C45" s="474" t="s">
        <v>1340</v>
      </c>
      <c r="D45" s="473" t="s">
        <v>1658</v>
      </c>
      <c r="E45" s="473">
        <v>5</v>
      </c>
      <c r="F45" s="475">
        <v>336110</v>
      </c>
      <c r="G45" s="475">
        <v>336110</v>
      </c>
      <c r="H45" s="475">
        <f t="shared" si="0"/>
        <v>0</v>
      </c>
      <c r="I45" s="476">
        <f t="shared" si="1"/>
        <v>1</v>
      </c>
      <c r="J45" s="483" t="s">
        <v>3384</v>
      </c>
      <c r="K45" s="471"/>
      <c r="L45" s="471"/>
      <c r="M45" s="471"/>
      <c r="N45" s="471"/>
      <c r="O45" s="471"/>
    </row>
    <row r="46" spans="1:15" ht="18.95" customHeight="1" x14ac:dyDescent="0.25">
      <c r="A46" s="471"/>
      <c r="B46" s="478">
        <v>36</v>
      </c>
      <c r="C46" s="479" t="s">
        <v>2016</v>
      </c>
      <c r="D46" s="478" t="s">
        <v>1230</v>
      </c>
      <c r="E46" s="478">
        <v>1</v>
      </c>
      <c r="F46" s="480">
        <v>282750</v>
      </c>
      <c r="G46" s="480">
        <v>0</v>
      </c>
      <c r="H46" s="480">
        <f t="shared" si="0"/>
        <v>282750</v>
      </c>
      <c r="I46" s="481">
        <f t="shared" si="1"/>
        <v>0</v>
      </c>
      <c r="J46" s="484" t="s">
        <v>2452</v>
      </c>
      <c r="K46" s="471"/>
      <c r="L46" s="471"/>
      <c r="M46" s="471"/>
      <c r="N46" s="471"/>
      <c r="O46" s="471"/>
    </row>
    <row r="47" spans="1:15" ht="18.95" customHeight="1" x14ac:dyDescent="0.25">
      <c r="A47" s="471"/>
      <c r="B47" s="473">
        <v>37</v>
      </c>
      <c r="C47" s="474" t="s">
        <v>2100</v>
      </c>
      <c r="D47" s="473" t="s">
        <v>1940</v>
      </c>
      <c r="E47" s="473">
        <v>1</v>
      </c>
      <c r="F47" s="475">
        <v>118900</v>
      </c>
      <c r="G47" s="475">
        <v>118900</v>
      </c>
      <c r="H47" s="475">
        <f t="shared" si="0"/>
        <v>0</v>
      </c>
      <c r="I47" s="476">
        <f t="shared" si="1"/>
        <v>1</v>
      </c>
      <c r="J47" s="483" t="s">
        <v>3384</v>
      </c>
      <c r="K47" s="471"/>
      <c r="L47" s="471"/>
      <c r="M47" s="471"/>
      <c r="N47" s="471"/>
      <c r="O47" s="471"/>
    </row>
    <row r="48" spans="1:15" ht="18.95" customHeight="1" x14ac:dyDescent="0.25">
      <c r="A48" s="471"/>
      <c r="B48" s="478">
        <v>38</v>
      </c>
      <c r="C48" s="479" t="s">
        <v>1457</v>
      </c>
      <c r="D48" s="478" t="s">
        <v>1940</v>
      </c>
      <c r="E48" s="478">
        <v>2</v>
      </c>
      <c r="F48" s="480">
        <v>114000</v>
      </c>
      <c r="G48" s="480">
        <v>0</v>
      </c>
      <c r="H48" s="480">
        <f t="shared" si="0"/>
        <v>114000</v>
      </c>
      <c r="I48" s="481">
        <f t="shared" si="1"/>
        <v>0</v>
      </c>
      <c r="J48" s="484" t="s">
        <v>2452</v>
      </c>
      <c r="K48" s="471"/>
      <c r="L48" s="471"/>
      <c r="M48" s="471"/>
      <c r="N48" s="471"/>
      <c r="O48" s="471"/>
    </row>
    <row r="49" spans="1:15" ht="18.95" customHeight="1" x14ac:dyDescent="0.25">
      <c r="A49" s="471"/>
      <c r="B49" s="473">
        <v>39</v>
      </c>
      <c r="C49" s="474" t="s">
        <v>1952</v>
      </c>
      <c r="D49" s="473" t="s">
        <v>1614</v>
      </c>
      <c r="E49" s="473">
        <v>1</v>
      </c>
      <c r="F49" s="475">
        <v>109400</v>
      </c>
      <c r="G49" s="475">
        <v>109400</v>
      </c>
      <c r="H49" s="475">
        <f t="shared" si="0"/>
        <v>0</v>
      </c>
      <c r="I49" s="476">
        <f t="shared" si="1"/>
        <v>1</v>
      </c>
      <c r="J49" s="483" t="s">
        <v>3384</v>
      </c>
      <c r="K49" s="471"/>
      <c r="L49" s="471"/>
      <c r="M49" s="471"/>
      <c r="N49" s="471"/>
      <c r="O49" s="471"/>
    </row>
    <row r="50" spans="1:15" ht="18.95" customHeight="1" x14ac:dyDescent="0.25">
      <c r="A50" s="471"/>
      <c r="B50" s="478">
        <v>40</v>
      </c>
      <c r="C50" s="479" t="s">
        <v>2112</v>
      </c>
      <c r="D50" s="478" t="s">
        <v>1940</v>
      </c>
      <c r="E50" s="478">
        <v>1</v>
      </c>
      <c r="F50" s="480">
        <v>95800</v>
      </c>
      <c r="G50" s="480">
        <v>95800</v>
      </c>
      <c r="H50" s="480">
        <f t="shared" si="0"/>
        <v>0</v>
      </c>
      <c r="I50" s="481">
        <f t="shared" si="1"/>
        <v>1</v>
      </c>
      <c r="J50" s="485" t="s">
        <v>3384</v>
      </c>
      <c r="K50" s="471"/>
      <c r="L50" s="471"/>
      <c r="M50" s="471"/>
      <c r="N50" s="471"/>
      <c r="O50" s="471"/>
    </row>
    <row r="51" spans="1:15" ht="18.95" customHeight="1" x14ac:dyDescent="0.25">
      <c r="A51" s="471"/>
      <c r="B51" s="473">
        <v>41</v>
      </c>
      <c r="C51" s="474" t="s">
        <v>1720</v>
      </c>
      <c r="D51" s="473" t="s">
        <v>1940</v>
      </c>
      <c r="E51" s="473">
        <v>1</v>
      </c>
      <c r="F51" s="475">
        <v>72000</v>
      </c>
      <c r="G51" s="475">
        <v>0</v>
      </c>
      <c r="H51" s="475">
        <f t="shared" si="0"/>
        <v>72000</v>
      </c>
      <c r="I51" s="476">
        <f t="shared" si="1"/>
        <v>0</v>
      </c>
      <c r="J51" s="486" t="s">
        <v>2452</v>
      </c>
      <c r="K51" s="471"/>
      <c r="L51" s="471"/>
      <c r="M51" s="471"/>
      <c r="N51" s="471"/>
      <c r="O51" s="471"/>
    </row>
    <row r="52" spans="1:15" ht="18.95" customHeight="1" x14ac:dyDescent="0.25">
      <c r="A52" s="471"/>
      <c r="B52" s="478">
        <v>42</v>
      </c>
      <c r="C52" s="479" t="s">
        <v>1991</v>
      </c>
      <c r="D52" s="478" t="s">
        <v>1267</v>
      </c>
      <c r="E52" s="478">
        <v>1</v>
      </c>
      <c r="F52" s="480">
        <v>70000</v>
      </c>
      <c r="G52" s="480">
        <v>0</v>
      </c>
      <c r="H52" s="480">
        <f t="shared" si="0"/>
        <v>70000</v>
      </c>
      <c r="I52" s="481">
        <f t="shared" si="1"/>
        <v>0</v>
      </c>
      <c r="J52" s="484" t="s">
        <v>2452</v>
      </c>
      <c r="K52" s="471"/>
      <c r="L52" s="471"/>
      <c r="M52" s="471"/>
      <c r="N52" s="471"/>
      <c r="O52" s="471"/>
    </row>
    <row r="53" spans="1:15" ht="18.95" customHeight="1" x14ac:dyDescent="0.25">
      <c r="A53" s="471"/>
      <c r="B53" s="473">
        <v>43</v>
      </c>
      <c r="C53" s="474" t="s">
        <v>1958</v>
      </c>
      <c r="D53" s="473" t="s">
        <v>1614</v>
      </c>
      <c r="E53" s="473">
        <v>1</v>
      </c>
      <c r="F53" s="475">
        <v>6900</v>
      </c>
      <c r="G53" s="475">
        <v>6900</v>
      </c>
      <c r="H53" s="475">
        <f t="shared" si="0"/>
        <v>0</v>
      </c>
      <c r="I53" s="476">
        <f t="shared" si="1"/>
        <v>1</v>
      </c>
      <c r="J53" s="483" t="s">
        <v>3384</v>
      </c>
      <c r="K53" s="471"/>
      <c r="L53" s="471"/>
      <c r="M53" s="471"/>
      <c r="N53" s="471"/>
      <c r="O53" s="471"/>
    </row>
    <row r="54" spans="1:15" ht="21.95" customHeight="1" x14ac:dyDescent="0.25">
      <c r="A54" s="471"/>
      <c r="B54" s="743" t="s">
        <v>3386</v>
      </c>
      <c r="C54" s="712"/>
      <c r="D54" s="713"/>
      <c r="E54" s="487">
        <f>SUM(E11:E53)</f>
        <v>372</v>
      </c>
      <c r="F54" s="488">
        <f>SUM(F11:F53)</f>
        <v>172260088.60999998</v>
      </c>
      <c r="G54" s="488">
        <f>SUM(G11:G53)</f>
        <v>99468730.74000001</v>
      </c>
      <c r="H54" s="488">
        <f>SUM(H11:H53)</f>
        <v>72791357.86999999</v>
      </c>
      <c r="I54" s="489">
        <f>G54/F54</f>
        <v>0.57743341213064769</v>
      </c>
      <c r="J54" s="487" t="s">
        <v>3387</v>
      </c>
      <c r="K54" s="471"/>
      <c r="L54" s="471"/>
      <c r="M54" s="471"/>
      <c r="N54" s="471"/>
      <c r="O54" s="471"/>
    </row>
    <row r="55" spans="1:15" x14ac:dyDescent="0.25">
      <c r="A55" s="471"/>
      <c r="B55" s="471"/>
      <c r="C55" s="471"/>
      <c r="D55" s="471"/>
      <c r="E55" s="471"/>
      <c r="F55" s="471"/>
      <c r="G55" s="471"/>
      <c r="H55" s="471"/>
      <c r="I55" s="471"/>
      <c r="J55" s="471"/>
      <c r="K55" s="471"/>
      <c r="L55" s="471"/>
      <c r="M55" s="471"/>
      <c r="N55" s="471"/>
      <c r="O55" s="471"/>
    </row>
    <row r="56" spans="1:15" x14ac:dyDescent="0.25">
      <c r="A56" s="471"/>
      <c r="B56" s="471"/>
      <c r="C56" s="471"/>
      <c r="D56" s="471"/>
      <c r="E56" s="471"/>
      <c r="F56" s="471"/>
      <c r="G56" s="471"/>
      <c r="H56" s="471"/>
      <c r="I56" s="471"/>
      <c r="J56" s="471"/>
      <c r="K56" s="471"/>
      <c r="L56" s="471"/>
      <c r="M56" s="471"/>
      <c r="N56" s="471"/>
      <c r="O56" s="471"/>
    </row>
    <row r="57" spans="1:15" ht="21.95" customHeight="1" x14ac:dyDescent="0.25">
      <c r="A57" s="471"/>
      <c r="B57" s="745" t="s">
        <v>3388</v>
      </c>
      <c r="C57" s="642"/>
      <c r="D57" s="642"/>
      <c r="E57" s="642"/>
      <c r="F57" s="642"/>
      <c r="G57" s="642"/>
      <c r="H57" s="642"/>
      <c r="I57" s="642"/>
      <c r="J57" s="642"/>
      <c r="K57" s="642"/>
      <c r="L57" s="471"/>
      <c r="M57" s="471"/>
      <c r="N57" s="471"/>
      <c r="O57" s="471"/>
    </row>
    <row r="58" spans="1:15" x14ac:dyDescent="0.25">
      <c r="A58" s="471"/>
      <c r="B58" s="471"/>
      <c r="C58" s="471"/>
      <c r="D58" s="471"/>
      <c r="E58" s="471"/>
      <c r="F58" s="471"/>
      <c r="G58" s="471"/>
      <c r="H58" s="471"/>
      <c r="I58" s="471"/>
      <c r="J58" s="471"/>
      <c r="K58" s="471"/>
      <c r="L58" s="471"/>
      <c r="M58" s="471"/>
      <c r="N58" s="471"/>
      <c r="O58" s="471"/>
    </row>
    <row r="59" spans="1:15" x14ac:dyDescent="0.25">
      <c r="A59" s="471"/>
      <c r="B59" s="741" t="s">
        <v>3389</v>
      </c>
      <c r="C59" s="704"/>
      <c r="D59" s="704"/>
      <c r="E59" s="705"/>
      <c r="F59" s="471"/>
      <c r="G59" s="741" t="s">
        <v>3390</v>
      </c>
      <c r="H59" s="704"/>
      <c r="I59" s="704"/>
      <c r="J59" s="705"/>
      <c r="K59" s="471"/>
      <c r="L59" s="471"/>
      <c r="M59" s="471"/>
      <c r="N59" s="471"/>
      <c r="O59" s="471"/>
    </row>
    <row r="60" spans="1:15" x14ac:dyDescent="0.25">
      <c r="A60" s="471"/>
      <c r="B60" s="490" t="s">
        <v>2446</v>
      </c>
      <c r="C60" s="490" t="s">
        <v>2447</v>
      </c>
      <c r="D60" s="490" t="s">
        <v>2448</v>
      </c>
      <c r="E60" s="490" t="s">
        <v>3391</v>
      </c>
      <c r="F60" s="471"/>
      <c r="G60" s="490" t="s">
        <v>2446</v>
      </c>
      <c r="H60" s="490" t="s">
        <v>2447</v>
      </c>
      <c r="I60" s="490" t="s">
        <v>2448</v>
      </c>
      <c r="J60" s="490" t="s">
        <v>3391</v>
      </c>
      <c r="K60" s="471"/>
      <c r="L60" s="471"/>
      <c r="M60" s="471"/>
      <c r="N60" s="471"/>
      <c r="O60" s="471"/>
    </row>
    <row r="61" spans="1:15" x14ac:dyDescent="0.25">
      <c r="A61" s="471"/>
      <c r="B61" s="491" t="s">
        <v>2449</v>
      </c>
      <c r="C61" s="491" t="s">
        <v>3392</v>
      </c>
      <c r="D61" s="492">
        <v>7834972</v>
      </c>
      <c r="E61" s="491" t="s">
        <v>2450</v>
      </c>
      <c r="F61" s="471"/>
      <c r="G61" s="491" t="s">
        <v>971</v>
      </c>
      <c r="H61" s="491" t="s">
        <v>104</v>
      </c>
      <c r="I61" s="492">
        <v>16523800</v>
      </c>
      <c r="J61" s="491" t="s">
        <v>2450</v>
      </c>
      <c r="K61" s="471"/>
      <c r="L61" s="471"/>
      <c r="M61" s="471"/>
      <c r="N61" s="471"/>
      <c r="O61" s="471"/>
    </row>
    <row r="62" spans="1:15" x14ac:dyDescent="0.25">
      <c r="A62" s="471"/>
      <c r="B62" s="491" t="s">
        <v>209</v>
      </c>
      <c r="C62" s="491" t="s">
        <v>86</v>
      </c>
      <c r="D62" s="492">
        <v>2546555</v>
      </c>
      <c r="E62" s="491" t="s">
        <v>2450</v>
      </c>
      <c r="F62" s="471"/>
      <c r="G62" s="473" t="s">
        <v>1019</v>
      </c>
      <c r="H62" s="473" t="s">
        <v>115</v>
      </c>
      <c r="I62" s="475">
        <v>18394185</v>
      </c>
      <c r="J62" s="473" t="s">
        <v>2452</v>
      </c>
      <c r="K62" s="471"/>
      <c r="L62" s="471"/>
      <c r="M62" s="471"/>
      <c r="N62" s="471"/>
      <c r="O62" s="471"/>
    </row>
    <row r="63" spans="1:15" x14ac:dyDescent="0.25">
      <c r="A63" s="471"/>
      <c r="B63" s="491" t="s">
        <v>218</v>
      </c>
      <c r="C63" s="491" t="s">
        <v>86</v>
      </c>
      <c r="D63" s="492">
        <v>1978665</v>
      </c>
      <c r="E63" s="491" t="s">
        <v>2450</v>
      </c>
      <c r="F63" s="471"/>
      <c r="G63" s="471"/>
      <c r="H63" s="471"/>
      <c r="I63" s="471"/>
      <c r="J63" s="471"/>
      <c r="K63" s="471"/>
      <c r="L63" s="471"/>
      <c r="M63" s="471"/>
      <c r="N63" s="471"/>
      <c r="O63" s="471"/>
    </row>
    <row r="64" spans="1:15" x14ac:dyDescent="0.25">
      <c r="A64" s="471"/>
      <c r="B64" s="491" t="s">
        <v>274</v>
      </c>
      <c r="C64" s="491" t="s">
        <v>94</v>
      </c>
      <c r="D64" s="492">
        <v>7583980</v>
      </c>
      <c r="E64" s="491" t="s">
        <v>2450</v>
      </c>
      <c r="F64" s="471"/>
      <c r="G64" s="493" t="s">
        <v>2448</v>
      </c>
      <c r="H64" s="494"/>
      <c r="I64" s="586">
        <f>SUM(I61:I62)</f>
        <v>34917985</v>
      </c>
      <c r="J64" s="494"/>
      <c r="K64" s="471"/>
      <c r="L64" s="471"/>
      <c r="M64" s="471"/>
      <c r="N64" s="471"/>
      <c r="O64" s="471"/>
    </row>
    <row r="65" spans="1:15" x14ac:dyDescent="0.25">
      <c r="A65" s="471"/>
      <c r="B65" s="473" t="s">
        <v>300</v>
      </c>
      <c r="C65" s="473" t="s">
        <v>98</v>
      </c>
      <c r="D65" s="475">
        <v>1528617</v>
      </c>
      <c r="E65" s="473" t="s">
        <v>2452</v>
      </c>
      <c r="F65" s="471"/>
      <c r="G65" s="495" t="s">
        <v>2451</v>
      </c>
      <c r="H65" s="496"/>
      <c r="I65" s="587">
        <f>SUMIF(J61:J62, "CANCELADA", I61:I62)</f>
        <v>16523800</v>
      </c>
      <c r="J65" s="496"/>
      <c r="K65" s="471"/>
      <c r="L65" s="471"/>
      <c r="M65" s="471"/>
      <c r="N65" s="471"/>
      <c r="O65" s="471"/>
    </row>
    <row r="66" spans="1:15" x14ac:dyDescent="0.25">
      <c r="A66" s="471"/>
      <c r="B66" s="473" t="s">
        <v>324</v>
      </c>
      <c r="C66" s="473" t="s">
        <v>102</v>
      </c>
      <c r="D66" s="475">
        <v>4065132</v>
      </c>
      <c r="E66" s="473" t="s">
        <v>2452</v>
      </c>
      <c r="F66" s="471"/>
      <c r="G66" s="495" t="s">
        <v>2452</v>
      </c>
      <c r="H66" s="496"/>
      <c r="I66" s="587">
        <f>I64-I65</f>
        <v>18394185</v>
      </c>
      <c r="J66" s="496"/>
      <c r="K66" s="471"/>
      <c r="L66" s="471"/>
      <c r="M66" s="471"/>
      <c r="N66" s="471"/>
      <c r="O66" s="471"/>
    </row>
    <row r="67" spans="1:15" x14ac:dyDescent="0.25">
      <c r="A67" s="471"/>
      <c r="B67" s="473" t="s">
        <v>441</v>
      </c>
      <c r="C67" s="473" t="s">
        <v>124</v>
      </c>
      <c r="D67" s="475">
        <v>4335049</v>
      </c>
      <c r="E67" s="473" t="s">
        <v>2452</v>
      </c>
      <c r="F67" s="471"/>
      <c r="G67" s="471"/>
      <c r="H67" s="471"/>
      <c r="I67" s="471"/>
      <c r="J67" s="471"/>
      <c r="K67" s="471"/>
      <c r="L67" s="471"/>
      <c r="M67" s="471"/>
      <c r="N67" s="471"/>
      <c r="O67" s="471"/>
    </row>
    <row r="68" spans="1:15" x14ac:dyDescent="0.25">
      <c r="A68" s="471"/>
      <c r="B68" s="473" t="s">
        <v>371</v>
      </c>
      <c r="C68" s="473" t="s">
        <v>106</v>
      </c>
      <c r="D68" s="475">
        <v>6083354</v>
      </c>
      <c r="E68" s="473" t="s">
        <v>2452</v>
      </c>
      <c r="F68" s="471"/>
      <c r="G68" s="471"/>
      <c r="H68" s="471"/>
      <c r="I68" s="471"/>
      <c r="J68" s="471"/>
      <c r="K68" s="471"/>
      <c r="L68" s="471"/>
      <c r="M68" s="471"/>
      <c r="N68" s="471"/>
      <c r="O68" s="471"/>
    </row>
    <row r="69" spans="1:15" x14ac:dyDescent="0.25">
      <c r="A69" s="471"/>
      <c r="B69" s="473" t="s">
        <v>413</v>
      </c>
      <c r="C69" s="473" t="s">
        <v>115</v>
      </c>
      <c r="D69" s="588">
        <v>660028.80000000005</v>
      </c>
      <c r="E69" s="473" t="s">
        <v>2452</v>
      </c>
      <c r="F69" s="471"/>
      <c r="G69" s="471"/>
      <c r="H69" s="471"/>
      <c r="I69" s="471"/>
      <c r="J69" s="471"/>
      <c r="K69" s="471"/>
      <c r="L69" s="471"/>
      <c r="M69" s="471"/>
      <c r="N69" s="471"/>
      <c r="O69" s="471"/>
    </row>
    <row r="70" spans="1:15" x14ac:dyDescent="0.25">
      <c r="A70" s="471"/>
      <c r="B70" s="473" t="s">
        <v>473</v>
      </c>
      <c r="C70" s="473" t="s">
        <v>130</v>
      </c>
      <c r="D70" s="475">
        <v>4708633</v>
      </c>
      <c r="E70" s="473" t="s">
        <v>2452</v>
      </c>
      <c r="F70" s="471"/>
      <c r="G70" s="471"/>
      <c r="H70" s="471"/>
      <c r="I70" s="471"/>
      <c r="J70" s="471"/>
      <c r="K70" s="471"/>
      <c r="L70" s="471"/>
      <c r="M70" s="471"/>
      <c r="N70" s="471"/>
      <c r="O70" s="471"/>
    </row>
    <row r="71" spans="1:15" x14ac:dyDescent="0.25">
      <c r="A71" s="471"/>
      <c r="B71" s="471"/>
      <c r="C71" s="471"/>
      <c r="D71" s="471"/>
      <c r="E71" s="471"/>
      <c r="F71" s="471"/>
      <c r="G71" s="471"/>
      <c r="H71" s="471"/>
      <c r="I71" s="471"/>
      <c r="J71" s="471"/>
      <c r="K71" s="471"/>
      <c r="L71" s="471"/>
      <c r="M71" s="471"/>
      <c r="N71" s="471"/>
      <c r="O71" s="471"/>
    </row>
    <row r="72" spans="1:15" x14ac:dyDescent="0.25">
      <c r="A72" s="471"/>
      <c r="B72" s="493" t="s">
        <v>2448</v>
      </c>
      <c r="C72" s="494"/>
      <c r="D72" s="586">
        <f>SUM(D61:D70)</f>
        <v>41324985.799999997</v>
      </c>
      <c r="E72" s="494"/>
      <c r="F72" s="471"/>
      <c r="G72" s="471"/>
      <c r="H72" s="471"/>
      <c r="I72" s="471"/>
      <c r="J72" s="471"/>
      <c r="K72" s="471"/>
      <c r="L72" s="471"/>
      <c r="M72" s="471"/>
      <c r="N72" s="471"/>
      <c r="O72" s="471"/>
    </row>
    <row r="73" spans="1:15" x14ac:dyDescent="0.25">
      <c r="A73" s="471"/>
      <c r="B73" s="495" t="s">
        <v>2451</v>
      </c>
      <c r="C73" s="496"/>
      <c r="D73" s="587">
        <f>SUMIF(E61:E70, "CANCELADA", D61:D70)</f>
        <v>19944172</v>
      </c>
      <c r="E73" s="496"/>
      <c r="F73" s="471"/>
      <c r="G73" s="471"/>
      <c r="H73" s="471"/>
      <c r="I73" s="471"/>
      <c r="J73" s="471"/>
      <c r="K73" s="471"/>
      <c r="L73" s="471"/>
      <c r="M73" s="471"/>
      <c r="N73" s="471"/>
      <c r="O73" s="471"/>
    </row>
    <row r="74" spans="1:15" x14ac:dyDescent="0.25">
      <c r="A74" s="471"/>
      <c r="B74" s="495" t="s">
        <v>2452</v>
      </c>
      <c r="C74" s="496"/>
      <c r="D74" s="587">
        <f>D72-D73</f>
        <v>21380813.799999997</v>
      </c>
      <c r="E74" s="496"/>
      <c r="F74" s="471"/>
      <c r="G74" s="471"/>
      <c r="H74" s="471"/>
      <c r="I74" s="471"/>
      <c r="J74" s="471"/>
      <c r="K74" s="471"/>
      <c r="L74" s="471"/>
      <c r="M74" s="471"/>
      <c r="N74" s="471"/>
      <c r="O74" s="471"/>
    </row>
    <row r="75" spans="1:15" x14ac:dyDescent="0.25">
      <c r="A75" s="471"/>
      <c r="B75" s="471"/>
      <c r="C75" s="471"/>
      <c r="D75" s="471"/>
      <c r="E75" s="471"/>
      <c r="F75" s="471"/>
      <c r="G75" s="471"/>
      <c r="H75" s="471"/>
      <c r="I75" s="471"/>
      <c r="J75" s="471"/>
      <c r="K75" s="471"/>
      <c r="L75" s="471"/>
      <c r="M75" s="471"/>
      <c r="N75" s="471"/>
      <c r="O75" s="471"/>
    </row>
    <row r="76" spans="1:15" x14ac:dyDescent="0.25">
      <c r="A76" s="471"/>
      <c r="B76" s="471"/>
      <c r="C76" s="471"/>
      <c r="D76" s="471"/>
      <c r="E76" s="471"/>
      <c r="F76" s="471"/>
      <c r="G76" s="471"/>
      <c r="H76" s="471"/>
      <c r="I76" s="471"/>
      <c r="J76" s="471"/>
      <c r="K76" s="471"/>
      <c r="L76" s="471"/>
      <c r="M76" s="471"/>
      <c r="N76" s="471"/>
      <c r="O76" s="471"/>
    </row>
    <row r="77" spans="1:15" x14ac:dyDescent="0.25">
      <c r="A77" s="471"/>
      <c r="B77" s="741" t="s">
        <v>3393</v>
      </c>
      <c r="C77" s="704"/>
      <c r="D77" s="704"/>
      <c r="E77" s="705"/>
      <c r="F77" s="471"/>
      <c r="G77" s="741" t="s">
        <v>3394</v>
      </c>
      <c r="H77" s="704"/>
      <c r="I77" s="704"/>
      <c r="J77" s="705"/>
      <c r="K77" s="471"/>
      <c r="L77" s="471"/>
      <c r="M77" s="471"/>
      <c r="N77" s="471"/>
      <c r="O77" s="471"/>
    </row>
    <row r="78" spans="1:15" x14ac:dyDescent="0.25">
      <c r="A78" s="471"/>
      <c r="B78" s="490" t="s">
        <v>2446</v>
      </c>
      <c r="C78" s="490" t="s">
        <v>2447</v>
      </c>
      <c r="D78" s="490" t="s">
        <v>2448</v>
      </c>
      <c r="E78" s="490" t="s">
        <v>3391</v>
      </c>
      <c r="F78" s="471"/>
      <c r="G78" s="490" t="s">
        <v>2446</v>
      </c>
      <c r="H78" s="490" t="s">
        <v>2447</v>
      </c>
      <c r="I78" s="490" t="s">
        <v>2448</v>
      </c>
      <c r="J78" s="490" t="s">
        <v>3391</v>
      </c>
      <c r="K78" s="471"/>
      <c r="L78" s="471"/>
      <c r="M78" s="471"/>
      <c r="N78" s="471"/>
      <c r="O78" s="471"/>
    </row>
    <row r="79" spans="1:15" x14ac:dyDescent="0.25">
      <c r="A79" s="471"/>
      <c r="B79" s="491" t="s">
        <v>225</v>
      </c>
      <c r="C79" s="491" t="s">
        <v>88</v>
      </c>
      <c r="D79" s="492">
        <v>107500</v>
      </c>
      <c r="E79" s="491" t="s">
        <v>2450</v>
      </c>
      <c r="F79" s="471"/>
      <c r="G79" s="473" t="s">
        <v>2163</v>
      </c>
      <c r="H79" s="473" t="s">
        <v>86</v>
      </c>
      <c r="I79" s="475">
        <v>1587300</v>
      </c>
      <c r="J79" s="473" t="s">
        <v>2452</v>
      </c>
      <c r="K79" s="471"/>
      <c r="L79" s="471"/>
      <c r="M79" s="471"/>
      <c r="N79" s="471"/>
      <c r="O79" s="471"/>
    </row>
    <row r="80" spans="1:15" x14ac:dyDescent="0.25">
      <c r="A80" s="471"/>
      <c r="B80" s="491" t="s">
        <v>1308</v>
      </c>
      <c r="C80" s="491" t="s">
        <v>90</v>
      </c>
      <c r="D80" s="492">
        <v>4500</v>
      </c>
      <c r="E80" s="491" t="s">
        <v>2450</v>
      </c>
      <c r="F80" s="471"/>
      <c r="G80" s="473" t="s">
        <v>1364</v>
      </c>
      <c r="H80" s="473" t="s">
        <v>92</v>
      </c>
      <c r="I80" s="475">
        <v>1781350</v>
      </c>
      <c r="J80" s="473" t="s">
        <v>2452</v>
      </c>
      <c r="K80" s="471"/>
      <c r="L80" s="471"/>
      <c r="M80" s="471"/>
      <c r="N80" s="471"/>
      <c r="O80" s="471"/>
    </row>
    <row r="81" spans="1:15" x14ac:dyDescent="0.25">
      <c r="A81" s="471"/>
      <c r="B81" s="491" t="s">
        <v>1343</v>
      </c>
      <c r="C81" s="491" t="s">
        <v>90</v>
      </c>
      <c r="D81" s="492">
        <v>104000</v>
      </c>
      <c r="E81" s="491" t="s">
        <v>2450</v>
      </c>
      <c r="F81" s="471"/>
      <c r="G81" s="473" t="s">
        <v>1559</v>
      </c>
      <c r="H81" s="473" t="s">
        <v>100</v>
      </c>
      <c r="I81" s="475">
        <v>953150</v>
      </c>
      <c r="J81" s="473" t="s">
        <v>2452</v>
      </c>
      <c r="K81" s="471"/>
      <c r="L81" s="471"/>
      <c r="M81" s="471"/>
      <c r="N81" s="471"/>
      <c r="O81" s="471"/>
    </row>
    <row r="82" spans="1:15" x14ac:dyDescent="0.25">
      <c r="A82" s="471"/>
      <c r="B82" s="491" t="s">
        <v>1353</v>
      </c>
      <c r="C82" s="491" t="s">
        <v>90</v>
      </c>
      <c r="D82" s="492">
        <v>198500</v>
      </c>
      <c r="E82" s="491" t="s">
        <v>2450</v>
      </c>
      <c r="F82" s="471"/>
      <c r="G82" s="473" t="s">
        <v>645</v>
      </c>
      <c r="H82" s="473" t="s">
        <v>102</v>
      </c>
      <c r="I82" s="475">
        <v>2362400</v>
      </c>
      <c r="J82" s="473" t="s">
        <v>2452</v>
      </c>
      <c r="K82" s="471"/>
      <c r="L82" s="471"/>
      <c r="M82" s="471"/>
      <c r="N82" s="471"/>
      <c r="O82" s="471"/>
    </row>
    <row r="83" spans="1:15" x14ac:dyDescent="0.25">
      <c r="A83" s="471"/>
      <c r="B83" s="491" t="s">
        <v>245</v>
      </c>
      <c r="C83" s="491" t="s">
        <v>90</v>
      </c>
      <c r="D83" s="492">
        <v>238000</v>
      </c>
      <c r="E83" s="491" t="s">
        <v>2450</v>
      </c>
      <c r="F83" s="471"/>
      <c r="G83" s="473" t="s">
        <v>1699</v>
      </c>
      <c r="H83" s="473" t="s">
        <v>103</v>
      </c>
      <c r="I83" s="475">
        <v>184000</v>
      </c>
      <c r="J83" s="473" t="s">
        <v>2452</v>
      </c>
      <c r="K83" s="471"/>
      <c r="L83" s="471"/>
      <c r="M83" s="471"/>
      <c r="N83" s="471"/>
      <c r="O83" s="471"/>
    </row>
    <row r="84" spans="1:15" x14ac:dyDescent="0.25">
      <c r="A84" s="471"/>
      <c r="B84" s="491" t="s">
        <v>249</v>
      </c>
      <c r="C84" s="491" t="s">
        <v>90</v>
      </c>
      <c r="D84" s="492">
        <v>364000</v>
      </c>
      <c r="E84" s="491" t="s">
        <v>2450</v>
      </c>
      <c r="F84" s="471"/>
      <c r="G84" s="473" t="s">
        <v>2232</v>
      </c>
      <c r="H84" s="473" t="s">
        <v>104</v>
      </c>
      <c r="I84" s="475">
        <v>1232150</v>
      </c>
      <c r="J84" s="473" t="s">
        <v>2452</v>
      </c>
      <c r="K84" s="471"/>
      <c r="L84" s="471"/>
      <c r="M84" s="471"/>
      <c r="N84" s="471"/>
      <c r="O84" s="471"/>
    </row>
    <row r="85" spans="1:15" x14ac:dyDescent="0.25">
      <c r="A85" s="471"/>
      <c r="B85" s="491" t="s">
        <v>596</v>
      </c>
      <c r="C85" s="491" t="s">
        <v>92</v>
      </c>
      <c r="D85" s="492">
        <v>121975</v>
      </c>
      <c r="E85" s="491" t="s">
        <v>2450</v>
      </c>
      <c r="F85" s="471"/>
      <c r="G85" s="473" t="s">
        <v>2266</v>
      </c>
      <c r="H85" s="473" t="s">
        <v>121</v>
      </c>
      <c r="I85" s="475">
        <v>374250</v>
      </c>
      <c r="J85" s="473" t="s">
        <v>2452</v>
      </c>
      <c r="K85" s="471"/>
      <c r="L85" s="471"/>
      <c r="M85" s="471"/>
      <c r="N85" s="471"/>
      <c r="O85" s="471"/>
    </row>
    <row r="86" spans="1:15" x14ac:dyDescent="0.25">
      <c r="A86" s="471"/>
      <c r="B86" s="491" t="s">
        <v>1474</v>
      </c>
      <c r="C86" s="491" t="s">
        <v>94</v>
      </c>
      <c r="D86" s="492">
        <v>36000</v>
      </c>
      <c r="E86" s="491" t="s">
        <v>2450</v>
      </c>
      <c r="F86" s="471"/>
      <c r="G86" s="471"/>
      <c r="H86" s="471"/>
      <c r="I86" s="589"/>
      <c r="J86" s="471"/>
      <c r="K86" s="471"/>
      <c r="L86" s="471"/>
      <c r="M86" s="471"/>
      <c r="N86" s="471"/>
      <c r="O86" s="471"/>
    </row>
    <row r="87" spans="1:15" x14ac:dyDescent="0.25">
      <c r="A87" s="471"/>
      <c r="B87" s="491" t="s">
        <v>1479</v>
      </c>
      <c r="C87" s="491" t="s">
        <v>94</v>
      </c>
      <c r="D87" s="492">
        <v>254200</v>
      </c>
      <c r="E87" s="491" t="s">
        <v>2450</v>
      </c>
      <c r="F87" s="471"/>
      <c r="G87" s="493" t="s">
        <v>2448</v>
      </c>
      <c r="H87" s="494"/>
      <c r="I87" s="586">
        <f>SUM(I79:I85)</f>
        <v>8474600</v>
      </c>
      <c r="J87" s="494"/>
      <c r="K87" s="471"/>
      <c r="L87" s="471"/>
      <c r="M87" s="471"/>
      <c r="N87" s="471"/>
      <c r="O87" s="471"/>
    </row>
    <row r="88" spans="1:15" x14ac:dyDescent="0.25">
      <c r="A88" s="471"/>
      <c r="B88" s="491" t="s">
        <v>289</v>
      </c>
      <c r="C88" s="491" t="s">
        <v>94</v>
      </c>
      <c r="D88" s="492">
        <v>364000</v>
      </c>
      <c r="E88" s="491" t="s">
        <v>2450</v>
      </c>
      <c r="F88" s="471"/>
      <c r="G88" s="495" t="s">
        <v>2451</v>
      </c>
      <c r="H88" s="496"/>
      <c r="I88" s="587">
        <f>SUMIF(J79:J85, "CANCELADA", I79:I85)</f>
        <v>0</v>
      </c>
      <c r="J88" s="496"/>
      <c r="K88" s="471"/>
      <c r="L88" s="471"/>
      <c r="M88" s="471"/>
      <c r="N88" s="471"/>
      <c r="O88" s="471"/>
    </row>
    <row r="89" spans="1:15" x14ac:dyDescent="0.25">
      <c r="A89" s="471"/>
      <c r="B89" s="491" t="s">
        <v>291</v>
      </c>
      <c r="C89" s="491" t="s">
        <v>98</v>
      </c>
      <c r="D89" s="590">
        <v>61606.04</v>
      </c>
      <c r="E89" s="491" t="s">
        <v>2450</v>
      </c>
      <c r="F89" s="471"/>
      <c r="G89" s="495" t="s">
        <v>2452</v>
      </c>
      <c r="H89" s="496"/>
      <c r="I89" s="587">
        <f>I87-I88</f>
        <v>8474600</v>
      </c>
      <c r="J89" s="496"/>
      <c r="K89" s="471"/>
      <c r="L89" s="471"/>
      <c r="M89" s="471"/>
      <c r="N89" s="471"/>
      <c r="O89" s="471"/>
    </row>
    <row r="90" spans="1:15" x14ac:dyDescent="0.25">
      <c r="A90" s="471"/>
      <c r="B90" s="491" t="s">
        <v>298</v>
      </c>
      <c r="C90" s="491" t="s">
        <v>98</v>
      </c>
      <c r="D90" s="492">
        <v>130000</v>
      </c>
      <c r="E90" s="491" t="s">
        <v>2450</v>
      </c>
      <c r="F90" s="471"/>
      <c r="G90" s="471"/>
      <c r="H90" s="471"/>
      <c r="I90" s="471"/>
      <c r="J90" s="471"/>
      <c r="K90" s="471"/>
      <c r="L90" s="471"/>
      <c r="M90" s="471"/>
      <c r="N90" s="471"/>
      <c r="O90" s="471"/>
    </row>
    <row r="91" spans="1:15" x14ac:dyDescent="0.25">
      <c r="A91" s="471"/>
      <c r="B91" s="491" t="s">
        <v>3395</v>
      </c>
      <c r="C91" s="491" t="s">
        <v>100</v>
      </c>
      <c r="D91" s="492">
        <v>66000</v>
      </c>
      <c r="E91" s="491" t="s">
        <v>2450</v>
      </c>
      <c r="F91" s="471"/>
      <c r="G91" s="471"/>
      <c r="H91" s="471"/>
      <c r="I91" s="497"/>
      <c r="J91" s="471"/>
      <c r="K91" s="471"/>
      <c r="L91" s="471"/>
      <c r="M91" s="471"/>
      <c r="N91" s="471"/>
      <c r="O91" s="471"/>
    </row>
    <row r="92" spans="1:15" x14ac:dyDescent="0.25">
      <c r="A92" s="471"/>
      <c r="B92" s="491" t="s">
        <v>3396</v>
      </c>
      <c r="C92" s="491" t="s">
        <v>100</v>
      </c>
      <c r="D92" s="492">
        <v>72200</v>
      </c>
      <c r="E92" s="491" t="s">
        <v>2450</v>
      </c>
      <c r="F92" s="471"/>
      <c r="G92" s="471"/>
      <c r="H92" s="471"/>
      <c r="I92" s="471"/>
      <c r="J92" s="471"/>
      <c r="K92" s="471"/>
      <c r="L92" s="471"/>
      <c r="M92" s="471"/>
      <c r="N92" s="471"/>
      <c r="O92" s="471"/>
    </row>
    <row r="93" spans="1:15" x14ac:dyDescent="0.25">
      <c r="A93" s="471"/>
      <c r="B93" s="491" t="s">
        <v>3397</v>
      </c>
      <c r="C93" s="491" t="s">
        <v>100</v>
      </c>
      <c r="D93" s="492">
        <v>13500</v>
      </c>
      <c r="E93" s="491" t="s">
        <v>2450</v>
      </c>
      <c r="F93" s="471"/>
      <c r="G93" s="471"/>
      <c r="H93" s="471"/>
      <c r="I93" s="589"/>
      <c r="J93" s="471"/>
      <c r="K93" s="471"/>
      <c r="L93" s="471"/>
      <c r="M93" s="471"/>
      <c r="N93" s="471"/>
      <c r="O93" s="471"/>
    </row>
    <row r="94" spans="1:15" x14ac:dyDescent="0.25">
      <c r="A94" s="471"/>
      <c r="B94" s="491" t="s">
        <v>3398</v>
      </c>
      <c r="C94" s="491" t="s">
        <v>100</v>
      </c>
      <c r="D94" s="492">
        <v>20000</v>
      </c>
      <c r="E94" s="491" t="s">
        <v>2450</v>
      </c>
      <c r="F94" s="471"/>
      <c r="G94" s="471"/>
      <c r="H94" s="471"/>
      <c r="I94" s="589"/>
      <c r="J94" s="471"/>
      <c r="K94" s="471"/>
      <c r="L94" s="471"/>
      <c r="M94" s="471"/>
      <c r="N94" s="471"/>
      <c r="O94" s="471"/>
    </row>
    <row r="95" spans="1:15" x14ac:dyDescent="0.25">
      <c r="A95" s="471"/>
      <c r="B95" s="491" t="s">
        <v>3399</v>
      </c>
      <c r="C95" s="491" t="s">
        <v>100</v>
      </c>
      <c r="D95" s="492">
        <v>90000</v>
      </c>
      <c r="E95" s="491" t="s">
        <v>2450</v>
      </c>
      <c r="F95" s="471"/>
      <c r="G95" s="471"/>
      <c r="H95" s="471"/>
      <c r="I95" s="589"/>
      <c r="J95" s="471"/>
      <c r="K95" s="471"/>
      <c r="L95" s="471"/>
      <c r="M95" s="471"/>
      <c r="N95" s="471"/>
      <c r="O95" s="471"/>
    </row>
    <row r="96" spans="1:15" x14ac:dyDescent="0.25">
      <c r="A96" s="471"/>
      <c r="B96" s="491" t="s">
        <v>3400</v>
      </c>
      <c r="C96" s="491" t="s">
        <v>100</v>
      </c>
      <c r="D96" s="492">
        <v>81000</v>
      </c>
      <c r="E96" s="491" t="s">
        <v>2450</v>
      </c>
      <c r="F96" s="471"/>
      <c r="G96" s="471"/>
      <c r="H96" s="471"/>
      <c r="I96" s="471"/>
      <c r="J96" s="471"/>
      <c r="K96" s="471"/>
      <c r="L96" s="471"/>
      <c r="M96" s="471"/>
      <c r="N96" s="471"/>
      <c r="O96" s="471"/>
    </row>
    <row r="97" spans="1:15" x14ac:dyDescent="0.25">
      <c r="A97" s="471"/>
      <c r="B97" s="491" t="s">
        <v>3401</v>
      </c>
      <c r="C97" s="491" t="s">
        <v>100</v>
      </c>
      <c r="D97" s="492">
        <v>5000</v>
      </c>
      <c r="E97" s="491" t="s">
        <v>2450</v>
      </c>
      <c r="F97" s="471"/>
      <c r="G97" s="471"/>
      <c r="H97" s="471"/>
      <c r="I97" s="471"/>
      <c r="J97" s="471"/>
      <c r="K97" s="471"/>
      <c r="L97" s="471"/>
      <c r="M97" s="471"/>
      <c r="N97" s="471"/>
      <c r="O97" s="471"/>
    </row>
    <row r="98" spans="1:15" x14ac:dyDescent="0.25">
      <c r="A98" s="471"/>
      <c r="B98" s="491" t="s">
        <v>3402</v>
      </c>
      <c r="C98" s="491" t="s">
        <v>100</v>
      </c>
      <c r="D98" s="492">
        <v>86600</v>
      </c>
      <c r="E98" s="491" t="s">
        <v>2450</v>
      </c>
      <c r="F98" s="471"/>
      <c r="G98" s="471"/>
      <c r="H98" s="471"/>
      <c r="I98" s="471"/>
      <c r="J98" s="471"/>
      <c r="K98" s="471"/>
      <c r="L98" s="471"/>
      <c r="M98" s="471"/>
      <c r="N98" s="471"/>
      <c r="O98" s="471"/>
    </row>
    <row r="99" spans="1:15" x14ac:dyDescent="0.25">
      <c r="A99" s="471"/>
      <c r="B99" s="491" t="s">
        <v>3403</v>
      </c>
      <c r="C99" s="491" t="s">
        <v>100</v>
      </c>
      <c r="D99" s="492">
        <v>130000</v>
      </c>
      <c r="E99" s="491" t="s">
        <v>2450</v>
      </c>
      <c r="F99" s="471"/>
      <c r="G99" s="471"/>
      <c r="H99" s="471"/>
      <c r="I99" s="471"/>
      <c r="J99" s="471"/>
      <c r="K99" s="471"/>
      <c r="L99" s="471"/>
      <c r="M99" s="471"/>
      <c r="N99" s="471"/>
      <c r="O99" s="471"/>
    </row>
    <row r="100" spans="1:15" x14ac:dyDescent="0.25">
      <c r="A100" s="471"/>
      <c r="B100" s="491" t="s">
        <v>3404</v>
      </c>
      <c r="C100" s="491" t="s">
        <v>100</v>
      </c>
      <c r="D100" s="492">
        <v>35100</v>
      </c>
      <c r="E100" s="491" t="s">
        <v>2450</v>
      </c>
      <c r="F100" s="471"/>
      <c r="G100" s="471"/>
      <c r="H100" s="471"/>
      <c r="I100" s="497"/>
      <c r="J100" s="471"/>
      <c r="K100" s="471"/>
      <c r="L100" s="471"/>
      <c r="M100" s="471"/>
      <c r="N100" s="471"/>
      <c r="O100" s="471"/>
    </row>
    <row r="101" spans="1:15" x14ac:dyDescent="0.25">
      <c r="A101" s="471"/>
      <c r="B101" s="491" t="s">
        <v>3405</v>
      </c>
      <c r="C101" s="491" t="s">
        <v>100</v>
      </c>
      <c r="D101" s="492">
        <v>66000</v>
      </c>
      <c r="E101" s="491" t="s">
        <v>2450</v>
      </c>
      <c r="F101" s="471"/>
      <c r="G101" s="471"/>
      <c r="H101" s="471"/>
      <c r="I101" s="497"/>
      <c r="J101" s="471"/>
      <c r="K101" s="471"/>
      <c r="L101" s="471"/>
      <c r="M101" s="471"/>
      <c r="N101" s="471"/>
      <c r="O101" s="471"/>
    </row>
    <row r="102" spans="1:15" x14ac:dyDescent="0.25">
      <c r="A102" s="471"/>
      <c r="B102" s="491" t="s">
        <v>3406</v>
      </c>
      <c r="C102" s="491" t="s">
        <v>100</v>
      </c>
      <c r="D102" s="492">
        <v>78500</v>
      </c>
      <c r="E102" s="491" t="s">
        <v>2450</v>
      </c>
      <c r="F102" s="471"/>
      <c r="G102" s="471"/>
      <c r="H102" s="471"/>
      <c r="I102" s="497"/>
      <c r="J102" s="471"/>
      <c r="K102" s="471"/>
      <c r="L102" s="471"/>
      <c r="M102" s="471"/>
      <c r="N102" s="471"/>
      <c r="O102" s="471"/>
    </row>
    <row r="103" spans="1:15" x14ac:dyDescent="0.25">
      <c r="A103" s="471"/>
      <c r="B103" s="491" t="s">
        <v>1613</v>
      </c>
      <c r="C103" s="491" t="s">
        <v>100</v>
      </c>
      <c r="D103" s="492">
        <v>227500</v>
      </c>
      <c r="E103" s="491" t="s">
        <v>2450</v>
      </c>
      <c r="F103" s="471"/>
      <c r="G103" s="471"/>
      <c r="H103" s="471"/>
      <c r="I103" s="497"/>
      <c r="J103" s="471"/>
      <c r="K103" s="471"/>
      <c r="L103" s="471"/>
      <c r="M103" s="471"/>
      <c r="N103" s="471"/>
      <c r="O103" s="471"/>
    </row>
    <row r="104" spans="1:15" x14ac:dyDescent="0.25">
      <c r="A104" s="471"/>
      <c r="B104" s="491" t="s">
        <v>1617</v>
      </c>
      <c r="C104" s="491" t="s">
        <v>100</v>
      </c>
      <c r="D104" s="590">
        <v>184698.71</v>
      </c>
      <c r="E104" s="491" t="s">
        <v>2450</v>
      </c>
      <c r="F104" s="471"/>
      <c r="G104" s="471"/>
      <c r="H104" s="471"/>
      <c r="I104" s="497"/>
      <c r="J104" s="471"/>
      <c r="K104" s="471"/>
      <c r="L104" s="471"/>
      <c r="M104" s="471"/>
      <c r="N104" s="471"/>
      <c r="O104" s="471"/>
    </row>
    <row r="105" spans="1:15" x14ac:dyDescent="0.25">
      <c r="A105" s="471"/>
      <c r="B105" s="491" t="s">
        <v>1869</v>
      </c>
      <c r="C105" s="491" t="s">
        <v>100</v>
      </c>
      <c r="D105" s="492">
        <v>29512</v>
      </c>
      <c r="E105" s="491" t="s">
        <v>2450</v>
      </c>
      <c r="F105" s="471"/>
      <c r="G105" s="471"/>
      <c r="H105" s="471"/>
      <c r="I105" s="497"/>
      <c r="J105" s="471"/>
      <c r="K105" s="471"/>
      <c r="L105" s="471"/>
      <c r="M105" s="471"/>
      <c r="N105" s="471"/>
      <c r="O105" s="471"/>
    </row>
    <row r="106" spans="1:15" x14ac:dyDescent="0.25">
      <c r="A106" s="471"/>
      <c r="B106" s="491" t="s">
        <v>332</v>
      </c>
      <c r="C106" s="491" t="s">
        <v>102</v>
      </c>
      <c r="D106" s="492">
        <v>4500</v>
      </c>
      <c r="E106" s="491" t="s">
        <v>2450</v>
      </c>
      <c r="F106" s="471"/>
      <c r="G106" s="471"/>
      <c r="H106" s="471"/>
      <c r="I106" s="497"/>
      <c r="J106" s="471"/>
      <c r="K106" s="471"/>
      <c r="L106" s="471"/>
      <c r="M106" s="471"/>
      <c r="N106" s="471"/>
      <c r="O106" s="471"/>
    </row>
    <row r="107" spans="1:15" x14ac:dyDescent="0.25">
      <c r="A107" s="471"/>
      <c r="B107" s="491" t="s">
        <v>339</v>
      </c>
      <c r="C107" s="491" t="s">
        <v>102</v>
      </c>
      <c r="D107" s="492">
        <v>330000</v>
      </c>
      <c r="E107" s="491" t="s">
        <v>2450</v>
      </c>
      <c r="F107" s="471"/>
      <c r="G107" s="471"/>
      <c r="H107" s="471"/>
      <c r="I107" s="497"/>
      <c r="J107" s="471"/>
      <c r="K107" s="471"/>
      <c r="L107" s="471"/>
      <c r="M107" s="471"/>
      <c r="N107" s="471"/>
      <c r="O107" s="471"/>
    </row>
    <row r="108" spans="1:15" x14ac:dyDescent="0.25">
      <c r="A108" s="471"/>
      <c r="B108" s="491" t="s">
        <v>3407</v>
      </c>
      <c r="C108" s="491" t="s">
        <v>102</v>
      </c>
      <c r="D108" s="492">
        <v>76500</v>
      </c>
      <c r="E108" s="491" t="s">
        <v>2450</v>
      </c>
      <c r="F108" s="471"/>
      <c r="G108" s="471"/>
      <c r="H108" s="471"/>
      <c r="I108" s="497"/>
      <c r="J108" s="471"/>
      <c r="K108" s="471"/>
      <c r="L108" s="471"/>
      <c r="M108" s="471"/>
      <c r="N108" s="471"/>
      <c r="O108" s="471"/>
    </row>
    <row r="109" spans="1:15" x14ac:dyDescent="0.25">
      <c r="A109" s="471"/>
      <c r="B109" s="491" t="s">
        <v>3408</v>
      </c>
      <c r="C109" s="491" t="s">
        <v>102</v>
      </c>
      <c r="D109" s="492">
        <v>500000</v>
      </c>
      <c r="E109" s="491" t="s">
        <v>2450</v>
      </c>
      <c r="F109" s="471"/>
      <c r="G109" s="471"/>
      <c r="H109" s="471"/>
      <c r="I109" s="497"/>
      <c r="J109" s="471"/>
      <c r="K109" s="471"/>
      <c r="L109" s="471"/>
      <c r="M109" s="471"/>
      <c r="N109" s="471"/>
      <c r="O109" s="471"/>
    </row>
    <row r="110" spans="1:15" x14ac:dyDescent="0.25">
      <c r="A110" s="471"/>
      <c r="B110" s="491" t="s">
        <v>3409</v>
      </c>
      <c r="C110" s="491" t="s">
        <v>102</v>
      </c>
      <c r="D110" s="492">
        <v>40000</v>
      </c>
      <c r="E110" s="491" t="s">
        <v>2450</v>
      </c>
      <c r="F110" s="471"/>
      <c r="G110" s="471"/>
      <c r="H110" s="471"/>
      <c r="I110" s="471"/>
      <c r="J110" s="471"/>
      <c r="K110" s="471"/>
      <c r="L110" s="471"/>
      <c r="M110" s="471"/>
      <c r="N110" s="471"/>
      <c r="O110" s="471"/>
    </row>
    <row r="111" spans="1:15" x14ac:dyDescent="0.25">
      <c r="A111" s="471"/>
      <c r="B111" s="491" t="s">
        <v>3410</v>
      </c>
      <c r="C111" s="491" t="s">
        <v>102</v>
      </c>
      <c r="D111" s="492">
        <v>31000</v>
      </c>
      <c r="E111" s="491" t="s">
        <v>2450</v>
      </c>
      <c r="F111" s="471"/>
      <c r="G111" s="471"/>
      <c r="H111" s="471"/>
      <c r="I111" s="589"/>
      <c r="J111" s="471"/>
      <c r="K111" s="471"/>
      <c r="L111" s="471"/>
      <c r="M111" s="471"/>
      <c r="N111" s="471"/>
      <c r="O111" s="471"/>
    </row>
    <row r="112" spans="1:15" x14ac:dyDescent="0.25">
      <c r="A112" s="471"/>
      <c r="B112" s="491" t="s">
        <v>3411</v>
      </c>
      <c r="C112" s="491" t="s">
        <v>102</v>
      </c>
      <c r="D112" s="492">
        <v>130000</v>
      </c>
      <c r="E112" s="491" t="s">
        <v>2450</v>
      </c>
      <c r="F112" s="471"/>
      <c r="G112" s="471"/>
      <c r="H112" s="471"/>
      <c r="I112" s="589"/>
      <c r="J112" s="471"/>
      <c r="K112" s="471"/>
      <c r="L112" s="471"/>
      <c r="M112" s="471"/>
      <c r="N112" s="471"/>
      <c r="O112" s="471"/>
    </row>
    <row r="113" spans="1:15" x14ac:dyDescent="0.25">
      <c r="A113" s="471"/>
      <c r="B113" s="491" t="s">
        <v>1651</v>
      </c>
      <c r="C113" s="491" t="s">
        <v>102</v>
      </c>
      <c r="D113" s="492">
        <v>352450</v>
      </c>
      <c r="E113" s="491" t="s">
        <v>2450</v>
      </c>
      <c r="F113" s="471"/>
      <c r="G113" s="471"/>
      <c r="H113" s="471"/>
      <c r="I113" s="589"/>
      <c r="J113" s="471"/>
      <c r="K113" s="471"/>
      <c r="L113" s="471"/>
      <c r="M113" s="471"/>
      <c r="N113" s="471"/>
      <c r="O113" s="471"/>
    </row>
    <row r="114" spans="1:15" x14ac:dyDescent="0.25">
      <c r="A114" s="471"/>
      <c r="B114" s="491" t="s">
        <v>1661</v>
      </c>
      <c r="C114" s="491" t="s">
        <v>102</v>
      </c>
      <c r="D114" s="492">
        <v>114950</v>
      </c>
      <c r="E114" s="491" t="s">
        <v>2450</v>
      </c>
      <c r="F114" s="471"/>
      <c r="G114" s="471"/>
      <c r="H114" s="471"/>
      <c r="I114" s="471"/>
      <c r="J114" s="471"/>
      <c r="K114" s="471"/>
      <c r="L114" s="471"/>
      <c r="M114" s="471"/>
      <c r="N114" s="471"/>
      <c r="O114" s="471"/>
    </row>
    <row r="115" spans="1:15" x14ac:dyDescent="0.25">
      <c r="A115" s="471"/>
      <c r="B115" s="491" t="s">
        <v>3412</v>
      </c>
      <c r="C115" s="491" t="s">
        <v>102</v>
      </c>
      <c r="D115" s="492">
        <v>3000</v>
      </c>
      <c r="E115" s="491" t="s">
        <v>2450</v>
      </c>
      <c r="F115" s="471"/>
      <c r="G115" s="471"/>
      <c r="H115" s="471"/>
      <c r="I115" s="471"/>
      <c r="J115" s="471"/>
      <c r="K115" s="471"/>
      <c r="L115" s="471"/>
      <c r="M115" s="471"/>
      <c r="N115" s="471"/>
      <c r="O115" s="471"/>
    </row>
    <row r="116" spans="1:15" x14ac:dyDescent="0.25">
      <c r="A116" s="471"/>
      <c r="B116" s="491" t="s">
        <v>678</v>
      </c>
      <c r="C116" s="491" t="s">
        <v>102</v>
      </c>
      <c r="D116" s="492">
        <v>130000</v>
      </c>
      <c r="E116" s="491" t="s">
        <v>2450</v>
      </c>
      <c r="F116" s="471"/>
      <c r="G116" s="471"/>
      <c r="H116" s="471"/>
      <c r="I116" s="471"/>
      <c r="J116" s="471"/>
      <c r="K116" s="471"/>
      <c r="L116" s="471"/>
      <c r="M116" s="471"/>
      <c r="N116" s="471"/>
      <c r="O116" s="471"/>
    </row>
    <row r="117" spans="1:15" x14ac:dyDescent="0.25">
      <c r="A117" s="471"/>
      <c r="B117" s="491" t="s">
        <v>1673</v>
      </c>
      <c r="C117" s="491" t="s">
        <v>103</v>
      </c>
      <c r="D117" s="492">
        <v>19000</v>
      </c>
      <c r="E117" s="491" t="s">
        <v>2450</v>
      </c>
      <c r="F117" s="471"/>
      <c r="G117" s="471"/>
      <c r="H117" s="471"/>
      <c r="I117" s="471"/>
      <c r="J117" s="471"/>
      <c r="K117" s="471"/>
      <c r="L117" s="471"/>
      <c r="M117" s="471"/>
      <c r="N117" s="471"/>
      <c r="O117" s="471"/>
    </row>
    <row r="118" spans="1:15" x14ac:dyDescent="0.25">
      <c r="A118" s="471"/>
      <c r="B118" s="491" t="s">
        <v>3413</v>
      </c>
      <c r="C118" s="491" t="s">
        <v>103</v>
      </c>
      <c r="D118" s="492">
        <v>28000</v>
      </c>
      <c r="E118" s="491" t="s">
        <v>2450</v>
      </c>
      <c r="F118" s="471"/>
      <c r="G118" s="471"/>
      <c r="H118" s="471"/>
      <c r="I118" s="471"/>
      <c r="J118" s="471"/>
      <c r="K118" s="471"/>
      <c r="L118" s="471"/>
      <c r="M118" s="471"/>
      <c r="N118" s="471"/>
      <c r="O118" s="471"/>
    </row>
    <row r="119" spans="1:15" x14ac:dyDescent="0.25">
      <c r="A119" s="471"/>
      <c r="B119" s="491" t="s">
        <v>3414</v>
      </c>
      <c r="C119" s="491" t="s">
        <v>103</v>
      </c>
      <c r="D119" s="492">
        <v>75350</v>
      </c>
      <c r="E119" s="491" t="s">
        <v>2450</v>
      </c>
      <c r="F119" s="471"/>
      <c r="G119" s="471"/>
      <c r="H119" s="471"/>
      <c r="I119" s="471"/>
      <c r="J119" s="471"/>
      <c r="K119" s="471"/>
      <c r="L119" s="471"/>
      <c r="M119" s="471"/>
      <c r="N119" s="471"/>
      <c r="O119" s="471"/>
    </row>
    <row r="120" spans="1:15" x14ac:dyDescent="0.25">
      <c r="A120" s="471"/>
      <c r="B120" s="491" t="s">
        <v>1712</v>
      </c>
      <c r="C120" s="491" t="s">
        <v>103</v>
      </c>
      <c r="D120" s="492">
        <v>75000</v>
      </c>
      <c r="E120" s="491" t="s">
        <v>2450</v>
      </c>
      <c r="F120" s="471"/>
      <c r="G120" s="471"/>
      <c r="H120" s="471"/>
      <c r="I120" s="471"/>
      <c r="J120" s="471"/>
      <c r="K120" s="471"/>
      <c r="L120" s="471"/>
      <c r="M120" s="471"/>
      <c r="N120" s="471"/>
      <c r="O120" s="471"/>
    </row>
    <row r="121" spans="1:15" x14ac:dyDescent="0.25">
      <c r="A121" s="471"/>
      <c r="B121" s="491" t="s">
        <v>703</v>
      </c>
      <c r="C121" s="491" t="s">
        <v>103</v>
      </c>
      <c r="D121" s="492">
        <v>10504</v>
      </c>
      <c r="E121" s="491" t="s">
        <v>2450</v>
      </c>
      <c r="F121" s="471"/>
      <c r="G121" s="471"/>
      <c r="H121" s="471"/>
      <c r="I121" s="471"/>
      <c r="J121" s="471"/>
      <c r="K121" s="471"/>
      <c r="L121" s="471"/>
      <c r="M121" s="471"/>
      <c r="N121" s="471"/>
      <c r="O121" s="471"/>
    </row>
    <row r="122" spans="1:15" x14ac:dyDescent="0.25">
      <c r="A122" s="471"/>
      <c r="B122" s="491" t="s">
        <v>706</v>
      </c>
      <c r="C122" s="491" t="s">
        <v>103</v>
      </c>
      <c r="D122" s="492">
        <v>12000</v>
      </c>
      <c r="E122" s="491" t="s">
        <v>2450</v>
      </c>
      <c r="F122" s="471"/>
      <c r="G122" s="471"/>
      <c r="H122" s="471"/>
      <c r="I122" s="471"/>
      <c r="J122" s="471"/>
      <c r="K122" s="471"/>
      <c r="L122" s="471"/>
      <c r="M122" s="471"/>
      <c r="N122" s="471"/>
      <c r="O122" s="471"/>
    </row>
    <row r="123" spans="1:15" x14ac:dyDescent="0.25">
      <c r="A123" s="471"/>
      <c r="B123" s="491" t="s">
        <v>712</v>
      </c>
      <c r="C123" s="491" t="s">
        <v>103</v>
      </c>
      <c r="D123" s="492">
        <v>37815</v>
      </c>
      <c r="E123" s="491" t="s">
        <v>2450</v>
      </c>
      <c r="F123" s="471"/>
      <c r="G123" s="471"/>
      <c r="H123" s="471"/>
      <c r="I123" s="471"/>
      <c r="J123" s="471"/>
      <c r="K123" s="471"/>
      <c r="L123" s="471"/>
      <c r="M123" s="471"/>
      <c r="N123" s="471"/>
      <c r="O123" s="471"/>
    </row>
    <row r="124" spans="1:15" x14ac:dyDescent="0.25">
      <c r="A124" s="471"/>
      <c r="B124" s="491" t="s">
        <v>715</v>
      </c>
      <c r="C124" s="491" t="s">
        <v>103</v>
      </c>
      <c r="D124" s="492">
        <v>264500</v>
      </c>
      <c r="E124" s="491" t="s">
        <v>2450</v>
      </c>
      <c r="F124" s="471"/>
      <c r="G124" s="471"/>
      <c r="H124" s="471"/>
      <c r="I124" s="471"/>
      <c r="J124" s="471"/>
      <c r="K124" s="471"/>
      <c r="L124" s="471"/>
      <c r="M124" s="471"/>
      <c r="N124" s="471"/>
      <c r="O124" s="471"/>
    </row>
    <row r="125" spans="1:15" x14ac:dyDescent="0.25">
      <c r="A125" s="471"/>
      <c r="B125" s="491" t="s">
        <v>718</v>
      </c>
      <c r="C125" s="491" t="s">
        <v>103</v>
      </c>
      <c r="D125" s="492">
        <v>65000</v>
      </c>
      <c r="E125" s="491" t="s">
        <v>2450</v>
      </c>
      <c r="F125" s="471"/>
      <c r="G125" s="471"/>
      <c r="H125" s="471"/>
      <c r="I125" s="471"/>
      <c r="J125" s="471"/>
      <c r="K125" s="471"/>
      <c r="L125" s="471"/>
      <c r="M125" s="471"/>
      <c r="N125" s="471"/>
      <c r="O125" s="471"/>
    </row>
    <row r="126" spans="1:15" x14ac:dyDescent="0.25">
      <c r="A126" s="471"/>
      <c r="B126" s="491" t="s">
        <v>724</v>
      </c>
      <c r="C126" s="491" t="s">
        <v>103</v>
      </c>
      <c r="D126" s="492">
        <v>146370</v>
      </c>
      <c r="E126" s="491" t="s">
        <v>2450</v>
      </c>
      <c r="F126" s="471"/>
      <c r="G126" s="471"/>
      <c r="H126" s="471"/>
      <c r="I126" s="471"/>
      <c r="J126" s="471"/>
      <c r="K126" s="471"/>
      <c r="L126" s="471"/>
      <c r="M126" s="471"/>
      <c r="N126" s="471"/>
      <c r="O126" s="471"/>
    </row>
    <row r="127" spans="1:15" x14ac:dyDescent="0.25">
      <c r="A127" s="471"/>
      <c r="B127" s="491" t="s">
        <v>962</v>
      </c>
      <c r="C127" s="491" t="s">
        <v>104</v>
      </c>
      <c r="D127" s="492">
        <v>1149000</v>
      </c>
      <c r="E127" s="491" t="s">
        <v>2450</v>
      </c>
      <c r="F127" s="471"/>
      <c r="G127" s="471"/>
      <c r="H127" s="471"/>
      <c r="I127" s="471"/>
      <c r="J127" s="471"/>
      <c r="K127" s="471"/>
      <c r="L127" s="471"/>
      <c r="M127" s="471"/>
      <c r="N127" s="471"/>
      <c r="O127" s="471"/>
    </row>
    <row r="128" spans="1:15" x14ac:dyDescent="0.25">
      <c r="A128" s="471"/>
      <c r="B128" s="491" t="s">
        <v>3415</v>
      </c>
      <c r="C128" s="491" t="s">
        <v>104</v>
      </c>
      <c r="D128" s="492">
        <v>432000</v>
      </c>
      <c r="E128" s="491" t="s">
        <v>2450</v>
      </c>
      <c r="F128" s="471"/>
      <c r="G128" s="471"/>
      <c r="H128" s="471"/>
      <c r="I128" s="471"/>
      <c r="J128" s="471"/>
      <c r="K128" s="471"/>
      <c r="L128" s="471"/>
      <c r="M128" s="471"/>
      <c r="N128" s="471"/>
      <c r="O128" s="471"/>
    </row>
    <row r="129" spans="1:15" x14ac:dyDescent="0.25">
      <c r="A129" s="471"/>
      <c r="B129" s="491" t="s">
        <v>3416</v>
      </c>
      <c r="C129" s="491" t="s">
        <v>104</v>
      </c>
      <c r="D129" s="492">
        <v>200000</v>
      </c>
      <c r="E129" s="491" t="s">
        <v>2450</v>
      </c>
      <c r="F129" s="471"/>
      <c r="G129" s="471"/>
      <c r="H129" s="471"/>
      <c r="I129" s="471"/>
      <c r="J129" s="471"/>
      <c r="K129" s="471"/>
      <c r="L129" s="471"/>
      <c r="M129" s="471"/>
      <c r="N129" s="471"/>
      <c r="O129" s="471"/>
    </row>
    <row r="130" spans="1:15" x14ac:dyDescent="0.25">
      <c r="A130" s="471"/>
      <c r="B130" s="491" t="s">
        <v>3417</v>
      </c>
      <c r="C130" s="491" t="s">
        <v>104</v>
      </c>
      <c r="D130" s="492">
        <v>1456000</v>
      </c>
      <c r="E130" s="491" t="s">
        <v>2450</v>
      </c>
      <c r="F130" s="471"/>
      <c r="G130" s="471"/>
      <c r="H130" s="471"/>
      <c r="I130" s="471"/>
      <c r="J130" s="471"/>
      <c r="K130" s="471"/>
      <c r="L130" s="471"/>
      <c r="M130" s="471"/>
      <c r="N130" s="471"/>
      <c r="O130" s="471"/>
    </row>
    <row r="131" spans="1:15" x14ac:dyDescent="0.25">
      <c r="A131" s="471"/>
      <c r="B131" s="491" t="s">
        <v>3418</v>
      </c>
      <c r="C131" s="491" t="s">
        <v>104</v>
      </c>
      <c r="D131" s="492">
        <v>1124100</v>
      </c>
      <c r="E131" s="491" t="s">
        <v>2450</v>
      </c>
      <c r="F131" s="471"/>
      <c r="G131" s="471"/>
      <c r="H131" s="471"/>
      <c r="I131" s="471"/>
      <c r="J131" s="471"/>
      <c r="K131" s="471"/>
      <c r="L131" s="471"/>
      <c r="M131" s="471"/>
      <c r="N131" s="471"/>
      <c r="O131" s="471"/>
    </row>
    <row r="132" spans="1:15" x14ac:dyDescent="0.25">
      <c r="A132" s="471"/>
      <c r="B132" s="491" t="s">
        <v>3419</v>
      </c>
      <c r="C132" s="491" t="s">
        <v>104</v>
      </c>
      <c r="D132" s="492">
        <v>200000</v>
      </c>
      <c r="E132" s="491" t="s">
        <v>2450</v>
      </c>
      <c r="F132" s="471"/>
      <c r="G132" s="471"/>
      <c r="H132" s="471"/>
      <c r="I132" s="471"/>
      <c r="J132" s="471"/>
      <c r="K132" s="471"/>
      <c r="L132" s="471"/>
      <c r="M132" s="471"/>
      <c r="N132" s="471"/>
      <c r="O132" s="471"/>
    </row>
    <row r="133" spans="1:15" x14ac:dyDescent="0.25">
      <c r="A133" s="471"/>
      <c r="B133" s="491" t="s">
        <v>3420</v>
      </c>
      <c r="C133" s="491" t="s">
        <v>104</v>
      </c>
      <c r="D133" s="492">
        <v>85000</v>
      </c>
      <c r="E133" s="491" t="s">
        <v>2450</v>
      </c>
      <c r="F133" s="471"/>
      <c r="G133" s="471"/>
      <c r="H133" s="471"/>
      <c r="I133" s="471"/>
      <c r="J133" s="471"/>
      <c r="K133" s="471"/>
      <c r="L133" s="471"/>
      <c r="M133" s="471"/>
      <c r="N133" s="471"/>
      <c r="O133" s="471"/>
    </row>
    <row r="134" spans="1:15" x14ac:dyDescent="0.25">
      <c r="A134" s="471"/>
      <c r="B134" s="491" t="s">
        <v>363</v>
      </c>
      <c r="C134" s="491" t="s">
        <v>104</v>
      </c>
      <c r="D134" s="492">
        <v>77000</v>
      </c>
      <c r="E134" s="491" t="s">
        <v>2450</v>
      </c>
      <c r="F134" s="471"/>
      <c r="G134" s="471"/>
      <c r="H134" s="471"/>
      <c r="I134" s="471"/>
      <c r="J134" s="471"/>
      <c r="K134" s="471"/>
      <c r="L134" s="471"/>
      <c r="M134" s="471"/>
      <c r="N134" s="471"/>
      <c r="O134" s="471"/>
    </row>
    <row r="135" spans="1:15" x14ac:dyDescent="0.25">
      <c r="A135" s="471"/>
      <c r="B135" s="491" t="s">
        <v>3421</v>
      </c>
      <c r="C135" s="491" t="s">
        <v>104</v>
      </c>
      <c r="D135" s="492">
        <v>49500</v>
      </c>
      <c r="E135" s="491" t="s">
        <v>2450</v>
      </c>
      <c r="F135" s="471"/>
      <c r="G135" s="471"/>
      <c r="H135" s="471"/>
      <c r="I135" s="471"/>
      <c r="J135" s="471"/>
      <c r="K135" s="471"/>
      <c r="L135" s="471"/>
      <c r="M135" s="471"/>
      <c r="N135" s="471"/>
      <c r="O135" s="471"/>
    </row>
    <row r="136" spans="1:15" x14ac:dyDescent="0.25">
      <c r="A136" s="471"/>
      <c r="B136" s="491" t="s">
        <v>3422</v>
      </c>
      <c r="C136" s="491" t="s">
        <v>104</v>
      </c>
      <c r="D136" s="492">
        <v>136700</v>
      </c>
      <c r="E136" s="491" t="s">
        <v>2450</v>
      </c>
      <c r="F136" s="471"/>
      <c r="G136" s="471"/>
      <c r="H136" s="471"/>
      <c r="I136" s="471"/>
      <c r="J136" s="471"/>
      <c r="K136" s="471"/>
      <c r="L136" s="471"/>
      <c r="M136" s="471"/>
      <c r="N136" s="471"/>
      <c r="O136" s="471"/>
    </row>
    <row r="137" spans="1:15" x14ac:dyDescent="0.25">
      <c r="A137" s="471"/>
      <c r="B137" s="491" t="s">
        <v>1773</v>
      </c>
      <c r="C137" s="491" t="s">
        <v>104</v>
      </c>
      <c r="D137" s="492">
        <v>130546</v>
      </c>
      <c r="E137" s="491" t="s">
        <v>2450</v>
      </c>
      <c r="F137" s="471"/>
      <c r="G137" s="471"/>
      <c r="H137" s="471"/>
      <c r="I137" s="471"/>
      <c r="J137" s="471"/>
      <c r="K137" s="471"/>
      <c r="L137" s="471"/>
      <c r="M137" s="471"/>
      <c r="N137" s="471"/>
      <c r="O137" s="471"/>
    </row>
    <row r="138" spans="1:15" x14ac:dyDescent="0.25">
      <c r="A138" s="471"/>
      <c r="B138" s="491" t="s">
        <v>3423</v>
      </c>
      <c r="C138" s="491" t="s">
        <v>104</v>
      </c>
      <c r="D138" s="492">
        <v>29900</v>
      </c>
      <c r="E138" s="491" t="s">
        <v>2450</v>
      </c>
      <c r="F138" s="471"/>
      <c r="G138" s="471"/>
      <c r="H138" s="471"/>
      <c r="I138" s="471"/>
      <c r="J138" s="471"/>
      <c r="K138" s="471"/>
      <c r="L138" s="471"/>
      <c r="M138" s="471"/>
      <c r="N138" s="471"/>
      <c r="O138" s="471"/>
    </row>
    <row r="139" spans="1:15" x14ac:dyDescent="0.25">
      <c r="A139" s="471"/>
      <c r="B139" s="491" t="s">
        <v>3424</v>
      </c>
      <c r="C139" s="491" t="s">
        <v>104</v>
      </c>
      <c r="D139" s="492">
        <v>6000</v>
      </c>
      <c r="E139" s="491" t="s">
        <v>2450</v>
      </c>
      <c r="F139" s="471"/>
      <c r="G139" s="471"/>
      <c r="H139" s="471"/>
      <c r="I139" s="471"/>
      <c r="J139" s="471"/>
      <c r="K139" s="471"/>
      <c r="L139" s="471"/>
      <c r="M139" s="471"/>
      <c r="N139" s="471"/>
      <c r="O139" s="471"/>
    </row>
    <row r="140" spans="1:15" x14ac:dyDescent="0.25">
      <c r="A140" s="471"/>
      <c r="B140" s="491" t="s">
        <v>1787</v>
      </c>
      <c r="C140" s="491" t="s">
        <v>106</v>
      </c>
      <c r="D140" s="492">
        <v>603770</v>
      </c>
      <c r="E140" s="491" t="s">
        <v>2450</v>
      </c>
      <c r="F140" s="471"/>
      <c r="G140" s="471"/>
      <c r="H140" s="471"/>
      <c r="I140" s="471"/>
      <c r="J140" s="471"/>
      <c r="K140" s="471"/>
      <c r="L140" s="471"/>
      <c r="M140" s="471"/>
      <c r="N140" s="471"/>
      <c r="O140" s="471"/>
    </row>
    <row r="141" spans="1:15" x14ac:dyDescent="0.25">
      <c r="A141" s="471"/>
      <c r="B141" s="491" t="s">
        <v>3425</v>
      </c>
      <c r="C141" s="491" t="s">
        <v>106</v>
      </c>
      <c r="D141" s="492">
        <v>147000</v>
      </c>
      <c r="E141" s="491" t="s">
        <v>2450</v>
      </c>
      <c r="F141" s="471"/>
      <c r="G141" s="471"/>
      <c r="H141" s="471"/>
      <c r="I141" s="471"/>
      <c r="J141" s="471"/>
      <c r="K141" s="471"/>
      <c r="L141" s="471"/>
      <c r="M141" s="471"/>
      <c r="N141" s="471"/>
      <c r="O141" s="471"/>
    </row>
    <row r="142" spans="1:15" x14ac:dyDescent="0.25">
      <c r="A142" s="471"/>
      <c r="B142" s="491" t="s">
        <v>1810</v>
      </c>
      <c r="C142" s="491" t="s">
        <v>106</v>
      </c>
      <c r="D142" s="492">
        <v>137940</v>
      </c>
      <c r="E142" s="491" t="s">
        <v>2450</v>
      </c>
      <c r="F142" s="471"/>
      <c r="G142" s="471"/>
      <c r="H142" s="471"/>
      <c r="I142" s="471"/>
      <c r="J142" s="471"/>
      <c r="K142" s="471"/>
      <c r="L142" s="471"/>
      <c r="M142" s="471"/>
      <c r="N142" s="471"/>
      <c r="O142" s="471"/>
    </row>
    <row r="143" spans="1:15" x14ac:dyDescent="0.25">
      <c r="A143" s="471"/>
      <c r="B143" s="491" t="s">
        <v>3426</v>
      </c>
      <c r="C143" s="491" t="s">
        <v>106</v>
      </c>
      <c r="D143" s="492">
        <v>90000</v>
      </c>
      <c r="E143" s="491" t="s">
        <v>2450</v>
      </c>
      <c r="F143" s="471"/>
      <c r="G143" s="471"/>
      <c r="H143" s="471"/>
      <c r="I143" s="471"/>
      <c r="J143" s="471"/>
      <c r="K143" s="471"/>
      <c r="L143" s="471"/>
      <c r="M143" s="471"/>
      <c r="N143" s="471"/>
      <c r="O143" s="471"/>
    </row>
    <row r="144" spans="1:15" x14ac:dyDescent="0.25">
      <c r="A144" s="471"/>
      <c r="B144" s="491" t="s">
        <v>385</v>
      </c>
      <c r="C144" s="491" t="s">
        <v>106</v>
      </c>
      <c r="D144" s="492">
        <v>332000</v>
      </c>
      <c r="E144" s="491" t="s">
        <v>2450</v>
      </c>
      <c r="F144" s="471"/>
      <c r="G144" s="471"/>
      <c r="H144" s="471"/>
      <c r="I144" s="471"/>
      <c r="J144" s="471"/>
      <c r="K144" s="471"/>
      <c r="L144" s="471"/>
      <c r="M144" s="471"/>
      <c r="N144" s="471"/>
      <c r="O144" s="471"/>
    </row>
    <row r="145" spans="1:15" x14ac:dyDescent="0.25">
      <c r="A145" s="471"/>
      <c r="B145" s="491" t="s">
        <v>730</v>
      </c>
      <c r="C145" s="491" t="s">
        <v>106</v>
      </c>
      <c r="D145" s="492">
        <v>83000</v>
      </c>
      <c r="E145" s="491" t="s">
        <v>2450</v>
      </c>
      <c r="F145" s="471"/>
      <c r="G145" s="471"/>
      <c r="H145" s="471"/>
      <c r="I145" s="471"/>
      <c r="J145" s="471"/>
      <c r="K145" s="471"/>
      <c r="L145" s="471"/>
      <c r="M145" s="471"/>
      <c r="N145" s="471"/>
      <c r="O145" s="471"/>
    </row>
    <row r="146" spans="1:15" x14ac:dyDescent="0.25">
      <c r="A146" s="471"/>
      <c r="B146" s="491" t="s">
        <v>737</v>
      </c>
      <c r="C146" s="491" t="s">
        <v>112</v>
      </c>
      <c r="D146" s="492">
        <v>64000</v>
      </c>
      <c r="E146" s="491" t="s">
        <v>2450</v>
      </c>
      <c r="F146" s="471"/>
      <c r="G146" s="471"/>
      <c r="H146" s="471"/>
      <c r="I146" s="471"/>
      <c r="J146" s="471"/>
      <c r="K146" s="471"/>
      <c r="L146" s="471"/>
      <c r="M146" s="471"/>
      <c r="N146" s="471"/>
      <c r="O146" s="471"/>
    </row>
    <row r="147" spans="1:15" x14ac:dyDescent="0.25">
      <c r="A147" s="471"/>
      <c r="B147" s="491" t="s">
        <v>3427</v>
      </c>
      <c r="C147" s="491" t="s">
        <v>112</v>
      </c>
      <c r="D147" s="492">
        <v>105000</v>
      </c>
      <c r="E147" s="491" t="s">
        <v>2450</v>
      </c>
      <c r="F147" s="471"/>
      <c r="G147" s="471"/>
      <c r="H147" s="471"/>
      <c r="I147" s="471"/>
      <c r="J147" s="471"/>
      <c r="K147" s="471"/>
      <c r="L147" s="471"/>
      <c r="M147" s="471"/>
      <c r="N147" s="471"/>
      <c r="O147" s="471"/>
    </row>
    <row r="148" spans="1:15" x14ac:dyDescent="0.25">
      <c r="A148" s="471"/>
      <c r="B148" s="491" t="s">
        <v>3428</v>
      </c>
      <c r="C148" s="491" t="s">
        <v>112</v>
      </c>
      <c r="D148" s="590">
        <v>68000.03</v>
      </c>
      <c r="E148" s="491" t="s">
        <v>2450</v>
      </c>
      <c r="F148" s="471"/>
      <c r="G148" s="471"/>
      <c r="H148" s="471"/>
      <c r="I148" s="471"/>
      <c r="J148" s="471"/>
      <c r="K148" s="471"/>
      <c r="L148" s="471"/>
      <c r="M148" s="471"/>
      <c r="N148" s="471"/>
      <c r="O148" s="471"/>
    </row>
    <row r="149" spans="1:15" x14ac:dyDescent="0.25">
      <c r="A149" s="471"/>
      <c r="B149" s="491" t="s">
        <v>3429</v>
      </c>
      <c r="C149" s="491" t="s">
        <v>112</v>
      </c>
      <c r="D149" s="590">
        <v>28199.99</v>
      </c>
      <c r="E149" s="491" t="s">
        <v>2450</v>
      </c>
      <c r="F149" s="471"/>
      <c r="G149" s="471"/>
      <c r="H149" s="471"/>
      <c r="I149" s="471"/>
      <c r="J149" s="471"/>
      <c r="K149" s="471"/>
      <c r="L149" s="471"/>
      <c r="M149" s="471"/>
      <c r="N149" s="471"/>
      <c r="O149" s="471"/>
    </row>
    <row r="150" spans="1:15" x14ac:dyDescent="0.25">
      <c r="A150" s="471"/>
      <c r="B150" s="491" t="s">
        <v>3430</v>
      </c>
      <c r="C150" s="491" t="s">
        <v>112</v>
      </c>
      <c r="D150" s="492">
        <v>3000</v>
      </c>
      <c r="E150" s="491" t="s">
        <v>2450</v>
      </c>
      <c r="F150" s="471"/>
      <c r="G150" s="471"/>
      <c r="H150" s="471"/>
      <c r="I150" s="471"/>
      <c r="J150" s="471"/>
      <c r="K150" s="471"/>
      <c r="L150" s="471"/>
      <c r="M150" s="471"/>
      <c r="N150" s="471"/>
      <c r="O150" s="471"/>
    </row>
    <row r="151" spans="1:15" x14ac:dyDescent="0.25">
      <c r="A151" s="471"/>
      <c r="B151" s="491" t="s">
        <v>3431</v>
      </c>
      <c r="C151" s="491" t="s">
        <v>112</v>
      </c>
      <c r="D151" s="492">
        <v>6200</v>
      </c>
      <c r="E151" s="491" t="s">
        <v>2450</v>
      </c>
      <c r="F151" s="471"/>
      <c r="G151" s="471"/>
      <c r="H151" s="471"/>
      <c r="I151" s="471"/>
      <c r="J151" s="471"/>
      <c r="K151" s="471"/>
      <c r="L151" s="471"/>
      <c r="M151" s="471"/>
      <c r="N151" s="471"/>
      <c r="O151" s="471"/>
    </row>
    <row r="152" spans="1:15" x14ac:dyDescent="0.25">
      <c r="A152" s="471"/>
      <c r="B152" s="491" t="s">
        <v>3432</v>
      </c>
      <c r="C152" s="491" t="s">
        <v>115</v>
      </c>
      <c r="D152" s="492">
        <v>37080</v>
      </c>
      <c r="E152" s="491" t="s">
        <v>2450</v>
      </c>
      <c r="F152" s="471"/>
      <c r="G152" s="471"/>
      <c r="H152" s="471"/>
      <c r="I152" s="471"/>
      <c r="J152" s="471"/>
      <c r="K152" s="471"/>
      <c r="L152" s="471"/>
      <c r="M152" s="471"/>
      <c r="N152" s="471"/>
      <c r="O152" s="471"/>
    </row>
    <row r="153" spans="1:15" x14ac:dyDescent="0.25">
      <c r="A153" s="471"/>
      <c r="B153" s="491" t="s">
        <v>1835</v>
      </c>
      <c r="C153" s="491" t="s">
        <v>115</v>
      </c>
      <c r="D153" s="590">
        <v>137999.97</v>
      </c>
      <c r="E153" s="491" t="s">
        <v>2450</v>
      </c>
      <c r="F153" s="471"/>
      <c r="G153" s="471"/>
      <c r="H153" s="471"/>
      <c r="I153" s="471"/>
      <c r="J153" s="471"/>
      <c r="K153" s="471"/>
      <c r="L153" s="471"/>
      <c r="M153" s="471"/>
      <c r="N153" s="471"/>
      <c r="O153" s="471"/>
    </row>
    <row r="154" spans="1:15" x14ac:dyDescent="0.25">
      <c r="A154" s="471"/>
      <c r="B154" s="491" t="s">
        <v>1838</v>
      </c>
      <c r="C154" s="491" t="s">
        <v>115</v>
      </c>
      <c r="D154" s="492">
        <v>300000</v>
      </c>
      <c r="E154" s="491" t="s">
        <v>2450</v>
      </c>
      <c r="F154" s="471"/>
      <c r="G154" s="471"/>
      <c r="H154" s="471"/>
      <c r="I154" s="471"/>
      <c r="J154" s="471"/>
      <c r="K154" s="471"/>
      <c r="L154" s="471"/>
      <c r="M154" s="471"/>
      <c r="N154" s="471"/>
      <c r="O154" s="471"/>
    </row>
    <row r="155" spans="1:15" x14ac:dyDescent="0.25">
      <c r="A155" s="471"/>
      <c r="B155" s="491" t="s">
        <v>1849</v>
      </c>
      <c r="C155" s="491" t="s">
        <v>118</v>
      </c>
      <c r="D155" s="492">
        <v>95820</v>
      </c>
      <c r="E155" s="491" t="s">
        <v>2450</v>
      </c>
      <c r="F155" s="471"/>
      <c r="G155" s="471"/>
      <c r="H155" s="471"/>
      <c r="I155" s="471"/>
      <c r="J155" s="471"/>
      <c r="K155" s="471"/>
      <c r="L155" s="471"/>
      <c r="M155" s="471"/>
      <c r="N155" s="471"/>
      <c r="O155" s="471"/>
    </row>
    <row r="156" spans="1:15" x14ac:dyDescent="0.25">
      <c r="A156" s="471"/>
      <c r="B156" s="491" t="s">
        <v>3433</v>
      </c>
      <c r="C156" s="491" t="s">
        <v>118</v>
      </c>
      <c r="D156" s="492">
        <v>5000</v>
      </c>
      <c r="E156" s="491" t="s">
        <v>2450</v>
      </c>
      <c r="F156" s="471"/>
      <c r="G156" s="471"/>
      <c r="H156" s="471"/>
      <c r="I156" s="471"/>
      <c r="J156" s="471"/>
      <c r="K156" s="471"/>
      <c r="L156" s="471"/>
      <c r="M156" s="471"/>
      <c r="N156" s="471"/>
      <c r="O156" s="471"/>
    </row>
    <row r="157" spans="1:15" x14ac:dyDescent="0.25">
      <c r="A157" s="471"/>
      <c r="B157" s="491" t="s">
        <v>1928</v>
      </c>
      <c r="C157" s="491" t="s">
        <v>118</v>
      </c>
      <c r="D157" s="492">
        <v>3500</v>
      </c>
      <c r="E157" s="491" t="s">
        <v>2450</v>
      </c>
      <c r="F157" s="471"/>
      <c r="G157" s="471"/>
      <c r="H157" s="471"/>
      <c r="I157" s="471"/>
      <c r="J157" s="471"/>
      <c r="K157" s="471"/>
      <c r="L157" s="471"/>
      <c r="M157" s="471"/>
      <c r="N157" s="471"/>
      <c r="O157" s="471"/>
    </row>
    <row r="158" spans="1:15" x14ac:dyDescent="0.25">
      <c r="A158" s="471"/>
      <c r="B158" s="491" t="s">
        <v>425</v>
      </c>
      <c r="C158" s="491" t="s">
        <v>118</v>
      </c>
      <c r="D158" s="492">
        <v>144700</v>
      </c>
      <c r="E158" s="491" t="s">
        <v>2450</v>
      </c>
      <c r="F158" s="471"/>
      <c r="G158" s="471"/>
      <c r="H158" s="471"/>
      <c r="I158" s="471"/>
      <c r="J158" s="471"/>
      <c r="K158" s="471"/>
      <c r="L158" s="471"/>
      <c r="M158" s="471"/>
      <c r="N158" s="471"/>
      <c r="O158" s="471"/>
    </row>
    <row r="159" spans="1:15" x14ac:dyDescent="0.25">
      <c r="A159" s="471"/>
      <c r="B159" s="491" t="s">
        <v>3434</v>
      </c>
      <c r="C159" s="491" t="s">
        <v>118</v>
      </c>
      <c r="D159" s="492">
        <v>90000</v>
      </c>
      <c r="E159" s="491" t="s">
        <v>2450</v>
      </c>
      <c r="F159" s="471"/>
      <c r="G159" s="471"/>
      <c r="H159" s="471"/>
      <c r="I159" s="471"/>
      <c r="J159" s="471"/>
      <c r="K159" s="471"/>
      <c r="L159" s="471"/>
      <c r="M159" s="471"/>
      <c r="N159" s="471"/>
      <c r="O159" s="471"/>
    </row>
    <row r="160" spans="1:15" x14ac:dyDescent="0.25">
      <c r="A160" s="471"/>
      <c r="B160" s="491" t="s">
        <v>3435</v>
      </c>
      <c r="C160" s="491" t="s">
        <v>121</v>
      </c>
      <c r="D160" s="492">
        <v>100000</v>
      </c>
      <c r="E160" s="491" t="s">
        <v>2450</v>
      </c>
      <c r="F160" s="471"/>
      <c r="G160" s="471"/>
      <c r="H160" s="471"/>
      <c r="I160" s="471"/>
      <c r="J160" s="471"/>
      <c r="K160" s="471"/>
      <c r="L160" s="471"/>
      <c r="M160" s="471"/>
      <c r="N160" s="471"/>
      <c r="O160" s="471"/>
    </row>
    <row r="161" spans="1:15" x14ac:dyDescent="0.25">
      <c r="A161" s="471"/>
      <c r="B161" s="491" t="s">
        <v>3436</v>
      </c>
      <c r="C161" s="491" t="s">
        <v>121</v>
      </c>
      <c r="D161" s="492">
        <v>800000</v>
      </c>
      <c r="E161" s="491" t="s">
        <v>2450</v>
      </c>
      <c r="F161" s="471"/>
      <c r="G161" s="471"/>
      <c r="H161" s="471"/>
      <c r="I161" s="471"/>
      <c r="J161" s="471"/>
      <c r="K161" s="471"/>
      <c r="L161" s="471"/>
      <c r="M161" s="471"/>
      <c r="N161" s="471"/>
      <c r="O161" s="471"/>
    </row>
    <row r="162" spans="1:15" x14ac:dyDescent="0.25">
      <c r="A162" s="471"/>
      <c r="B162" s="491" t="s">
        <v>3437</v>
      </c>
      <c r="C162" s="491" t="s">
        <v>121</v>
      </c>
      <c r="D162" s="492">
        <v>147500</v>
      </c>
      <c r="E162" s="491" t="s">
        <v>2450</v>
      </c>
      <c r="F162" s="471"/>
      <c r="G162" s="471"/>
      <c r="H162" s="471"/>
      <c r="I162" s="471"/>
      <c r="J162" s="471"/>
      <c r="K162" s="471"/>
      <c r="L162" s="471"/>
      <c r="M162" s="471"/>
      <c r="N162" s="471"/>
      <c r="O162" s="471"/>
    </row>
    <row r="163" spans="1:15" x14ac:dyDescent="0.25">
      <c r="A163" s="471"/>
      <c r="B163" s="491" t="s">
        <v>3438</v>
      </c>
      <c r="C163" s="491" t="s">
        <v>121</v>
      </c>
      <c r="D163" s="492">
        <v>30000</v>
      </c>
      <c r="E163" s="491" t="s">
        <v>2450</v>
      </c>
      <c r="F163" s="471"/>
      <c r="G163" s="471"/>
      <c r="H163" s="471"/>
      <c r="I163" s="471"/>
      <c r="J163" s="471"/>
      <c r="K163" s="471"/>
      <c r="L163" s="471"/>
      <c r="M163" s="471"/>
      <c r="N163" s="471"/>
      <c r="O163" s="471"/>
    </row>
    <row r="164" spans="1:15" x14ac:dyDescent="0.25">
      <c r="A164" s="471"/>
      <c r="B164" s="491" t="s">
        <v>3439</v>
      </c>
      <c r="C164" s="491" t="s">
        <v>121</v>
      </c>
      <c r="D164" s="492">
        <v>76700</v>
      </c>
      <c r="E164" s="491" t="s">
        <v>2450</v>
      </c>
      <c r="F164" s="471"/>
      <c r="G164" s="471"/>
      <c r="H164" s="471"/>
      <c r="I164" s="471"/>
      <c r="J164" s="471"/>
      <c r="K164" s="471"/>
      <c r="L164" s="471"/>
      <c r="M164" s="471"/>
      <c r="N164" s="471"/>
      <c r="O164" s="471"/>
    </row>
    <row r="165" spans="1:15" x14ac:dyDescent="0.25">
      <c r="A165" s="471"/>
      <c r="B165" s="491" t="s">
        <v>1946</v>
      </c>
      <c r="C165" s="491" t="s">
        <v>121</v>
      </c>
      <c r="D165" s="492">
        <v>69000</v>
      </c>
      <c r="E165" s="491" t="s">
        <v>2450</v>
      </c>
      <c r="F165" s="471"/>
      <c r="G165" s="471"/>
      <c r="H165" s="471"/>
      <c r="I165" s="471"/>
      <c r="J165" s="471"/>
      <c r="K165" s="471"/>
      <c r="L165" s="471"/>
      <c r="M165" s="471"/>
      <c r="N165" s="471"/>
      <c r="O165" s="471"/>
    </row>
    <row r="166" spans="1:15" x14ac:dyDescent="0.25">
      <c r="A166" s="471"/>
      <c r="B166" s="491" t="s">
        <v>3440</v>
      </c>
      <c r="C166" s="491" t="s">
        <v>121</v>
      </c>
      <c r="D166" s="492">
        <v>3800</v>
      </c>
      <c r="E166" s="491" t="s">
        <v>2450</v>
      </c>
      <c r="F166" s="471"/>
      <c r="G166" s="471"/>
      <c r="H166" s="471"/>
      <c r="I166" s="471"/>
      <c r="J166" s="471"/>
      <c r="K166" s="471"/>
      <c r="L166" s="471"/>
      <c r="M166" s="471"/>
      <c r="N166" s="471"/>
      <c r="O166" s="471"/>
    </row>
    <row r="167" spans="1:15" x14ac:dyDescent="0.25">
      <c r="A167" s="471"/>
      <c r="B167" s="491" t="s">
        <v>1969</v>
      </c>
      <c r="C167" s="491" t="s">
        <v>124</v>
      </c>
      <c r="D167" s="492">
        <v>194500</v>
      </c>
      <c r="E167" s="491" t="s">
        <v>2450</v>
      </c>
      <c r="F167" s="471"/>
      <c r="G167" s="471"/>
      <c r="H167" s="471"/>
      <c r="I167" s="471"/>
      <c r="J167" s="471"/>
      <c r="K167" s="471"/>
      <c r="L167" s="471"/>
      <c r="M167" s="471"/>
      <c r="N167" s="471"/>
      <c r="O167" s="471"/>
    </row>
    <row r="168" spans="1:15" x14ac:dyDescent="0.25">
      <c r="A168" s="471"/>
      <c r="B168" s="491" t="s">
        <v>3441</v>
      </c>
      <c r="C168" s="491" t="s">
        <v>124</v>
      </c>
      <c r="D168" s="492">
        <v>8000</v>
      </c>
      <c r="E168" s="491" t="s">
        <v>2450</v>
      </c>
      <c r="F168" s="471"/>
      <c r="G168" s="471"/>
      <c r="H168" s="471"/>
      <c r="I168" s="471"/>
      <c r="J168" s="471"/>
      <c r="K168" s="471"/>
      <c r="L168" s="471"/>
      <c r="M168" s="471"/>
      <c r="N168" s="471"/>
      <c r="O168" s="471"/>
    </row>
    <row r="169" spans="1:15" x14ac:dyDescent="0.25">
      <c r="A169" s="471"/>
      <c r="B169" s="491" t="s">
        <v>1985</v>
      </c>
      <c r="C169" s="491" t="s">
        <v>127</v>
      </c>
      <c r="D169" s="492">
        <v>30000</v>
      </c>
      <c r="E169" s="491" t="s">
        <v>2450</v>
      </c>
      <c r="F169" s="471"/>
      <c r="G169" s="471"/>
      <c r="H169" s="471"/>
      <c r="I169" s="471"/>
      <c r="J169" s="471"/>
      <c r="K169" s="471"/>
      <c r="L169" s="471"/>
      <c r="M169" s="471"/>
      <c r="N169" s="471"/>
      <c r="O169" s="471"/>
    </row>
    <row r="170" spans="1:15" x14ac:dyDescent="0.25">
      <c r="A170" s="471"/>
      <c r="B170" s="491" t="s">
        <v>1994</v>
      </c>
      <c r="C170" s="491" t="s">
        <v>127</v>
      </c>
      <c r="D170" s="492">
        <v>8000</v>
      </c>
      <c r="E170" s="491" t="s">
        <v>2450</v>
      </c>
      <c r="F170" s="471"/>
      <c r="G170" s="471"/>
      <c r="H170" s="471"/>
      <c r="I170" s="471"/>
      <c r="J170" s="471"/>
      <c r="K170" s="471"/>
      <c r="L170" s="471"/>
      <c r="M170" s="471"/>
      <c r="N170" s="471"/>
      <c r="O170" s="471"/>
    </row>
    <row r="171" spans="1:15" x14ac:dyDescent="0.25">
      <c r="A171" s="471"/>
      <c r="B171" s="491" t="s">
        <v>3442</v>
      </c>
      <c r="C171" s="491" t="s">
        <v>127</v>
      </c>
      <c r="D171" s="492">
        <v>250000</v>
      </c>
      <c r="E171" s="491" t="s">
        <v>2450</v>
      </c>
      <c r="F171" s="471"/>
      <c r="G171" s="471"/>
      <c r="H171" s="471"/>
      <c r="I171" s="471"/>
      <c r="J171" s="471"/>
      <c r="K171" s="471"/>
      <c r="L171" s="471"/>
      <c r="M171" s="471"/>
      <c r="N171" s="471"/>
      <c r="O171" s="471"/>
    </row>
    <row r="172" spans="1:15" x14ac:dyDescent="0.25">
      <c r="A172" s="471"/>
      <c r="B172" s="491" t="s">
        <v>2275</v>
      </c>
      <c r="C172" s="491" t="s">
        <v>130</v>
      </c>
      <c r="D172" s="492">
        <v>78000</v>
      </c>
      <c r="E172" s="491" t="s">
        <v>2450</v>
      </c>
      <c r="F172" s="471"/>
      <c r="G172" s="471"/>
      <c r="H172" s="471"/>
      <c r="I172" s="471"/>
      <c r="J172" s="471"/>
      <c r="K172" s="471"/>
      <c r="L172" s="471"/>
      <c r="M172" s="471"/>
      <c r="N172" s="471"/>
      <c r="O172" s="471"/>
    </row>
    <row r="173" spans="1:15" x14ac:dyDescent="0.25">
      <c r="A173" s="471"/>
      <c r="B173" s="491" t="s">
        <v>2278</v>
      </c>
      <c r="C173" s="491" t="s">
        <v>133</v>
      </c>
      <c r="D173" s="492">
        <v>76500</v>
      </c>
      <c r="E173" s="491" t="s">
        <v>2450</v>
      </c>
      <c r="F173" s="471"/>
      <c r="G173" s="471"/>
      <c r="H173" s="471"/>
      <c r="I173" s="471"/>
      <c r="J173" s="471"/>
      <c r="K173" s="471"/>
      <c r="L173" s="471"/>
      <c r="M173" s="471"/>
      <c r="N173" s="471"/>
      <c r="O173" s="471"/>
    </row>
    <row r="174" spans="1:15" x14ac:dyDescent="0.25">
      <c r="A174" s="471"/>
      <c r="B174" s="471"/>
      <c r="C174" s="471"/>
      <c r="D174" s="589"/>
      <c r="E174" s="471"/>
      <c r="F174" s="471"/>
      <c r="G174" s="471"/>
      <c r="H174" s="471"/>
      <c r="I174" s="471"/>
      <c r="J174" s="471"/>
      <c r="K174" s="471"/>
      <c r="L174" s="471"/>
      <c r="M174" s="471"/>
      <c r="N174" s="471"/>
      <c r="O174" s="471"/>
    </row>
    <row r="175" spans="1:15" x14ac:dyDescent="0.25">
      <c r="A175" s="471"/>
      <c r="B175" s="493" t="s">
        <v>2448</v>
      </c>
      <c r="C175" s="494"/>
      <c r="D175" s="586">
        <f>SUM(D79:D173)</f>
        <v>15045786.74</v>
      </c>
      <c r="E175" s="494"/>
      <c r="F175" s="471"/>
      <c r="G175" s="471"/>
      <c r="H175" s="471"/>
      <c r="I175" s="471"/>
      <c r="J175" s="471"/>
      <c r="K175" s="471"/>
      <c r="L175" s="471"/>
      <c r="M175" s="471"/>
      <c r="N175" s="471"/>
      <c r="O175" s="471"/>
    </row>
    <row r="176" spans="1:15" x14ac:dyDescent="0.25">
      <c r="A176" s="471"/>
      <c r="B176" s="495" t="s">
        <v>2451</v>
      </c>
      <c r="C176" s="496"/>
      <c r="D176" s="587">
        <f>SUMIF(E79:E173, "CANCELADA", D79:D173)</f>
        <v>15045786.74</v>
      </c>
      <c r="E176" s="496"/>
      <c r="F176" s="471"/>
      <c r="G176" s="471"/>
      <c r="H176" s="471"/>
      <c r="I176" s="471"/>
      <c r="J176" s="471"/>
      <c r="K176" s="471"/>
      <c r="L176" s="471"/>
      <c r="M176" s="471"/>
      <c r="N176" s="471"/>
      <c r="O176" s="471"/>
    </row>
    <row r="177" spans="1:15" x14ac:dyDescent="0.25">
      <c r="A177" s="471"/>
      <c r="B177" s="495" t="s">
        <v>2452</v>
      </c>
      <c r="C177" s="496"/>
      <c r="D177" s="587">
        <f>D175-D176</f>
        <v>0</v>
      </c>
      <c r="E177" s="496"/>
      <c r="F177" s="471"/>
      <c r="G177" s="471"/>
      <c r="H177" s="471"/>
      <c r="I177" s="471"/>
      <c r="J177" s="471"/>
      <c r="K177" s="471"/>
      <c r="L177" s="471"/>
      <c r="M177" s="471"/>
      <c r="N177" s="471"/>
      <c r="O177" s="471"/>
    </row>
    <row r="178" spans="1:15" x14ac:dyDescent="0.25">
      <c r="A178" s="471"/>
      <c r="B178" s="471"/>
      <c r="C178" s="471"/>
      <c r="D178" s="471"/>
      <c r="E178" s="471"/>
      <c r="F178" s="471"/>
      <c r="G178" s="471"/>
      <c r="H178" s="471"/>
      <c r="I178" s="471"/>
      <c r="J178" s="471"/>
      <c r="K178" s="471"/>
      <c r="L178" s="471"/>
      <c r="M178" s="471"/>
      <c r="N178" s="471"/>
      <c r="O178" s="471"/>
    </row>
    <row r="179" spans="1:15" x14ac:dyDescent="0.25">
      <c r="A179" s="471"/>
      <c r="B179" s="471"/>
      <c r="C179" s="471"/>
      <c r="D179" s="497"/>
      <c r="E179" s="471"/>
      <c r="F179" s="471"/>
      <c r="G179" s="471"/>
      <c r="H179" s="471"/>
      <c r="I179" s="471"/>
      <c r="J179" s="471"/>
      <c r="K179" s="471"/>
      <c r="L179" s="471"/>
      <c r="M179" s="471"/>
      <c r="N179" s="471"/>
      <c r="O179" s="471"/>
    </row>
    <row r="180" spans="1:15" x14ac:dyDescent="0.25">
      <c r="A180" s="471"/>
      <c r="B180" s="741" t="s">
        <v>3443</v>
      </c>
      <c r="C180" s="704"/>
      <c r="D180" s="704"/>
      <c r="E180" s="705"/>
      <c r="F180" s="471"/>
      <c r="G180" s="741" t="s">
        <v>3444</v>
      </c>
      <c r="H180" s="704"/>
      <c r="I180" s="704"/>
      <c r="J180" s="705"/>
      <c r="K180" s="471"/>
      <c r="L180" s="471"/>
      <c r="M180" s="471"/>
      <c r="N180" s="471"/>
      <c r="O180" s="471"/>
    </row>
    <row r="181" spans="1:15" x14ac:dyDescent="0.25">
      <c r="A181" s="471"/>
      <c r="B181" s="490" t="s">
        <v>2446</v>
      </c>
      <c r="C181" s="490" t="s">
        <v>2447</v>
      </c>
      <c r="D181" s="498" t="s">
        <v>2448</v>
      </c>
      <c r="E181" s="490" t="s">
        <v>3391</v>
      </c>
      <c r="F181" s="471"/>
      <c r="G181" s="490" t="s">
        <v>2446</v>
      </c>
      <c r="H181" s="490" t="s">
        <v>2447</v>
      </c>
      <c r="I181" s="498" t="s">
        <v>2448</v>
      </c>
      <c r="J181" s="490" t="s">
        <v>3391</v>
      </c>
      <c r="K181" s="471"/>
      <c r="L181" s="471"/>
      <c r="M181" s="471"/>
      <c r="N181" s="471"/>
      <c r="O181" s="471"/>
    </row>
    <row r="182" spans="1:15" x14ac:dyDescent="0.25">
      <c r="A182" s="471"/>
      <c r="B182" s="491" t="s">
        <v>1733</v>
      </c>
      <c r="C182" s="491" t="s">
        <v>104</v>
      </c>
      <c r="D182" s="492">
        <v>2288950</v>
      </c>
      <c r="E182" s="491" t="s">
        <v>2450</v>
      </c>
      <c r="F182" s="471"/>
      <c r="G182" s="473" t="s">
        <v>232</v>
      </c>
      <c r="H182" s="473" t="s">
        <v>90</v>
      </c>
      <c r="I182" s="475">
        <v>342640</v>
      </c>
      <c r="J182" s="473" t="s">
        <v>2452</v>
      </c>
      <c r="K182" s="471"/>
      <c r="L182" s="471"/>
      <c r="M182" s="471"/>
      <c r="N182" s="471"/>
      <c r="O182" s="471"/>
    </row>
    <row r="183" spans="1:15" x14ac:dyDescent="0.25">
      <c r="A183" s="471"/>
      <c r="B183" s="473" t="s">
        <v>2019</v>
      </c>
      <c r="C183" s="473" t="s">
        <v>124</v>
      </c>
      <c r="D183" s="475">
        <v>812600</v>
      </c>
      <c r="E183" s="473" t="s">
        <v>2452</v>
      </c>
      <c r="F183" s="471"/>
      <c r="G183" s="473" t="s">
        <v>237</v>
      </c>
      <c r="H183" s="473" t="s">
        <v>90</v>
      </c>
      <c r="I183" s="475">
        <v>524500</v>
      </c>
      <c r="J183" s="473" t="s">
        <v>2452</v>
      </c>
      <c r="K183" s="471"/>
      <c r="L183" s="471"/>
      <c r="M183" s="471"/>
      <c r="N183" s="471"/>
      <c r="O183" s="471"/>
    </row>
    <row r="184" spans="1:15" x14ac:dyDescent="0.25">
      <c r="A184" s="471"/>
      <c r="B184" s="473" t="s">
        <v>2037</v>
      </c>
      <c r="C184" s="473" t="s">
        <v>124</v>
      </c>
      <c r="D184" s="475">
        <v>960630</v>
      </c>
      <c r="E184" s="473" t="s">
        <v>2452</v>
      </c>
      <c r="F184" s="471"/>
      <c r="G184" s="473" t="s">
        <v>241</v>
      </c>
      <c r="H184" s="473" t="s">
        <v>90</v>
      </c>
      <c r="I184" s="475">
        <v>339650</v>
      </c>
      <c r="J184" s="473" t="s">
        <v>2452</v>
      </c>
      <c r="K184" s="471"/>
      <c r="L184" s="471"/>
      <c r="M184" s="471"/>
      <c r="N184" s="471"/>
      <c r="O184" s="471"/>
    </row>
    <row r="185" spans="1:15" x14ac:dyDescent="0.25">
      <c r="A185" s="471"/>
      <c r="B185" s="473" t="s">
        <v>2122</v>
      </c>
      <c r="C185" s="473" t="s">
        <v>127</v>
      </c>
      <c r="D185" s="475">
        <v>697250</v>
      </c>
      <c r="E185" s="473" t="s">
        <v>2452</v>
      </c>
      <c r="F185" s="471"/>
      <c r="G185" s="473" t="s">
        <v>315</v>
      </c>
      <c r="H185" s="473" t="s">
        <v>100</v>
      </c>
      <c r="I185" s="475">
        <v>225550</v>
      </c>
      <c r="J185" s="473" t="s">
        <v>2452</v>
      </c>
      <c r="K185" s="471"/>
      <c r="L185" s="471"/>
      <c r="M185" s="471"/>
      <c r="N185" s="471"/>
      <c r="O185" s="471"/>
    </row>
    <row r="186" spans="1:15" x14ac:dyDescent="0.25">
      <c r="A186" s="471"/>
      <c r="B186" s="473" t="s">
        <v>2140</v>
      </c>
      <c r="C186" s="473" t="s">
        <v>127</v>
      </c>
      <c r="D186" s="475">
        <v>1165080</v>
      </c>
      <c r="E186" s="473" t="s">
        <v>2452</v>
      </c>
      <c r="F186" s="471"/>
      <c r="G186" s="473" t="s">
        <v>337</v>
      </c>
      <c r="H186" s="473" t="s">
        <v>102</v>
      </c>
      <c r="I186" s="475">
        <v>516150</v>
      </c>
      <c r="J186" s="473" t="s">
        <v>2452</v>
      </c>
      <c r="K186" s="471"/>
      <c r="L186" s="471"/>
      <c r="M186" s="471"/>
      <c r="N186" s="471"/>
      <c r="O186" s="471"/>
    </row>
    <row r="187" spans="1:15" x14ac:dyDescent="0.25">
      <c r="A187" s="471"/>
      <c r="B187" s="473" t="s">
        <v>2152</v>
      </c>
      <c r="C187" s="473" t="s">
        <v>127</v>
      </c>
      <c r="D187" s="475">
        <v>1035990</v>
      </c>
      <c r="E187" s="473" t="s">
        <v>2452</v>
      </c>
      <c r="F187" s="471"/>
      <c r="G187" s="473" t="s">
        <v>684</v>
      </c>
      <c r="H187" s="473" t="s">
        <v>102</v>
      </c>
      <c r="I187" s="475">
        <v>413770</v>
      </c>
      <c r="J187" s="473" t="s">
        <v>2452</v>
      </c>
      <c r="K187" s="471"/>
      <c r="L187" s="471"/>
      <c r="M187" s="471"/>
      <c r="N187" s="471"/>
      <c r="O187" s="471"/>
    </row>
    <row r="188" spans="1:15" x14ac:dyDescent="0.25">
      <c r="A188" s="471"/>
      <c r="B188" s="471"/>
      <c r="C188" s="471"/>
      <c r="D188" s="497"/>
      <c r="E188" s="471"/>
      <c r="F188" s="471"/>
      <c r="G188" s="473" t="s">
        <v>351</v>
      </c>
      <c r="H188" s="473" t="s">
        <v>103</v>
      </c>
      <c r="I188" s="475">
        <v>563645</v>
      </c>
      <c r="J188" s="473" t="s">
        <v>2452</v>
      </c>
      <c r="K188" s="471"/>
      <c r="L188" s="471"/>
      <c r="M188" s="471"/>
      <c r="N188" s="471"/>
      <c r="O188" s="471"/>
    </row>
    <row r="189" spans="1:15" x14ac:dyDescent="0.25">
      <c r="A189" s="471"/>
      <c r="B189" s="493" t="s">
        <v>2448</v>
      </c>
      <c r="C189" s="494"/>
      <c r="D189" s="586">
        <f>SUM(D182:D187)</f>
        <v>6960500</v>
      </c>
      <c r="E189" s="494"/>
      <c r="F189" s="471"/>
      <c r="G189" s="473" t="s">
        <v>354</v>
      </c>
      <c r="H189" s="473" t="s">
        <v>103</v>
      </c>
      <c r="I189" s="475">
        <v>136950</v>
      </c>
      <c r="J189" s="473" t="s">
        <v>2452</v>
      </c>
      <c r="K189" s="471"/>
      <c r="L189" s="471"/>
      <c r="M189" s="471"/>
      <c r="N189" s="471"/>
      <c r="O189" s="471"/>
    </row>
    <row r="190" spans="1:15" x14ac:dyDescent="0.25">
      <c r="A190" s="471"/>
      <c r="B190" s="495" t="s">
        <v>2451</v>
      </c>
      <c r="C190" s="496"/>
      <c r="D190" s="587">
        <f>SUMIF(E182:E187, "CANCELADA", D182:D187)</f>
        <v>2288950</v>
      </c>
      <c r="E190" s="496"/>
      <c r="F190" s="471"/>
      <c r="G190" s="473" t="s">
        <v>380</v>
      </c>
      <c r="H190" s="473" t="s">
        <v>106</v>
      </c>
      <c r="I190" s="475">
        <v>187476</v>
      </c>
      <c r="J190" s="473" t="s">
        <v>2452</v>
      </c>
      <c r="K190" s="471"/>
      <c r="L190" s="471"/>
      <c r="M190" s="471"/>
      <c r="N190" s="471"/>
      <c r="O190" s="471"/>
    </row>
    <row r="191" spans="1:15" x14ac:dyDescent="0.25">
      <c r="A191" s="471"/>
      <c r="B191" s="495" t="s">
        <v>2452</v>
      </c>
      <c r="C191" s="496"/>
      <c r="D191" s="587">
        <f>D189-D190</f>
        <v>4671550</v>
      </c>
      <c r="E191" s="496"/>
      <c r="F191" s="471"/>
      <c r="G191" s="473" t="s">
        <v>383</v>
      </c>
      <c r="H191" s="473" t="s">
        <v>106</v>
      </c>
      <c r="I191" s="475">
        <v>1278990</v>
      </c>
      <c r="J191" s="473" t="s">
        <v>2452</v>
      </c>
      <c r="K191" s="471"/>
      <c r="L191" s="471"/>
      <c r="M191" s="471"/>
      <c r="N191" s="471"/>
      <c r="O191" s="471"/>
    </row>
    <row r="192" spans="1:15" x14ac:dyDescent="0.25">
      <c r="A192" s="471"/>
      <c r="B192" s="471"/>
      <c r="C192" s="471"/>
      <c r="D192" s="497"/>
      <c r="E192" s="471"/>
      <c r="F192" s="471"/>
      <c r="G192" s="473" t="s">
        <v>409</v>
      </c>
      <c r="H192" s="473" t="s">
        <v>115</v>
      </c>
      <c r="I192" s="475">
        <v>547400</v>
      </c>
      <c r="J192" s="473" t="s">
        <v>2452</v>
      </c>
      <c r="K192" s="471"/>
      <c r="L192" s="471"/>
      <c r="M192" s="471"/>
      <c r="N192" s="471"/>
      <c r="O192" s="471"/>
    </row>
    <row r="193" spans="1:15" x14ac:dyDescent="0.25">
      <c r="A193" s="471"/>
      <c r="B193" s="471"/>
      <c r="C193" s="471"/>
      <c r="D193" s="471"/>
      <c r="E193" s="471"/>
      <c r="F193" s="471"/>
      <c r="G193" s="473" t="s">
        <v>456</v>
      </c>
      <c r="H193" s="473" t="s">
        <v>124</v>
      </c>
      <c r="I193" s="475">
        <v>107500</v>
      </c>
      <c r="J193" s="473" t="s">
        <v>2452</v>
      </c>
      <c r="K193" s="471"/>
      <c r="L193" s="471"/>
      <c r="M193" s="471"/>
      <c r="N193" s="471"/>
      <c r="O193" s="471"/>
    </row>
    <row r="194" spans="1:15" x14ac:dyDescent="0.25">
      <c r="A194" s="471"/>
      <c r="B194" s="471"/>
      <c r="C194" s="471"/>
      <c r="D194" s="589"/>
      <c r="E194" s="471"/>
      <c r="F194" s="471"/>
      <c r="G194" s="473" t="s">
        <v>462</v>
      </c>
      <c r="H194" s="473" t="s">
        <v>124</v>
      </c>
      <c r="I194" s="475">
        <v>531940</v>
      </c>
      <c r="J194" s="473" t="s">
        <v>2452</v>
      </c>
      <c r="K194" s="471"/>
      <c r="L194" s="471"/>
      <c r="M194" s="471"/>
      <c r="N194" s="471"/>
      <c r="O194" s="471"/>
    </row>
    <row r="195" spans="1:15" x14ac:dyDescent="0.25">
      <c r="A195" s="471"/>
      <c r="B195" s="471"/>
      <c r="C195" s="471"/>
      <c r="D195" s="589"/>
      <c r="E195" s="471"/>
      <c r="F195" s="471"/>
      <c r="G195" s="471"/>
      <c r="H195" s="471"/>
      <c r="I195" s="589"/>
      <c r="J195" s="471"/>
      <c r="K195" s="471"/>
      <c r="L195" s="471"/>
      <c r="M195" s="471"/>
      <c r="N195" s="471"/>
      <c r="O195" s="471"/>
    </row>
    <row r="196" spans="1:15" x14ac:dyDescent="0.25">
      <c r="A196" s="471"/>
      <c r="B196" s="471"/>
      <c r="C196" s="471"/>
      <c r="D196" s="589"/>
      <c r="E196" s="471"/>
      <c r="F196" s="471"/>
      <c r="G196" s="493" t="s">
        <v>2448</v>
      </c>
      <c r="H196" s="494"/>
      <c r="I196" s="586">
        <f>SUM(I182:I194)</f>
        <v>5716161</v>
      </c>
      <c r="J196" s="494"/>
      <c r="K196" s="471"/>
      <c r="L196" s="471"/>
      <c r="M196" s="471"/>
      <c r="N196" s="471"/>
      <c r="O196" s="471"/>
    </row>
    <row r="197" spans="1:15" x14ac:dyDescent="0.25">
      <c r="A197" s="471"/>
      <c r="B197" s="471"/>
      <c r="C197" s="471"/>
      <c r="D197" s="471"/>
      <c r="E197" s="471"/>
      <c r="F197" s="471"/>
      <c r="G197" s="495" t="s">
        <v>2451</v>
      </c>
      <c r="H197" s="496"/>
      <c r="I197" s="587">
        <f>SUMIF(J182:J194, "CANCELADA", I182:I194)</f>
        <v>0</v>
      </c>
      <c r="J197" s="496"/>
      <c r="K197" s="471"/>
      <c r="L197" s="471"/>
      <c r="M197" s="471"/>
      <c r="N197" s="471"/>
      <c r="O197" s="471"/>
    </row>
    <row r="198" spans="1:15" x14ac:dyDescent="0.25">
      <c r="A198" s="471"/>
      <c r="B198" s="471"/>
      <c r="C198" s="471"/>
      <c r="D198" s="471"/>
      <c r="E198" s="471"/>
      <c r="F198" s="471"/>
      <c r="G198" s="495" t="s">
        <v>2452</v>
      </c>
      <c r="H198" s="496"/>
      <c r="I198" s="587">
        <f>I196-I197</f>
        <v>5716161</v>
      </c>
      <c r="J198" s="496"/>
      <c r="K198" s="471"/>
      <c r="L198" s="471"/>
      <c r="M198" s="471"/>
      <c r="N198" s="471"/>
      <c r="O198" s="471"/>
    </row>
    <row r="199" spans="1:15" x14ac:dyDescent="0.25">
      <c r="A199" s="471"/>
      <c r="B199" s="471"/>
      <c r="C199" s="471"/>
      <c r="D199" s="471"/>
      <c r="E199" s="471"/>
      <c r="F199" s="471"/>
      <c r="G199" s="471"/>
      <c r="H199" s="471"/>
      <c r="I199" s="471"/>
      <c r="J199" s="471"/>
      <c r="K199" s="471"/>
      <c r="L199" s="471"/>
      <c r="M199" s="471"/>
      <c r="N199" s="471"/>
      <c r="O199" s="471"/>
    </row>
    <row r="200" spans="1:15" x14ac:dyDescent="0.25">
      <c r="A200" s="471"/>
      <c r="B200" s="471"/>
      <c r="C200" s="471"/>
      <c r="D200" s="497"/>
      <c r="E200" s="471"/>
      <c r="F200" s="471"/>
      <c r="G200" s="471"/>
      <c r="H200" s="471"/>
      <c r="I200" s="497"/>
      <c r="J200" s="471"/>
      <c r="K200" s="471"/>
      <c r="L200" s="471"/>
      <c r="M200" s="471"/>
      <c r="N200" s="471"/>
      <c r="O200" s="471"/>
    </row>
    <row r="201" spans="1:15" x14ac:dyDescent="0.25">
      <c r="A201" s="471"/>
      <c r="B201" s="741" t="s">
        <v>3445</v>
      </c>
      <c r="C201" s="704"/>
      <c r="D201" s="704"/>
      <c r="E201" s="705"/>
      <c r="F201" s="471"/>
      <c r="G201" s="741" t="s">
        <v>3446</v>
      </c>
      <c r="H201" s="704"/>
      <c r="I201" s="704"/>
      <c r="J201" s="705"/>
      <c r="K201" s="471"/>
      <c r="L201" s="471"/>
      <c r="M201" s="471"/>
      <c r="N201" s="471"/>
      <c r="O201" s="471"/>
    </row>
    <row r="202" spans="1:15" x14ac:dyDescent="0.25">
      <c r="A202" s="471"/>
      <c r="B202" s="490" t="s">
        <v>2446</v>
      </c>
      <c r="C202" s="490" t="s">
        <v>2447</v>
      </c>
      <c r="D202" s="591" t="s">
        <v>2448</v>
      </c>
      <c r="E202" s="490" t="s">
        <v>3391</v>
      </c>
      <c r="F202" s="471"/>
      <c r="G202" s="490" t="s">
        <v>2446</v>
      </c>
      <c r="H202" s="490" t="s">
        <v>2447</v>
      </c>
      <c r="I202" s="498" t="s">
        <v>2448</v>
      </c>
      <c r="J202" s="490" t="s">
        <v>3391</v>
      </c>
      <c r="K202" s="471"/>
      <c r="L202" s="471"/>
      <c r="M202" s="471"/>
      <c r="N202" s="471"/>
      <c r="O202" s="471"/>
    </row>
    <row r="203" spans="1:15" x14ac:dyDescent="0.25">
      <c r="A203" s="471"/>
      <c r="B203" s="491" t="s">
        <v>1715</v>
      </c>
      <c r="C203" s="491" t="s">
        <v>104</v>
      </c>
      <c r="D203" s="492">
        <v>5241000</v>
      </c>
      <c r="E203" s="491" t="s">
        <v>2450</v>
      </c>
      <c r="F203" s="471"/>
      <c r="G203" s="491" t="s">
        <v>1893</v>
      </c>
      <c r="H203" s="491" t="s">
        <v>118</v>
      </c>
      <c r="I203" s="492">
        <v>4920175</v>
      </c>
      <c r="J203" s="491" t="s">
        <v>2450</v>
      </c>
      <c r="K203" s="471"/>
      <c r="L203" s="471"/>
      <c r="M203" s="471"/>
      <c r="N203" s="471"/>
      <c r="O203" s="471"/>
    </row>
    <row r="204" spans="1:15" x14ac:dyDescent="0.25">
      <c r="A204" s="471"/>
      <c r="B204" s="471"/>
      <c r="C204" s="471"/>
      <c r="D204" s="589"/>
      <c r="E204" s="471"/>
      <c r="F204" s="471"/>
      <c r="G204" s="471"/>
      <c r="H204" s="471"/>
      <c r="I204" s="497"/>
      <c r="J204" s="471"/>
      <c r="K204" s="471"/>
      <c r="L204" s="471"/>
      <c r="M204" s="471"/>
      <c r="N204" s="471"/>
      <c r="O204" s="471"/>
    </row>
    <row r="205" spans="1:15" x14ac:dyDescent="0.25">
      <c r="A205" s="471"/>
      <c r="B205" s="493" t="s">
        <v>2448</v>
      </c>
      <c r="C205" s="494"/>
      <c r="D205" s="586">
        <f>SUM(D203:D203)</f>
        <v>5241000</v>
      </c>
      <c r="E205" s="494"/>
      <c r="F205" s="471"/>
      <c r="G205" s="493" t="s">
        <v>2448</v>
      </c>
      <c r="H205" s="494"/>
      <c r="I205" s="586">
        <f>SUM(I203:I203)</f>
        <v>4920175</v>
      </c>
      <c r="J205" s="494"/>
      <c r="K205" s="471"/>
      <c r="L205" s="471"/>
      <c r="M205" s="471"/>
      <c r="N205" s="471"/>
      <c r="O205" s="471"/>
    </row>
    <row r="206" spans="1:15" x14ac:dyDescent="0.25">
      <c r="A206" s="471"/>
      <c r="B206" s="495" t="s">
        <v>2451</v>
      </c>
      <c r="C206" s="496"/>
      <c r="D206" s="587">
        <f>SUMIF(E203:E203, "CANCELADA", D203:D203)</f>
        <v>5241000</v>
      </c>
      <c r="E206" s="496"/>
      <c r="F206" s="471"/>
      <c r="G206" s="495" t="s">
        <v>2451</v>
      </c>
      <c r="H206" s="496"/>
      <c r="I206" s="587">
        <f>SUMIF(J203:J203, "CANCELADA", I203:I203)</f>
        <v>4920175</v>
      </c>
      <c r="J206" s="496"/>
      <c r="K206" s="471"/>
      <c r="L206" s="471"/>
      <c r="M206" s="471"/>
      <c r="N206" s="471"/>
      <c r="O206" s="471"/>
    </row>
    <row r="207" spans="1:15" x14ac:dyDescent="0.25">
      <c r="A207" s="471"/>
      <c r="B207" s="495" t="s">
        <v>2452</v>
      </c>
      <c r="C207" s="496"/>
      <c r="D207" s="587">
        <f>D205-D206</f>
        <v>0</v>
      </c>
      <c r="E207" s="496"/>
      <c r="F207" s="471"/>
      <c r="G207" s="495" t="s">
        <v>2452</v>
      </c>
      <c r="H207" s="496"/>
      <c r="I207" s="587">
        <f>I205-I206</f>
        <v>0</v>
      </c>
      <c r="J207" s="496"/>
      <c r="K207" s="471"/>
      <c r="L207" s="471"/>
      <c r="M207" s="471"/>
      <c r="N207" s="471"/>
      <c r="O207" s="471"/>
    </row>
    <row r="208" spans="1:15" x14ac:dyDescent="0.25">
      <c r="A208" s="471"/>
      <c r="B208" s="471"/>
      <c r="C208" s="471"/>
      <c r="D208" s="497"/>
      <c r="E208" s="471"/>
      <c r="F208" s="471"/>
      <c r="G208" s="471"/>
      <c r="H208" s="471"/>
      <c r="I208" s="497"/>
      <c r="J208" s="471"/>
      <c r="K208" s="471"/>
      <c r="L208" s="471"/>
      <c r="M208" s="471"/>
      <c r="N208" s="471"/>
      <c r="O208" s="471"/>
    </row>
    <row r="209" spans="1:15" x14ac:dyDescent="0.25">
      <c r="A209" s="471"/>
      <c r="B209" s="471"/>
      <c r="C209" s="471"/>
      <c r="D209" s="497"/>
      <c r="E209" s="471"/>
      <c r="F209" s="471"/>
      <c r="G209" s="471"/>
      <c r="H209" s="471"/>
      <c r="I209" s="497"/>
      <c r="J209" s="471"/>
      <c r="K209" s="471"/>
      <c r="L209" s="471"/>
      <c r="M209" s="471"/>
      <c r="N209" s="471"/>
      <c r="O209" s="471"/>
    </row>
    <row r="210" spans="1:15" x14ac:dyDescent="0.25">
      <c r="A210" s="471"/>
      <c r="B210" s="741" t="s">
        <v>3447</v>
      </c>
      <c r="C210" s="704"/>
      <c r="D210" s="704"/>
      <c r="E210" s="705"/>
      <c r="F210" s="471"/>
      <c r="G210" s="741" t="s">
        <v>3448</v>
      </c>
      <c r="H210" s="704"/>
      <c r="I210" s="704"/>
      <c r="J210" s="705"/>
      <c r="K210" s="471"/>
      <c r="L210" s="471"/>
      <c r="M210" s="471"/>
      <c r="N210" s="471"/>
      <c r="O210" s="471"/>
    </row>
    <row r="211" spans="1:15" x14ac:dyDescent="0.25">
      <c r="A211" s="471"/>
      <c r="B211" s="490" t="s">
        <v>2446</v>
      </c>
      <c r="C211" s="490" t="s">
        <v>2447</v>
      </c>
      <c r="D211" s="498" t="s">
        <v>2448</v>
      </c>
      <c r="E211" s="490" t="s">
        <v>3391</v>
      </c>
      <c r="F211" s="471"/>
      <c r="G211" s="490" t="s">
        <v>2446</v>
      </c>
      <c r="H211" s="490" t="s">
        <v>2447</v>
      </c>
      <c r="I211" s="498" t="s">
        <v>2448</v>
      </c>
      <c r="J211" s="490" t="s">
        <v>3391</v>
      </c>
      <c r="K211" s="471"/>
      <c r="L211" s="471"/>
      <c r="M211" s="471"/>
      <c r="N211" s="471"/>
      <c r="O211" s="471"/>
    </row>
    <row r="212" spans="1:15" x14ac:dyDescent="0.25">
      <c r="A212" s="471"/>
      <c r="B212" s="491" t="s">
        <v>207</v>
      </c>
      <c r="C212" s="491" t="s">
        <v>86</v>
      </c>
      <c r="D212" s="492">
        <v>100000</v>
      </c>
      <c r="E212" s="491" t="s">
        <v>2450</v>
      </c>
      <c r="F212" s="471"/>
      <c r="G212" s="491" t="s">
        <v>197</v>
      </c>
      <c r="H212" s="491" t="s">
        <v>86</v>
      </c>
      <c r="I212" s="492">
        <v>364080</v>
      </c>
      <c r="J212" s="491" t="s">
        <v>2450</v>
      </c>
      <c r="K212" s="471"/>
      <c r="L212" s="471"/>
      <c r="M212" s="471"/>
      <c r="N212" s="471"/>
      <c r="O212" s="471"/>
    </row>
    <row r="213" spans="1:15" x14ac:dyDescent="0.25">
      <c r="A213" s="471"/>
      <c r="B213" s="491" t="s">
        <v>3449</v>
      </c>
      <c r="C213" s="491" t="s">
        <v>98</v>
      </c>
      <c r="D213" s="492">
        <v>66000</v>
      </c>
      <c r="E213" s="491" t="s">
        <v>2450</v>
      </c>
      <c r="F213" s="471"/>
      <c r="G213" s="491" t="s">
        <v>222</v>
      </c>
      <c r="H213" s="491" t="s">
        <v>88</v>
      </c>
      <c r="I213" s="492">
        <v>260250</v>
      </c>
      <c r="J213" s="491" t="s">
        <v>2450</v>
      </c>
      <c r="K213" s="471"/>
      <c r="L213" s="471"/>
      <c r="M213" s="471"/>
      <c r="N213" s="471"/>
      <c r="O213" s="471"/>
    </row>
    <row r="214" spans="1:15" x14ac:dyDescent="0.25">
      <c r="A214" s="471"/>
      <c r="B214" s="491" t="s">
        <v>3450</v>
      </c>
      <c r="C214" s="491" t="s">
        <v>98</v>
      </c>
      <c r="D214" s="492">
        <v>10000</v>
      </c>
      <c r="E214" s="491" t="s">
        <v>2450</v>
      </c>
      <c r="F214" s="471"/>
      <c r="G214" s="491" t="s">
        <v>256</v>
      </c>
      <c r="H214" s="491" t="s">
        <v>92</v>
      </c>
      <c r="I214" s="492">
        <v>434750</v>
      </c>
      <c r="J214" s="491" t="s">
        <v>2450</v>
      </c>
      <c r="K214" s="471"/>
      <c r="L214" s="471"/>
      <c r="M214" s="471"/>
      <c r="N214" s="471"/>
      <c r="O214" s="471"/>
    </row>
    <row r="215" spans="1:15" x14ac:dyDescent="0.25">
      <c r="A215" s="471"/>
      <c r="B215" s="491" t="s">
        <v>3451</v>
      </c>
      <c r="C215" s="491" t="s">
        <v>98</v>
      </c>
      <c r="D215" s="492">
        <v>37100</v>
      </c>
      <c r="E215" s="491" t="s">
        <v>2450</v>
      </c>
      <c r="F215" s="471"/>
      <c r="G215" s="491" t="s">
        <v>310</v>
      </c>
      <c r="H215" s="491" t="s">
        <v>100</v>
      </c>
      <c r="I215" s="492">
        <v>372600</v>
      </c>
      <c r="J215" s="491" t="s">
        <v>2450</v>
      </c>
      <c r="K215" s="471"/>
      <c r="L215" s="471"/>
      <c r="M215" s="471"/>
      <c r="N215" s="471"/>
      <c r="O215" s="471"/>
    </row>
    <row r="216" spans="1:15" x14ac:dyDescent="0.25">
      <c r="A216" s="471"/>
      <c r="B216" s="491" t="s">
        <v>3452</v>
      </c>
      <c r="C216" s="491" t="s">
        <v>98</v>
      </c>
      <c r="D216" s="492">
        <v>4000</v>
      </c>
      <c r="E216" s="491" t="s">
        <v>2450</v>
      </c>
      <c r="F216" s="471"/>
      <c r="G216" s="491" t="s">
        <v>334</v>
      </c>
      <c r="H216" s="491" t="s">
        <v>102</v>
      </c>
      <c r="I216" s="492">
        <v>577100</v>
      </c>
      <c r="J216" s="491" t="s">
        <v>2450</v>
      </c>
      <c r="K216" s="471"/>
      <c r="L216" s="471"/>
      <c r="M216" s="471"/>
      <c r="N216" s="471"/>
      <c r="O216" s="471"/>
    </row>
    <row r="217" spans="1:15" x14ac:dyDescent="0.25">
      <c r="A217" s="471"/>
      <c r="B217" s="491" t="s">
        <v>3453</v>
      </c>
      <c r="C217" s="491" t="s">
        <v>98</v>
      </c>
      <c r="D217" s="492">
        <v>85000</v>
      </c>
      <c r="E217" s="491" t="s">
        <v>2450</v>
      </c>
      <c r="F217" s="471"/>
      <c r="G217" s="491" t="s">
        <v>343</v>
      </c>
      <c r="H217" s="491" t="s">
        <v>103</v>
      </c>
      <c r="I217" s="492">
        <v>654750</v>
      </c>
      <c r="J217" s="491" t="s">
        <v>2450</v>
      </c>
      <c r="K217" s="471"/>
      <c r="L217" s="471"/>
      <c r="M217" s="471"/>
      <c r="N217" s="471"/>
      <c r="O217" s="471"/>
    </row>
    <row r="218" spans="1:15" x14ac:dyDescent="0.25">
      <c r="A218" s="471"/>
      <c r="B218" s="491" t="s">
        <v>3454</v>
      </c>
      <c r="C218" s="491" t="s">
        <v>98</v>
      </c>
      <c r="D218" s="492">
        <v>15000</v>
      </c>
      <c r="E218" s="491" t="s">
        <v>2450</v>
      </c>
      <c r="F218" s="471"/>
      <c r="G218" s="491" t="s">
        <v>401</v>
      </c>
      <c r="H218" s="491" t="s">
        <v>112</v>
      </c>
      <c r="I218" s="492">
        <v>577100</v>
      </c>
      <c r="J218" s="491" t="s">
        <v>2450</v>
      </c>
      <c r="K218" s="471"/>
      <c r="L218" s="471"/>
      <c r="M218" s="471"/>
      <c r="N218" s="471"/>
      <c r="O218" s="471"/>
    </row>
    <row r="219" spans="1:15" x14ac:dyDescent="0.25">
      <c r="A219" s="471"/>
      <c r="B219" s="491" t="s">
        <v>3455</v>
      </c>
      <c r="C219" s="491" t="s">
        <v>100</v>
      </c>
      <c r="D219" s="492">
        <v>66000</v>
      </c>
      <c r="E219" s="491" t="s">
        <v>2450</v>
      </c>
      <c r="F219" s="471"/>
      <c r="G219" s="491" t="s">
        <v>406</v>
      </c>
      <c r="H219" s="491" t="s">
        <v>112</v>
      </c>
      <c r="I219" s="492">
        <v>111750</v>
      </c>
      <c r="J219" s="491" t="s">
        <v>2450</v>
      </c>
      <c r="K219" s="471"/>
      <c r="L219" s="471"/>
      <c r="M219" s="471"/>
      <c r="N219" s="471"/>
      <c r="O219" s="471"/>
    </row>
    <row r="220" spans="1:15" x14ac:dyDescent="0.25">
      <c r="A220" s="471"/>
      <c r="B220" s="491" t="s">
        <v>3456</v>
      </c>
      <c r="C220" s="491" t="s">
        <v>100</v>
      </c>
      <c r="D220" s="492">
        <v>66000</v>
      </c>
      <c r="E220" s="491" t="s">
        <v>2450</v>
      </c>
      <c r="F220" s="471"/>
      <c r="G220" s="491" t="s">
        <v>419</v>
      </c>
      <c r="H220" s="491" t="s">
        <v>115</v>
      </c>
      <c r="I220" s="492">
        <v>316350</v>
      </c>
      <c r="J220" s="491" t="s">
        <v>2450</v>
      </c>
      <c r="K220" s="471"/>
      <c r="L220" s="471"/>
      <c r="M220" s="471"/>
      <c r="N220" s="471"/>
      <c r="O220" s="471"/>
    </row>
    <row r="221" spans="1:15" x14ac:dyDescent="0.25">
      <c r="A221" s="471"/>
      <c r="B221" s="491" t="s">
        <v>3457</v>
      </c>
      <c r="C221" s="491" t="s">
        <v>100</v>
      </c>
      <c r="D221" s="492">
        <v>132000</v>
      </c>
      <c r="E221" s="491" t="s">
        <v>2450</v>
      </c>
      <c r="F221" s="471"/>
      <c r="G221" s="491" t="s">
        <v>422</v>
      </c>
      <c r="H221" s="491" t="s">
        <v>115</v>
      </c>
      <c r="I221" s="492">
        <v>523550</v>
      </c>
      <c r="J221" s="491" t="s">
        <v>2450</v>
      </c>
      <c r="K221" s="471"/>
      <c r="L221" s="471"/>
      <c r="M221" s="471"/>
      <c r="N221" s="471"/>
      <c r="O221" s="471"/>
    </row>
    <row r="222" spans="1:15" x14ac:dyDescent="0.25">
      <c r="A222" s="471"/>
      <c r="B222" s="491" t="s">
        <v>3458</v>
      </c>
      <c r="C222" s="491" t="s">
        <v>102</v>
      </c>
      <c r="D222" s="492">
        <v>66000</v>
      </c>
      <c r="E222" s="491" t="s">
        <v>2450</v>
      </c>
      <c r="F222" s="471"/>
      <c r="G222" s="491" t="s">
        <v>459</v>
      </c>
      <c r="H222" s="491" t="s">
        <v>124</v>
      </c>
      <c r="I222" s="492">
        <v>281200</v>
      </c>
      <c r="J222" s="491" t="s">
        <v>2450</v>
      </c>
      <c r="K222" s="471"/>
      <c r="L222" s="471"/>
      <c r="M222" s="471"/>
      <c r="N222" s="471"/>
      <c r="O222" s="471"/>
    </row>
    <row r="223" spans="1:15" x14ac:dyDescent="0.25">
      <c r="A223" s="471"/>
      <c r="B223" s="491" t="s">
        <v>3459</v>
      </c>
      <c r="C223" s="491" t="s">
        <v>102</v>
      </c>
      <c r="D223" s="492">
        <v>66000</v>
      </c>
      <c r="E223" s="491" t="s">
        <v>2450</v>
      </c>
      <c r="F223" s="471"/>
      <c r="G223" s="471"/>
      <c r="H223" s="471"/>
      <c r="I223" s="497"/>
      <c r="J223" s="471"/>
      <c r="K223" s="471"/>
      <c r="L223" s="471"/>
      <c r="M223" s="471"/>
      <c r="N223" s="471"/>
      <c r="O223" s="471"/>
    </row>
    <row r="224" spans="1:15" x14ac:dyDescent="0.25">
      <c r="A224" s="471"/>
      <c r="B224" s="491" t="s">
        <v>3460</v>
      </c>
      <c r="C224" s="491" t="s">
        <v>102</v>
      </c>
      <c r="D224" s="492">
        <v>66000</v>
      </c>
      <c r="E224" s="491" t="s">
        <v>2450</v>
      </c>
      <c r="F224" s="471"/>
      <c r="G224" s="493" t="s">
        <v>2448</v>
      </c>
      <c r="H224" s="494"/>
      <c r="I224" s="586">
        <f>SUM(I212:I222)</f>
        <v>4473480</v>
      </c>
      <c r="J224" s="494"/>
      <c r="K224" s="471"/>
      <c r="L224" s="471"/>
      <c r="M224" s="471"/>
      <c r="N224" s="471"/>
      <c r="O224" s="471"/>
    </row>
    <row r="225" spans="1:15" x14ac:dyDescent="0.25">
      <c r="A225" s="471"/>
      <c r="B225" s="491" t="s">
        <v>944</v>
      </c>
      <c r="C225" s="491" t="s">
        <v>103</v>
      </c>
      <c r="D225" s="492">
        <v>20000</v>
      </c>
      <c r="E225" s="491" t="s">
        <v>2450</v>
      </c>
      <c r="F225" s="471"/>
      <c r="G225" s="495" t="s">
        <v>2451</v>
      </c>
      <c r="H225" s="496"/>
      <c r="I225" s="587">
        <f>SUMIF(J212:J222, "CANCELADA", I212:I222)</f>
        <v>4473480</v>
      </c>
      <c r="J225" s="496"/>
      <c r="K225" s="471"/>
      <c r="L225" s="471"/>
      <c r="M225" s="471"/>
      <c r="N225" s="471"/>
      <c r="O225" s="471"/>
    </row>
    <row r="226" spans="1:15" x14ac:dyDescent="0.25">
      <c r="A226" s="471"/>
      <c r="B226" s="491" t="s">
        <v>947</v>
      </c>
      <c r="C226" s="491" t="s">
        <v>103</v>
      </c>
      <c r="D226" s="492">
        <v>58000</v>
      </c>
      <c r="E226" s="491" t="s">
        <v>2450</v>
      </c>
      <c r="F226" s="471"/>
      <c r="G226" s="495" t="s">
        <v>2452</v>
      </c>
      <c r="H226" s="496"/>
      <c r="I226" s="587">
        <f>I224-I225</f>
        <v>0</v>
      </c>
      <c r="J226" s="496"/>
      <c r="K226" s="471"/>
      <c r="L226" s="471"/>
      <c r="M226" s="471"/>
      <c r="N226" s="471"/>
      <c r="O226" s="471"/>
    </row>
    <row r="227" spans="1:15" x14ac:dyDescent="0.25">
      <c r="A227" s="471"/>
      <c r="B227" s="491" t="s">
        <v>3461</v>
      </c>
      <c r="C227" s="491" t="s">
        <v>103</v>
      </c>
      <c r="D227" s="492">
        <v>66000</v>
      </c>
      <c r="E227" s="491" t="s">
        <v>2450</v>
      </c>
      <c r="F227" s="471"/>
      <c r="G227" s="471"/>
      <c r="H227" s="471"/>
      <c r="I227" s="497"/>
      <c r="J227" s="471"/>
      <c r="K227" s="471"/>
      <c r="L227" s="471"/>
      <c r="M227" s="471"/>
      <c r="N227" s="471"/>
      <c r="O227" s="471"/>
    </row>
    <row r="228" spans="1:15" x14ac:dyDescent="0.25">
      <c r="A228" s="471"/>
      <c r="B228" s="491" t="s">
        <v>3462</v>
      </c>
      <c r="C228" s="491" t="s">
        <v>103</v>
      </c>
      <c r="D228" s="492">
        <v>66000</v>
      </c>
      <c r="E228" s="491" t="s">
        <v>2450</v>
      </c>
      <c r="F228" s="471"/>
      <c r="G228" s="471"/>
      <c r="H228" s="471"/>
      <c r="I228" s="497"/>
      <c r="J228" s="471"/>
      <c r="K228" s="471"/>
      <c r="L228" s="471"/>
      <c r="M228" s="471"/>
      <c r="N228" s="471"/>
      <c r="O228" s="471"/>
    </row>
    <row r="229" spans="1:15" x14ac:dyDescent="0.25">
      <c r="A229" s="471"/>
      <c r="B229" s="491" t="s">
        <v>3463</v>
      </c>
      <c r="C229" s="491" t="s">
        <v>103</v>
      </c>
      <c r="D229" s="492">
        <v>70000</v>
      </c>
      <c r="E229" s="491" t="s">
        <v>2450</v>
      </c>
      <c r="F229" s="471"/>
      <c r="G229" s="471"/>
      <c r="H229" s="471"/>
      <c r="I229" s="497"/>
      <c r="J229" s="471"/>
      <c r="K229" s="471"/>
      <c r="L229" s="471"/>
      <c r="M229" s="471"/>
      <c r="N229" s="471"/>
      <c r="O229" s="471"/>
    </row>
    <row r="230" spans="1:15" x14ac:dyDescent="0.25">
      <c r="A230" s="471"/>
      <c r="B230" s="491" t="s">
        <v>3464</v>
      </c>
      <c r="C230" s="491" t="s">
        <v>103</v>
      </c>
      <c r="D230" s="492">
        <v>66000</v>
      </c>
      <c r="E230" s="491" t="s">
        <v>2450</v>
      </c>
      <c r="F230" s="471"/>
      <c r="G230" s="471"/>
      <c r="H230" s="471"/>
      <c r="I230" s="497"/>
      <c r="J230" s="471"/>
      <c r="K230" s="471"/>
      <c r="L230" s="471"/>
      <c r="M230" s="471"/>
      <c r="N230" s="471"/>
      <c r="O230" s="471"/>
    </row>
    <row r="231" spans="1:15" x14ac:dyDescent="0.25">
      <c r="A231" s="471"/>
      <c r="B231" s="491" t="s">
        <v>3465</v>
      </c>
      <c r="C231" s="491" t="s">
        <v>104</v>
      </c>
      <c r="D231" s="492">
        <v>15000</v>
      </c>
      <c r="E231" s="491" t="s">
        <v>2450</v>
      </c>
      <c r="F231" s="471"/>
      <c r="G231" s="471"/>
      <c r="H231" s="471"/>
      <c r="I231" s="497"/>
      <c r="J231" s="471"/>
      <c r="K231" s="471"/>
      <c r="L231" s="471"/>
      <c r="M231" s="471"/>
      <c r="N231" s="471"/>
      <c r="O231" s="471"/>
    </row>
    <row r="232" spans="1:15" x14ac:dyDescent="0.25">
      <c r="A232" s="471"/>
      <c r="B232" s="491" t="s">
        <v>3466</v>
      </c>
      <c r="C232" s="491" t="s">
        <v>104</v>
      </c>
      <c r="D232" s="492">
        <v>66000</v>
      </c>
      <c r="E232" s="491" t="s">
        <v>2450</v>
      </c>
      <c r="F232" s="471"/>
      <c r="G232" s="471"/>
      <c r="H232" s="471"/>
      <c r="I232" s="497"/>
      <c r="J232" s="471"/>
      <c r="K232" s="471"/>
      <c r="L232" s="471"/>
      <c r="M232" s="471"/>
      <c r="N232" s="471"/>
      <c r="O232" s="471"/>
    </row>
    <row r="233" spans="1:15" x14ac:dyDescent="0.25">
      <c r="A233" s="471"/>
      <c r="B233" s="491" t="s">
        <v>3467</v>
      </c>
      <c r="C233" s="491" t="s">
        <v>104</v>
      </c>
      <c r="D233" s="492">
        <v>66000</v>
      </c>
      <c r="E233" s="491" t="s">
        <v>2450</v>
      </c>
      <c r="F233" s="471"/>
      <c r="G233" s="471"/>
      <c r="H233" s="471"/>
      <c r="I233" s="497"/>
      <c r="J233" s="471"/>
      <c r="K233" s="471"/>
      <c r="L233" s="471"/>
      <c r="M233" s="471"/>
      <c r="N233" s="471"/>
      <c r="O233" s="471"/>
    </row>
    <row r="234" spans="1:15" x14ac:dyDescent="0.25">
      <c r="A234" s="471"/>
      <c r="B234" s="491" t="s">
        <v>3468</v>
      </c>
      <c r="C234" s="491" t="s">
        <v>104</v>
      </c>
      <c r="D234" s="492">
        <v>66000</v>
      </c>
      <c r="E234" s="491" t="s">
        <v>2450</v>
      </c>
      <c r="F234" s="471"/>
      <c r="G234" s="471"/>
      <c r="H234" s="471"/>
      <c r="I234" s="497"/>
      <c r="J234" s="471"/>
      <c r="K234" s="471"/>
      <c r="L234" s="471"/>
      <c r="M234" s="471"/>
      <c r="N234" s="471"/>
      <c r="O234" s="471"/>
    </row>
    <row r="235" spans="1:15" x14ac:dyDescent="0.25">
      <c r="A235" s="471"/>
      <c r="B235" s="491" t="s">
        <v>3469</v>
      </c>
      <c r="C235" s="491" t="s">
        <v>104</v>
      </c>
      <c r="D235" s="492">
        <v>377500</v>
      </c>
      <c r="E235" s="491" t="s">
        <v>2450</v>
      </c>
      <c r="F235" s="471"/>
      <c r="G235" s="471"/>
      <c r="H235" s="471"/>
      <c r="I235" s="497"/>
      <c r="J235" s="471"/>
      <c r="K235" s="471"/>
      <c r="L235" s="471"/>
      <c r="M235" s="471"/>
      <c r="N235" s="471"/>
      <c r="O235" s="471"/>
    </row>
    <row r="236" spans="1:15" x14ac:dyDescent="0.25">
      <c r="A236" s="471"/>
      <c r="B236" s="491" t="s">
        <v>3470</v>
      </c>
      <c r="C236" s="491" t="s">
        <v>104</v>
      </c>
      <c r="D236" s="492">
        <v>300000</v>
      </c>
      <c r="E236" s="491" t="s">
        <v>2450</v>
      </c>
      <c r="F236" s="471"/>
      <c r="G236" s="471"/>
      <c r="H236" s="471"/>
      <c r="I236" s="497"/>
      <c r="J236" s="471"/>
      <c r="K236" s="471"/>
      <c r="L236" s="471"/>
      <c r="M236" s="471"/>
      <c r="N236" s="471"/>
      <c r="O236" s="471"/>
    </row>
    <row r="237" spans="1:15" x14ac:dyDescent="0.25">
      <c r="A237" s="471"/>
      <c r="B237" s="491" t="s">
        <v>3471</v>
      </c>
      <c r="C237" s="491" t="s">
        <v>104</v>
      </c>
      <c r="D237" s="492">
        <v>85000</v>
      </c>
      <c r="E237" s="491" t="s">
        <v>2450</v>
      </c>
      <c r="F237" s="471"/>
      <c r="G237" s="471"/>
      <c r="H237" s="471"/>
      <c r="I237" s="497"/>
      <c r="J237" s="471"/>
      <c r="K237" s="471"/>
      <c r="L237" s="471"/>
      <c r="M237" s="471"/>
      <c r="N237" s="471"/>
      <c r="O237" s="471"/>
    </row>
    <row r="238" spans="1:15" x14ac:dyDescent="0.25">
      <c r="A238" s="471"/>
      <c r="B238" s="491" t="s">
        <v>3472</v>
      </c>
      <c r="C238" s="491" t="s">
        <v>104</v>
      </c>
      <c r="D238" s="492">
        <v>29000</v>
      </c>
      <c r="E238" s="491" t="s">
        <v>2450</v>
      </c>
      <c r="F238" s="471"/>
      <c r="G238" s="471"/>
      <c r="H238" s="471"/>
      <c r="I238" s="497"/>
      <c r="J238" s="471"/>
      <c r="K238" s="471"/>
      <c r="L238" s="471"/>
      <c r="M238" s="471"/>
      <c r="N238" s="471"/>
      <c r="O238" s="471"/>
    </row>
    <row r="239" spans="1:15" x14ac:dyDescent="0.25">
      <c r="A239" s="471"/>
      <c r="B239" s="491" t="s">
        <v>3473</v>
      </c>
      <c r="C239" s="491" t="s">
        <v>104</v>
      </c>
      <c r="D239" s="492">
        <v>77300</v>
      </c>
      <c r="E239" s="491" t="s">
        <v>2450</v>
      </c>
      <c r="F239" s="471"/>
      <c r="G239" s="471"/>
      <c r="H239" s="471"/>
      <c r="I239" s="497"/>
      <c r="J239" s="471"/>
      <c r="K239" s="471"/>
      <c r="L239" s="471"/>
      <c r="M239" s="471"/>
      <c r="N239" s="471"/>
      <c r="O239" s="471"/>
    </row>
    <row r="240" spans="1:15" x14ac:dyDescent="0.25">
      <c r="A240" s="471"/>
      <c r="B240" s="491" t="s">
        <v>3474</v>
      </c>
      <c r="C240" s="491" t="s">
        <v>104</v>
      </c>
      <c r="D240" s="492">
        <v>46500</v>
      </c>
      <c r="E240" s="491" t="s">
        <v>2450</v>
      </c>
      <c r="F240" s="471"/>
      <c r="G240" s="471"/>
      <c r="H240" s="471"/>
      <c r="I240" s="497"/>
      <c r="J240" s="471"/>
      <c r="K240" s="471"/>
      <c r="L240" s="471"/>
      <c r="M240" s="471"/>
      <c r="N240" s="471"/>
      <c r="O240" s="471"/>
    </row>
    <row r="241" spans="1:15" x14ac:dyDescent="0.25">
      <c r="A241" s="471"/>
      <c r="B241" s="491" t="s">
        <v>3475</v>
      </c>
      <c r="C241" s="491" t="s">
        <v>104</v>
      </c>
      <c r="D241" s="492">
        <v>66000</v>
      </c>
      <c r="E241" s="491" t="s">
        <v>2450</v>
      </c>
      <c r="F241" s="471"/>
      <c r="G241" s="471"/>
      <c r="H241" s="471"/>
      <c r="I241" s="497"/>
      <c r="J241" s="471"/>
      <c r="K241" s="471"/>
      <c r="L241" s="471"/>
      <c r="M241" s="471"/>
      <c r="N241" s="471"/>
      <c r="O241" s="471"/>
    </row>
    <row r="242" spans="1:15" x14ac:dyDescent="0.25">
      <c r="A242" s="471"/>
      <c r="B242" s="491" t="s">
        <v>3476</v>
      </c>
      <c r="C242" s="491" t="s">
        <v>106</v>
      </c>
      <c r="D242" s="492">
        <v>66000</v>
      </c>
      <c r="E242" s="491" t="s">
        <v>2450</v>
      </c>
      <c r="F242" s="471"/>
      <c r="G242" s="471"/>
      <c r="H242" s="471"/>
      <c r="I242" s="497"/>
      <c r="J242" s="471"/>
      <c r="K242" s="471"/>
      <c r="L242" s="471"/>
      <c r="M242" s="471"/>
      <c r="N242" s="471"/>
      <c r="O242" s="471"/>
    </row>
    <row r="243" spans="1:15" x14ac:dyDescent="0.25">
      <c r="A243" s="471"/>
      <c r="B243" s="491" t="s">
        <v>3477</v>
      </c>
      <c r="C243" s="491" t="s">
        <v>106</v>
      </c>
      <c r="D243" s="492">
        <v>66000</v>
      </c>
      <c r="E243" s="491" t="s">
        <v>2450</v>
      </c>
      <c r="F243" s="471"/>
      <c r="G243" s="471"/>
      <c r="H243" s="471"/>
      <c r="I243" s="497"/>
      <c r="J243" s="471"/>
      <c r="K243" s="471"/>
      <c r="L243" s="471"/>
      <c r="M243" s="471"/>
      <c r="N243" s="471"/>
      <c r="O243" s="471"/>
    </row>
    <row r="244" spans="1:15" x14ac:dyDescent="0.25">
      <c r="A244" s="471"/>
      <c r="B244" s="491" t="s">
        <v>3478</v>
      </c>
      <c r="C244" s="491" t="s">
        <v>106</v>
      </c>
      <c r="D244" s="492">
        <v>132000</v>
      </c>
      <c r="E244" s="491" t="s">
        <v>2450</v>
      </c>
      <c r="F244" s="471"/>
      <c r="G244" s="471"/>
      <c r="H244" s="471"/>
      <c r="I244" s="497"/>
      <c r="J244" s="471"/>
      <c r="K244" s="471"/>
      <c r="L244" s="471"/>
      <c r="M244" s="471"/>
      <c r="N244" s="471"/>
      <c r="O244" s="471"/>
    </row>
    <row r="245" spans="1:15" x14ac:dyDescent="0.25">
      <c r="A245" s="471"/>
      <c r="B245" s="491" t="s">
        <v>3479</v>
      </c>
      <c r="C245" s="491" t="s">
        <v>106</v>
      </c>
      <c r="D245" s="492">
        <v>66000</v>
      </c>
      <c r="E245" s="491" t="s">
        <v>2450</v>
      </c>
      <c r="F245" s="471"/>
      <c r="G245" s="471"/>
      <c r="H245" s="471"/>
      <c r="I245" s="497"/>
      <c r="J245" s="471"/>
      <c r="K245" s="471"/>
      <c r="L245" s="471"/>
      <c r="M245" s="471"/>
      <c r="N245" s="471"/>
      <c r="O245" s="471"/>
    </row>
    <row r="246" spans="1:15" x14ac:dyDescent="0.25">
      <c r="A246" s="471"/>
      <c r="B246" s="491" t="s">
        <v>3480</v>
      </c>
      <c r="C246" s="491" t="s">
        <v>106</v>
      </c>
      <c r="D246" s="492">
        <v>40000</v>
      </c>
      <c r="E246" s="491" t="s">
        <v>2450</v>
      </c>
      <c r="F246" s="471"/>
      <c r="G246" s="471"/>
      <c r="H246" s="471"/>
      <c r="I246" s="497"/>
      <c r="J246" s="471"/>
      <c r="K246" s="471"/>
      <c r="L246" s="471"/>
      <c r="M246" s="471"/>
      <c r="N246" s="471"/>
      <c r="O246" s="471"/>
    </row>
    <row r="247" spans="1:15" x14ac:dyDescent="0.25">
      <c r="A247" s="471"/>
      <c r="B247" s="491" t="s">
        <v>3481</v>
      </c>
      <c r="C247" s="491" t="s">
        <v>106</v>
      </c>
      <c r="D247" s="492">
        <v>30000</v>
      </c>
      <c r="E247" s="491" t="s">
        <v>2450</v>
      </c>
      <c r="F247" s="471"/>
      <c r="G247" s="471"/>
      <c r="H247" s="471"/>
      <c r="I247" s="497"/>
      <c r="J247" s="471"/>
      <c r="K247" s="471"/>
      <c r="L247" s="471"/>
      <c r="M247" s="471"/>
      <c r="N247" s="471"/>
      <c r="O247" s="471"/>
    </row>
    <row r="248" spans="1:15" x14ac:dyDescent="0.25">
      <c r="A248" s="471"/>
      <c r="B248" s="491" t="s">
        <v>3482</v>
      </c>
      <c r="C248" s="491" t="s">
        <v>106</v>
      </c>
      <c r="D248" s="492">
        <v>27500</v>
      </c>
      <c r="E248" s="491" t="s">
        <v>2450</v>
      </c>
      <c r="F248" s="471"/>
      <c r="G248" s="471"/>
      <c r="H248" s="471"/>
      <c r="I248" s="497"/>
      <c r="J248" s="471"/>
      <c r="K248" s="471"/>
      <c r="L248" s="471"/>
      <c r="M248" s="471"/>
      <c r="N248" s="471"/>
      <c r="O248" s="471"/>
    </row>
    <row r="249" spans="1:15" x14ac:dyDescent="0.25">
      <c r="A249" s="471"/>
      <c r="B249" s="491" t="s">
        <v>3483</v>
      </c>
      <c r="C249" s="491" t="s">
        <v>106</v>
      </c>
      <c r="D249" s="492">
        <v>50000</v>
      </c>
      <c r="E249" s="491" t="s">
        <v>2450</v>
      </c>
      <c r="F249" s="471"/>
      <c r="G249" s="471"/>
      <c r="H249" s="471"/>
      <c r="I249" s="497"/>
      <c r="J249" s="471"/>
      <c r="K249" s="471"/>
      <c r="L249" s="471"/>
      <c r="M249" s="471"/>
      <c r="N249" s="471"/>
      <c r="O249" s="471"/>
    </row>
    <row r="250" spans="1:15" x14ac:dyDescent="0.25">
      <c r="A250" s="471"/>
      <c r="B250" s="491" t="s">
        <v>3484</v>
      </c>
      <c r="C250" s="491" t="s">
        <v>112</v>
      </c>
      <c r="D250" s="492">
        <v>66000</v>
      </c>
      <c r="E250" s="491" t="s">
        <v>2450</v>
      </c>
      <c r="F250" s="471"/>
      <c r="G250" s="471"/>
      <c r="H250" s="471"/>
      <c r="I250" s="497"/>
      <c r="J250" s="471"/>
      <c r="K250" s="471"/>
      <c r="L250" s="471"/>
      <c r="M250" s="471"/>
      <c r="N250" s="471"/>
      <c r="O250" s="471"/>
    </row>
    <row r="251" spans="1:15" x14ac:dyDescent="0.25">
      <c r="A251" s="471"/>
      <c r="B251" s="491" t="s">
        <v>3485</v>
      </c>
      <c r="C251" s="491" t="s">
        <v>112</v>
      </c>
      <c r="D251" s="492">
        <v>66000</v>
      </c>
      <c r="E251" s="491" t="s">
        <v>2450</v>
      </c>
      <c r="F251" s="471"/>
      <c r="G251" s="471"/>
      <c r="H251" s="471"/>
      <c r="I251" s="497"/>
      <c r="J251" s="471"/>
      <c r="K251" s="471"/>
      <c r="L251" s="471"/>
      <c r="M251" s="471"/>
      <c r="N251" s="471"/>
      <c r="O251" s="471"/>
    </row>
    <row r="252" spans="1:15" x14ac:dyDescent="0.25">
      <c r="A252" s="471"/>
      <c r="B252" s="491" t="s">
        <v>3486</v>
      </c>
      <c r="C252" s="491" t="s">
        <v>112</v>
      </c>
      <c r="D252" s="492">
        <v>70000</v>
      </c>
      <c r="E252" s="491" t="s">
        <v>2450</v>
      </c>
      <c r="F252" s="471"/>
      <c r="G252" s="471"/>
      <c r="H252" s="471"/>
      <c r="I252" s="497"/>
      <c r="J252" s="471"/>
      <c r="K252" s="471"/>
      <c r="L252" s="471"/>
      <c r="M252" s="471"/>
      <c r="N252" s="471"/>
      <c r="O252" s="471"/>
    </row>
    <row r="253" spans="1:15" x14ac:dyDescent="0.25">
      <c r="A253" s="471"/>
      <c r="B253" s="491" t="s">
        <v>3487</v>
      </c>
      <c r="C253" s="491" t="s">
        <v>112</v>
      </c>
      <c r="D253" s="492">
        <v>22500</v>
      </c>
      <c r="E253" s="491" t="s">
        <v>2450</v>
      </c>
      <c r="F253" s="471"/>
      <c r="G253" s="471"/>
      <c r="H253" s="471"/>
      <c r="I253" s="497"/>
      <c r="J253" s="471"/>
      <c r="K253" s="471"/>
      <c r="L253" s="471"/>
      <c r="M253" s="471"/>
      <c r="N253" s="471"/>
      <c r="O253" s="471"/>
    </row>
    <row r="254" spans="1:15" x14ac:dyDescent="0.25">
      <c r="A254" s="471"/>
      <c r="B254" s="491" t="s">
        <v>3488</v>
      </c>
      <c r="C254" s="491" t="s">
        <v>112</v>
      </c>
      <c r="D254" s="492">
        <v>66000</v>
      </c>
      <c r="E254" s="491" t="s">
        <v>2450</v>
      </c>
      <c r="F254" s="471"/>
      <c r="G254" s="471"/>
      <c r="H254" s="471"/>
      <c r="I254" s="497"/>
      <c r="J254" s="471"/>
      <c r="K254" s="471"/>
      <c r="L254" s="471"/>
      <c r="M254" s="471"/>
      <c r="N254" s="471"/>
      <c r="O254" s="471"/>
    </row>
    <row r="255" spans="1:15" x14ac:dyDescent="0.25">
      <c r="A255" s="471"/>
      <c r="B255" s="491" t="s">
        <v>962</v>
      </c>
      <c r="C255" s="491" t="s">
        <v>115</v>
      </c>
      <c r="D255" s="492">
        <v>76700</v>
      </c>
      <c r="E255" s="491" t="s">
        <v>2450</v>
      </c>
      <c r="F255" s="471"/>
      <c r="G255" s="471"/>
      <c r="H255" s="471"/>
      <c r="I255" s="497"/>
      <c r="J255" s="471"/>
      <c r="K255" s="471"/>
      <c r="L255" s="471"/>
      <c r="M255" s="471"/>
      <c r="N255" s="471"/>
      <c r="O255" s="471"/>
    </row>
    <row r="256" spans="1:15" x14ac:dyDescent="0.25">
      <c r="A256" s="471"/>
      <c r="B256" s="491" t="s">
        <v>3489</v>
      </c>
      <c r="C256" s="491" t="s">
        <v>115</v>
      </c>
      <c r="D256" s="492">
        <v>66000</v>
      </c>
      <c r="E256" s="491" t="s">
        <v>2450</v>
      </c>
      <c r="F256" s="471"/>
      <c r="G256" s="471"/>
      <c r="H256" s="471"/>
      <c r="I256" s="497"/>
      <c r="J256" s="471"/>
      <c r="K256" s="471"/>
      <c r="L256" s="471"/>
      <c r="M256" s="471"/>
      <c r="N256" s="471"/>
      <c r="O256" s="471"/>
    </row>
    <row r="257" spans="1:15" x14ac:dyDescent="0.25">
      <c r="A257" s="471"/>
      <c r="B257" s="491" t="s">
        <v>3490</v>
      </c>
      <c r="C257" s="491" t="s">
        <v>115</v>
      </c>
      <c r="D257" s="492">
        <v>66000</v>
      </c>
      <c r="E257" s="491" t="s">
        <v>2450</v>
      </c>
      <c r="F257" s="471"/>
      <c r="G257" s="471"/>
      <c r="H257" s="471"/>
      <c r="I257" s="497"/>
      <c r="J257" s="471"/>
      <c r="K257" s="471"/>
      <c r="L257" s="471"/>
      <c r="M257" s="471"/>
      <c r="N257" s="471"/>
      <c r="O257" s="471"/>
    </row>
    <row r="258" spans="1:15" x14ac:dyDescent="0.25">
      <c r="A258" s="471"/>
      <c r="B258" s="491" t="s">
        <v>3491</v>
      </c>
      <c r="C258" s="491" t="s">
        <v>115</v>
      </c>
      <c r="D258" s="492">
        <v>66000</v>
      </c>
      <c r="E258" s="491" t="s">
        <v>2450</v>
      </c>
      <c r="F258" s="471"/>
      <c r="G258" s="471"/>
      <c r="H258" s="471"/>
      <c r="I258" s="497"/>
      <c r="J258" s="471"/>
      <c r="K258" s="471"/>
      <c r="L258" s="471"/>
      <c r="M258" s="471"/>
      <c r="N258" s="471"/>
      <c r="O258" s="471"/>
    </row>
    <row r="259" spans="1:15" x14ac:dyDescent="0.25">
      <c r="A259" s="471"/>
      <c r="B259" s="491" t="s">
        <v>3492</v>
      </c>
      <c r="C259" s="491" t="s">
        <v>118</v>
      </c>
      <c r="D259" s="492">
        <v>66000</v>
      </c>
      <c r="E259" s="491" t="s">
        <v>2450</v>
      </c>
      <c r="F259" s="471"/>
      <c r="G259" s="471"/>
      <c r="H259" s="471"/>
      <c r="I259" s="497"/>
      <c r="J259" s="471"/>
      <c r="K259" s="471"/>
      <c r="L259" s="471"/>
      <c r="M259" s="471"/>
      <c r="N259" s="471"/>
      <c r="O259" s="471"/>
    </row>
    <row r="260" spans="1:15" x14ac:dyDescent="0.25">
      <c r="A260" s="471"/>
      <c r="B260" s="491" t="s">
        <v>3493</v>
      </c>
      <c r="C260" s="491" t="s">
        <v>118</v>
      </c>
      <c r="D260" s="492">
        <v>66000</v>
      </c>
      <c r="E260" s="491" t="s">
        <v>2450</v>
      </c>
      <c r="F260" s="471"/>
      <c r="G260" s="471"/>
      <c r="H260" s="471"/>
      <c r="I260" s="497"/>
      <c r="J260" s="471"/>
      <c r="K260" s="471"/>
      <c r="L260" s="471"/>
      <c r="M260" s="471"/>
      <c r="N260" s="471"/>
      <c r="O260" s="471"/>
    </row>
    <row r="261" spans="1:15" x14ac:dyDescent="0.25">
      <c r="A261" s="471"/>
      <c r="B261" s="491" t="s">
        <v>3494</v>
      </c>
      <c r="C261" s="491" t="s">
        <v>118</v>
      </c>
      <c r="D261" s="492">
        <v>66000</v>
      </c>
      <c r="E261" s="491" t="s">
        <v>2450</v>
      </c>
      <c r="F261" s="471"/>
      <c r="G261" s="471"/>
      <c r="H261" s="471"/>
      <c r="I261" s="497"/>
      <c r="J261" s="471"/>
      <c r="K261" s="471"/>
      <c r="L261" s="471"/>
      <c r="M261" s="471"/>
      <c r="N261" s="471"/>
      <c r="O261" s="471"/>
    </row>
    <row r="262" spans="1:15" x14ac:dyDescent="0.25">
      <c r="A262" s="471"/>
      <c r="B262" s="491" t="s">
        <v>3495</v>
      </c>
      <c r="C262" s="491" t="s">
        <v>118</v>
      </c>
      <c r="D262" s="492">
        <v>66000</v>
      </c>
      <c r="E262" s="491" t="s">
        <v>2450</v>
      </c>
      <c r="F262" s="471"/>
      <c r="G262" s="471"/>
      <c r="H262" s="471"/>
      <c r="I262" s="497"/>
      <c r="J262" s="471"/>
      <c r="K262" s="471"/>
      <c r="L262" s="471"/>
      <c r="M262" s="471"/>
      <c r="N262" s="471"/>
      <c r="O262" s="471"/>
    </row>
    <row r="263" spans="1:15" x14ac:dyDescent="0.25">
      <c r="A263" s="471"/>
      <c r="B263" s="491" t="s">
        <v>3496</v>
      </c>
      <c r="C263" s="491" t="s">
        <v>121</v>
      </c>
      <c r="D263" s="492">
        <v>66000</v>
      </c>
      <c r="E263" s="491" t="s">
        <v>2450</v>
      </c>
      <c r="F263" s="471"/>
      <c r="G263" s="471"/>
      <c r="H263" s="471"/>
      <c r="I263" s="589"/>
      <c r="J263" s="471"/>
      <c r="K263" s="471"/>
      <c r="L263" s="471"/>
      <c r="M263" s="471"/>
      <c r="N263" s="471"/>
      <c r="O263" s="471"/>
    </row>
    <row r="264" spans="1:15" x14ac:dyDescent="0.25">
      <c r="A264" s="471"/>
      <c r="B264" s="491" t="s">
        <v>3497</v>
      </c>
      <c r="C264" s="491" t="s">
        <v>121</v>
      </c>
      <c r="D264" s="492">
        <v>66000</v>
      </c>
      <c r="E264" s="491" t="s">
        <v>2450</v>
      </c>
      <c r="F264" s="471"/>
      <c r="G264" s="471"/>
      <c r="H264" s="471"/>
      <c r="I264" s="589"/>
      <c r="J264" s="471"/>
      <c r="K264" s="471"/>
      <c r="L264" s="471"/>
      <c r="M264" s="471"/>
      <c r="N264" s="471"/>
      <c r="O264" s="471"/>
    </row>
    <row r="265" spans="1:15" x14ac:dyDescent="0.25">
      <c r="A265" s="471"/>
      <c r="B265" s="491" t="s">
        <v>3498</v>
      </c>
      <c r="C265" s="491" t="s">
        <v>124</v>
      </c>
      <c r="D265" s="492">
        <v>66000</v>
      </c>
      <c r="E265" s="491" t="s">
        <v>2450</v>
      </c>
      <c r="F265" s="471"/>
      <c r="G265" s="471"/>
      <c r="H265" s="471"/>
      <c r="I265" s="589"/>
      <c r="J265" s="471"/>
      <c r="K265" s="471"/>
      <c r="L265" s="471"/>
      <c r="M265" s="471"/>
      <c r="N265" s="471"/>
      <c r="O265" s="471"/>
    </row>
    <row r="266" spans="1:15" x14ac:dyDescent="0.25">
      <c r="A266" s="471"/>
      <c r="B266" s="491" t="s">
        <v>3499</v>
      </c>
      <c r="C266" s="491" t="s">
        <v>124</v>
      </c>
      <c r="D266" s="492">
        <v>66000</v>
      </c>
      <c r="E266" s="491" t="s">
        <v>2450</v>
      </c>
      <c r="F266" s="471"/>
      <c r="G266" s="471"/>
      <c r="H266" s="471"/>
      <c r="I266" s="497"/>
      <c r="J266" s="471"/>
      <c r="K266" s="471"/>
      <c r="L266" s="471"/>
      <c r="M266" s="471"/>
      <c r="N266" s="471"/>
      <c r="O266" s="471"/>
    </row>
    <row r="267" spans="1:15" x14ac:dyDescent="0.25">
      <c r="A267" s="471"/>
      <c r="B267" s="491" t="s">
        <v>1061</v>
      </c>
      <c r="C267" s="491" t="s">
        <v>124</v>
      </c>
      <c r="D267" s="492">
        <v>37700</v>
      </c>
      <c r="E267" s="491" t="s">
        <v>2450</v>
      </c>
      <c r="F267" s="471"/>
      <c r="G267" s="471"/>
      <c r="H267" s="471"/>
      <c r="I267" s="497"/>
      <c r="J267" s="471"/>
      <c r="K267" s="471"/>
      <c r="L267" s="471"/>
      <c r="M267" s="471"/>
      <c r="N267" s="471"/>
      <c r="O267" s="471"/>
    </row>
    <row r="268" spans="1:15" x14ac:dyDescent="0.25">
      <c r="A268" s="471"/>
      <c r="B268" s="491" t="s">
        <v>3500</v>
      </c>
      <c r="C268" s="491" t="s">
        <v>124</v>
      </c>
      <c r="D268" s="492">
        <v>70000</v>
      </c>
      <c r="E268" s="491" t="s">
        <v>2450</v>
      </c>
      <c r="F268" s="471"/>
      <c r="G268" s="471"/>
      <c r="H268" s="471"/>
      <c r="I268" s="471"/>
      <c r="J268" s="471"/>
      <c r="K268" s="471"/>
      <c r="L268" s="471"/>
      <c r="M268" s="471"/>
      <c r="N268" s="471"/>
      <c r="O268" s="471"/>
    </row>
    <row r="269" spans="1:15" x14ac:dyDescent="0.25">
      <c r="A269" s="471"/>
      <c r="B269" s="491" t="s">
        <v>467</v>
      </c>
      <c r="C269" s="491" t="s">
        <v>127</v>
      </c>
      <c r="D269" s="492">
        <v>378000</v>
      </c>
      <c r="E269" s="491" t="s">
        <v>2450</v>
      </c>
      <c r="F269" s="471"/>
      <c r="G269" s="471"/>
      <c r="H269" s="471"/>
      <c r="I269" s="497"/>
      <c r="J269" s="471"/>
      <c r="K269" s="471"/>
      <c r="L269" s="471"/>
      <c r="M269" s="471"/>
      <c r="N269" s="471"/>
      <c r="O269" s="471"/>
    </row>
    <row r="270" spans="1:15" x14ac:dyDescent="0.25">
      <c r="A270" s="471"/>
      <c r="B270" s="491" t="s">
        <v>3501</v>
      </c>
      <c r="C270" s="491" t="s">
        <v>127</v>
      </c>
      <c r="D270" s="492">
        <v>66000</v>
      </c>
      <c r="E270" s="491" t="s">
        <v>2450</v>
      </c>
      <c r="F270" s="471"/>
      <c r="G270" s="471"/>
      <c r="H270" s="471"/>
      <c r="I270" s="497"/>
      <c r="J270" s="471"/>
      <c r="K270" s="471"/>
      <c r="L270" s="471"/>
      <c r="M270" s="471"/>
      <c r="N270" s="471"/>
      <c r="O270" s="471"/>
    </row>
    <row r="271" spans="1:15" x14ac:dyDescent="0.25">
      <c r="A271" s="471"/>
      <c r="B271" s="491" t="s">
        <v>3502</v>
      </c>
      <c r="C271" s="491" t="s">
        <v>127</v>
      </c>
      <c r="D271" s="492">
        <v>66000</v>
      </c>
      <c r="E271" s="491" t="s">
        <v>2450</v>
      </c>
      <c r="F271" s="471"/>
      <c r="G271" s="471"/>
      <c r="H271" s="471"/>
      <c r="I271" s="497"/>
      <c r="J271" s="471"/>
      <c r="K271" s="471"/>
      <c r="L271" s="471"/>
      <c r="M271" s="471"/>
      <c r="N271" s="471"/>
      <c r="O271" s="471"/>
    </row>
    <row r="272" spans="1:15" x14ac:dyDescent="0.25">
      <c r="A272" s="471"/>
      <c r="B272" s="491" t="s">
        <v>3503</v>
      </c>
      <c r="C272" s="491" t="s">
        <v>127</v>
      </c>
      <c r="D272" s="492">
        <v>66000</v>
      </c>
      <c r="E272" s="491" t="s">
        <v>2450</v>
      </c>
      <c r="F272" s="471"/>
      <c r="G272" s="471"/>
      <c r="H272" s="471"/>
      <c r="I272" s="497"/>
      <c r="J272" s="471"/>
      <c r="K272" s="471"/>
      <c r="L272" s="471"/>
      <c r="M272" s="471"/>
      <c r="N272" s="471"/>
      <c r="O272" s="471"/>
    </row>
    <row r="273" spans="1:15" x14ac:dyDescent="0.25">
      <c r="A273" s="471"/>
      <c r="B273" s="491" t="s">
        <v>1069</v>
      </c>
      <c r="C273" s="491" t="s">
        <v>130</v>
      </c>
      <c r="D273" s="492">
        <v>250000</v>
      </c>
      <c r="E273" s="491" t="s">
        <v>2450</v>
      </c>
      <c r="F273" s="471"/>
      <c r="G273" s="471"/>
      <c r="H273" s="471"/>
      <c r="I273" s="497"/>
      <c r="J273" s="471"/>
      <c r="K273" s="471"/>
      <c r="L273" s="471"/>
      <c r="M273" s="471"/>
      <c r="N273" s="471"/>
      <c r="O273" s="471"/>
    </row>
    <row r="274" spans="1:15" x14ac:dyDescent="0.25">
      <c r="A274" s="471"/>
      <c r="B274" s="471"/>
      <c r="C274" s="471"/>
      <c r="D274" s="589"/>
      <c r="E274" s="471"/>
      <c r="F274" s="471"/>
      <c r="G274" s="471"/>
      <c r="H274" s="471"/>
      <c r="I274" s="471"/>
      <c r="J274" s="471"/>
      <c r="K274" s="471"/>
      <c r="L274" s="471"/>
      <c r="M274" s="471"/>
      <c r="N274" s="497"/>
      <c r="O274" s="471"/>
    </row>
    <row r="275" spans="1:15" x14ac:dyDescent="0.25">
      <c r="A275" s="471"/>
      <c r="B275" s="493" t="s">
        <v>2448</v>
      </c>
      <c r="C275" s="494"/>
      <c r="D275" s="586">
        <f>SUM(D212:D273)</f>
        <v>4823800</v>
      </c>
      <c r="E275" s="494"/>
      <c r="F275" s="471"/>
      <c r="G275" s="471"/>
      <c r="H275" s="471"/>
      <c r="I275" s="497"/>
      <c r="J275" s="471"/>
      <c r="K275" s="471"/>
      <c r="L275" s="471"/>
      <c r="M275" s="471"/>
      <c r="N275" s="471"/>
      <c r="O275" s="471"/>
    </row>
    <row r="276" spans="1:15" x14ac:dyDescent="0.25">
      <c r="A276" s="471"/>
      <c r="B276" s="495" t="s">
        <v>2451</v>
      </c>
      <c r="C276" s="496"/>
      <c r="D276" s="587">
        <f>SUMIF(E212:E273, "CANCELADA", D212:D273)</f>
        <v>4823800</v>
      </c>
      <c r="E276" s="496"/>
      <c r="F276" s="471"/>
      <c r="G276" s="471"/>
      <c r="H276" s="471"/>
      <c r="I276" s="497"/>
      <c r="J276" s="471"/>
      <c r="K276" s="471"/>
      <c r="L276" s="471"/>
      <c r="M276" s="471"/>
      <c r="N276" s="471"/>
      <c r="O276" s="471"/>
    </row>
    <row r="277" spans="1:15" x14ac:dyDescent="0.25">
      <c r="A277" s="471"/>
      <c r="B277" s="495" t="s">
        <v>2452</v>
      </c>
      <c r="C277" s="496"/>
      <c r="D277" s="587">
        <f>D275-D276</f>
        <v>0</v>
      </c>
      <c r="E277" s="496"/>
      <c r="F277" s="471"/>
      <c r="G277" s="471"/>
      <c r="H277" s="471"/>
      <c r="I277" s="471"/>
      <c r="J277" s="471"/>
      <c r="K277" s="471"/>
      <c r="L277" s="471"/>
      <c r="M277" s="471"/>
      <c r="N277" s="497"/>
      <c r="O277" s="471"/>
    </row>
    <row r="278" spans="1:15" x14ac:dyDescent="0.25">
      <c r="A278" s="471"/>
      <c r="B278" s="471"/>
      <c r="C278" s="471"/>
      <c r="D278" s="471"/>
      <c r="E278" s="471"/>
      <c r="F278" s="471"/>
      <c r="G278" s="471"/>
      <c r="H278" s="471"/>
      <c r="I278" s="497"/>
      <c r="J278" s="471"/>
      <c r="K278" s="471"/>
      <c r="L278" s="471"/>
      <c r="M278" s="471"/>
      <c r="N278" s="471"/>
      <c r="O278" s="471"/>
    </row>
    <row r="279" spans="1:15" x14ac:dyDescent="0.25">
      <c r="A279" s="471"/>
      <c r="B279" s="471"/>
      <c r="C279" s="471"/>
      <c r="D279" s="471"/>
      <c r="E279" s="471"/>
      <c r="F279" s="471"/>
      <c r="G279" s="471"/>
      <c r="H279" s="471"/>
      <c r="I279" s="497"/>
      <c r="J279" s="471"/>
      <c r="K279" s="471"/>
      <c r="L279" s="471"/>
      <c r="M279" s="471"/>
      <c r="N279" s="471"/>
      <c r="O279" s="471"/>
    </row>
    <row r="280" spans="1:15" x14ac:dyDescent="0.25">
      <c r="A280" s="471"/>
      <c r="B280" s="741" t="s">
        <v>3504</v>
      </c>
      <c r="C280" s="704"/>
      <c r="D280" s="704"/>
      <c r="E280" s="705"/>
      <c r="F280" s="471"/>
      <c r="G280" s="741" t="s">
        <v>3505</v>
      </c>
      <c r="H280" s="704"/>
      <c r="I280" s="704"/>
      <c r="J280" s="705"/>
      <c r="K280" s="471"/>
      <c r="L280" s="471"/>
      <c r="M280" s="471"/>
      <c r="N280" s="471"/>
      <c r="O280" s="471"/>
    </row>
    <row r="281" spans="1:15" x14ac:dyDescent="0.25">
      <c r="A281" s="471"/>
      <c r="B281" s="490" t="s">
        <v>2446</v>
      </c>
      <c r="C281" s="490" t="s">
        <v>2447</v>
      </c>
      <c r="D281" s="498" t="s">
        <v>2448</v>
      </c>
      <c r="E281" s="490" t="s">
        <v>3391</v>
      </c>
      <c r="F281" s="471"/>
      <c r="G281" s="490" t="s">
        <v>2446</v>
      </c>
      <c r="H281" s="490" t="s">
        <v>2447</v>
      </c>
      <c r="I281" s="591" t="s">
        <v>2448</v>
      </c>
      <c r="J281" s="490" t="s">
        <v>3391</v>
      </c>
      <c r="K281" s="471"/>
      <c r="L281" s="471"/>
      <c r="M281" s="471"/>
      <c r="N281" s="471"/>
      <c r="O281" s="471"/>
    </row>
    <row r="282" spans="1:15" x14ac:dyDescent="0.25">
      <c r="A282" s="471"/>
      <c r="B282" s="491" t="s">
        <v>1023</v>
      </c>
      <c r="C282" s="491" t="s">
        <v>118</v>
      </c>
      <c r="D282" s="492">
        <v>4302852</v>
      </c>
      <c r="E282" s="491" t="s">
        <v>2450</v>
      </c>
      <c r="F282" s="471"/>
      <c r="G282" s="491" t="s">
        <v>1347</v>
      </c>
      <c r="H282" s="491" t="s">
        <v>90</v>
      </c>
      <c r="I282" s="492">
        <v>738000</v>
      </c>
      <c r="J282" s="491" t="s">
        <v>2450</v>
      </c>
      <c r="K282" s="471"/>
      <c r="L282" s="471"/>
      <c r="M282" s="471"/>
      <c r="N282" s="471"/>
      <c r="O282" s="471"/>
    </row>
    <row r="283" spans="1:15" x14ac:dyDescent="0.25">
      <c r="A283" s="471"/>
      <c r="B283" s="471"/>
      <c r="C283" s="471"/>
      <c r="D283" s="497"/>
      <c r="E283" s="471"/>
      <c r="F283" s="471"/>
      <c r="G283" s="491" t="s">
        <v>1860</v>
      </c>
      <c r="H283" s="491" t="s">
        <v>102</v>
      </c>
      <c r="I283" s="492">
        <v>1076000</v>
      </c>
      <c r="J283" s="491" t="s">
        <v>2450</v>
      </c>
      <c r="K283" s="471"/>
      <c r="L283" s="471"/>
      <c r="M283" s="471"/>
      <c r="N283" s="471"/>
      <c r="O283" s="471"/>
    </row>
    <row r="284" spans="1:15" x14ac:dyDescent="0.25">
      <c r="A284" s="471"/>
      <c r="B284" s="493" t="s">
        <v>2448</v>
      </c>
      <c r="C284" s="494"/>
      <c r="D284" s="586">
        <f>SUM(D282:D282)</f>
        <v>4302852</v>
      </c>
      <c r="E284" s="494"/>
      <c r="F284" s="471"/>
      <c r="G284" s="491" t="s">
        <v>3506</v>
      </c>
      <c r="H284" s="491" t="s">
        <v>104</v>
      </c>
      <c r="I284" s="492">
        <v>1076000</v>
      </c>
      <c r="J284" s="491" t="s">
        <v>2450</v>
      </c>
      <c r="K284" s="471"/>
      <c r="L284" s="471"/>
      <c r="M284" s="471"/>
      <c r="N284" s="471"/>
      <c r="O284" s="471"/>
    </row>
    <row r="285" spans="1:15" x14ac:dyDescent="0.25">
      <c r="A285" s="471"/>
      <c r="B285" s="495" t="s">
        <v>2451</v>
      </c>
      <c r="C285" s="496"/>
      <c r="D285" s="587">
        <f>SUMIF(E282:E282, "CANCELADA", D282:D282)</f>
        <v>4302852</v>
      </c>
      <c r="E285" s="496"/>
      <c r="F285" s="471"/>
      <c r="G285" s="491" t="s">
        <v>1816</v>
      </c>
      <c r="H285" s="491" t="s">
        <v>106</v>
      </c>
      <c r="I285" s="492">
        <v>1130000</v>
      </c>
      <c r="J285" s="491" t="s">
        <v>2450</v>
      </c>
      <c r="K285" s="471"/>
      <c r="L285" s="471"/>
      <c r="M285" s="471"/>
      <c r="N285" s="471"/>
      <c r="O285" s="471"/>
    </row>
    <row r="286" spans="1:15" x14ac:dyDescent="0.25">
      <c r="A286" s="471"/>
      <c r="B286" s="495" t="s">
        <v>2452</v>
      </c>
      <c r="C286" s="496"/>
      <c r="D286" s="587">
        <f>D284-D285</f>
        <v>0</v>
      </c>
      <c r="E286" s="496"/>
      <c r="F286" s="471"/>
      <c r="G286" s="471"/>
      <c r="H286" s="471"/>
      <c r="I286" s="471"/>
      <c r="J286" s="471"/>
      <c r="K286" s="471"/>
      <c r="L286" s="471"/>
      <c r="M286" s="471"/>
      <c r="N286" s="471"/>
      <c r="O286" s="471"/>
    </row>
    <row r="287" spans="1:15" x14ac:dyDescent="0.25">
      <c r="A287" s="471"/>
      <c r="B287" s="471"/>
      <c r="C287" s="471"/>
      <c r="D287" s="497"/>
      <c r="E287" s="471"/>
      <c r="F287" s="471"/>
      <c r="G287" s="493" t="s">
        <v>2448</v>
      </c>
      <c r="H287" s="494"/>
      <c r="I287" s="586">
        <f>SUM(I282:I285)</f>
        <v>4020000</v>
      </c>
      <c r="J287" s="494"/>
      <c r="K287" s="471"/>
      <c r="L287" s="471"/>
      <c r="M287" s="471"/>
      <c r="N287" s="471"/>
      <c r="O287" s="471"/>
    </row>
    <row r="288" spans="1:15" x14ac:dyDescent="0.25">
      <c r="A288" s="471"/>
      <c r="B288" s="471"/>
      <c r="C288" s="471"/>
      <c r="D288" s="497"/>
      <c r="E288" s="471"/>
      <c r="F288" s="471"/>
      <c r="G288" s="495" t="s">
        <v>2451</v>
      </c>
      <c r="H288" s="496"/>
      <c r="I288" s="587">
        <f>SUMIF(J282:J285, "CANCELADA", I282:I285)</f>
        <v>4020000</v>
      </c>
      <c r="J288" s="496"/>
      <c r="K288" s="471"/>
      <c r="L288" s="471"/>
      <c r="M288" s="471"/>
      <c r="N288" s="471"/>
      <c r="O288" s="471"/>
    </row>
    <row r="289" spans="1:15" x14ac:dyDescent="0.25">
      <c r="A289" s="471"/>
      <c r="B289" s="471"/>
      <c r="C289" s="471"/>
      <c r="D289" s="497"/>
      <c r="E289" s="471"/>
      <c r="F289" s="471"/>
      <c r="G289" s="495" t="s">
        <v>2452</v>
      </c>
      <c r="H289" s="496"/>
      <c r="I289" s="587">
        <f>I287-I288</f>
        <v>0</v>
      </c>
      <c r="J289" s="496"/>
      <c r="K289" s="471"/>
      <c r="L289" s="471"/>
      <c r="M289" s="471"/>
      <c r="N289" s="471"/>
      <c r="O289" s="471"/>
    </row>
    <row r="290" spans="1:15" x14ac:dyDescent="0.25">
      <c r="A290" s="471"/>
      <c r="B290" s="471"/>
      <c r="C290" s="471"/>
      <c r="D290" s="497"/>
      <c r="E290" s="471"/>
      <c r="F290" s="471"/>
      <c r="G290" s="471"/>
      <c r="H290" s="471"/>
      <c r="I290" s="497"/>
      <c r="J290" s="471"/>
      <c r="K290" s="471"/>
      <c r="L290" s="471"/>
      <c r="M290" s="471"/>
      <c r="N290" s="471"/>
      <c r="O290" s="471"/>
    </row>
    <row r="291" spans="1:15" x14ac:dyDescent="0.25">
      <c r="A291" s="471"/>
      <c r="B291" s="471"/>
      <c r="C291" s="471"/>
      <c r="D291" s="471"/>
      <c r="E291" s="471"/>
      <c r="F291" s="471"/>
      <c r="G291" s="471"/>
      <c r="H291" s="471"/>
      <c r="I291" s="497"/>
      <c r="J291" s="471"/>
      <c r="K291" s="471"/>
      <c r="L291" s="471"/>
      <c r="M291" s="471"/>
      <c r="N291" s="471"/>
      <c r="O291" s="471"/>
    </row>
    <row r="292" spans="1:15" x14ac:dyDescent="0.25">
      <c r="A292" s="471"/>
      <c r="B292" s="741" t="s">
        <v>3507</v>
      </c>
      <c r="C292" s="704"/>
      <c r="D292" s="704"/>
      <c r="E292" s="705"/>
      <c r="F292" s="471"/>
      <c r="G292" s="741" t="s">
        <v>3508</v>
      </c>
      <c r="H292" s="704"/>
      <c r="I292" s="704"/>
      <c r="J292" s="705"/>
      <c r="K292" s="471"/>
      <c r="L292" s="471"/>
      <c r="M292" s="471"/>
      <c r="N292" s="471"/>
      <c r="O292" s="471"/>
    </row>
    <row r="293" spans="1:15" x14ac:dyDescent="0.25">
      <c r="A293" s="471"/>
      <c r="B293" s="490" t="s">
        <v>2446</v>
      </c>
      <c r="C293" s="490" t="s">
        <v>2447</v>
      </c>
      <c r="D293" s="591" t="s">
        <v>2448</v>
      </c>
      <c r="E293" s="490" t="s">
        <v>3391</v>
      </c>
      <c r="F293" s="471"/>
      <c r="G293" s="490" t="s">
        <v>2446</v>
      </c>
      <c r="H293" s="490" t="s">
        <v>2447</v>
      </c>
      <c r="I293" s="591" t="s">
        <v>2448</v>
      </c>
      <c r="J293" s="490" t="s">
        <v>3391</v>
      </c>
      <c r="K293" s="471"/>
      <c r="L293" s="471"/>
      <c r="M293" s="471"/>
      <c r="N293" s="471"/>
      <c r="O293" s="471"/>
    </row>
    <row r="294" spans="1:15" x14ac:dyDescent="0.25">
      <c r="A294" s="471"/>
      <c r="B294" s="491" t="s">
        <v>207</v>
      </c>
      <c r="C294" s="491" t="s">
        <v>86</v>
      </c>
      <c r="D294" s="492">
        <v>22000</v>
      </c>
      <c r="E294" s="491" t="s">
        <v>2450</v>
      </c>
      <c r="F294" s="471"/>
      <c r="G294" s="473" t="s">
        <v>202</v>
      </c>
      <c r="H294" s="473" t="s">
        <v>86</v>
      </c>
      <c r="I294" s="475">
        <v>899430</v>
      </c>
      <c r="J294" s="473" t="s">
        <v>2452</v>
      </c>
      <c r="K294" s="471"/>
      <c r="L294" s="471"/>
      <c r="M294" s="471"/>
      <c r="N294" s="471"/>
      <c r="O294" s="471"/>
    </row>
    <row r="295" spans="1:15" x14ac:dyDescent="0.25">
      <c r="A295" s="471"/>
      <c r="B295" s="491" t="s">
        <v>1275</v>
      </c>
      <c r="C295" s="491" t="s">
        <v>88</v>
      </c>
      <c r="D295" s="492">
        <v>125000</v>
      </c>
      <c r="E295" s="491" t="s">
        <v>2450</v>
      </c>
      <c r="F295" s="471"/>
      <c r="G295" s="473" t="s">
        <v>264</v>
      </c>
      <c r="H295" s="473" t="s">
        <v>92</v>
      </c>
      <c r="I295" s="475">
        <v>1124075</v>
      </c>
      <c r="J295" s="473" t="s">
        <v>2452</v>
      </c>
      <c r="K295" s="471"/>
      <c r="L295" s="471"/>
      <c r="M295" s="471"/>
      <c r="N295" s="471"/>
      <c r="O295" s="471"/>
    </row>
    <row r="296" spans="1:15" x14ac:dyDescent="0.25">
      <c r="A296" s="471"/>
      <c r="B296" s="491" t="s">
        <v>1312</v>
      </c>
      <c r="C296" s="491" t="s">
        <v>90</v>
      </c>
      <c r="D296" s="492">
        <v>282000</v>
      </c>
      <c r="E296" s="491" t="s">
        <v>2450</v>
      </c>
      <c r="F296" s="471"/>
      <c r="G296" s="473" t="s">
        <v>367</v>
      </c>
      <c r="H296" s="473" t="s">
        <v>104</v>
      </c>
      <c r="I296" s="475">
        <v>377460</v>
      </c>
      <c r="J296" s="473" t="s">
        <v>2452</v>
      </c>
      <c r="K296" s="471"/>
      <c r="L296" s="471"/>
      <c r="M296" s="471"/>
      <c r="N296" s="471"/>
      <c r="O296" s="471"/>
    </row>
    <row r="297" spans="1:15" x14ac:dyDescent="0.25">
      <c r="A297" s="471"/>
      <c r="B297" s="491" t="s">
        <v>1450</v>
      </c>
      <c r="C297" s="491" t="s">
        <v>92</v>
      </c>
      <c r="D297" s="492">
        <v>263500</v>
      </c>
      <c r="E297" s="491" t="s">
        <v>2450</v>
      </c>
      <c r="F297" s="471"/>
      <c r="G297" s="473" t="s">
        <v>435</v>
      </c>
      <c r="H297" s="473" t="s">
        <v>121</v>
      </c>
      <c r="I297" s="475">
        <v>389775</v>
      </c>
      <c r="J297" s="473" t="s">
        <v>2452</v>
      </c>
      <c r="K297" s="471"/>
      <c r="L297" s="471"/>
      <c r="M297" s="471"/>
      <c r="N297" s="471"/>
      <c r="O297" s="471"/>
    </row>
    <row r="298" spans="1:15" x14ac:dyDescent="0.25">
      <c r="A298" s="471"/>
      <c r="B298" s="491" t="s">
        <v>1493</v>
      </c>
      <c r="C298" s="491" t="s">
        <v>96</v>
      </c>
      <c r="D298" s="492">
        <v>485000</v>
      </c>
      <c r="E298" s="491" t="s">
        <v>2450</v>
      </c>
      <c r="F298" s="471"/>
      <c r="G298" s="473" t="s">
        <v>479</v>
      </c>
      <c r="H298" s="473" t="s">
        <v>130</v>
      </c>
      <c r="I298" s="475">
        <v>744421</v>
      </c>
      <c r="J298" s="473" t="s">
        <v>2452</v>
      </c>
      <c r="K298" s="471"/>
      <c r="L298" s="471"/>
      <c r="M298" s="471"/>
      <c r="N298" s="471"/>
      <c r="O298" s="471"/>
    </row>
    <row r="299" spans="1:15" x14ac:dyDescent="0.25">
      <c r="A299" s="471"/>
      <c r="B299" s="491" t="s">
        <v>882</v>
      </c>
      <c r="C299" s="491" t="s">
        <v>98</v>
      </c>
      <c r="D299" s="492">
        <v>74000</v>
      </c>
      <c r="E299" s="491" t="s">
        <v>2450</v>
      </c>
      <c r="F299" s="471"/>
      <c r="G299" s="471"/>
      <c r="H299" s="471"/>
      <c r="I299" s="497"/>
      <c r="J299" s="471"/>
      <c r="K299" s="471"/>
      <c r="L299" s="471"/>
      <c r="M299" s="471"/>
      <c r="N299" s="471"/>
      <c r="O299" s="471"/>
    </row>
    <row r="300" spans="1:15" x14ac:dyDescent="0.25">
      <c r="A300" s="471"/>
      <c r="B300" s="491" t="s">
        <v>1595</v>
      </c>
      <c r="C300" s="491" t="s">
        <v>100</v>
      </c>
      <c r="D300" s="492">
        <v>161000</v>
      </c>
      <c r="E300" s="491" t="s">
        <v>2450</v>
      </c>
      <c r="F300" s="471"/>
      <c r="G300" s="493" t="s">
        <v>2448</v>
      </c>
      <c r="H300" s="494"/>
      <c r="I300" s="586">
        <f>SUM(I294:I298)</f>
        <v>3535161</v>
      </c>
      <c r="J300" s="494"/>
      <c r="K300" s="471"/>
      <c r="L300" s="471"/>
      <c r="M300" s="471"/>
      <c r="N300" s="471"/>
      <c r="O300" s="471"/>
    </row>
    <row r="301" spans="1:15" x14ac:dyDescent="0.25">
      <c r="A301" s="471"/>
      <c r="B301" s="491" t="s">
        <v>1638</v>
      </c>
      <c r="C301" s="491" t="s">
        <v>102</v>
      </c>
      <c r="D301" s="492">
        <v>25000</v>
      </c>
      <c r="E301" s="491" t="s">
        <v>2450</v>
      </c>
      <c r="F301" s="471"/>
      <c r="G301" s="495" t="s">
        <v>2451</v>
      </c>
      <c r="H301" s="496"/>
      <c r="I301" s="587">
        <f>SUMIF(J294:J298, "CANCELADA", I294:I298)</f>
        <v>0</v>
      </c>
      <c r="J301" s="496"/>
      <c r="K301" s="471"/>
      <c r="L301" s="471"/>
      <c r="M301" s="471"/>
      <c r="N301" s="471"/>
      <c r="O301" s="471"/>
    </row>
    <row r="302" spans="1:15" x14ac:dyDescent="0.25">
      <c r="A302" s="471"/>
      <c r="B302" s="491" t="s">
        <v>345</v>
      </c>
      <c r="C302" s="491" t="s">
        <v>103</v>
      </c>
      <c r="D302" s="492">
        <v>336000</v>
      </c>
      <c r="E302" s="491" t="s">
        <v>2450</v>
      </c>
      <c r="F302" s="471"/>
      <c r="G302" s="495" t="s">
        <v>2452</v>
      </c>
      <c r="H302" s="496"/>
      <c r="I302" s="587">
        <f>I300-I301</f>
        <v>3535161</v>
      </c>
      <c r="J302" s="496"/>
      <c r="K302" s="471"/>
      <c r="L302" s="471"/>
      <c r="M302" s="471"/>
      <c r="N302" s="471"/>
      <c r="O302" s="471"/>
    </row>
    <row r="303" spans="1:15" x14ac:dyDescent="0.25">
      <c r="A303" s="471"/>
      <c r="B303" s="491" t="s">
        <v>1691</v>
      </c>
      <c r="C303" s="491" t="s">
        <v>103</v>
      </c>
      <c r="D303" s="492">
        <v>20000</v>
      </c>
      <c r="E303" s="491" t="s">
        <v>2450</v>
      </c>
      <c r="F303" s="471"/>
      <c r="G303" s="471"/>
      <c r="H303" s="471"/>
      <c r="I303" s="497"/>
      <c r="J303" s="471"/>
      <c r="K303" s="471"/>
      <c r="L303" s="471"/>
      <c r="M303" s="471"/>
      <c r="N303" s="471"/>
      <c r="O303" s="471"/>
    </row>
    <row r="304" spans="1:15" x14ac:dyDescent="0.25">
      <c r="A304" s="471"/>
      <c r="B304" s="491" t="s">
        <v>953</v>
      </c>
      <c r="C304" s="491" t="s">
        <v>103</v>
      </c>
      <c r="D304" s="492">
        <v>50000</v>
      </c>
      <c r="E304" s="491" t="s">
        <v>2450</v>
      </c>
      <c r="F304" s="471"/>
      <c r="G304" s="471"/>
      <c r="H304" s="471"/>
      <c r="I304" s="589"/>
      <c r="J304" s="471"/>
      <c r="K304" s="471"/>
      <c r="L304" s="471"/>
      <c r="M304" s="471"/>
      <c r="N304" s="471"/>
      <c r="O304" s="471"/>
    </row>
    <row r="305" spans="1:15" x14ac:dyDescent="0.25">
      <c r="A305" s="471"/>
      <c r="B305" s="491" t="s">
        <v>3509</v>
      </c>
      <c r="C305" s="491" t="s">
        <v>104</v>
      </c>
      <c r="D305" s="492">
        <v>345000</v>
      </c>
      <c r="E305" s="491" t="s">
        <v>2450</v>
      </c>
      <c r="F305" s="471"/>
      <c r="G305" s="471"/>
      <c r="H305" s="471"/>
      <c r="I305" s="589"/>
      <c r="J305" s="471"/>
      <c r="K305" s="471"/>
      <c r="L305" s="471"/>
      <c r="M305" s="471"/>
      <c r="N305" s="471"/>
      <c r="O305" s="471"/>
    </row>
    <row r="306" spans="1:15" x14ac:dyDescent="0.25">
      <c r="A306" s="471"/>
      <c r="B306" s="491" t="s">
        <v>3510</v>
      </c>
      <c r="C306" s="491" t="s">
        <v>104</v>
      </c>
      <c r="D306" s="492">
        <v>190000</v>
      </c>
      <c r="E306" s="491" t="s">
        <v>2450</v>
      </c>
      <c r="F306" s="471"/>
      <c r="G306" s="471"/>
      <c r="H306" s="471"/>
      <c r="I306" s="589"/>
      <c r="J306" s="471"/>
      <c r="K306" s="471"/>
      <c r="L306" s="471"/>
      <c r="M306" s="471"/>
      <c r="N306" s="471"/>
      <c r="O306" s="471"/>
    </row>
    <row r="307" spans="1:15" x14ac:dyDescent="0.25">
      <c r="A307" s="471"/>
      <c r="B307" s="491" t="s">
        <v>3511</v>
      </c>
      <c r="C307" s="491" t="s">
        <v>106</v>
      </c>
      <c r="D307" s="492">
        <v>750000</v>
      </c>
      <c r="E307" s="491" t="s">
        <v>2450</v>
      </c>
      <c r="F307" s="471"/>
      <c r="G307" s="471"/>
      <c r="H307" s="471"/>
      <c r="I307" s="497"/>
      <c r="J307" s="471"/>
      <c r="K307" s="471"/>
      <c r="L307" s="471"/>
      <c r="M307" s="471"/>
      <c r="N307" s="471"/>
      <c r="O307" s="471"/>
    </row>
    <row r="308" spans="1:15" x14ac:dyDescent="0.25">
      <c r="A308" s="471"/>
      <c r="B308" s="491" t="s">
        <v>3512</v>
      </c>
      <c r="C308" s="491" t="s">
        <v>106</v>
      </c>
      <c r="D308" s="492">
        <v>241800</v>
      </c>
      <c r="E308" s="491" t="s">
        <v>2450</v>
      </c>
      <c r="F308" s="471"/>
      <c r="G308" s="471"/>
      <c r="H308" s="471"/>
      <c r="I308" s="497"/>
      <c r="J308" s="471"/>
      <c r="K308" s="471"/>
      <c r="L308" s="471"/>
      <c r="M308" s="471"/>
      <c r="N308" s="471"/>
      <c r="O308" s="471"/>
    </row>
    <row r="309" spans="1:15" x14ac:dyDescent="0.25">
      <c r="A309" s="471"/>
      <c r="B309" s="491" t="s">
        <v>3513</v>
      </c>
      <c r="C309" s="491" t="s">
        <v>106</v>
      </c>
      <c r="D309" s="492">
        <v>38200</v>
      </c>
      <c r="E309" s="491" t="s">
        <v>2450</v>
      </c>
      <c r="F309" s="471"/>
      <c r="G309" s="471"/>
      <c r="H309" s="471"/>
      <c r="I309" s="497"/>
      <c r="J309" s="471"/>
      <c r="K309" s="471"/>
      <c r="L309" s="471"/>
      <c r="M309" s="471"/>
      <c r="N309" s="471"/>
      <c r="O309" s="471"/>
    </row>
    <row r="310" spans="1:15" x14ac:dyDescent="0.25">
      <c r="A310" s="471"/>
      <c r="B310" s="491" t="s">
        <v>3514</v>
      </c>
      <c r="C310" s="491" t="s">
        <v>106</v>
      </c>
      <c r="D310" s="492">
        <v>100000</v>
      </c>
      <c r="E310" s="491" t="s">
        <v>2450</v>
      </c>
      <c r="F310" s="471"/>
      <c r="G310" s="471"/>
      <c r="H310" s="471"/>
      <c r="I310" s="497"/>
      <c r="J310" s="471"/>
      <c r="K310" s="471"/>
      <c r="L310" s="471"/>
      <c r="M310" s="471"/>
      <c r="N310" s="471"/>
      <c r="O310" s="471"/>
    </row>
    <row r="311" spans="1:15" x14ac:dyDescent="0.25">
      <c r="A311" s="471"/>
      <c r="B311" s="491" t="s">
        <v>3515</v>
      </c>
      <c r="C311" s="491" t="s">
        <v>112</v>
      </c>
      <c r="D311" s="492">
        <v>20000</v>
      </c>
      <c r="E311" s="491" t="s">
        <v>2450</v>
      </c>
      <c r="F311" s="471"/>
      <c r="G311" s="471"/>
      <c r="H311" s="471"/>
      <c r="I311" s="497"/>
      <c r="J311" s="471"/>
      <c r="K311" s="471"/>
      <c r="L311" s="471"/>
      <c r="M311" s="471"/>
      <c r="N311" s="471"/>
      <c r="O311" s="471"/>
    </row>
    <row r="312" spans="1:15" x14ac:dyDescent="0.25">
      <c r="A312" s="471"/>
      <c r="B312" s="491" t="s">
        <v>3516</v>
      </c>
      <c r="C312" s="491" t="s">
        <v>112</v>
      </c>
      <c r="D312" s="492">
        <v>81100</v>
      </c>
      <c r="E312" s="491" t="s">
        <v>2450</v>
      </c>
      <c r="F312" s="471"/>
      <c r="G312" s="471"/>
      <c r="H312" s="471"/>
      <c r="I312" s="497"/>
      <c r="J312" s="471"/>
      <c r="K312" s="471"/>
      <c r="L312" s="471"/>
      <c r="M312" s="471"/>
      <c r="N312" s="471"/>
      <c r="O312" s="471"/>
    </row>
    <row r="313" spans="1:15" x14ac:dyDescent="0.25">
      <c r="A313" s="471"/>
      <c r="B313" s="491" t="s">
        <v>3517</v>
      </c>
      <c r="C313" s="491" t="s">
        <v>112</v>
      </c>
      <c r="D313" s="492">
        <v>9000</v>
      </c>
      <c r="E313" s="491" t="s">
        <v>2450</v>
      </c>
      <c r="F313" s="471"/>
      <c r="G313" s="471"/>
      <c r="H313" s="471"/>
      <c r="I313" s="497"/>
      <c r="J313" s="471"/>
      <c r="K313" s="471"/>
      <c r="L313" s="471"/>
      <c r="M313" s="471"/>
      <c r="N313" s="471"/>
      <c r="O313" s="471"/>
    </row>
    <row r="314" spans="1:15" x14ac:dyDescent="0.25">
      <c r="A314" s="471"/>
      <c r="B314" s="491" t="s">
        <v>3518</v>
      </c>
      <c r="C314" s="491" t="s">
        <v>112</v>
      </c>
      <c r="D314" s="492">
        <v>24500</v>
      </c>
      <c r="E314" s="491" t="s">
        <v>2450</v>
      </c>
      <c r="F314" s="471"/>
      <c r="G314" s="471"/>
      <c r="H314" s="471"/>
      <c r="I314" s="497"/>
      <c r="J314" s="471"/>
      <c r="K314" s="471"/>
      <c r="L314" s="471"/>
      <c r="M314" s="471"/>
      <c r="N314" s="471"/>
      <c r="O314" s="471"/>
    </row>
    <row r="315" spans="1:15" x14ac:dyDescent="0.25">
      <c r="A315" s="471"/>
      <c r="B315" s="471"/>
      <c r="C315" s="471"/>
      <c r="D315" s="497"/>
      <c r="E315" s="471"/>
      <c r="F315" s="471"/>
      <c r="G315" s="471"/>
      <c r="H315" s="471"/>
      <c r="I315" s="497"/>
      <c r="J315" s="471"/>
      <c r="K315" s="471"/>
      <c r="L315" s="471"/>
      <c r="M315" s="471"/>
      <c r="N315" s="471"/>
      <c r="O315" s="471"/>
    </row>
    <row r="316" spans="1:15" x14ac:dyDescent="0.25">
      <c r="A316" s="471"/>
      <c r="B316" s="493" t="s">
        <v>2448</v>
      </c>
      <c r="C316" s="494"/>
      <c r="D316" s="586">
        <f>SUM(D294:D314)</f>
        <v>3643100</v>
      </c>
      <c r="E316" s="494"/>
      <c r="F316" s="471"/>
      <c r="G316" s="471"/>
      <c r="H316" s="471"/>
      <c r="I316" s="497"/>
      <c r="J316" s="471"/>
      <c r="K316" s="471"/>
      <c r="L316" s="471"/>
      <c r="M316" s="471"/>
      <c r="N316" s="471"/>
      <c r="O316" s="471"/>
    </row>
    <row r="317" spans="1:15" x14ac:dyDescent="0.25">
      <c r="A317" s="471"/>
      <c r="B317" s="495" t="s">
        <v>2451</v>
      </c>
      <c r="C317" s="496"/>
      <c r="D317" s="587">
        <f>SUMIF(E294:E314, "CANCELADA", D294:D314)</f>
        <v>3643100</v>
      </c>
      <c r="E317" s="496"/>
      <c r="F317" s="471"/>
      <c r="G317" s="471"/>
      <c r="H317" s="471"/>
      <c r="I317" s="497"/>
      <c r="J317" s="471"/>
      <c r="K317" s="471"/>
      <c r="L317" s="471"/>
      <c r="M317" s="471"/>
      <c r="N317" s="471"/>
      <c r="O317" s="471"/>
    </row>
    <row r="318" spans="1:15" x14ac:dyDescent="0.25">
      <c r="A318" s="471"/>
      <c r="B318" s="495" t="s">
        <v>2452</v>
      </c>
      <c r="C318" s="496"/>
      <c r="D318" s="587">
        <f>D316-D317</f>
        <v>0</v>
      </c>
      <c r="E318" s="496"/>
      <c r="F318" s="471"/>
      <c r="G318" s="471"/>
      <c r="H318" s="471"/>
      <c r="I318" s="497"/>
      <c r="J318" s="471"/>
      <c r="K318" s="471"/>
      <c r="L318" s="471"/>
      <c r="M318" s="471"/>
      <c r="N318" s="471"/>
      <c r="O318" s="471"/>
    </row>
    <row r="319" spans="1:15" x14ac:dyDescent="0.25">
      <c r="A319" s="471"/>
      <c r="B319" s="471"/>
      <c r="C319" s="471"/>
      <c r="D319" s="497"/>
      <c r="E319" s="471"/>
      <c r="F319" s="471"/>
      <c r="G319" s="471"/>
      <c r="H319" s="471"/>
      <c r="I319" s="497"/>
      <c r="J319" s="471"/>
      <c r="K319" s="471"/>
      <c r="L319" s="471"/>
      <c r="M319" s="471"/>
      <c r="N319" s="471"/>
      <c r="O319" s="471"/>
    </row>
    <row r="320" spans="1:15" x14ac:dyDescent="0.25">
      <c r="A320" s="471"/>
      <c r="B320" s="471"/>
      <c r="C320" s="471"/>
      <c r="D320" s="497"/>
      <c r="E320" s="471"/>
      <c r="F320" s="471"/>
      <c r="G320" s="471"/>
      <c r="H320" s="471"/>
      <c r="I320" s="589"/>
      <c r="J320" s="471"/>
      <c r="K320" s="471"/>
      <c r="L320" s="471"/>
      <c r="M320" s="471"/>
      <c r="N320" s="471"/>
      <c r="O320" s="471"/>
    </row>
    <row r="321" spans="1:15" x14ac:dyDescent="0.25">
      <c r="A321" s="471"/>
      <c r="B321" s="741" t="s">
        <v>3519</v>
      </c>
      <c r="C321" s="704"/>
      <c r="D321" s="704"/>
      <c r="E321" s="705"/>
      <c r="F321" s="471"/>
      <c r="G321" s="741" t="s">
        <v>3520</v>
      </c>
      <c r="H321" s="704"/>
      <c r="I321" s="704"/>
      <c r="J321" s="705"/>
      <c r="K321" s="471"/>
      <c r="L321" s="471"/>
      <c r="M321" s="471"/>
      <c r="N321" s="471"/>
      <c r="O321" s="471"/>
    </row>
    <row r="322" spans="1:15" x14ac:dyDescent="0.25">
      <c r="A322" s="471"/>
      <c r="B322" s="490" t="s">
        <v>2446</v>
      </c>
      <c r="C322" s="490" t="s">
        <v>2447</v>
      </c>
      <c r="D322" s="591" t="s">
        <v>2448</v>
      </c>
      <c r="E322" s="490" t="s">
        <v>3391</v>
      </c>
      <c r="F322" s="471"/>
      <c r="G322" s="490" t="s">
        <v>2446</v>
      </c>
      <c r="H322" s="490" t="s">
        <v>2447</v>
      </c>
      <c r="I322" s="591" t="s">
        <v>2448</v>
      </c>
      <c r="J322" s="490" t="s">
        <v>3391</v>
      </c>
      <c r="K322" s="471"/>
      <c r="L322" s="471"/>
      <c r="M322" s="471"/>
      <c r="N322" s="471"/>
      <c r="O322" s="471"/>
    </row>
    <row r="323" spans="1:15" x14ac:dyDescent="0.25">
      <c r="A323" s="471"/>
      <c r="B323" s="491" t="s">
        <v>3521</v>
      </c>
      <c r="C323" s="491" t="s">
        <v>118</v>
      </c>
      <c r="D323" s="492">
        <v>1000000</v>
      </c>
      <c r="E323" s="491" t="s">
        <v>2450</v>
      </c>
      <c r="F323" s="471"/>
      <c r="G323" s="491" t="s">
        <v>1500</v>
      </c>
      <c r="H323" s="491" t="s">
        <v>98</v>
      </c>
      <c r="I323" s="492">
        <v>649800</v>
      </c>
      <c r="J323" s="491" t="s">
        <v>2450</v>
      </c>
      <c r="K323" s="471"/>
      <c r="L323" s="471"/>
      <c r="M323" s="471"/>
      <c r="N323" s="471"/>
      <c r="O323" s="471"/>
    </row>
    <row r="324" spans="1:15" x14ac:dyDescent="0.25">
      <c r="A324" s="471"/>
      <c r="B324" s="473" t="s">
        <v>3522</v>
      </c>
      <c r="C324" s="473" t="s">
        <v>118</v>
      </c>
      <c r="D324" s="475">
        <v>2400000</v>
      </c>
      <c r="E324" s="473" t="s">
        <v>2452</v>
      </c>
      <c r="F324" s="471"/>
      <c r="G324" s="491" t="s">
        <v>681</v>
      </c>
      <c r="H324" s="491" t="s">
        <v>102</v>
      </c>
      <c r="I324" s="492">
        <v>1572643</v>
      </c>
      <c r="J324" s="491" t="s">
        <v>2450</v>
      </c>
      <c r="K324" s="471"/>
      <c r="L324" s="471"/>
      <c r="M324" s="471"/>
      <c r="N324" s="471"/>
      <c r="O324" s="471"/>
    </row>
    <row r="325" spans="1:15" x14ac:dyDescent="0.25">
      <c r="A325" s="471"/>
      <c r="B325" s="473" t="s">
        <v>3523</v>
      </c>
      <c r="C325" s="473" t="s">
        <v>118</v>
      </c>
      <c r="D325" s="475">
        <v>110000</v>
      </c>
      <c r="E325" s="473" t="s">
        <v>2452</v>
      </c>
      <c r="F325" s="471"/>
      <c r="G325" s="471"/>
      <c r="H325" s="471"/>
      <c r="I325" s="497"/>
      <c r="J325" s="471"/>
      <c r="K325" s="471"/>
      <c r="L325" s="471"/>
      <c r="M325" s="471"/>
      <c r="N325" s="471"/>
      <c r="O325" s="471"/>
    </row>
    <row r="326" spans="1:15" x14ac:dyDescent="0.25">
      <c r="A326" s="471"/>
      <c r="B326" s="471"/>
      <c r="C326" s="471"/>
      <c r="D326" s="471"/>
      <c r="E326" s="471"/>
      <c r="F326" s="471"/>
      <c r="G326" s="493" t="s">
        <v>2448</v>
      </c>
      <c r="H326" s="494"/>
      <c r="I326" s="586">
        <f>SUM(I323:I324)</f>
        <v>2222443</v>
      </c>
      <c r="J326" s="494"/>
      <c r="K326" s="471"/>
      <c r="L326" s="471"/>
      <c r="M326" s="471"/>
      <c r="N326" s="471"/>
      <c r="O326" s="471"/>
    </row>
    <row r="327" spans="1:15" x14ac:dyDescent="0.25">
      <c r="A327" s="471"/>
      <c r="B327" s="493" t="s">
        <v>2448</v>
      </c>
      <c r="C327" s="494"/>
      <c r="D327" s="586">
        <f>SUM(D323:D325)</f>
        <v>3510000</v>
      </c>
      <c r="E327" s="494"/>
      <c r="F327" s="471"/>
      <c r="G327" s="495" t="s">
        <v>2451</v>
      </c>
      <c r="H327" s="496"/>
      <c r="I327" s="587">
        <f>SUMIF(J323:J324, "CANCELADA", I323:I324)</f>
        <v>2222443</v>
      </c>
      <c r="J327" s="496"/>
      <c r="K327" s="471"/>
      <c r="L327" s="471"/>
      <c r="M327" s="471"/>
      <c r="N327" s="471"/>
      <c r="O327" s="471"/>
    </row>
    <row r="328" spans="1:15" x14ac:dyDescent="0.25">
      <c r="A328" s="471"/>
      <c r="B328" s="495" t="s">
        <v>2451</v>
      </c>
      <c r="C328" s="496"/>
      <c r="D328" s="587">
        <f>SUMIF(E323:E325, "CANCELADA", D323:D325)</f>
        <v>1000000</v>
      </c>
      <c r="E328" s="496"/>
      <c r="F328" s="471"/>
      <c r="G328" s="495" t="s">
        <v>2452</v>
      </c>
      <c r="H328" s="496"/>
      <c r="I328" s="587">
        <f>I326-I327</f>
        <v>0</v>
      </c>
      <c r="J328" s="496"/>
      <c r="K328" s="471"/>
      <c r="L328" s="471"/>
      <c r="M328" s="471"/>
      <c r="N328" s="471"/>
      <c r="O328" s="471"/>
    </row>
    <row r="329" spans="1:15" x14ac:dyDescent="0.25">
      <c r="A329" s="471"/>
      <c r="B329" s="495" t="s">
        <v>2452</v>
      </c>
      <c r="C329" s="496"/>
      <c r="D329" s="587">
        <f>D327-D328</f>
        <v>2510000</v>
      </c>
      <c r="E329" s="496"/>
      <c r="F329" s="471"/>
      <c r="G329" s="471"/>
      <c r="H329" s="471"/>
      <c r="I329" s="497"/>
      <c r="J329" s="471"/>
      <c r="K329" s="471"/>
      <c r="L329" s="471"/>
      <c r="M329" s="471"/>
      <c r="N329" s="471"/>
      <c r="O329" s="471"/>
    </row>
    <row r="330" spans="1:15" x14ac:dyDescent="0.25">
      <c r="A330" s="471"/>
      <c r="B330" s="471"/>
      <c r="C330" s="471"/>
      <c r="D330" s="497"/>
      <c r="E330" s="471"/>
      <c r="F330" s="471"/>
      <c r="G330" s="471"/>
      <c r="H330" s="471"/>
      <c r="I330" s="497"/>
      <c r="J330" s="471"/>
      <c r="K330" s="471"/>
      <c r="L330" s="471"/>
      <c r="M330" s="471"/>
      <c r="N330" s="471"/>
      <c r="O330" s="471"/>
    </row>
    <row r="331" spans="1:15" x14ac:dyDescent="0.25">
      <c r="A331" s="471"/>
      <c r="B331" s="471"/>
      <c r="C331" s="471"/>
      <c r="D331" s="497"/>
      <c r="E331" s="471"/>
      <c r="F331" s="471"/>
      <c r="G331" s="471"/>
      <c r="H331" s="471"/>
      <c r="I331" s="589"/>
      <c r="J331" s="471"/>
      <c r="K331" s="471"/>
      <c r="L331" s="471"/>
      <c r="M331" s="471"/>
      <c r="N331" s="471"/>
      <c r="O331" s="471"/>
    </row>
    <row r="332" spans="1:15" x14ac:dyDescent="0.25">
      <c r="A332" s="471"/>
      <c r="B332" s="741" t="s">
        <v>3524</v>
      </c>
      <c r="C332" s="704"/>
      <c r="D332" s="704"/>
      <c r="E332" s="705"/>
      <c r="F332" s="471"/>
      <c r="G332" s="741" t="s">
        <v>3525</v>
      </c>
      <c r="H332" s="704"/>
      <c r="I332" s="704"/>
      <c r="J332" s="705"/>
      <c r="K332" s="471"/>
      <c r="L332" s="471"/>
      <c r="M332" s="471"/>
      <c r="N332" s="471"/>
      <c r="O332" s="471"/>
    </row>
    <row r="333" spans="1:15" x14ac:dyDescent="0.25">
      <c r="A333" s="471"/>
      <c r="B333" s="490" t="s">
        <v>2446</v>
      </c>
      <c r="C333" s="490" t="s">
        <v>2447</v>
      </c>
      <c r="D333" s="591" t="s">
        <v>2448</v>
      </c>
      <c r="E333" s="490" t="s">
        <v>3391</v>
      </c>
      <c r="F333" s="471"/>
      <c r="G333" s="490" t="s">
        <v>2446</v>
      </c>
      <c r="H333" s="490" t="s">
        <v>2447</v>
      </c>
      <c r="I333" s="591" t="s">
        <v>2448</v>
      </c>
      <c r="J333" s="490" t="s">
        <v>3391</v>
      </c>
      <c r="K333" s="471"/>
      <c r="L333" s="471"/>
      <c r="M333" s="471"/>
      <c r="N333" s="471"/>
      <c r="O333" s="471"/>
    </row>
    <row r="334" spans="1:15" x14ac:dyDescent="0.25">
      <c r="A334" s="471"/>
      <c r="B334" s="491" t="s">
        <v>3526</v>
      </c>
      <c r="C334" s="491" t="s">
        <v>104</v>
      </c>
      <c r="D334" s="492">
        <v>1200000</v>
      </c>
      <c r="E334" s="491" t="s">
        <v>2450</v>
      </c>
      <c r="F334" s="471"/>
      <c r="G334" s="491" t="s">
        <v>3527</v>
      </c>
      <c r="H334" s="491" t="s">
        <v>121</v>
      </c>
      <c r="I334" s="492">
        <v>1851300</v>
      </c>
      <c r="J334" s="491" t="s">
        <v>2450</v>
      </c>
      <c r="K334" s="471"/>
      <c r="L334" s="471"/>
      <c r="M334" s="471"/>
      <c r="N334" s="471"/>
      <c r="O334" s="471"/>
    </row>
    <row r="335" spans="1:15" x14ac:dyDescent="0.25">
      <c r="A335" s="471"/>
      <c r="B335" s="491" t="s">
        <v>1747</v>
      </c>
      <c r="C335" s="491" t="s">
        <v>104</v>
      </c>
      <c r="D335" s="492">
        <v>900000</v>
      </c>
      <c r="E335" s="491" t="s">
        <v>2450</v>
      </c>
      <c r="F335" s="471"/>
      <c r="G335" s="471"/>
      <c r="H335" s="471"/>
      <c r="I335" s="471"/>
      <c r="J335" s="471"/>
      <c r="K335" s="471"/>
      <c r="L335" s="471"/>
      <c r="M335" s="471"/>
      <c r="N335" s="471"/>
      <c r="O335" s="471"/>
    </row>
    <row r="336" spans="1:15" x14ac:dyDescent="0.25">
      <c r="A336" s="471"/>
      <c r="B336" s="471"/>
      <c r="C336" s="471"/>
      <c r="D336" s="589"/>
      <c r="E336" s="471"/>
      <c r="F336" s="471"/>
      <c r="G336" s="493" t="s">
        <v>2448</v>
      </c>
      <c r="H336" s="494"/>
      <c r="I336" s="586">
        <f>SUM(I334:I334)</f>
        <v>1851300</v>
      </c>
      <c r="J336" s="494"/>
      <c r="K336" s="471"/>
      <c r="L336" s="471"/>
      <c r="M336" s="471"/>
      <c r="N336" s="471"/>
      <c r="O336" s="471"/>
    </row>
    <row r="337" spans="1:15" x14ac:dyDescent="0.25">
      <c r="A337" s="471"/>
      <c r="B337" s="493" t="s">
        <v>2448</v>
      </c>
      <c r="C337" s="494"/>
      <c r="D337" s="586">
        <f>SUM(D334:D335)</f>
        <v>2100000</v>
      </c>
      <c r="E337" s="494"/>
      <c r="F337" s="471"/>
      <c r="G337" s="495" t="s">
        <v>2451</v>
      </c>
      <c r="H337" s="496"/>
      <c r="I337" s="587">
        <f>SUMIF(J334:J334, "CANCELADA", I334:I334)</f>
        <v>1851300</v>
      </c>
      <c r="J337" s="496"/>
      <c r="K337" s="471"/>
      <c r="L337" s="471"/>
      <c r="M337" s="471"/>
      <c r="N337" s="471"/>
      <c r="O337" s="471"/>
    </row>
    <row r="338" spans="1:15" x14ac:dyDescent="0.25">
      <c r="A338" s="471"/>
      <c r="B338" s="495" t="s">
        <v>2451</v>
      </c>
      <c r="C338" s="496"/>
      <c r="D338" s="587">
        <f>SUMIF(E334:E335, "CANCELADA", D334:D335)</f>
        <v>2100000</v>
      </c>
      <c r="E338" s="496"/>
      <c r="F338" s="471"/>
      <c r="G338" s="495" t="s">
        <v>2452</v>
      </c>
      <c r="H338" s="496"/>
      <c r="I338" s="587">
        <f>I336-I337</f>
        <v>0</v>
      </c>
      <c r="J338" s="496"/>
      <c r="K338" s="471"/>
      <c r="L338" s="471"/>
      <c r="M338" s="471"/>
      <c r="N338" s="471"/>
      <c r="O338" s="471"/>
    </row>
    <row r="339" spans="1:15" x14ac:dyDescent="0.25">
      <c r="A339" s="471"/>
      <c r="B339" s="495" t="s">
        <v>2452</v>
      </c>
      <c r="C339" s="496"/>
      <c r="D339" s="587">
        <f>D337-D338</f>
        <v>0</v>
      </c>
      <c r="E339" s="496"/>
      <c r="F339" s="471"/>
      <c r="G339" s="471"/>
      <c r="H339" s="471"/>
      <c r="I339" s="471"/>
      <c r="J339" s="471"/>
      <c r="K339" s="471"/>
      <c r="L339" s="471"/>
      <c r="M339" s="471"/>
      <c r="N339" s="471"/>
      <c r="O339" s="471"/>
    </row>
    <row r="340" spans="1:15" x14ac:dyDescent="0.25">
      <c r="A340" s="471"/>
      <c r="B340" s="471"/>
      <c r="C340" s="471"/>
      <c r="D340" s="497"/>
      <c r="E340" s="471"/>
      <c r="F340" s="471"/>
      <c r="G340" s="471"/>
      <c r="H340" s="471"/>
      <c r="I340" s="497"/>
      <c r="J340" s="471"/>
      <c r="K340" s="471"/>
      <c r="L340" s="471"/>
      <c r="M340" s="471"/>
      <c r="N340" s="471"/>
      <c r="O340" s="471"/>
    </row>
    <row r="341" spans="1:15" x14ac:dyDescent="0.25">
      <c r="A341" s="471"/>
      <c r="B341" s="471"/>
      <c r="C341" s="471"/>
      <c r="D341" s="497"/>
      <c r="E341" s="471"/>
      <c r="F341" s="471"/>
      <c r="G341" s="471"/>
      <c r="H341" s="471"/>
      <c r="I341" s="497"/>
      <c r="J341" s="471"/>
      <c r="K341" s="471"/>
      <c r="L341" s="471"/>
      <c r="M341" s="471"/>
      <c r="N341" s="471"/>
      <c r="O341" s="471"/>
    </row>
    <row r="342" spans="1:15" x14ac:dyDescent="0.25">
      <c r="A342" s="471"/>
      <c r="B342" s="741" t="s">
        <v>3528</v>
      </c>
      <c r="C342" s="704"/>
      <c r="D342" s="704"/>
      <c r="E342" s="705"/>
      <c r="F342" s="471"/>
      <c r="G342" s="741" t="s">
        <v>3529</v>
      </c>
      <c r="H342" s="704"/>
      <c r="I342" s="704"/>
      <c r="J342" s="705"/>
      <c r="K342" s="471"/>
      <c r="L342" s="471"/>
      <c r="M342" s="471"/>
      <c r="N342" s="471"/>
      <c r="O342" s="471"/>
    </row>
    <row r="343" spans="1:15" x14ac:dyDescent="0.25">
      <c r="A343" s="471"/>
      <c r="B343" s="490" t="s">
        <v>2446</v>
      </c>
      <c r="C343" s="490" t="s">
        <v>2447</v>
      </c>
      <c r="D343" s="591" t="s">
        <v>2448</v>
      </c>
      <c r="E343" s="490" t="s">
        <v>3391</v>
      </c>
      <c r="F343" s="471"/>
      <c r="G343" s="490" t="s">
        <v>2446</v>
      </c>
      <c r="H343" s="490" t="s">
        <v>2447</v>
      </c>
      <c r="I343" s="498" t="s">
        <v>2448</v>
      </c>
      <c r="J343" s="490" t="s">
        <v>3391</v>
      </c>
      <c r="K343" s="471"/>
      <c r="L343" s="471"/>
      <c r="M343" s="471"/>
      <c r="N343" s="471"/>
      <c r="O343" s="471"/>
    </row>
    <row r="344" spans="1:15" x14ac:dyDescent="0.25">
      <c r="A344" s="471"/>
      <c r="B344" s="473" t="s">
        <v>579</v>
      </c>
      <c r="C344" s="473" t="s">
        <v>90</v>
      </c>
      <c r="D344" s="475">
        <v>820000</v>
      </c>
      <c r="E344" s="473" t="s">
        <v>2452</v>
      </c>
      <c r="F344" s="471"/>
      <c r="G344" s="491" t="s">
        <v>295</v>
      </c>
      <c r="H344" s="491" t="s">
        <v>98</v>
      </c>
      <c r="I344" s="492">
        <v>443900</v>
      </c>
      <c r="J344" s="491" t="s">
        <v>2450</v>
      </c>
      <c r="K344" s="471"/>
      <c r="L344" s="471"/>
      <c r="M344" s="471"/>
      <c r="N344" s="471"/>
      <c r="O344" s="471"/>
    </row>
    <row r="345" spans="1:15" x14ac:dyDescent="0.25">
      <c r="A345" s="471"/>
      <c r="B345" s="473" t="s">
        <v>590</v>
      </c>
      <c r="C345" s="473" t="s">
        <v>90</v>
      </c>
      <c r="D345" s="475">
        <v>150600</v>
      </c>
      <c r="E345" s="473" t="s">
        <v>2452</v>
      </c>
      <c r="F345" s="471"/>
      <c r="G345" s="491" t="s">
        <v>332</v>
      </c>
      <c r="H345" s="491" t="s">
        <v>102</v>
      </c>
      <c r="I345" s="492">
        <v>422400</v>
      </c>
      <c r="J345" s="491" t="s">
        <v>2450</v>
      </c>
      <c r="K345" s="471"/>
      <c r="L345" s="471"/>
      <c r="M345" s="471"/>
      <c r="N345" s="471"/>
      <c r="O345" s="471"/>
    </row>
    <row r="346" spans="1:15" x14ac:dyDescent="0.25">
      <c r="A346" s="471"/>
      <c r="B346" s="473" t="s">
        <v>3530</v>
      </c>
      <c r="C346" s="473" t="s">
        <v>103</v>
      </c>
      <c r="D346" s="475">
        <v>329500</v>
      </c>
      <c r="E346" s="473" t="s">
        <v>2452</v>
      </c>
      <c r="F346" s="471"/>
      <c r="G346" s="491" t="s">
        <v>3531</v>
      </c>
      <c r="H346" s="491" t="s">
        <v>121</v>
      </c>
      <c r="I346" s="492">
        <v>532000</v>
      </c>
      <c r="J346" s="491" t="s">
        <v>2450</v>
      </c>
      <c r="K346" s="471"/>
      <c r="L346" s="471"/>
      <c r="M346" s="471"/>
      <c r="N346" s="471"/>
      <c r="O346" s="471"/>
    </row>
    <row r="347" spans="1:15" x14ac:dyDescent="0.25">
      <c r="A347" s="471"/>
      <c r="B347" s="473" t="s">
        <v>709</v>
      </c>
      <c r="C347" s="473" t="s">
        <v>103</v>
      </c>
      <c r="D347" s="475">
        <v>33782</v>
      </c>
      <c r="E347" s="473" t="s">
        <v>2452</v>
      </c>
      <c r="F347" s="471"/>
      <c r="G347" s="471"/>
      <c r="H347" s="471"/>
      <c r="I347" s="589"/>
      <c r="J347" s="471"/>
      <c r="K347" s="471"/>
      <c r="L347" s="471"/>
      <c r="M347" s="471"/>
      <c r="N347" s="471"/>
      <c r="O347" s="471"/>
    </row>
    <row r="348" spans="1:15" x14ac:dyDescent="0.25">
      <c r="A348" s="471"/>
      <c r="B348" s="473" t="s">
        <v>740</v>
      </c>
      <c r="C348" s="473" t="s">
        <v>112</v>
      </c>
      <c r="D348" s="475">
        <v>62500</v>
      </c>
      <c r="E348" s="473" t="s">
        <v>2452</v>
      </c>
      <c r="F348" s="471"/>
      <c r="G348" s="493" t="s">
        <v>2448</v>
      </c>
      <c r="H348" s="494"/>
      <c r="I348" s="586">
        <f>SUM(I344:I346)</f>
        <v>1398300</v>
      </c>
      <c r="J348" s="494"/>
      <c r="K348" s="471"/>
      <c r="L348" s="471"/>
      <c r="M348" s="471"/>
      <c r="N348" s="471"/>
      <c r="O348" s="471"/>
    </row>
    <row r="349" spans="1:15" x14ac:dyDescent="0.25">
      <c r="A349" s="471"/>
      <c r="B349" s="473" t="s">
        <v>757</v>
      </c>
      <c r="C349" s="473" t="s">
        <v>124</v>
      </c>
      <c r="D349" s="475">
        <v>220000</v>
      </c>
      <c r="E349" s="473" t="s">
        <v>2452</v>
      </c>
      <c r="F349" s="471"/>
      <c r="G349" s="495" t="s">
        <v>2451</v>
      </c>
      <c r="H349" s="496"/>
      <c r="I349" s="587">
        <f>SUMIF(J344:J346, "CANCELADA", I344:I346)</f>
        <v>1398300</v>
      </c>
      <c r="J349" s="496"/>
      <c r="K349" s="471"/>
      <c r="L349" s="471"/>
      <c r="M349" s="471"/>
      <c r="N349" s="471"/>
      <c r="O349" s="471"/>
    </row>
    <row r="350" spans="1:15" x14ac:dyDescent="0.25">
      <c r="A350" s="471"/>
      <c r="B350" s="473" t="s">
        <v>781</v>
      </c>
      <c r="C350" s="473" t="s">
        <v>136</v>
      </c>
      <c r="D350" s="475">
        <v>124000</v>
      </c>
      <c r="E350" s="473" t="s">
        <v>2452</v>
      </c>
      <c r="F350" s="471"/>
      <c r="G350" s="495" t="s">
        <v>2452</v>
      </c>
      <c r="H350" s="496"/>
      <c r="I350" s="587">
        <f>I348-I349</f>
        <v>0</v>
      </c>
      <c r="J350" s="496"/>
      <c r="K350" s="471"/>
      <c r="L350" s="471"/>
      <c r="M350" s="471"/>
      <c r="N350" s="471"/>
      <c r="O350" s="471"/>
    </row>
    <row r="351" spans="1:15" x14ac:dyDescent="0.25">
      <c r="A351" s="471"/>
      <c r="B351" s="471"/>
      <c r="C351" s="471"/>
      <c r="D351" s="471"/>
      <c r="E351" s="471"/>
      <c r="F351" s="471"/>
      <c r="G351" s="471"/>
      <c r="H351" s="471"/>
      <c r="I351" s="497"/>
      <c r="J351" s="471"/>
      <c r="K351" s="471"/>
      <c r="L351" s="471"/>
      <c r="M351" s="471"/>
      <c r="N351" s="471"/>
      <c r="O351" s="471"/>
    </row>
    <row r="352" spans="1:15" x14ac:dyDescent="0.25">
      <c r="A352" s="471"/>
      <c r="B352" s="493" t="s">
        <v>2448</v>
      </c>
      <c r="C352" s="494"/>
      <c r="D352" s="586">
        <f>SUM(D344:D350)</f>
        <v>1740382</v>
      </c>
      <c r="E352" s="494"/>
      <c r="F352" s="471"/>
      <c r="G352" s="471"/>
      <c r="H352" s="471"/>
      <c r="I352" s="499"/>
      <c r="J352" s="471"/>
      <c r="K352" s="471"/>
      <c r="L352" s="471"/>
      <c r="M352" s="471"/>
      <c r="N352" s="471"/>
      <c r="O352" s="471"/>
    </row>
    <row r="353" spans="1:15" x14ac:dyDescent="0.25">
      <c r="A353" s="471"/>
      <c r="B353" s="495" t="s">
        <v>2451</v>
      </c>
      <c r="C353" s="496"/>
      <c r="D353" s="587">
        <f>SUMIF(E344:E350, "CANCELADA", D344:D350)</f>
        <v>0</v>
      </c>
      <c r="E353" s="496"/>
      <c r="F353" s="471"/>
      <c r="G353" s="471"/>
      <c r="H353" s="471"/>
      <c r="I353" s="471"/>
      <c r="J353" s="471"/>
      <c r="K353" s="471"/>
      <c r="L353" s="471"/>
      <c r="M353" s="471"/>
      <c r="N353" s="471"/>
      <c r="O353" s="471"/>
    </row>
    <row r="354" spans="1:15" x14ac:dyDescent="0.25">
      <c r="A354" s="471"/>
      <c r="B354" s="495" t="s">
        <v>2452</v>
      </c>
      <c r="C354" s="496"/>
      <c r="D354" s="587">
        <f>D352-D353</f>
        <v>1740382</v>
      </c>
      <c r="E354" s="496"/>
      <c r="F354" s="471"/>
      <c r="G354" s="471"/>
      <c r="H354" s="471"/>
      <c r="I354" s="497"/>
      <c r="J354" s="471"/>
      <c r="K354" s="471"/>
      <c r="L354" s="471"/>
      <c r="M354" s="471"/>
      <c r="N354" s="471"/>
      <c r="O354" s="471"/>
    </row>
    <row r="355" spans="1:15" x14ac:dyDescent="0.25">
      <c r="A355" s="471"/>
      <c r="B355" s="471"/>
      <c r="C355" s="471"/>
      <c r="D355" s="497"/>
      <c r="E355" s="471"/>
      <c r="F355" s="471"/>
      <c r="G355" s="471"/>
      <c r="H355" s="471"/>
      <c r="I355" s="497"/>
      <c r="J355" s="471"/>
      <c r="K355" s="471"/>
      <c r="L355" s="471"/>
      <c r="M355" s="471"/>
      <c r="N355" s="471"/>
      <c r="O355" s="471"/>
    </row>
    <row r="356" spans="1:15" x14ac:dyDescent="0.25">
      <c r="A356" s="471"/>
      <c r="B356" s="471"/>
      <c r="C356" s="471"/>
      <c r="D356" s="497"/>
      <c r="E356" s="471"/>
      <c r="F356" s="471"/>
      <c r="G356" s="471"/>
      <c r="H356" s="471"/>
      <c r="I356" s="497"/>
      <c r="J356" s="471"/>
      <c r="K356" s="471"/>
      <c r="L356" s="471"/>
      <c r="M356" s="471"/>
      <c r="N356" s="471"/>
      <c r="O356" s="471"/>
    </row>
    <row r="357" spans="1:15" x14ac:dyDescent="0.25">
      <c r="A357" s="471"/>
      <c r="B357" s="741" t="s">
        <v>3532</v>
      </c>
      <c r="C357" s="704"/>
      <c r="D357" s="704"/>
      <c r="E357" s="705"/>
      <c r="F357" s="471"/>
      <c r="G357" s="741" t="s">
        <v>3533</v>
      </c>
      <c r="H357" s="704"/>
      <c r="I357" s="704"/>
      <c r="J357" s="705"/>
      <c r="K357" s="471"/>
      <c r="L357" s="471"/>
      <c r="M357" s="471"/>
      <c r="N357" s="471"/>
      <c r="O357" s="471"/>
    </row>
    <row r="358" spans="1:15" x14ac:dyDescent="0.25">
      <c r="A358" s="471"/>
      <c r="B358" s="490" t="s">
        <v>2446</v>
      </c>
      <c r="C358" s="490" t="s">
        <v>2447</v>
      </c>
      <c r="D358" s="591" t="s">
        <v>2448</v>
      </c>
      <c r="E358" s="490" t="s">
        <v>3391</v>
      </c>
      <c r="F358" s="471"/>
      <c r="G358" s="490" t="s">
        <v>2446</v>
      </c>
      <c r="H358" s="490" t="s">
        <v>2447</v>
      </c>
      <c r="I358" s="591" t="s">
        <v>2448</v>
      </c>
      <c r="J358" s="490" t="s">
        <v>3391</v>
      </c>
      <c r="K358" s="471"/>
      <c r="L358" s="471"/>
      <c r="M358" s="471"/>
      <c r="N358" s="471"/>
      <c r="O358" s="471"/>
    </row>
    <row r="359" spans="1:15" x14ac:dyDescent="0.25">
      <c r="A359" s="471"/>
      <c r="B359" s="491" t="s">
        <v>253</v>
      </c>
      <c r="C359" s="491" t="s">
        <v>92</v>
      </c>
      <c r="D359" s="492">
        <v>516750</v>
      </c>
      <c r="E359" s="491" t="s">
        <v>2450</v>
      </c>
      <c r="F359" s="471"/>
      <c r="G359" s="473" t="s">
        <v>561</v>
      </c>
      <c r="H359" s="473" t="s">
        <v>86</v>
      </c>
      <c r="I359" s="475">
        <v>411700</v>
      </c>
      <c r="J359" s="473" t="s">
        <v>2452</v>
      </c>
      <c r="K359" s="471"/>
      <c r="L359" s="471"/>
      <c r="M359" s="471"/>
      <c r="N359" s="471"/>
      <c r="O359" s="471"/>
    </row>
    <row r="360" spans="1:15" x14ac:dyDescent="0.25">
      <c r="A360" s="471"/>
      <c r="B360" s="491" t="s">
        <v>312</v>
      </c>
      <c r="C360" s="491" t="s">
        <v>100</v>
      </c>
      <c r="D360" s="492">
        <v>265200</v>
      </c>
      <c r="E360" s="491" t="s">
        <v>2450</v>
      </c>
      <c r="F360" s="471"/>
      <c r="G360" s="473" t="s">
        <v>571</v>
      </c>
      <c r="H360" s="473" t="s">
        <v>88</v>
      </c>
      <c r="I360" s="475">
        <v>162100</v>
      </c>
      <c r="J360" s="473" t="s">
        <v>2452</v>
      </c>
      <c r="K360" s="471"/>
      <c r="L360" s="471"/>
      <c r="M360" s="471"/>
      <c r="N360" s="471"/>
      <c r="O360" s="471"/>
    </row>
    <row r="361" spans="1:15" x14ac:dyDescent="0.25">
      <c r="A361" s="471"/>
      <c r="B361" s="491" t="s">
        <v>416</v>
      </c>
      <c r="C361" s="491" t="s">
        <v>115</v>
      </c>
      <c r="D361" s="492">
        <v>355875</v>
      </c>
      <c r="E361" s="491" t="s">
        <v>2450</v>
      </c>
      <c r="F361" s="471"/>
      <c r="G361" s="473" t="s">
        <v>765</v>
      </c>
      <c r="H361" s="473" t="s">
        <v>127</v>
      </c>
      <c r="I361" s="475">
        <v>524200</v>
      </c>
      <c r="J361" s="473" t="s">
        <v>2452</v>
      </c>
      <c r="K361" s="471"/>
      <c r="L361" s="471"/>
      <c r="M361" s="471"/>
      <c r="N361" s="471"/>
      <c r="O361" s="471"/>
    </row>
    <row r="362" spans="1:15" x14ac:dyDescent="0.25">
      <c r="A362" s="471"/>
      <c r="B362" s="471"/>
      <c r="C362" s="471"/>
      <c r="D362" s="471"/>
      <c r="E362" s="471"/>
      <c r="F362" s="471"/>
      <c r="G362" s="471"/>
      <c r="H362" s="471"/>
      <c r="I362" s="471"/>
      <c r="J362" s="471"/>
      <c r="K362" s="471"/>
      <c r="L362" s="471"/>
      <c r="M362" s="471"/>
      <c r="N362" s="471"/>
      <c r="O362" s="471"/>
    </row>
    <row r="363" spans="1:15" x14ac:dyDescent="0.25">
      <c r="A363" s="471"/>
      <c r="B363" s="493" t="s">
        <v>2448</v>
      </c>
      <c r="C363" s="494"/>
      <c r="D363" s="586">
        <f>SUM(D359:D361)</f>
        <v>1137825</v>
      </c>
      <c r="E363" s="494"/>
      <c r="F363" s="471"/>
      <c r="G363" s="493" t="s">
        <v>2448</v>
      </c>
      <c r="H363" s="494"/>
      <c r="I363" s="586">
        <f>SUM(I359:I361)</f>
        <v>1098000</v>
      </c>
      <c r="J363" s="494"/>
      <c r="K363" s="471"/>
      <c r="L363" s="471"/>
      <c r="M363" s="471"/>
      <c r="N363" s="471"/>
      <c r="O363" s="471"/>
    </row>
    <row r="364" spans="1:15" x14ac:dyDescent="0.25">
      <c r="A364" s="471"/>
      <c r="B364" s="495" t="s">
        <v>2451</v>
      </c>
      <c r="C364" s="496"/>
      <c r="D364" s="587">
        <f>SUMIF(E359:E361, "CANCELADA", D359:D361)</f>
        <v>1137825</v>
      </c>
      <c r="E364" s="496"/>
      <c r="F364" s="471"/>
      <c r="G364" s="495" t="s">
        <v>2451</v>
      </c>
      <c r="H364" s="496"/>
      <c r="I364" s="587">
        <f>SUMIF(J359:J361, "CANCELADA", I359:I361)</f>
        <v>0</v>
      </c>
      <c r="J364" s="496"/>
      <c r="K364" s="471"/>
      <c r="L364" s="471"/>
      <c r="M364" s="471"/>
      <c r="N364" s="471"/>
      <c r="O364" s="471"/>
    </row>
    <row r="365" spans="1:15" x14ac:dyDescent="0.25">
      <c r="A365" s="471"/>
      <c r="B365" s="495" t="s">
        <v>2452</v>
      </c>
      <c r="C365" s="496"/>
      <c r="D365" s="587">
        <f>D363-D364</f>
        <v>0</v>
      </c>
      <c r="E365" s="496"/>
      <c r="F365" s="471"/>
      <c r="G365" s="495" t="s">
        <v>2452</v>
      </c>
      <c r="H365" s="496"/>
      <c r="I365" s="587">
        <f>I363-I364</f>
        <v>1098000</v>
      </c>
      <c r="J365" s="496"/>
      <c r="K365" s="471"/>
      <c r="L365" s="471"/>
      <c r="M365" s="471"/>
      <c r="N365" s="471"/>
      <c r="O365" s="471"/>
    </row>
    <row r="366" spans="1:15" x14ac:dyDescent="0.25">
      <c r="A366" s="471"/>
      <c r="B366" s="471"/>
      <c r="C366" s="471"/>
      <c r="D366" s="497"/>
      <c r="E366" s="471"/>
      <c r="F366" s="471"/>
      <c r="G366" s="471"/>
      <c r="H366" s="471"/>
      <c r="I366" s="497"/>
      <c r="J366" s="471"/>
      <c r="K366" s="471"/>
      <c r="L366" s="471"/>
      <c r="M366" s="471"/>
      <c r="N366" s="471"/>
      <c r="O366" s="471"/>
    </row>
    <row r="367" spans="1:15" x14ac:dyDescent="0.25">
      <c r="A367" s="471"/>
      <c r="B367" s="471"/>
      <c r="C367" s="471"/>
      <c r="D367" s="497"/>
      <c r="E367" s="471"/>
      <c r="F367" s="471"/>
      <c r="G367" s="471"/>
      <c r="H367" s="471"/>
      <c r="I367" s="497"/>
      <c r="J367" s="471"/>
      <c r="K367" s="471"/>
      <c r="L367" s="471"/>
      <c r="M367" s="471"/>
      <c r="N367" s="471"/>
      <c r="O367" s="471"/>
    </row>
    <row r="368" spans="1:15" x14ac:dyDescent="0.25">
      <c r="A368" s="471"/>
      <c r="B368" s="741" t="s">
        <v>1271</v>
      </c>
      <c r="C368" s="704"/>
      <c r="D368" s="704"/>
      <c r="E368" s="705"/>
      <c r="F368" s="471"/>
      <c r="G368" s="741" t="s">
        <v>3534</v>
      </c>
      <c r="H368" s="704"/>
      <c r="I368" s="704"/>
      <c r="J368" s="705"/>
      <c r="K368" s="471"/>
      <c r="L368" s="471"/>
      <c r="M368" s="471"/>
      <c r="N368" s="471"/>
      <c r="O368" s="471"/>
    </row>
    <row r="369" spans="1:15" x14ac:dyDescent="0.25">
      <c r="A369" s="471"/>
      <c r="B369" s="490" t="s">
        <v>2446</v>
      </c>
      <c r="C369" s="490" t="s">
        <v>2447</v>
      </c>
      <c r="D369" s="591" t="s">
        <v>2448</v>
      </c>
      <c r="E369" s="490" t="s">
        <v>3391</v>
      </c>
      <c r="F369" s="471"/>
      <c r="G369" s="490" t="s">
        <v>2446</v>
      </c>
      <c r="H369" s="490" t="s">
        <v>2447</v>
      </c>
      <c r="I369" s="591" t="s">
        <v>2448</v>
      </c>
      <c r="J369" s="490" t="s">
        <v>3391</v>
      </c>
      <c r="K369" s="471"/>
      <c r="L369" s="471"/>
      <c r="M369" s="471"/>
      <c r="N369" s="471"/>
      <c r="O369" s="471"/>
    </row>
    <row r="370" spans="1:15" x14ac:dyDescent="0.25">
      <c r="A370" s="471"/>
      <c r="B370" s="491" t="s">
        <v>1270</v>
      </c>
      <c r="C370" s="491" t="s">
        <v>86</v>
      </c>
      <c r="D370" s="492">
        <v>921345</v>
      </c>
      <c r="E370" s="491" t="s">
        <v>2450</v>
      </c>
      <c r="F370" s="471"/>
      <c r="G370" s="473" t="s">
        <v>603</v>
      </c>
      <c r="H370" s="473" t="s">
        <v>94</v>
      </c>
      <c r="I370" s="588">
        <v>386504.07</v>
      </c>
      <c r="J370" s="473" t="s">
        <v>2452</v>
      </c>
      <c r="K370" s="471"/>
      <c r="L370" s="471"/>
      <c r="M370" s="471"/>
      <c r="N370" s="471"/>
      <c r="O370" s="471"/>
    </row>
    <row r="371" spans="1:15" x14ac:dyDescent="0.25">
      <c r="A371" s="471"/>
      <c r="B371" s="491" t="s">
        <v>1898</v>
      </c>
      <c r="C371" s="491" t="s">
        <v>102</v>
      </c>
      <c r="D371" s="492">
        <v>106180</v>
      </c>
      <c r="E371" s="491" t="s">
        <v>2450</v>
      </c>
      <c r="F371" s="471"/>
      <c r="G371" s="473" t="s">
        <v>648</v>
      </c>
      <c r="H371" s="473" t="s">
        <v>102</v>
      </c>
      <c r="I371" s="588">
        <v>621099.99999999988</v>
      </c>
      <c r="J371" s="473" t="s">
        <v>2452</v>
      </c>
      <c r="K371" s="471"/>
      <c r="L371" s="471"/>
      <c r="M371" s="471"/>
      <c r="N371" s="471"/>
      <c r="O371" s="471"/>
    </row>
    <row r="372" spans="1:15" x14ac:dyDescent="0.25">
      <c r="A372" s="471"/>
      <c r="B372" s="471"/>
      <c r="C372" s="471"/>
      <c r="D372" s="589"/>
      <c r="E372" s="471"/>
      <c r="F372" s="471"/>
      <c r="G372" s="471"/>
      <c r="H372" s="471"/>
      <c r="I372" s="471"/>
      <c r="J372" s="471"/>
      <c r="K372" s="471"/>
      <c r="L372" s="471"/>
      <c r="M372" s="471"/>
      <c r="N372" s="471"/>
      <c r="O372" s="471"/>
    </row>
    <row r="373" spans="1:15" x14ac:dyDescent="0.25">
      <c r="A373" s="471"/>
      <c r="B373" s="493" t="s">
        <v>2448</v>
      </c>
      <c r="C373" s="494"/>
      <c r="D373" s="586">
        <f>SUM(D370:D371)</f>
        <v>1027525</v>
      </c>
      <c r="E373" s="494"/>
      <c r="F373" s="471"/>
      <c r="G373" s="493" t="s">
        <v>2448</v>
      </c>
      <c r="H373" s="494"/>
      <c r="I373" s="586">
        <f>SUM(I370:I371)</f>
        <v>1007604.0699999998</v>
      </c>
      <c r="J373" s="494"/>
      <c r="K373" s="471"/>
      <c r="L373" s="471"/>
      <c r="M373" s="471"/>
      <c r="N373" s="471"/>
      <c r="O373" s="471"/>
    </row>
    <row r="374" spans="1:15" x14ac:dyDescent="0.25">
      <c r="A374" s="471"/>
      <c r="B374" s="495" t="s">
        <v>2451</v>
      </c>
      <c r="C374" s="496"/>
      <c r="D374" s="587">
        <f>SUMIF(E370:E371, "CANCELADA", D370:D371)</f>
        <v>1027525</v>
      </c>
      <c r="E374" s="496"/>
      <c r="F374" s="471"/>
      <c r="G374" s="495" t="s">
        <v>2451</v>
      </c>
      <c r="H374" s="496"/>
      <c r="I374" s="587">
        <f>SUMIF(J370:J371, "CANCELADA", I370:I371)</f>
        <v>0</v>
      </c>
      <c r="J374" s="496"/>
      <c r="K374" s="471"/>
      <c r="L374" s="471"/>
      <c r="M374" s="471"/>
      <c r="N374" s="471"/>
      <c r="O374" s="471"/>
    </row>
    <row r="375" spans="1:15" x14ac:dyDescent="0.25">
      <c r="A375" s="471"/>
      <c r="B375" s="495" t="s">
        <v>2452</v>
      </c>
      <c r="C375" s="496"/>
      <c r="D375" s="587">
        <f>D373-D374</f>
        <v>0</v>
      </c>
      <c r="E375" s="496"/>
      <c r="F375" s="471"/>
      <c r="G375" s="495" t="s">
        <v>2452</v>
      </c>
      <c r="H375" s="496"/>
      <c r="I375" s="587">
        <f>I373-I374</f>
        <v>1007604.0699999998</v>
      </c>
      <c r="J375" s="496"/>
      <c r="K375" s="471"/>
      <c r="L375" s="471"/>
      <c r="M375" s="471"/>
      <c r="N375" s="471"/>
      <c r="O375" s="471"/>
    </row>
    <row r="376" spans="1:15" x14ac:dyDescent="0.25">
      <c r="A376" s="471"/>
      <c r="B376" s="471"/>
      <c r="C376" s="471"/>
      <c r="D376" s="589"/>
      <c r="E376" s="471"/>
      <c r="F376" s="471"/>
      <c r="G376" s="471"/>
      <c r="H376" s="471"/>
      <c r="I376" s="497"/>
      <c r="J376" s="471"/>
      <c r="K376" s="471"/>
      <c r="L376" s="471"/>
      <c r="M376" s="471"/>
      <c r="N376" s="471"/>
      <c r="O376" s="471"/>
    </row>
    <row r="377" spans="1:15" x14ac:dyDescent="0.25">
      <c r="A377" s="471"/>
      <c r="B377" s="471"/>
      <c r="C377" s="471"/>
      <c r="D377" s="589"/>
      <c r="E377" s="471"/>
      <c r="F377" s="471"/>
      <c r="G377" s="471"/>
      <c r="H377" s="471"/>
      <c r="I377" s="497"/>
      <c r="J377" s="471"/>
      <c r="K377" s="471"/>
      <c r="L377" s="471"/>
      <c r="M377" s="471"/>
      <c r="N377" s="471"/>
      <c r="O377" s="471"/>
    </row>
    <row r="378" spans="1:15" x14ac:dyDescent="0.25">
      <c r="A378" s="471"/>
      <c r="B378" s="741" t="s">
        <v>3535</v>
      </c>
      <c r="C378" s="704"/>
      <c r="D378" s="704"/>
      <c r="E378" s="705"/>
      <c r="F378" s="471"/>
      <c r="G378" s="741" t="s">
        <v>3536</v>
      </c>
      <c r="H378" s="704"/>
      <c r="I378" s="704"/>
      <c r="J378" s="705"/>
      <c r="K378" s="471"/>
      <c r="L378" s="471"/>
      <c r="M378" s="471"/>
      <c r="N378" s="471"/>
      <c r="O378" s="471"/>
    </row>
    <row r="379" spans="1:15" x14ac:dyDescent="0.25">
      <c r="A379" s="471"/>
      <c r="B379" s="490" t="s">
        <v>2446</v>
      </c>
      <c r="C379" s="490" t="s">
        <v>2447</v>
      </c>
      <c r="D379" s="591" t="s">
        <v>2448</v>
      </c>
      <c r="E379" s="490" t="s">
        <v>3391</v>
      </c>
      <c r="F379" s="471"/>
      <c r="G379" s="490" t="s">
        <v>2446</v>
      </c>
      <c r="H379" s="490" t="s">
        <v>2447</v>
      </c>
      <c r="I379" s="498" t="s">
        <v>2448</v>
      </c>
      <c r="J379" s="490" t="s">
        <v>3391</v>
      </c>
      <c r="K379" s="471"/>
      <c r="L379" s="471"/>
      <c r="M379" s="471"/>
      <c r="N379" s="471"/>
      <c r="O379" s="471"/>
    </row>
    <row r="380" spans="1:15" x14ac:dyDescent="0.25">
      <c r="A380" s="471"/>
      <c r="B380" s="491" t="s">
        <v>191</v>
      </c>
      <c r="C380" s="491" t="s">
        <v>86</v>
      </c>
      <c r="D380" s="492">
        <v>82465</v>
      </c>
      <c r="E380" s="491" t="s">
        <v>2450</v>
      </c>
      <c r="F380" s="471"/>
      <c r="G380" s="473" t="s">
        <v>1251</v>
      </c>
      <c r="H380" s="473" t="s">
        <v>86</v>
      </c>
      <c r="I380" s="475">
        <v>34000</v>
      </c>
      <c r="J380" s="473" t="s">
        <v>2452</v>
      </c>
      <c r="K380" s="471"/>
      <c r="L380" s="471"/>
      <c r="M380" s="471"/>
      <c r="N380" s="471"/>
      <c r="O380" s="471"/>
    </row>
    <row r="381" spans="1:15" x14ac:dyDescent="0.25">
      <c r="A381" s="471"/>
      <c r="B381" s="491" t="s">
        <v>1238</v>
      </c>
      <c r="C381" s="491" t="s">
        <v>86</v>
      </c>
      <c r="D381" s="492">
        <v>54400</v>
      </c>
      <c r="E381" s="491" t="s">
        <v>2450</v>
      </c>
      <c r="F381" s="471"/>
      <c r="G381" s="473" t="s">
        <v>1273</v>
      </c>
      <c r="H381" s="473" t="s">
        <v>88</v>
      </c>
      <c r="I381" s="475">
        <v>19000</v>
      </c>
      <c r="J381" s="473" t="s">
        <v>2452</v>
      </c>
      <c r="K381" s="471"/>
      <c r="L381" s="471"/>
      <c r="M381" s="471"/>
      <c r="N381" s="471"/>
      <c r="O381" s="471"/>
    </row>
    <row r="382" spans="1:15" x14ac:dyDescent="0.25">
      <c r="A382" s="471"/>
      <c r="B382" s="491" t="s">
        <v>1299</v>
      </c>
      <c r="C382" s="491" t="s">
        <v>88</v>
      </c>
      <c r="D382" s="492">
        <v>9920</v>
      </c>
      <c r="E382" s="491" t="s">
        <v>2450</v>
      </c>
      <c r="F382" s="471"/>
      <c r="G382" s="473" t="s">
        <v>1279</v>
      </c>
      <c r="H382" s="473" t="s">
        <v>88</v>
      </c>
      <c r="I382" s="475">
        <v>29000</v>
      </c>
      <c r="J382" s="473" t="s">
        <v>2452</v>
      </c>
      <c r="K382" s="471"/>
      <c r="L382" s="471"/>
      <c r="M382" s="471"/>
      <c r="N382" s="471"/>
      <c r="O382" s="471"/>
    </row>
    <row r="383" spans="1:15" x14ac:dyDescent="0.25">
      <c r="A383" s="471"/>
      <c r="B383" s="491" t="s">
        <v>1301</v>
      </c>
      <c r="C383" s="491" t="s">
        <v>88</v>
      </c>
      <c r="D383" s="492">
        <v>16320</v>
      </c>
      <c r="E383" s="491" t="s">
        <v>2450</v>
      </c>
      <c r="F383" s="471"/>
      <c r="G383" s="473" t="s">
        <v>1310</v>
      </c>
      <c r="H383" s="473" t="s">
        <v>90</v>
      </c>
      <c r="I383" s="475">
        <v>19000</v>
      </c>
      <c r="J383" s="473" t="s">
        <v>2452</v>
      </c>
      <c r="K383" s="471"/>
      <c r="L383" s="471"/>
      <c r="M383" s="471"/>
      <c r="N383" s="471"/>
      <c r="O383" s="471"/>
    </row>
    <row r="384" spans="1:15" x14ac:dyDescent="0.25">
      <c r="A384" s="471"/>
      <c r="B384" s="491" t="s">
        <v>228</v>
      </c>
      <c r="C384" s="491" t="s">
        <v>88</v>
      </c>
      <c r="D384" s="492">
        <v>165346</v>
      </c>
      <c r="E384" s="491" t="s">
        <v>2450</v>
      </c>
      <c r="F384" s="471"/>
      <c r="G384" s="473" t="s">
        <v>1336</v>
      </c>
      <c r="H384" s="473" t="s">
        <v>90</v>
      </c>
      <c r="I384" s="475">
        <v>19000</v>
      </c>
      <c r="J384" s="473" t="s">
        <v>2452</v>
      </c>
      <c r="K384" s="471"/>
      <c r="L384" s="471"/>
      <c r="M384" s="471"/>
      <c r="N384" s="471"/>
      <c r="O384" s="471"/>
    </row>
    <row r="385" spans="1:15" x14ac:dyDescent="0.25">
      <c r="A385" s="471"/>
      <c r="B385" s="491" t="s">
        <v>1358</v>
      </c>
      <c r="C385" s="491" t="s">
        <v>90</v>
      </c>
      <c r="D385" s="492">
        <v>18600</v>
      </c>
      <c r="E385" s="491" t="s">
        <v>2450</v>
      </c>
      <c r="F385" s="471"/>
      <c r="G385" s="473" t="s">
        <v>1360</v>
      </c>
      <c r="H385" s="473" t="s">
        <v>92</v>
      </c>
      <c r="I385" s="475">
        <v>29000</v>
      </c>
      <c r="J385" s="473" t="s">
        <v>2452</v>
      </c>
      <c r="K385" s="471"/>
      <c r="L385" s="471"/>
      <c r="M385" s="471"/>
      <c r="N385" s="471"/>
      <c r="O385" s="471"/>
    </row>
    <row r="386" spans="1:15" x14ac:dyDescent="0.25">
      <c r="A386" s="471"/>
      <c r="B386" s="491" t="s">
        <v>1462</v>
      </c>
      <c r="C386" s="491" t="s">
        <v>92</v>
      </c>
      <c r="D386" s="492">
        <v>8850</v>
      </c>
      <c r="E386" s="491" t="s">
        <v>2450</v>
      </c>
      <c r="F386" s="471"/>
      <c r="G386" s="473" t="s">
        <v>599</v>
      </c>
      <c r="H386" s="473" t="s">
        <v>92</v>
      </c>
      <c r="I386" s="475">
        <v>19000</v>
      </c>
      <c r="J386" s="473" t="s">
        <v>2452</v>
      </c>
      <c r="K386" s="471"/>
      <c r="L386" s="471"/>
      <c r="M386" s="471"/>
      <c r="N386" s="471"/>
      <c r="O386" s="471"/>
    </row>
    <row r="387" spans="1:15" x14ac:dyDescent="0.25">
      <c r="A387" s="471"/>
      <c r="B387" s="491" t="s">
        <v>261</v>
      </c>
      <c r="C387" s="491" t="s">
        <v>92</v>
      </c>
      <c r="D387" s="492">
        <v>43269</v>
      </c>
      <c r="E387" s="491" t="s">
        <v>2450</v>
      </c>
      <c r="F387" s="471"/>
      <c r="G387" s="473" t="s">
        <v>1467</v>
      </c>
      <c r="H387" s="473" t="s">
        <v>94</v>
      </c>
      <c r="I387" s="475">
        <v>34000</v>
      </c>
      <c r="J387" s="473" t="s">
        <v>2452</v>
      </c>
      <c r="K387" s="471"/>
      <c r="L387" s="471"/>
      <c r="M387" s="471"/>
      <c r="N387" s="471"/>
      <c r="O387" s="471"/>
    </row>
    <row r="388" spans="1:15" x14ac:dyDescent="0.25">
      <c r="A388" s="471"/>
      <c r="B388" s="491" t="s">
        <v>1517</v>
      </c>
      <c r="C388" s="491" t="s">
        <v>98</v>
      </c>
      <c r="D388" s="492">
        <v>5555</v>
      </c>
      <c r="E388" s="491" t="s">
        <v>2450</v>
      </c>
      <c r="F388" s="471"/>
      <c r="G388" s="473" t="s">
        <v>1470</v>
      </c>
      <c r="H388" s="473" t="s">
        <v>94</v>
      </c>
      <c r="I388" s="475">
        <v>29000</v>
      </c>
      <c r="J388" s="473" t="s">
        <v>2452</v>
      </c>
      <c r="K388" s="471"/>
      <c r="L388" s="471"/>
      <c r="M388" s="471"/>
      <c r="N388" s="471"/>
      <c r="O388" s="471"/>
    </row>
    <row r="389" spans="1:15" x14ac:dyDescent="0.25">
      <c r="A389" s="471"/>
      <c r="B389" s="491" t="s">
        <v>305</v>
      </c>
      <c r="C389" s="491" t="s">
        <v>98</v>
      </c>
      <c r="D389" s="492">
        <v>90125</v>
      </c>
      <c r="E389" s="491" t="s">
        <v>2450</v>
      </c>
      <c r="F389" s="471"/>
      <c r="G389" s="473" t="s">
        <v>1489</v>
      </c>
      <c r="H389" s="473" t="s">
        <v>96</v>
      </c>
      <c r="I389" s="475">
        <v>39000</v>
      </c>
      <c r="J389" s="473" t="s">
        <v>2452</v>
      </c>
      <c r="K389" s="471"/>
      <c r="L389" s="471"/>
      <c r="M389" s="471"/>
      <c r="N389" s="471"/>
      <c r="O389" s="471"/>
    </row>
    <row r="390" spans="1:15" x14ac:dyDescent="0.25">
      <c r="A390" s="471"/>
      <c r="B390" s="491" t="s">
        <v>320</v>
      </c>
      <c r="C390" s="491" t="s">
        <v>100</v>
      </c>
      <c r="D390" s="492">
        <v>86630</v>
      </c>
      <c r="E390" s="491" t="s">
        <v>2450</v>
      </c>
      <c r="F390" s="471"/>
      <c r="G390" s="473" t="s">
        <v>1503</v>
      </c>
      <c r="H390" s="473" t="s">
        <v>98</v>
      </c>
      <c r="I390" s="475">
        <v>19000</v>
      </c>
      <c r="J390" s="473" t="s">
        <v>2452</v>
      </c>
      <c r="K390" s="471"/>
      <c r="L390" s="471"/>
      <c r="M390" s="471"/>
      <c r="N390" s="471"/>
      <c r="O390" s="471"/>
    </row>
    <row r="391" spans="1:15" x14ac:dyDescent="0.25">
      <c r="A391" s="471"/>
      <c r="B391" s="491" t="s">
        <v>1707</v>
      </c>
      <c r="C391" s="491" t="s">
        <v>103</v>
      </c>
      <c r="D391" s="492">
        <v>17000</v>
      </c>
      <c r="E391" s="491" t="s">
        <v>2450</v>
      </c>
      <c r="F391" s="471"/>
      <c r="G391" s="473" t="s">
        <v>1505</v>
      </c>
      <c r="H391" s="473" t="s">
        <v>98</v>
      </c>
      <c r="I391" s="475">
        <v>10000</v>
      </c>
      <c r="J391" s="473" t="s">
        <v>2452</v>
      </c>
      <c r="K391" s="471"/>
      <c r="L391" s="471"/>
      <c r="M391" s="471"/>
      <c r="N391" s="471"/>
      <c r="O391" s="471"/>
    </row>
    <row r="392" spans="1:15" x14ac:dyDescent="0.25">
      <c r="A392" s="471"/>
      <c r="B392" s="491" t="s">
        <v>349</v>
      </c>
      <c r="C392" s="491" t="s">
        <v>103</v>
      </c>
      <c r="D392" s="492">
        <v>75350</v>
      </c>
      <c r="E392" s="491" t="s">
        <v>2450</v>
      </c>
      <c r="F392" s="471"/>
      <c r="G392" s="473" t="s">
        <v>635</v>
      </c>
      <c r="H392" s="473" t="s">
        <v>98</v>
      </c>
      <c r="I392" s="475">
        <v>39000</v>
      </c>
      <c r="J392" s="473" t="s">
        <v>2452</v>
      </c>
      <c r="K392" s="471"/>
      <c r="L392" s="471"/>
      <c r="M392" s="471"/>
      <c r="N392" s="471"/>
      <c r="O392" s="471"/>
    </row>
    <row r="393" spans="1:15" x14ac:dyDescent="0.25">
      <c r="A393" s="471"/>
      <c r="B393" s="491" t="s">
        <v>363</v>
      </c>
      <c r="C393" s="491" t="s">
        <v>104</v>
      </c>
      <c r="D393" s="492">
        <v>300</v>
      </c>
      <c r="E393" s="491" t="s">
        <v>2450</v>
      </c>
      <c r="F393" s="471"/>
      <c r="G393" s="473" t="s">
        <v>638</v>
      </c>
      <c r="H393" s="473" t="s">
        <v>98</v>
      </c>
      <c r="I393" s="475">
        <v>34000</v>
      </c>
      <c r="J393" s="473" t="s">
        <v>2452</v>
      </c>
      <c r="K393" s="471"/>
      <c r="L393" s="471"/>
      <c r="M393" s="471"/>
      <c r="N393" s="471"/>
      <c r="O393" s="471"/>
    </row>
    <row r="394" spans="1:15" x14ac:dyDescent="0.25">
      <c r="A394" s="471"/>
      <c r="B394" s="491" t="s">
        <v>1761</v>
      </c>
      <c r="C394" s="491" t="s">
        <v>104</v>
      </c>
      <c r="D394" s="492">
        <v>46500</v>
      </c>
      <c r="E394" s="491" t="s">
        <v>2450</v>
      </c>
      <c r="F394" s="471"/>
      <c r="G394" s="473" t="s">
        <v>1523</v>
      </c>
      <c r="H394" s="473" t="s">
        <v>100</v>
      </c>
      <c r="I394" s="475">
        <v>10000</v>
      </c>
      <c r="J394" s="473" t="s">
        <v>2452</v>
      </c>
      <c r="K394" s="471"/>
      <c r="L394" s="471"/>
      <c r="M394" s="471"/>
      <c r="N394" s="471"/>
      <c r="O394" s="471"/>
    </row>
    <row r="395" spans="1:15" x14ac:dyDescent="0.25">
      <c r="A395" s="471"/>
      <c r="B395" s="491" t="s">
        <v>750</v>
      </c>
      <c r="C395" s="491" t="s">
        <v>118</v>
      </c>
      <c r="D395" s="492">
        <v>14200</v>
      </c>
      <c r="E395" s="491" t="s">
        <v>2450</v>
      </c>
      <c r="F395" s="471"/>
      <c r="G395" s="473" t="s">
        <v>640</v>
      </c>
      <c r="H395" s="473" t="s">
        <v>100</v>
      </c>
      <c r="I395" s="475">
        <v>19000</v>
      </c>
      <c r="J395" s="473" t="s">
        <v>2452</v>
      </c>
      <c r="K395" s="471"/>
      <c r="L395" s="471"/>
      <c r="M395" s="471"/>
      <c r="N395" s="471"/>
      <c r="O395" s="471"/>
    </row>
    <row r="396" spans="1:15" x14ac:dyDescent="0.25">
      <c r="A396" s="471"/>
      <c r="B396" s="491" t="s">
        <v>1932</v>
      </c>
      <c r="C396" s="491" t="s">
        <v>118</v>
      </c>
      <c r="D396" s="492">
        <v>16550</v>
      </c>
      <c r="E396" s="491" t="s">
        <v>2450</v>
      </c>
      <c r="F396" s="471"/>
      <c r="G396" s="473" t="s">
        <v>642</v>
      </c>
      <c r="H396" s="473" t="s">
        <v>100</v>
      </c>
      <c r="I396" s="475">
        <v>10000</v>
      </c>
      <c r="J396" s="473" t="s">
        <v>2452</v>
      </c>
      <c r="K396" s="471"/>
      <c r="L396" s="471"/>
      <c r="M396" s="471"/>
      <c r="N396" s="471"/>
      <c r="O396" s="471"/>
    </row>
    <row r="397" spans="1:15" x14ac:dyDescent="0.25">
      <c r="A397" s="471"/>
      <c r="B397" s="491" t="s">
        <v>432</v>
      </c>
      <c r="C397" s="491" t="s">
        <v>121</v>
      </c>
      <c r="D397" s="492">
        <v>70900</v>
      </c>
      <c r="E397" s="491" t="s">
        <v>2450</v>
      </c>
      <c r="F397" s="471"/>
      <c r="G397" s="473" t="s">
        <v>677</v>
      </c>
      <c r="H397" s="473" t="s">
        <v>102</v>
      </c>
      <c r="I397" s="475">
        <v>10000</v>
      </c>
      <c r="J397" s="473" t="s">
        <v>2452</v>
      </c>
      <c r="K397" s="471"/>
      <c r="L397" s="471"/>
      <c r="M397" s="471"/>
      <c r="N397" s="471"/>
      <c r="O397" s="471"/>
    </row>
    <row r="398" spans="1:15" x14ac:dyDescent="0.25">
      <c r="A398" s="471"/>
      <c r="B398" s="491" t="s">
        <v>1981</v>
      </c>
      <c r="C398" s="491" t="s">
        <v>124</v>
      </c>
      <c r="D398" s="492">
        <v>4000</v>
      </c>
      <c r="E398" s="491" t="s">
        <v>2450</v>
      </c>
      <c r="F398" s="471"/>
      <c r="G398" s="473" t="s">
        <v>1668</v>
      </c>
      <c r="H398" s="473" t="s">
        <v>103</v>
      </c>
      <c r="I398" s="475">
        <v>34000</v>
      </c>
      <c r="J398" s="473" t="s">
        <v>2452</v>
      </c>
      <c r="K398" s="471"/>
      <c r="L398" s="471"/>
      <c r="M398" s="471"/>
      <c r="N398" s="471"/>
      <c r="O398" s="471"/>
    </row>
    <row r="399" spans="1:15" x14ac:dyDescent="0.25">
      <c r="A399" s="471"/>
      <c r="B399" s="471"/>
      <c r="C399" s="471"/>
      <c r="D399" s="471"/>
      <c r="E399" s="471"/>
      <c r="F399" s="471"/>
      <c r="G399" s="473" t="s">
        <v>721</v>
      </c>
      <c r="H399" s="473" t="s">
        <v>103</v>
      </c>
      <c r="I399" s="475">
        <v>19000</v>
      </c>
      <c r="J399" s="473" t="s">
        <v>2452</v>
      </c>
      <c r="K399" s="471"/>
      <c r="L399" s="471"/>
      <c r="M399" s="471"/>
      <c r="N399" s="471"/>
      <c r="O399" s="471"/>
    </row>
    <row r="400" spans="1:15" x14ac:dyDescent="0.25">
      <c r="A400" s="471"/>
      <c r="B400" s="493" t="s">
        <v>2448</v>
      </c>
      <c r="C400" s="494"/>
      <c r="D400" s="586">
        <f>SUM(D380:D398)</f>
        <v>826280</v>
      </c>
      <c r="E400" s="494"/>
      <c r="F400" s="471"/>
      <c r="G400" s="473" t="s">
        <v>1750</v>
      </c>
      <c r="H400" s="473" t="s">
        <v>104</v>
      </c>
      <c r="I400" s="475">
        <v>29000</v>
      </c>
      <c r="J400" s="473" t="s">
        <v>2452</v>
      </c>
      <c r="K400" s="471"/>
      <c r="L400" s="471"/>
      <c r="M400" s="471"/>
      <c r="N400" s="471"/>
      <c r="O400" s="471"/>
    </row>
    <row r="401" spans="1:15" x14ac:dyDescent="0.25">
      <c r="A401" s="471"/>
      <c r="B401" s="495" t="s">
        <v>2451</v>
      </c>
      <c r="C401" s="496"/>
      <c r="D401" s="587">
        <f>SUMIF(E380:E398, "CANCELADA", D380:D398)</f>
        <v>826280</v>
      </c>
      <c r="E401" s="496"/>
      <c r="F401" s="471"/>
      <c r="G401" s="473" t="s">
        <v>726</v>
      </c>
      <c r="H401" s="473" t="s">
        <v>104</v>
      </c>
      <c r="I401" s="475">
        <v>34000</v>
      </c>
      <c r="J401" s="473" t="s">
        <v>2452</v>
      </c>
      <c r="K401" s="471"/>
      <c r="L401" s="471"/>
      <c r="M401" s="471"/>
      <c r="N401" s="471"/>
      <c r="O401" s="471"/>
    </row>
    <row r="402" spans="1:15" x14ac:dyDescent="0.25">
      <c r="A402" s="471"/>
      <c r="B402" s="495" t="s">
        <v>2452</v>
      </c>
      <c r="C402" s="496"/>
      <c r="D402" s="587">
        <f>D400-D401</f>
        <v>0</v>
      </c>
      <c r="E402" s="496"/>
      <c r="F402" s="471"/>
      <c r="G402" s="473" t="s">
        <v>1814</v>
      </c>
      <c r="H402" s="473" t="s">
        <v>106</v>
      </c>
      <c r="I402" s="475">
        <v>34000</v>
      </c>
      <c r="J402" s="473" t="s">
        <v>2452</v>
      </c>
      <c r="K402" s="471"/>
      <c r="L402" s="471"/>
      <c r="M402" s="471"/>
      <c r="N402" s="471"/>
      <c r="O402" s="471"/>
    </row>
    <row r="403" spans="1:15" x14ac:dyDescent="0.25">
      <c r="A403" s="471"/>
      <c r="B403" s="471"/>
      <c r="C403" s="471"/>
      <c r="D403" s="497"/>
      <c r="E403" s="471"/>
      <c r="F403" s="471"/>
      <c r="G403" s="473" t="s">
        <v>1825</v>
      </c>
      <c r="H403" s="473" t="s">
        <v>112</v>
      </c>
      <c r="I403" s="475">
        <v>20000</v>
      </c>
      <c r="J403" s="473" t="s">
        <v>2452</v>
      </c>
      <c r="K403" s="471"/>
      <c r="L403" s="471"/>
      <c r="M403" s="471"/>
      <c r="N403" s="471"/>
      <c r="O403" s="471"/>
    </row>
    <row r="404" spans="1:15" x14ac:dyDescent="0.25">
      <c r="A404" s="471"/>
      <c r="B404" s="471"/>
      <c r="C404" s="471"/>
      <c r="D404" s="497"/>
      <c r="E404" s="471"/>
      <c r="F404" s="471"/>
      <c r="G404" s="473" t="s">
        <v>1831</v>
      </c>
      <c r="H404" s="473" t="s">
        <v>115</v>
      </c>
      <c r="I404" s="475">
        <v>29000</v>
      </c>
      <c r="J404" s="473" t="s">
        <v>2452</v>
      </c>
      <c r="K404" s="471"/>
      <c r="L404" s="471"/>
      <c r="M404" s="471"/>
      <c r="N404" s="471"/>
      <c r="O404" s="471"/>
    </row>
    <row r="405" spans="1:15" x14ac:dyDescent="0.25">
      <c r="A405" s="471"/>
      <c r="B405" s="471"/>
      <c r="C405" s="471"/>
      <c r="D405" s="497"/>
      <c r="E405" s="471"/>
      <c r="F405" s="471"/>
      <c r="G405" s="473" t="s">
        <v>747</v>
      </c>
      <c r="H405" s="473" t="s">
        <v>118</v>
      </c>
      <c r="I405" s="475">
        <v>19000</v>
      </c>
      <c r="J405" s="473" t="s">
        <v>2452</v>
      </c>
      <c r="K405" s="471"/>
      <c r="L405" s="471"/>
      <c r="M405" s="471"/>
      <c r="N405" s="471"/>
      <c r="O405" s="471"/>
    </row>
    <row r="406" spans="1:15" x14ac:dyDescent="0.25">
      <c r="A406" s="471"/>
      <c r="B406" s="471"/>
      <c r="C406" s="471"/>
      <c r="D406" s="589"/>
      <c r="E406" s="471"/>
      <c r="F406" s="471"/>
      <c r="G406" s="473" t="s">
        <v>754</v>
      </c>
      <c r="H406" s="473" t="s">
        <v>121</v>
      </c>
      <c r="I406" s="475">
        <v>34000</v>
      </c>
      <c r="J406" s="473" t="s">
        <v>2452</v>
      </c>
      <c r="K406" s="471"/>
      <c r="L406" s="471"/>
      <c r="M406" s="471"/>
      <c r="N406" s="471"/>
      <c r="O406" s="471"/>
    </row>
    <row r="407" spans="1:15" x14ac:dyDescent="0.25">
      <c r="A407" s="471"/>
      <c r="B407" s="471"/>
      <c r="C407" s="471"/>
      <c r="D407" s="589"/>
      <c r="E407" s="471"/>
      <c r="F407" s="471"/>
      <c r="G407" s="473" t="s">
        <v>762</v>
      </c>
      <c r="H407" s="473" t="s">
        <v>124</v>
      </c>
      <c r="I407" s="475">
        <v>29000</v>
      </c>
      <c r="J407" s="473" t="s">
        <v>2452</v>
      </c>
      <c r="K407" s="471"/>
      <c r="L407" s="471"/>
      <c r="M407" s="471"/>
      <c r="N407" s="471"/>
      <c r="O407" s="471"/>
    </row>
    <row r="408" spans="1:15" x14ac:dyDescent="0.25">
      <c r="A408" s="471"/>
      <c r="B408" s="471"/>
      <c r="C408" s="471"/>
      <c r="D408" s="589"/>
      <c r="E408" s="471"/>
      <c r="F408" s="471"/>
      <c r="G408" s="473" t="s">
        <v>778</v>
      </c>
      <c r="H408" s="473" t="s">
        <v>127</v>
      </c>
      <c r="I408" s="475">
        <v>24000</v>
      </c>
      <c r="J408" s="473" t="s">
        <v>2452</v>
      </c>
      <c r="K408" s="471"/>
      <c r="L408" s="471"/>
      <c r="M408" s="471"/>
      <c r="N408" s="471"/>
      <c r="O408" s="471"/>
    </row>
    <row r="409" spans="1:15" x14ac:dyDescent="0.25">
      <c r="A409" s="471"/>
      <c r="B409" s="471"/>
      <c r="C409" s="471"/>
      <c r="D409" s="589"/>
      <c r="E409" s="471"/>
      <c r="F409" s="471"/>
      <c r="G409" s="473" t="s">
        <v>2157</v>
      </c>
      <c r="H409" s="473" t="s">
        <v>127</v>
      </c>
      <c r="I409" s="475">
        <v>29000</v>
      </c>
      <c r="J409" s="473" t="s">
        <v>2452</v>
      </c>
      <c r="K409" s="471"/>
      <c r="L409" s="471"/>
      <c r="M409" s="471"/>
      <c r="N409" s="471"/>
      <c r="O409" s="471"/>
    </row>
    <row r="410" spans="1:15" x14ac:dyDescent="0.25">
      <c r="A410" s="471"/>
      <c r="B410" s="471"/>
      <c r="C410" s="471"/>
      <c r="D410" s="497"/>
      <c r="E410" s="471"/>
      <c r="F410" s="471"/>
      <c r="G410" s="473" t="s">
        <v>2281</v>
      </c>
      <c r="H410" s="473" t="s">
        <v>130</v>
      </c>
      <c r="I410" s="475">
        <v>24000</v>
      </c>
      <c r="J410" s="473" t="s">
        <v>2452</v>
      </c>
      <c r="K410" s="471"/>
      <c r="L410" s="471"/>
      <c r="M410" s="471"/>
      <c r="N410" s="471"/>
      <c r="O410" s="471"/>
    </row>
    <row r="411" spans="1:15" x14ac:dyDescent="0.25">
      <c r="A411" s="471"/>
      <c r="B411" s="471"/>
      <c r="C411" s="471"/>
      <c r="D411" s="471"/>
      <c r="E411" s="471"/>
      <c r="F411" s="471"/>
      <c r="G411" s="473" t="s">
        <v>2284</v>
      </c>
      <c r="H411" s="473" t="s">
        <v>136</v>
      </c>
      <c r="I411" s="475">
        <v>29000</v>
      </c>
      <c r="J411" s="473" t="s">
        <v>2452</v>
      </c>
      <c r="K411" s="471"/>
      <c r="L411" s="471"/>
      <c r="M411" s="471"/>
      <c r="N411" s="471"/>
      <c r="O411" s="471"/>
    </row>
    <row r="412" spans="1:15" x14ac:dyDescent="0.25">
      <c r="A412" s="471"/>
      <c r="B412" s="471"/>
      <c r="C412" s="471"/>
      <c r="D412" s="471"/>
      <c r="E412" s="471"/>
      <c r="F412" s="471"/>
      <c r="G412" s="471"/>
      <c r="H412" s="471"/>
      <c r="I412" s="471"/>
      <c r="J412" s="471"/>
      <c r="K412" s="471"/>
      <c r="L412" s="471"/>
      <c r="M412" s="471"/>
      <c r="N412" s="471"/>
      <c r="O412" s="471"/>
    </row>
    <row r="413" spans="1:15" x14ac:dyDescent="0.25">
      <c r="A413" s="471"/>
      <c r="B413" s="471"/>
      <c r="C413" s="471"/>
      <c r="D413" s="497"/>
      <c r="E413" s="471"/>
      <c r="F413" s="471"/>
      <c r="G413" s="493" t="s">
        <v>2448</v>
      </c>
      <c r="H413" s="494"/>
      <c r="I413" s="586">
        <f>SUM(I380:I411)</f>
        <v>808000</v>
      </c>
      <c r="J413" s="494"/>
      <c r="K413" s="471"/>
      <c r="L413" s="471"/>
      <c r="M413" s="471"/>
      <c r="N413" s="471"/>
      <c r="O413" s="471"/>
    </row>
    <row r="414" spans="1:15" x14ac:dyDescent="0.25">
      <c r="A414" s="471"/>
      <c r="B414" s="471"/>
      <c r="C414" s="471"/>
      <c r="D414" s="497"/>
      <c r="E414" s="471"/>
      <c r="F414" s="471"/>
      <c r="G414" s="495" t="s">
        <v>2451</v>
      </c>
      <c r="H414" s="496"/>
      <c r="I414" s="587">
        <f>SUMIF(J380:J411, "CANCELADA", I380:I411)</f>
        <v>0</v>
      </c>
      <c r="J414" s="496"/>
      <c r="K414" s="471"/>
      <c r="L414" s="471"/>
      <c r="M414" s="471"/>
      <c r="N414" s="471"/>
      <c r="O414" s="471"/>
    </row>
    <row r="415" spans="1:15" x14ac:dyDescent="0.25">
      <c r="A415" s="471"/>
      <c r="B415" s="471"/>
      <c r="C415" s="471"/>
      <c r="D415" s="497"/>
      <c r="E415" s="471"/>
      <c r="F415" s="471"/>
      <c r="G415" s="495" t="s">
        <v>2452</v>
      </c>
      <c r="H415" s="496"/>
      <c r="I415" s="587">
        <f>I413-I414</f>
        <v>808000</v>
      </c>
      <c r="J415" s="496"/>
      <c r="K415" s="471"/>
      <c r="L415" s="471"/>
      <c r="M415" s="471"/>
      <c r="N415" s="471"/>
      <c r="O415" s="471"/>
    </row>
    <row r="416" spans="1:15" x14ac:dyDescent="0.25">
      <c r="A416" s="471"/>
      <c r="B416" s="471"/>
      <c r="C416" s="471"/>
      <c r="D416" s="497"/>
      <c r="E416" s="471"/>
      <c r="F416" s="471"/>
      <c r="G416" s="471"/>
      <c r="H416" s="471"/>
      <c r="I416" s="497"/>
      <c r="J416" s="471"/>
      <c r="K416" s="471"/>
      <c r="L416" s="471"/>
      <c r="M416" s="471"/>
      <c r="N416" s="471"/>
      <c r="O416" s="471"/>
    </row>
    <row r="417" spans="1:15" x14ac:dyDescent="0.25">
      <c r="A417" s="471"/>
      <c r="B417" s="471"/>
      <c r="C417" s="471"/>
      <c r="D417" s="497"/>
      <c r="E417" s="471"/>
      <c r="F417" s="471"/>
      <c r="G417" s="471"/>
      <c r="H417" s="471"/>
      <c r="I417" s="497"/>
      <c r="J417" s="471"/>
      <c r="K417" s="471"/>
      <c r="L417" s="471"/>
      <c r="M417" s="471"/>
      <c r="N417" s="471"/>
      <c r="O417" s="471"/>
    </row>
    <row r="418" spans="1:15" x14ac:dyDescent="0.25">
      <c r="A418" s="471"/>
      <c r="B418" s="741" t="s">
        <v>3537</v>
      </c>
      <c r="C418" s="704"/>
      <c r="D418" s="704"/>
      <c r="E418" s="705"/>
      <c r="F418" s="471"/>
      <c r="G418" s="741" t="s">
        <v>3538</v>
      </c>
      <c r="H418" s="704"/>
      <c r="I418" s="704"/>
      <c r="J418" s="705"/>
      <c r="K418" s="471"/>
      <c r="L418" s="471"/>
      <c r="M418" s="471"/>
      <c r="N418" s="471"/>
      <c r="O418" s="471"/>
    </row>
    <row r="419" spans="1:15" x14ac:dyDescent="0.25">
      <c r="A419" s="471"/>
      <c r="B419" s="490" t="s">
        <v>2446</v>
      </c>
      <c r="C419" s="490" t="s">
        <v>2447</v>
      </c>
      <c r="D419" s="498" t="s">
        <v>2448</v>
      </c>
      <c r="E419" s="490" t="s">
        <v>3391</v>
      </c>
      <c r="F419" s="471"/>
      <c r="G419" s="490" t="s">
        <v>2446</v>
      </c>
      <c r="H419" s="490" t="s">
        <v>2447</v>
      </c>
      <c r="I419" s="498" t="s">
        <v>2448</v>
      </c>
      <c r="J419" s="490" t="s">
        <v>3391</v>
      </c>
      <c r="K419" s="471"/>
      <c r="L419" s="471"/>
      <c r="M419" s="471"/>
      <c r="N419" s="471"/>
      <c r="O419" s="471"/>
    </row>
    <row r="420" spans="1:15" x14ac:dyDescent="0.25">
      <c r="A420" s="471"/>
      <c r="B420" s="473" t="s">
        <v>1283</v>
      </c>
      <c r="C420" s="473" t="s">
        <v>88</v>
      </c>
      <c r="D420" s="475">
        <v>438415</v>
      </c>
      <c r="E420" s="473" t="s">
        <v>2452</v>
      </c>
      <c r="F420" s="471"/>
      <c r="G420" s="473" t="s">
        <v>1037</v>
      </c>
      <c r="H420" s="473" t="s">
        <v>118</v>
      </c>
      <c r="I420" s="475">
        <v>249500</v>
      </c>
      <c r="J420" s="473" t="s">
        <v>2452</v>
      </c>
      <c r="K420" s="471"/>
      <c r="L420" s="471"/>
      <c r="M420" s="471"/>
      <c r="N420" s="471"/>
      <c r="O420" s="471"/>
    </row>
    <row r="421" spans="1:15" x14ac:dyDescent="0.25">
      <c r="A421" s="471"/>
      <c r="B421" s="473" t="s">
        <v>744</v>
      </c>
      <c r="C421" s="473" t="s">
        <v>118</v>
      </c>
      <c r="D421" s="475">
        <v>334236</v>
      </c>
      <c r="E421" s="473" t="s">
        <v>2452</v>
      </c>
      <c r="F421" s="471"/>
      <c r="G421" s="473" t="s">
        <v>2287</v>
      </c>
      <c r="H421" s="473" t="s">
        <v>136</v>
      </c>
      <c r="I421" s="475">
        <v>506000</v>
      </c>
      <c r="J421" s="473" t="s">
        <v>2452</v>
      </c>
      <c r="K421" s="471"/>
      <c r="L421" s="471"/>
      <c r="M421" s="471"/>
      <c r="N421" s="471"/>
      <c r="O421" s="471"/>
    </row>
    <row r="422" spans="1:15" x14ac:dyDescent="0.25">
      <c r="A422" s="471"/>
      <c r="B422" s="471"/>
      <c r="C422" s="471"/>
      <c r="D422" s="497"/>
      <c r="E422" s="471"/>
      <c r="F422" s="471"/>
      <c r="G422" s="471"/>
      <c r="H422" s="471"/>
      <c r="I422" s="497"/>
      <c r="J422" s="471"/>
      <c r="K422" s="471"/>
      <c r="L422" s="471"/>
      <c r="M422" s="471"/>
      <c r="N422" s="471"/>
      <c r="O422" s="471"/>
    </row>
    <row r="423" spans="1:15" x14ac:dyDescent="0.25">
      <c r="A423" s="471"/>
      <c r="B423" s="493" t="s">
        <v>2448</v>
      </c>
      <c r="C423" s="494"/>
      <c r="D423" s="586">
        <f>SUM(D420:D421)</f>
        <v>772651</v>
      </c>
      <c r="E423" s="494"/>
      <c r="F423" s="471"/>
      <c r="G423" s="493" t="s">
        <v>2448</v>
      </c>
      <c r="H423" s="494"/>
      <c r="I423" s="586">
        <f>SUM(I420:I421)</f>
        <v>755500</v>
      </c>
      <c r="J423" s="494"/>
      <c r="K423" s="471"/>
      <c r="L423" s="471"/>
      <c r="M423" s="471"/>
      <c r="N423" s="471"/>
      <c r="O423" s="471"/>
    </row>
    <row r="424" spans="1:15" x14ac:dyDescent="0.25">
      <c r="A424" s="471"/>
      <c r="B424" s="495" t="s">
        <v>2451</v>
      </c>
      <c r="C424" s="496"/>
      <c r="D424" s="587">
        <f>SUMIF(E420:E421, "CANCELADA", D420:D421)</f>
        <v>0</v>
      </c>
      <c r="E424" s="496"/>
      <c r="F424" s="471"/>
      <c r="G424" s="495" t="s">
        <v>2451</v>
      </c>
      <c r="H424" s="496"/>
      <c r="I424" s="587">
        <f>SUMIF(J420:J421, "CANCELADA", I420:I421)</f>
        <v>0</v>
      </c>
      <c r="J424" s="496"/>
      <c r="K424" s="471"/>
      <c r="L424" s="471"/>
      <c r="M424" s="471"/>
      <c r="N424" s="471"/>
      <c r="O424" s="471"/>
    </row>
    <row r="425" spans="1:15" x14ac:dyDescent="0.25">
      <c r="A425" s="471"/>
      <c r="B425" s="495" t="s">
        <v>2452</v>
      </c>
      <c r="C425" s="496"/>
      <c r="D425" s="587">
        <f>D423-D424</f>
        <v>772651</v>
      </c>
      <c r="E425" s="496"/>
      <c r="F425" s="471"/>
      <c r="G425" s="495" t="s">
        <v>2452</v>
      </c>
      <c r="H425" s="496"/>
      <c r="I425" s="587">
        <f>I423-I424</f>
        <v>755500</v>
      </c>
      <c r="J425" s="496"/>
      <c r="K425" s="471"/>
      <c r="L425" s="471"/>
      <c r="M425" s="471"/>
      <c r="N425" s="471"/>
      <c r="O425" s="471"/>
    </row>
    <row r="426" spans="1:15" x14ac:dyDescent="0.25">
      <c r="A426" s="471"/>
      <c r="B426" s="471"/>
      <c r="C426" s="471"/>
      <c r="D426" s="497"/>
      <c r="E426" s="471"/>
      <c r="F426" s="471"/>
      <c r="G426" s="471"/>
      <c r="H426" s="471"/>
      <c r="I426" s="589"/>
      <c r="J426" s="471"/>
      <c r="K426" s="471"/>
      <c r="L426" s="471"/>
      <c r="M426" s="471"/>
      <c r="N426" s="471"/>
      <c r="O426" s="471"/>
    </row>
    <row r="427" spans="1:15" x14ac:dyDescent="0.25">
      <c r="A427" s="471"/>
      <c r="B427" s="471"/>
      <c r="C427" s="471"/>
      <c r="D427" s="497"/>
      <c r="E427" s="471"/>
      <c r="F427" s="471"/>
      <c r="G427" s="471"/>
      <c r="H427" s="471"/>
      <c r="I427" s="589"/>
      <c r="J427" s="471"/>
      <c r="K427" s="471"/>
      <c r="L427" s="471"/>
      <c r="M427" s="471"/>
      <c r="N427" s="471"/>
      <c r="O427" s="471"/>
    </row>
    <row r="428" spans="1:15" x14ac:dyDescent="0.25">
      <c r="A428" s="471"/>
      <c r="B428" s="741" t="s">
        <v>3539</v>
      </c>
      <c r="C428" s="704"/>
      <c r="D428" s="704"/>
      <c r="E428" s="705"/>
      <c r="F428" s="471"/>
      <c r="G428" s="741" t="s">
        <v>3540</v>
      </c>
      <c r="H428" s="704"/>
      <c r="I428" s="704"/>
      <c r="J428" s="705"/>
      <c r="K428" s="471"/>
      <c r="L428" s="471"/>
      <c r="M428" s="471"/>
      <c r="N428" s="471"/>
      <c r="O428" s="471"/>
    </row>
    <row r="429" spans="1:15" x14ac:dyDescent="0.25">
      <c r="A429" s="471"/>
      <c r="B429" s="490" t="s">
        <v>2446</v>
      </c>
      <c r="C429" s="490" t="s">
        <v>2447</v>
      </c>
      <c r="D429" s="498" t="s">
        <v>2448</v>
      </c>
      <c r="E429" s="490" t="s">
        <v>3391</v>
      </c>
      <c r="F429" s="471"/>
      <c r="G429" s="490" t="s">
        <v>2446</v>
      </c>
      <c r="H429" s="490" t="s">
        <v>2447</v>
      </c>
      <c r="I429" s="591" t="s">
        <v>2448</v>
      </c>
      <c r="J429" s="490" t="s">
        <v>3391</v>
      </c>
      <c r="K429" s="471"/>
      <c r="L429" s="471"/>
      <c r="M429" s="471"/>
      <c r="N429" s="471"/>
      <c r="O429" s="471"/>
    </row>
    <row r="430" spans="1:15" x14ac:dyDescent="0.25">
      <c r="A430" s="471"/>
      <c r="B430" s="473" t="s">
        <v>369</v>
      </c>
      <c r="C430" s="473" t="s">
        <v>104</v>
      </c>
      <c r="D430" s="475">
        <v>728000</v>
      </c>
      <c r="E430" s="473" t="s">
        <v>2452</v>
      </c>
      <c r="F430" s="471"/>
      <c r="G430" s="491" t="s">
        <v>1242</v>
      </c>
      <c r="H430" s="491" t="s">
        <v>86</v>
      </c>
      <c r="I430" s="492">
        <v>15000</v>
      </c>
      <c r="J430" s="491" t="s">
        <v>2450</v>
      </c>
      <c r="K430" s="471"/>
      <c r="L430" s="471"/>
      <c r="M430" s="471"/>
      <c r="N430" s="471"/>
      <c r="O430" s="471"/>
    </row>
    <row r="431" spans="1:15" x14ac:dyDescent="0.25">
      <c r="A431" s="471"/>
      <c r="B431" s="471"/>
      <c r="C431" s="471"/>
      <c r="D431" s="497"/>
      <c r="E431" s="471"/>
      <c r="F431" s="471"/>
      <c r="G431" s="491" t="s">
        <v>1296</v>
      </c>
      <c r="H431" s="491" t="s">
        <v>88</v>
      </c>
      <c r="I431" s="492">
        <v>22500</v>
      </c>
      <c r="J431" s="491" t="s">
        <v>2450</v>
      </c>
      <c r="K431" s="471"/>
      <c r="L431" s="471"/>
      <c r="M431" s="471"/>
      <c r="N431" s="471"/>
      <c r="O431" s="471"/>
    </row>
    <row r="432" spans="1:15" x14ac:dyDescent="0.25">
      <c r="A432" s="471"/>
      <c r="B432" s="493" t="s">
        <v>2448</v>
      </c>
      <c r="C432" s="494"/>
      <c r="D432" s="586">
        <f>SUM(D430:D430)</f>
        <v>728000</v>
      </c>
      <c r="E432" s="494"/>
      <c r="F432" s="471"/>
      <c r="G432" s="491" t="s">
        <v>1353</v>
      </c>
      <c r="H432" s="491" t="s">
        <v>90</v>
      </c>
      <c r="I432" s="492">
        <v>15000</v>
      </c>
      <c r="J432" s="491" t="s">
        <v>2450</v>
      </c>
      <c r="K432" s="471"/>
      <c r="L432" s="471"/>
      <c r="M432" s="471"/>
      <c r="N432" s="471"/>
      <c r="O432" s="471"/>
    </row>
    <row r="433" spans="1:15" x14ac:dyDescent="0.25">
      <c r="A433" s="471"/>
      <c r="B433" s="495" t="s">
        <v>2451</v>
      </c>
      <c r="C433" s="496"/>
      <c r="D433" s="587">
        <f>SUMIF(E430:E430, "CANCELADA", D430:D430)</f>
        <v>0</v>
      </c>
      <c r="E433" s="496"/>
      <c r="F433" s="471"/>
      <c r="G433" s="491" t="s">
        <v>1459</v>
      </c>
      <c r="H433" s="491" t="s">
        <v>92</v>
      </c>
      <c r="I433" s="492">
        <v>15000</v>
      </c>
      <c r="J433" s="491" t="s">
        <v>2450</v>
      </c>
      <c r="K433" s="471"/>
      <c r="L433" s="471"/>
      <c r="M433" s="471"/>
      <c r="N433" s="471"/>
      <c r="O433" s="471"/>
    </row>
    <row r="434" spans="1:15" x14ac:dyDescent="0.25">
      <c r="A434" s="471"/>
      <c r="B434" s="495" t="s">
        <v>2452</v>
      </c>
      <c r="C434" s="496"/>
      <c r="D434" s="587">
        <f>D432-D433</f>
        <v>728000</v>
      </c>
      <c r="E434" s="496"/>
      <c r="F434" s="471"/>
      <c r="G434" s="491" t="s">
        <v>1465</v>
      </c>
      <c r="H434" s="491" t="s">
        <v>94</v>
      </c>
      <c r="I434" s="492">
        <v>172500</v>
      </c>
      <c r="J434" s="491" t="s">
        <v>2450</v>
      </c>
      <c r="K434" s="471"/>
      <c r="L434" s="471"/>
      <c r="M434" s="471"/>
      <c r="N434" s="471"/>
      <c r="O434" s="471"/>
    </row>
    <row r="435" spans="1:15" x14ac:dyDescent="0.25">
      <c r="A435" s="471"/>
      <c r="B435" s="471"/>
      <c r="C435" s="471"/>
      <c r="D435" s="497"/>
      <c r="E435" s="471"/>
      <c r="F435" s="471"/>
      <c r="G435" s="491" t="s">
        <v>1476</v>
      </c>
      <c r="H435" s="491" t="s">
        <v>94</v>
      </c>
      <c r="I435" s="492">
        <v>75000</v>
      </c>
      <c r="J435" s="491" t="s">
        <v>2450</v>
      </c>
      <c r="K435" s="471"/>
      <c r="L435" s="471"/>
      <c r="M435" s="471"/>
      <c r="N435" s="471"/>
      <c r="O435" s="471"/>
    </row>
    <row r="436" spans="1:15" x14ac:dyDescent="0.25">
      <c r="A436" s="471"/>
      <c r="B436" s="471"/>
      <c r="C436" s="471"/>
      <c r="D436" s="497"/>
      <c r="E436" s="471"/>
      <c r="F436" s="471"/>
      <c r="G436" s="491" t="s">
        <v>3541</v>
      </c>
      <c r="H436" s="491" t="s">
        <v>98</v>
      </c>
      <c r="I436" s="492">
        <v>15000</v>
      </c>
      <c r="J436" s="491" t="s">
        <v>2450</v>
      </c>
      <c r="K436" s="471"/>
      <c r="L436" s="471"/>
      <c r="M436" s="471"/>
      <c r="N436" s="471"/>
      <c r="O436" s="471"/>
    </row>
    <row r="437" spans="1:15" x14ac:dyDescent="0.25">
      <c r="A437" s="471"/>
      <c r="B437" s="471"/>
      <c r="C437" s="471"/>
      <c r="D437" s="497"/>
      <c r="E437" s="471"/>
      <c r="F437" s="471"/>
      <c r="G437" s="491" t="s">
        <v>3542</v>
      </c>
      <c r="H437" s="491" t="s">
        <v>100</v>
      </c>
      <c r="I437" s="492">
        <v>30000</v>
      </c>
      <c r="J437" s="491" t="s">
        <v>2450</v>
      </c>
      <c r="K437" s="471"/>
      <c r="L437" s="471"/>
      <c r="M437" s="471"/>
      <c r="N437" s="471"/>
      <c r="O437" s="471"/>
    </row>
    <row r="438" spans="1:15" x14ac:dyDescent="0.25">
      <c r="A438" s="471"/>
      <c r="B438" s="471"/>
      <c r="C438" s="471"/>
      <c r="D438" s="497"/>
      <c r="E438" s="471"/>
      <c r="F438" s="471"/>
      <c r="G438" s="491" t="s">
        <v>3543</v>
      </c>
      <c r="H438" s="491" t="s">
        <v>102</v>
      </c>
      <c r="I438" s="492">
        <v>15000</v>
      </c>
      <c r="J438" s="491" t="s">
        <v>2450</v>
      </c>
      <c r="K438" s="471"/>
      <c r="L438" s="471"/>
      <c r="M438" s="471"/>
      <c r="N438" s="471"/>
      <c r="O438" s="471"/>
    </row>
    <row r="439" spans="1:15" x14ac:dyDescent="0.25">
      <c r="A439" s="471"/>
      <c r="B439" s="471"/>
      <c r="C439" s="471"/>
      <c r="D439" s="497"/>
      <c r="E439" s="471"/>
      <c r="F439" s="471"/>
      <c r="G439" s="491" t="s">
        <v>3544</v>
      </c>
      <c r="H439" s="491" t="s">
        <v>104</v>
      </c>
      <c r="I439" s="492">
        <v>30000</v>
      </c>
      <c r="J439" s="491" t="s">
        <v>2450</v>
      </c>
      <c r="K439" s="471"/>
      <c r="L439" s="471"/>
      <c r="M439" s="471"/>
      <c r="N439" s="471"/>
      <c r="O439" s="471"/>
    </row>
    <row r="440" spans="1:15" x14ac:dyDescent="0.25">
      <c r="A440" s="471"/>
      <c r="B440" s="471"/>
      <c r="C440" s="471"/>
      <c r="D440" s="497"/>
      <c r="E440" s="471"/>
      <c r="F440" s="471"/>
      <c r="G440" s="491" t="s">
        <v>1813</v>
      </c>
      <c r="H440" s="491" t="s">
        <v>106</v>
      </c>
      <c r="I440" s="492">
        <v>180000</v>
      </c>
      <c r="J440" s="491" t="s">
        <v>2450</v>
      </c>
      <c r="K440" s="471"/>
      <c r="L440" s="471"/>
      <c r="M440" s="471"/>
      <c r="N440" s="471"/>
      <c r="O440" s="471"/>
    </row>
    <row r="441" spans="1:15" x14ac:dyDescent="0.25">
      <c r="A441" s="471"/>
      <c r="B441" s="471"/>
      <c r="C441" s="471"/>
      <c r="D441" s="497"/>
      <c r="E441" s="471"/>
      <c r="F441" s="471"/>
      <c r="G441" s="491" t="s">
        <v>3545</v>
      </c>
      <c r="H441" s="491" t="s">
        <v>106</v>
      </c>
      <c r="I441" s="492">
        <v>90000</v>
      </c>
      <c r="J441" s="491" t="s">
        <v>2450</v>
      </c>
      <c r="K441" s="471"/>
      <c r="L441" s="471"/>
      <c r="M441" s="471"/>
      <c r="N441" s="471"/>
      <c r="O441" s="471"/>
    </row>
    <row r="442" spans="1:15" x14ac:dyDescent="0.25">
      <c r="A442" s="471"/>
      <c r="B442" s="471"/>
      <c r="C442" s="471"/>
      <c r="D442" s="497"/>
      <c r="E442" s="471"/>
      <c r="F442" s="471"/>
      <c r="G442" s="471"/>
      <c r="H442" s="471"/>
      <c r="I442" s="589"/>
      <c r="J442" s="471"/>
      <c r="K442" s="471"/>
      <c r="L442" s="471"/>
      <c r="M442" s="471"/>
      <c r="N442" s="471"/>
      <c r="O442" s="471"/>
    </row>
    <row r="443" spans="1:15" x14ac:dyDescent="0.25">
      <c r="A443" s="471"/>
      <c r="B443" s="471"/>
      <c r="C443" s="471"/>
      <c r="D443" s="589"/>
      <c r="E443" s="471"/>
      <c r="F443" s="471"/>
      <c r="G443" s="493" t="s">
        <v>2448</v>
      </c>
      <c r="H443" s="494"/>
      <c r="I443" s="586">
        <f>SUM(I430:I441)</f>
        <v>675000</v>
      </c>
      <c r="J443" s="494"/>
      <c r="K443" s="471"/>
      <c r="L443" s="471"/>
      <c r="M443" s="471"/>
      <c r="N443" s="471"/>
      <c r="O443" s="471"/>
    </row>
    <row r="444" spans="1:15" x14ac:dyDescent="0.25">
      <c r="A444" s="471"/>
      <c r="B444" s="471"/>
      <c r="C444" s="471"/>
      <c r="D444" s="589"/>
      <c r="E444" s="471"/>
      <c r="F444" s="471"/>
      <c r="G444" s="495" t="s">
        <v>2451</v>
      </c>
      <c r="H444" s="496"/>
      <c r="I444" s="587">
        <f>SUMIF(J430:J441, "CANCELADA", I430:I441)</f>
        <v>675000</v>
      </c>
      <c r="J444" s="496"/>
      <c r="K444" s="471"/>
      <c r="L444" s="471"/>
      <c r="M444" s="471"/>
      <c r="N444" s="471"/>
      <c r="O444" s="471"/>
    </row>
    <row r="445" spans="1:15" x14ac:dyDescent="0.25">
      <c r="A445" s="471"/>
      <c r="B445" s="471"/>
      <c r="C445" s="471"/>
      <c r="D445" s="589"/>
      <c r="E445" s="471"/>
      <c r="F445" s="471"/>
      <c r="G445" s="495" t="s">
        <v>2452</v>
      </c>
      <c r="H445" s="496"/>
      <c r="I445" s="587">
        <f>I443-I444</f>
        <v>0</v>
      </c>
      <c r="J445" s="496"/>
      <c r="K445" s="471"/>
      <c r="L445" s="471"/>
      <c r="M445" s="471"/>
      <c r="N445" s="471"/>
      <c r="O445" s="471"/>
    </row>
    <row r="446" spans="1:15" x14ac:dyDescent="0.25">
      <c r="A446" s="471"/>
      <c r="B446" s="471"/>
      <c r="C446" s="471"/>
      <c r="D446" s="589"/>
      <c r="E446" s="471"/>
      <c r="F446" s="471"/>
      <c r="G446" s="471"/>
      <c r="H446" s="471"/>
      <c r="I446" s="471"/>
      <c r="J446" s="471"/>
      <c r="K446" s="471"/>
      <c r="L446" s="471"/>
      <c r="M446" s="471"/>
      <c r="N446" s="471"/>
      <c r="O446" s="471"/>
    </row>
    <row r="447" spans="1:15" x14ac:dyDescent="0.25">
      <c r="A447" s="471"/>
      <c r="B447" s="471"/>
      <c r="C447" s="471"/>
      <c r="D447" s="471"/>
      <c r="E447" s="471"/>
      <c r="F447" s="471"/>
      <c r="G447" s="471"/>
      <c r="H447" s="471"/>
      <c r="I447" s="471"/>
      <c r="J447" s="471"/>
      <c r="K447" s="471"/>
      <c r="L447" s="471"/>
      <c r="M447" s="471"/>
      <c r="N447" s="471"/>
      <c r="O447" s="471"/>
    </row>
    <row r="448" spans="1:15" x14ac:dyDescent="0.25">
      <c r="A448" s="471"/>
      <c r="B448" s="741" t="s">
        <v>3546</v>
      </c>
      <c r="C448" s="704"/>
      <c r="D448" s="704"/>
      <c r="E448" s="705"/>
      <c r="F448" s="471"/>
      <c r="G448" s="741" t="s">
        <v>3547</v>
      </c>
      <c r="H448" s="704"/>
      <c r="I448" s="704"/>
      <c r="J448" s="705"/>
      <c r="K448" s="471"/>
      <c r="L448" s="471"/>
      <c r="M448" s="471"/>
      <c r="N448" s="471"/>
      <c r="O448" s="471"/>
    </row>
    <row r="449" spans="1:15" x14ac:dyDescent="0.25">
      <c r="A449" s="471"/>
      <c r="B449" s="490" t="s">
        <v>2446</v>
      </c>
      <c r="C449" s="490" t="s">
        <v>2447</v>
      </c>
      <c r="D449" s="490" t="s">
        <v>2448</v>
      </c>
      <c r="E449" s="490" t="s">
        <v>3391</v>
      </c>
      <c r="F449" s="471"/>
      <c r="G449" s="490" t="s">
        <v>2446</v>
      </c>
      <c r="H449" s="490" t="s">
        <v>2447</v>
      </c>
      <c r="I449" s="490" t="s">
        <v>2448</v>
      </c>
      <c r="J449" s="490" t="s">
        <v>3391</v>
      </c>
      <c r="K449" s="471"/>
      <c r="L449" s="471"/>
      <c r="M449" s="471"/>
      <c r="N449" s="471"/>
      <c r="O449" s="471"/>
    </row>
    <row r="450" spans="1:15" x14ac:dyDescent="0.25">
      <c r="A450" s="471"/>
      <c r="B450" s="473" t="s">
        <v>194</v>
      </c>
      <c r="C450" s="473" t="s">
        <v>86</v>
      </c>
      <c r="D450" s="475">
        <v>330000</v>
      </c>
      <c r="E450" s="473" t="s">
        <v>2452</v>
      </c>
      <c r="F450" s="471"/>
      <c r="G450" s="491" t="s">
        <v>207</v>
      </c>
      <c r="H450" s="491" t="s">
        <v>86</v>
      </c>
      <c r="I450" s="492">
        <v>30000</v>
      </c>
      <c r="J450" s="491" t="s">
        <v>2450</v>
      </c>
      <c r="K450" s="471"/>
      <c r="L450" s="471"/>
      <c r="M450" s="471"/>
      <c r="N450" s="471"/>
      <c r="O450" s="471"/>
    </row>
    <row r="451" spans="1:15" x14ac:dyDescent="0.25">
      <c r="A451" s="471"/>
      <c r="B451" s="473" t="s">
        <v>430</v>
      </c>
      <c r="C451" s="473" t="s">
        <v>121</v>
      </c>
      <c r="D451" s="475">
        <v>330000</v>
      </c>
      <c r="E451" s="473" t="s">
        <v>2452</v>
      </c>
      <c r="F451" s="471"/>
      <c r="G451" s="491" t="s">
        <v>1275</v>
      </c>
      <c r="H451" s="491" t="s">
        <v>88</v>
      </c>
      <c r="I451" s="492">
        <v>30000</v>
      </c>
      <c r="J451" s="491" t="s">
        <v>2450</v>
      </c>
      <c r="K451" s="471"/>
      <c r="L451" s="471"/>
      <c r="M451" s="471"/>
      <c r="N451" s="471"/>
      <c r="O451" s="471"/>
    </row>
    <row r="452" spans="1:15" x14ac:dyDescent="0.25">
      <c r="A452" s="471"/>
      <c r="B452" s="471"/>
      <c r="C452" s="471"/>
      <c r="D452" s="497"/>
      <c r="E452" s="471"/>
      <c r="F452" s="471"/>
      <c r="G452" s="491" t="s">
        <v>1312</v>
      </c>
      <c r="H452" s="491" t="s">
        <v>90</v>
      </c>
      <c r="I452" s="492">
        <v>30000</v>
      </c>
      <c r="J452" s="491" t="s">
        <v>2450</v>
      </c>
      <c r="K452" s="471"/>
      <c r="L452" s="471"/>
      <c r="M452" s="471"/>
      <c r="N452" s="471"/>
      <c r="O452" s="471"/>
    </row>
    <row r="453" spans="1:15" x14ac:dyDescent="0.25">
      <c r="A453" s="471"/>
      <c r="B453" s="493" t="s">
        <v>2448</v>
      </c>
      <c r="C453" s="494"/>
      <c r="D453" s="586">
        <f>SUM(D450:D451)</f>
        <v>660000</v>
      </c>
      <c r="E453" s="494"/>
      <c r="F453" s="471"/>
      <c r="G453" s="491" t="s">
        <v>1450</v>
      </c>
      <c r="H453" s="491" t="s">
        <v>92</v>
      </c>
      <c r="I453" s="492">
        <v>30000</v>
      </c>
      <c r="J453" s="491" t="s">
        <v>2450</v>
      </c>
      <c r="K453" s="471"/>
      <c r="L453" s="471"/>
      <c r="M453" s="471"/>
      <c r="N453" s="471"/>
      <c r="O453" s="471"/>
    </row>
    <row r="454" spans="1:15" x14ac:dyDescent="0.25">
      <c r="A454" s="471"/>
      <c r="B454" s="495" t="s">
        <v>2451</v>
      </c>
      <c r="C454" s="496"/>
      <c r="D454" s="587">
        <f>SUMIF(E450:E451, "CANCELADA", D450:D451)</f>
        <v>0</v>
      </c>
      <c r="E454" s="496"/>
      <c r="F454" s="471"/>
      <c r="G454" s="491" t="s">
        <v>882</v>
      </c>
      <c r="H454" s="491" t="s">
        <v>98</v>
      </c>
      <c r="I454" s="492">
        <v>30000</v>
      </c>
      <c r="J454" s="491" t="s">
        <v>2450</v>
      </c>
      <c r="K454" s="471"/>
      <c r="L454" s="471"/>
      <c r="M454" s="471"/>
      <c r="N454" s="471"/>
      <c r="O454" s="471"/>
    </row>
    <row r="455" spans="1:15" x14ac:dyDescent="0.25">
      <c r="A455" s="471"/>
      <c r="B455" s="495" t="s">
        <v>2452</v>
      </c>
      <c r="C455" s="496"/>
      <c r="D455" s="587">
        <f>D453-D454</f>
        <v>660000</v>
      </c>
      <c r="E455" s="496"/>
      <c r="F455" s="471"/>
      <c r="G455" s="491" t="s">
        <v>3548</v>
      </c>
      <c r="H455" s="491" t="s">
        <v>100</v>
      </c>
      <c r="I455" s="492">
        <v>20000</v>
      </c>
      <c r="J455" s="491" t="s">
        <v>2450</v>
      </c>
      <c r="K455" s="471"/>
      <c r="L455" s="471"/>
      <c r="M455" s="471"/>
      <c r="N455" s="471"/>
      <c r="O455" s="471"/>
    </row>
    <row r="456" spans="1:15" x14ac:dyDescent="0.25">
      <c r="A456" s="471"/>
      <c r="B456" s="471"/>
      <c r="C456" s="471"/>
      <c r="D456" s="589"/>
      <c r="E456" s="471"/>
      <c r="F456" s="471"/>
      <c r="G456" s="491" t="s">
        <v>1638</v>
      </c>
      <c r="H456" s="491" t="s">
        <v>102</v>
      </c>
      <c r="I456" s="492">
        <v>30000</v>
      </c>
      <c r="J456" s="491" t="s">
        <v>2450</v>
      </c>
      <c r="K456" s="471"/>
      <c r="L456" s="471"/>
      <c r="M456" s="471"/>
      <c r="N456" s="471"/>
      <c r="O456" s="471"/>
    </row>
    <row r="457" spans="1:15" x14ac:dyDescent="0.25">
      <c r="A457" s="471"/>
      <c r="B457" s="471"/>
      <c r="C457" s="471"/>
      <c r="D457" s="497"/>
      <c r="E457" s="471"/>
      <c r="F457" s="471"/>
      <c r="G457" s="491" t="s">
        <v>950</v>
      </c>
      <c r="H457" s="491" t="s">
        <v>103</v>
      </c>
      <c r="I457" s="492">
        <v>10000</v>
      </c>
      <c r="J457" s="491" t="s">
        <v>2450</v>
      </c>
      <c r="K457" s="471"/>
      <c r="L457" s="471"/>
      <c r="M457" s="471"/>
      <c r="N457" s="471"/>
      <c r="O457" s="471"/>
    </row>
    <row r="458" spans="1:15" x14ac:dyDescent="0.25">
      <c r="A458" s="471"/>
      <c r="B458" s="471"/>
      <c r="C458" s="471"/>
      <c r="D458" s="497"/>
      <c r="E458" s="471"/>
      <c r="F458" s="471"/>
      <c r="G458" s="491" t="s">
        <v>1689</v>
      </c>
      <c r="H458" s="491" t="s">
        <v>103</v>
      </c>
      <c r="I458" s="492">
        <v>30000</v>
      </c>
      <c r="J458" s="491" t="s">
        <v>2450</v>
      </c>
      <c r="K458" s="471"/>
      <c r="L458" s="471"/>
      <c r="M458" s="471"/>
      <c r="N458" s="471"/>
      <c r="O458" s="471"/>
    </row>
    <row r="459" spans="1:15" x14ac:dyDescent="0.25">
      <c r="A459" s="471"/>
      <c r="B459" s="471"/>
      <c r="C459" s="471"/>
      <c r="D459" s="471"/>
      <c r="E459" s="471"/>
      <c r="F459" s="471"/>
      <c r="G459" s="491" t="s">
        <v>3549</v>
      </c>
      <c r="H459" s="491" t="s">
        <v>104</v>
      </c>
      <c r="I459" s="492">
        <v>30000</v>
      </c>
      <c r="J459" s="491" t="s">
        <v>2450</v>
      </c>
      <c r="K459" s="471"/>
      <c r="L459" s="471"/>
      <c r="M459" s="471"/>
      <c r="N459" s="471"/>
      <c r="O459" s="471"/>
    </row>
    <row r="460" spans="1:15" x14ac:dyDescent="0.25">
      <c r="A460" s="471"/>
      <c r="B460" s="471"/>
      <c r="C460" s="471"/>
      <c r="D460" s="589"/>
      <c r="E460" s="471"/>
      <c r="F460" s="471"/>
      <c r="G460" s="491" t="s">
        <v>3550</v>
      </c>
      <c r="H460" s="491" t="s">
        <v>104</v>
      </c>
      <c r="I460" s="492">
        <v>30000</v>
      </c>
      <c r="J460" s="491" t="s">
        <v>2450</v>
      </c>
      <c r="K460" s="471"/>
      <c r="L460" s="471"/>
      <c r="M460" s="471"/>
      <c r="N460" s="471"/>
      <c r="O460" s="471"/>
    </row>
    <row r="461" spans="1:15" x14ac:dyDescent="0.25">
      <c r="A461" s="471"/>
      <c r="B461" s="471"/>
      <c r="C461" s="471"/>
      <c r="D461" s="589"/>
      <c r="E461" s="471"/>
      <c r="F461" s="471"/>
      <c r="G461" s="491" t="s">
        <v>3551</v>
      </c>
      <c r="H461" s="491" t="s">
        <v>106</v>
      </c>
      <c r="I461" s="492">
        <v>20000</v>
      </c>
      <c r="J461" s="491" t="s">
        <v>2450</v>
      </c>
      <c r="K461" s="471"/>
      <c r="L461" s="471"/>
      <c r="M461" s="471"/>
      <c r="N461" s="471"/>
      <c r="O461" s="471"/>
    </row>
    <row r="462" spans="1:15" x14ac:dyDescent="0.25">
      <c r="A462" s="471"/>
      <c r="B462" s="471"/>
      <c r="C462" s="471"/>
      <c r="D462" s="589"/>
      <c r="E462" s="471"/>
      <c r="F462" s="471"/>
      <c r="G462" s="491" t="s">
        <v>3552</v>
      </c>
      <c r="H462" s="491" t="s">
        <v>115</v>
      </c>
      <c r="I462" s="492">
        <v>30000</v>
      </c>
      <c r="J462" s="491" t="s">
        <v>2450</v>
      </c>
      <c r="K462" s="471"/>
      <c r="L462" s="471"/>
      <c r="M462" s="471"/>
      <c r="N462" s="471"/>
      <c r="O462" s="471"/>
    </row>
    <row r="463" spans="1:15" x14ac:dyDescent="0.25">
      <c r="A463" s="471"/>
      <c r="B463" s="471"/>
      <c r="C463" s="471"/>
      <c r="D463" s="471"/>
      <c r="E463" s="471"/>
      <c r="F463" s="471"/>
      <c r="G463" s="491" t="s">
        <v>3553</v>
      </c>
      <c r="H463" s="491" t="s">
        <v>118</v>
      </c>
      <c r="I463" s="492">
        <v>30000</v>
      </c>
      <c r="J463" s="491" t="s">
        <v>2450</v>
      </c>
      <c r="K463" s="471"/>
      <c r="L463" s="471"/>
      <c r="M463" s="471"/>
      <c r="N463" s="471"/>
      <c r="O463" s="471"/>
    </row>
    <row r="464" spans="1:15" x14ac:dyDescent="0.25">
      <c r="A464" s="471"/>
      <c r="B464" s="471"/>
      <c r="C464" s="471"/>
      <c r="D464" s="471"/>
      <c r="E464" s="471"/>
      <c r="F464" s="471"/>
      <c r="G464" s="491" t="s">
        <v>3554</v>
      </c>
      <c r="H464" s="491" t="s">
        <v>118</v>
      </c>
      <c r="I464" s="492">
        <v>20000</v>
      </c>
      <c r="J464" s="491" t="s">
        <v>2450</v>
      </c>
      <c r="K464" s="471"/>
      <c r="L464" s="471"/>
      <c r="M464" s="471"/>
      <c r="N464" s="471"/>
      <c r="O464" s="471"/>
    </row>
    <row r="465" spans="1:15" x14ac:dyDescent="0.25">
      <c r="A465" s="471"/>
      <c r="B465" s="471"/>
      <c r="C465" s="471"/>
      <c r="D465" s="471"/>
      <c r="E465" s="471"/>
      <c r="F465" s="471"/>
      <c r="G465" s="491" t="s">
        <v>3437</v>
      </c>
      <c r="H465" s="491" t="s">
        <v>121</v>
      </c>
      <c r="I465" s="492">
        <v>30000</v>
      </c>
      <c r="J465" s="491" t="s">
        <v>2450</v>
      </c>
      <c r="K465" s="471"/>
      <c r="L465" s="471"/>
      <c r="M465" s="471"/>
      <c r="N465" s="471"/>
      <c r="O465" s="471"/>
    </row>
    <row r="466" spans="1:15" x14ac:dyDescent="0.25">
      <c r="A466" s="471"/>
      <c r="B466" s="471"/>
      <c r="C466" s="471"/>
      <c r="D466" s="471"/>
      <c r="E466" s="471"/>
      <c r="F466" s="471"/>
      <c r="G466" s="491" t="s">
        <v>1960</v>
      </c>
      <c r="H466" s="491" t="s">
        <v>127</v>
      </c>
      <c r="I466" s="492">
        <v>60000</v>
      </c>
      <c r="J466" s="491" t="s">
        <v>2450</v>
      </c>
      <c r="K466" s="471"/>
      <c r="L466" s="471"/>
      <c r="M466" s="471"/>
      <c r="N466" s="471"/>
      <c r="O466" s="471"/>
    </row>
    <row r="467" spans="1:15" x14ac:dyDescent="0.25">
      <c r="A467" s="471"/>
      <c r="B467" s="471"/>
      <c r="C467" s="471"/>
      <c r="D467" s="497"/>
      <c r="E467" s="471"/>
      <c r="F467" s="471"/>
      <c r="G467" s="471"/>
      <c r="H467" s="471"/>
      <c r="I467" s="497"/>
      <c r="J467" s="471"/>
      <c r="K467" s="471"/>
      <c r="L467" s="471"/>
      <c r="M467" s="471"/>
      <c r="N467" s="471"/>
      <c r="O467" s="471"/>
    </row>
    <row r="468" spans="1:15" x14ac:dyDescent="0.25">
      <c r="A468" s="471"/>
      <c r="B468" s="471"/>
      <c r="C468" s="471"/>
      <c r="D468" s="471"/>
      <c r="E468" s="471"/>
      <c r="F468" s="471"/>
      <c r="G468" s="493" t="s">
        <v>2448</v>
      </c>
      <c r="H468" s="494"/>
      <c r="I468" s="586">
        <f>SUM(I450:I466)</f>
        <v>490000</v>
      </c>
      <c r="J468" s="494"/>
      <c r="K468" s="471"/>
      <c r="L468" s="471"/>
      <c r="M468" s="471"/>
      <c r="N468" s="471"/>
      <c r="O468" s="471"/>
    </row>
    <row r="469" spans="1:15" x14ac:dyDescent="0.25">
      <c r="A469" s="471"/>
      <c r="B469" s="471"/>
      <c r="C469" s="471"/>
      <c r="D469" s="589"/>
      <c r="E469" s="471"/>
      <c r="F469" s="471"/>
      <c r="G469" s="495" t="s">
        <v>2451</v>
      </c>
      <c r="H469" s="496"/>
      <c r="I469" s="587">
        <f>SUMIF(J450:J466, "CANCELADA", I450:I466)</f>
        <v>490000</v>
      </c>
      <c r="J469" s="496"/>
      <c r="K469" s="471"/>
      <c r="L469" s="471"/>
      <c r="M469" s="471"/>
      <c r="N469" s="471"/>
      <c r="O469" s="471"/>
    </row>
    <row r="470" spans="1:15" x14ac:dyDescent="0.25">
      <c r="A470" s="471"/>
      <c r="B470" s="471"/>
      <c r="C470" s="471"/>
      <c r="D470" s="589"/>
      <c r="E470" s="471"/>
      <c r="F470" s="471"/>
      <c r="G470" s="495" t="s">
        <v>2452</v>
      </c>
      <c r="H470" s="496"/>
      <c r="I470" s="587">
        <f>I468-I469</f>
        <v>0</v>
      </c>
      <c r="J470" s="496"/>
      <c r="K470" s="471"/>
      <c r="L470" s="471"/>
      <c r="M470" s="471"/>
      <c r="N470" s="471"/>
      <c r="O470" s="471"/>
    </row>
    <row r="471" spans="1:15" x14ac:dyDescent="0.25">
      <c r="A471" s="471"/>
      <c r="B471" s="471"/>
      <c r="C471" s="471"/>
      <c r="D471" s="589"/>
      <c r="E471" s="471"/>
      <c r="F471" s="471"/>
      <c r="G471" s="471"/>
      <c r="H471" s="471"/>
      <c r="I471" s="589"/>
      <c r="J471" s="471"/>
      <c r="K471" s="471"/>
      <c r="L471" s="471"/>
      <c r="M471" s="471"/>
      <c r="N471" s="471"/>
      <c r="O471" s="471"/>
    </row>
    <row r="472" spans="1:15" x14ac:dyDescent="0.25">
      <c r="A472" s="471"/>
      <c r="B472" s="471"/>
      <c r="C472" s="471"/>
      <c r="D472" s="471"/>
      <c r="E472" s="471"/>
      <c r="F472" s="471"/>
      <c r="G472" s="471"/>
      <c r="H472" s="471"/>
      <c r="I472" s="589"/>
      <c r="J472" s="471"/>
      <c r="K472" s="471"/>
      <c r="L472" s="471"/>
      <c r="M472" s="471"/>
      <c r="N472" s="471"/>
      <c r="O472" s="471"/>
    </row>
    <row r="473" spans="1:15" x14ac:dyDescent="0.25">
      <c r="A473" s="471"/>
      <c r="B473" s="741" t="s">
        <v>3555</v>
      </c>
      <c r="C473" s="704"/>
      <c r="D473" s="704"/>
      <c r="E473" s="705"/>
      <c r="F473" s="471"/>
      <c r="G473" s="741" t="s">
        <v>3556</v>
      </c>
      <c r="H473" s="704"/>
      <c r="I473" s="704"/>
      <c r="J473" s="705"/>
      <c r="K473" s="471"/>
      <c r="L473" s="471"/>
      <c r="M473" s="471"/>
      <c r="N473" s="471"/>
      <c r="O473" s="471"/>
    </row>
    <row r="474" spans="1:15" x14ac:dyDescent="0.25">
      <c r="A474" s="471"/>
      <c r="B474" s="490" t="s">
        <v>2446</v>
      </c>
      <c r="C474" s="490" t="s">
        <v>2447</v>
      </c>
      <c r="D474" s="490" t="s">
        <v>2448</v>
      </c>
      <c r="E474" s="490" t="s">
        <v>3391</v>
      </c>
      <c r="F474" s="471"/>
      <c r="G474" s="490" t="s">
        <v>2446</v>
      </c>
      <c r="H474" s="490" t="s">
        <v>2447</v>
      </c>
      <c r="I474" s="490" t="s">
        <v>2448</v>
      </c>
      <c r="J474" s="490" t="s">
        <v>3391</v>
      </c>
      <c r="K474" s="471"/>
      <c r="L474" s="471"/>
      <c r="M474" s="471"/>
      <c r="N474" s="471"/>
      <c r="O474" s="471"/>
    </row>
    <row r="475" spans="1:15" x14ac:dyDescent="0.25">
      <c r="A475" s="471"/>
      <c r="B475" s="491" t="s">
        <v>3557</v>
      </c>
      <c r="C475" s="491" t="s">
        <v>118</v>
      </c>
      <c r="D475" s="492">
        <v>240000</v>
      </c>
      <c r="E475" s="491" t="s">
        <v>2450</v>
      </c>
      <c r="F475" s="471"/>
      <c r="G475" s="491" t="s">
        <v>1888</v>
      </c>
      <c r="H475" s="491" t="s">
        <v>102</v>
      </c>
      <c r="I475" s="492">
        <v>376852</v>
      </c>
      <c r="J475" s="491" t="s">
        <v>2450</v>
      </c>
      <c r="K475" s="471"/>
      <c r="L475" s="471"/>
      <c r="M475" s="471"/>
      <c r="N475" s="471"/>
      <c r="O475" s="471"/>
    </row>
    <row r="476" spans="1:15" x14ac:dyDescent="0.25">
      <c r="A476" s="471"/>
      <c r="B476" s="491" t="s">
        <v>2301</v>
      </c>
      <c r="C476" s="491" t="s">
        <v>118</v>
      </c>
      <c r="D476" s="492">
        <v>13400</v>
      </c>
      <c r="E476" s="491" t="s">
        <v>2450</v>
      </c>
      <c r="F476" s="471"/>
      <c r="G476" s="471"/>
      <c r="H476" s="471"/>
      <c r="I476" s="497"/>
      <c r="J476" s="471"/>
      <c r="K476" s="471"/>
      <c r="L476" s="471"/>
      <c r="M476" s="471"/>
      <c r="N476" s="471"/>
      <c r="O476" s="471"/>
    </row>
    <row r="477" spans="1:15" x14ac:dyDescent="0.25">
      <c r="A477" s="471"/>
      <c r="B477" s="491" t="s">
        <v>2290</v>
      </c>
      <c r="C477" s="491" t="s">
        <v>136</v>
      </c>
      <c r="D477" s="492">
        <v>215580</v>
      </c>
      <c r="E477" s="491" t="s">
        <v>2450</v>
      </c>
      <c r="F477" s="471"/>
      <c r="G477" s="493" t="s">
        <v>2448</v>
      </c>
      <c r="H477" s="494"/>
      <c r="I477" s="586">
        <f>SUM(I475:I475)</f>
        <v>376852</v>
      </c>
      <c r="J477" s="494"/>
      <c r="K477" s="471"/>
      <c r="L477" s="471"/>
      <c r="M477" s="471"/>
      <c r="N477" s="471"/>
      <c r="O477" s="471"/>
    </row>
    <row r="478" spans="1:15" x14ac:dyDescent="0.25">
      <c r="A478" s="471"/>
      <c r="B478" s="471"/>
      <c r="C478" s="471"/>
      <c r="D478" s="589"/>
      <c r="E478" s="471"/>
      <c r="F478" s="471"/>
      <c r="G478" s="495" t="s">
        <v>2451</v>
      </c>
      <c r="H478" s="496"/>
      <c r="I478" s="587">
        <f>SUMIF(J475:J475, "CANCELADA", I475:I475)</f>
        <v>376852</v>
      </c>
      <c r="J478" s="496"/>
      <c r="K478" s="471"/>
      <c r="L478" s="471"/>
      <c r="M478" s="471"/>
      <c r="N478" s="471"/>
      <c r="O478" s="471"/>
    </row>
    <row r="479" spans="1:15" x14ac:dyDescent="0.25">
      <c r="A479" s="471"/>
      <c r="B479" s="493" t="s">
        <v>2448</v>
      </c>
      <c r="C479" s="494"/>
      <c r="D479" s="586">
        <f>SUM(D475:D477)</f>
        <v>468980</v>
      </c>
      <c r="E479" s="494"/>
      <c r="F479" s="471"/>
      <c r="G479" s="495" t="s">
        <v>2452</v>
      </c>
      <c r="H479" s="496"/>
      <c r="I479" s="587">
        <f>I477-I478</f>
        <v>0</v>
      </c>
      <c r="J479" s="496"/>
      <c r="K479" s="471"/>
      <c r="L479" s="471"/>
      <c r="M479" s="471"/>
      <c r="N479" s="471"/>
      <c r="O479" s="471"/>
    </row>
    <row r="480" spans="1:15" x14ac:dyDescent="0.25">
      <c r="A480" s="471"/>
      <c r="B480" s="495" t="s">
        <v>2451</v>
      </c>
      <c r="C480" s="496"/>
      <c r="D480" s="587">
        <f>SUMIF(E475:E477, "CANCELADA", D475:D477)</f>
        <v>468980</v>
      </c>
      <c r="E480" s="496"/>
      <c r="F480" s="471"/>
      <c r="G480" s="471"/>
      <c r="H480" s="471"/>
      <c r="I480" s="497"/>
      <c r="J480" s="471"/>
      <c r="K480" s="471"/>
      <c r="L480" s="471"/>
      <c r="M480" s="471"/>
      <c r="N480" s="471"/>
      <c r="O480" s="471"/>
    </row>
    <row r="481" spans="1:15" x14ac:dyDescent="0.25">
      <c r="A481" s="471"/>
      <c r="B481" s="495" t="s">
        <v>2452</v>
      </c>
      <c r="C481" s="496"/>
      <c r="D481" s="587">
        <f>D479-D480</f>
        <v>0</v>
      </c>
      <c r="E481" s="496"/>
      <c r="F481" s="471"/>
      <c r="G481" s="471"/>
      <c r="H481" s="471"/>
      <c r="I481" s="589"/>
      <c r="J481" s="471"/>
      <c r="K481" s="471"/>
      <c r="L481" s="471"/>
      <c r="M481" s="471"/>
      <c r="N481" s="471"/>
      <c r="O481" s="471"/>
    </row>
    <row r="482" spans="1:15" x14ac:dyDescent="0.25">
      <c r="A482" s="471"/>
      <c r="B482" s="471"/>
      <c r="C482" s="471"/>
      <c r="D482" s="471"/>
      <c r="E482" s="471"/>
      <c r="F482" s="471"/>
      <c r="G482" s="471"/>
      <c r="H482" s="471"/>
      <c r="I482" s="589"/>
      <c r="J482" s="471"/>
      <c r="K482" s="471"/>
      <c r="L482" s="471"/>
      <c r="M482" s="471"/>
      <c r="N482" s="471"/>
      <c r="O482" s="471"/>
    </row>
    <row r="483" spans="1:15" x14ac:dyDescent="0.25">
      <c r="A483" s="471"/>
      <c r="B483" s="471"/>
      <c r="C483" s="471"/>
      <c r="D483" s="471"/>
      <c r="E483" s="471"/>
      <c r="F483" s="471"/>
      <c r="G483" s="471"/>
      <c r="H483" s="471"/>
      <c r="I483" s="589"/>
      <c r="J483" s="471"/>
      <c r="K483" s="471"/>
      <c r="L483" s="471"/>
      <c r="M483" s="471"/>
      <c r="N483" s="471"/>
      <c r="O483" s="471"/>
    </row>
    <row r="484" spans="1:15" x14ac:dyDescent="0.25">
      <c r="A484" s="471"/>
      <c r="B484" s="741" t="s">
        <v>3558</v>
      </c>
      <c r="C484" s="704"/>
      <c r="D484" s="704"/>
      <c r="E484" s="705"/>
      <c r="F484" s="471"/>
      <c r="G484" s="741" t="s">
        <v>3559</v>
      </c>
      <c r="H484" s="704"/>
      <c r="I484" s="704"/>
      <c r="J484" s="705"/>
      <c r="K484" s="471"/>
      <c r="L484" s="471"/>
      <c r="M484" s="471"/>
      <c r="N484" s="471"/>
      <c r="O484" s="471"/>
    </row>
    <row r="485" spans="1:15" x14ac:dyDescent="0.25">
      <c r="A485" s="471"/>
      <c r="B485" s="490" t="s">
        <v>2446</v>
      </c>
      <c r="C485" s="490" t="s">
        <v>2447</v>
      </c>
      <c r="D485" s="490" t="s">
        <v>2448</v>
      </c>
      <c r="E485" s="490" t="s">
        <v>3391</v>
      </c>
      <c r="F485" s="471"/>
      <c r="G485" s="490" t="s">
        <v>2446</v>
      </c>
      <c r="H485" s="490" t="s">
        <v>2447</v>
      </c>
      <c r="I485" s="490" t="s">
        <v>2448</v>
      </c>
      <c r="J485" s="490" t="s">
        <v>3391</v>
      </c>
      <c r="K485" s="471"/>
      <c r="L485" s="471"/>
      <c r="M485" s="471"/>
      <c r="N485" s="471"/>
      <c r="O485" s="471"/>
    </row>
    <row r="486" spans="1:15" x14ac:dyDescent="0.25">
      <c r="A486" s="471"/>
      <c r="B486" s="491" t="s">
        <v>1339</v>
      </c>
      <c r="C486" s="491" t="s">
        <v>90</v>
      </c>
      <c r="D486" s="492">
        <v>91950</v>
      </c>
      <c r="E486" s="491" t="s">
        <v>2450</v>
      </c>
      <c r="F486" s="471"/>
      <c r="G486" s="473" t="s">
        <v>453</v>
      </c>
      <c r="H486" s="473" t="s">
        <v>124</v>
      </c>
      <c r="I486" s="475">
        <v>282750</v>
      </c>
      <c r="J486" s="473" t="s">
        <v>2452</v>
      </c>
      <c r="K486" s="471"/>
      <c r="L486" s="471"/>
      <c r="M486" s="471"/>
      <c r="N486" s="471"/>
      <c r="O486" s="471"/>
    </row>
    <row r="487" spans="1:15" x14ac:dyDescent="0.25">
      <c r="A487" s="471"/>
      <c r="B487" s="491" t="s">
        <v>1642</v>
      </c>
      <c r="C487" s="491" t="s">
        <v>102</v>
      </c>
      <c r="D487" s="492">
        <v>47250</v>
      </c>
      <c r="E487" s="491" t="s">
        <v>2450</v>
      </c>
      <c r="F487" s="471"/>
      <c r="G487" s="471"/>
      <c r="H487" s="471"/>
      <c r="I487" s="471"/>
      <c r="J487" s="471"/>
      <c r="K487" s="471"/>
      <c r="L487" s="471"/>
      <c r="M487" s="471"/>
      <c r="N487" s="471"/>
      <c r="O487" s="471"/>
    </row>
    <row r="488" spans="1:15" x14ac:dyDescent="0.25">
      <c r="A488" s="471"/>
      <c r="B488" s="491" t="s">
        <v>1645</v>
      </c>
      <c r="C488" s="491" t="s">
        <v>102</v>
      </c>
      <c r="D488" s="492">
        <v>76860</v>
      </c>
      <c r="E488" s="491" t="s">
        <v>2450</v>
      </c>
      <c r="F488" s="471"/>
      <c r="G488" s="493" t="s">
        <v>2448</v>
      </c>
      <c r="H488" s="494"/>
      <c r="I488" s="586">
        <f>SUM(I486:I486)</f>
        <v>282750</v>
      </c>
      <c r="J488" s="494"/>
      <c r="K488" s="471"/>
      <c r="L488" s="471"/>
      <c r="M488" s="471"/>
      <c r="N488" s="471"/>
      <c r="O488" s="471"/>
    </row>
    <row r="489" spans="1:15" x14ac:dyDescent="0.25">
      <c r="A489" s="471"/>
      <c r="B489" s="491" t="s">
        <v>1694</v>
      </c>
      <c r="C489" s="491" t="s">
        <v>103</v>
      </c>
      <c r="D489" s="492">
        <v>108950</v>
      </c>
      <c r="E489" s="491" t="s">
        <v>2450</v>
      </c>
      <c r="F489" s="471"/>
      <c r="G489" s="495" t="s">
        <v>2451</v>
      </c>
      <c r="H489" s="496"/>
      <c r="I489" s="587">
        <f>SUMIF(J486:J486, "CANCELADA", I486:I486)</f>
        <v>0</v>
      </c>
      <c r="J489" s="496"/>
      <c r="K489" s="471"/>
      <c r="L489" s="471"/>
      <c r="M489" s="471"/>
      <c r="N489" s="471"/>
      <c r="O489" s="471"/>
    </row>
    <row r="490" spans="1:15" x14ac:dyDescent="0.25">
      <c r="A490" s="471"/>
      <c r="B490" s="491" t="s">
        <v>1938</v>
      </c>
      <c r="C490" s="491" t="s">
        <v>118</v>
      </c>
      <c r="D490" s="492">
        <v>11100</v>
      </c>
      <c r="E490" s="491" t="s">
        <v>2450</v>
      </c>
      <c r="F490" s="471"/>
      <c r="G490" s="495" t="s">
        <v>2452</v>
      </c>
      <c r="H490" s="496"/>
      <c r="I490" s="587">
        <f>I488-I489</f>
        <v>282750</v>
      </c>
      <c r="J490" s="496"/>
      <c r="K490" s="471"/>
      <c r="L490" s="471"/>
      <c r="M490" s="471"/>
      <c r="N490" s="471"/>
      <c r="O490" s="471"/>
    </row>
    <row r="491" spans="1:15" x14ac:dyDescent="0.25">
      <c r="A491" s="471"/>
      <c r="B491" s="471"/>
      <c r="C491" s="471"/>
      <c r="D491" s="589"/>
      <c r="E491" s="471"/>
      <c r="F491" s="471"/>
      <c r="G491" s="471"/>
      <c r="H491" s="471"/>
      <c r="I491" s="589"/>
      <c r="J491" s="471"/>
      <c r="K491" s="471"/>
      <c r="L491" s="471"/>
      <c r="M491" s="471"/>
      <c r="N491" s="471"/>
      <c r="O491" s="471"/>
    </row>
    <row r="492" spans="1:15" x14ac:dyDescent="0.25">
      <c r="A492" s="471"/>
      <c r="B492" s="493" t="s">
        <v>2448</v>
      </c>
      <c r="C492" s="494"/>
      <c r="D492" s="586">
        <f>SUM(D486:D490)</f>
        <v>336110</v>
      </c>
      <c r="E492" s="494"/>
      <c r="F492" s="471"/>
      <c r="G492" s="471"/>
      <c r="H492" s="471"/>
      <c r="I492" s="589"/>
      <c r="J492" s="471"/>
      <c r="K492" s="471"/>
      <c r="L492" s="471"/>
      <c r="M492" s="471"/>
      <c r="N492" s="471"/>
      <c r="O492" s="471"/>
    </row>
    <row r="493" spans="1:15" x14ac:dyDescent="0.25">
      <c r="A493" s="471"/>
      <c r="B493" s="495" t="s">
        <v>2451</v>
      </c>
      <c r="C493" s="496"/>
      <c r="D493" s="587">
        <f>SUMIF(E486:E490, "CANCELADA", D486:D490)</f>
        <v>336110</v>
      </c>
      <c r="E493" s="496"/>
      <c r="F493" s="471"/>
      <c r="G493" s="471"/>
      <c r="H493" s="471"/>
      <c r="I493" s="589"/>
      <c r="J493" s="471"/>
      <c r="K493" s="471"/>
      <c r="L493" s="471"/>
      <c r="M493" s="471"/>
      <c r="N493" s="471"/>
      <c r="O493" s="471"/>
    </row>
    <row r="494" spans="1:15" x14ac:dyDescent="0.25">
      <c r="A494" s="471"/>
      <c r="B494" s="495" t="s">
        <v>2452</v>
      </c>
      <c r="C494" s="496"/>
      <c r="D494" s="587">
        <f>D492-D493</f>
        <v>0</v>
      </c>
      <c r="E494" s="496"/>
      <c r="F494" s="471"/>
      <c r="G494" s="471"/>
      <c r="H494" s="471"/>
      <c r="I494" s="471"/>
      <c r="J494" s="471"/>
      <c r="K494" s="471"/>
      <c r="L494" s="471"/>
      <c r="M494" s="471"/>
      <c r="N494" s="471"/>
      <c r="O494" s="471"/>
    </row>
    <row r="495" spans="1:15" x14ac:dyDescent="0.25">
      <c r="A495" s="471"/>
      <c r="B495" s="471"/>
      <c r="C495" s="471"/>
      <c r="D495" s="471"/>
      <c r="E495" s="471"/>
      <c r="F495" s="471"/>
      <c r="G495" s="471"/>
      <c r="H495" s="471"/>
      <c r="I495" s="471"/>
      <c r="J495" s="471"/>
      <c r="K495" s="471"/>
      <c r="L495" s="471"/>
      <c r="M495" s="471"/>
      <c r="N495" s="471"/>
      <c r="O495" s="471"/>
    </row>
    <row r="496" spans="1:15" x14ac:dyDescent="0.25">
      <c r="A496" s="471"/>
      <c r="B496" s="471"/>
      <c r="C496" s="471"/>
      <c r="D496" s="471"/>
      <c r="E496" s="471"/>
      <c r="F496" s="471"/>
      <c r="G496" s="471"/>
      <c r="H496" s="471"/>
      <c r="I496" s="471"/>
      <c r="J496" s="471"/>
      <c r="K496" s="471"/>
      <c r="L496" s="471"/>
      <c r="M496" s="471"/>
      <c r="N496" s="471"/>
      <c r="O496" s="471"/>
    </row>
    <row r="497" spans="1:15" x14ac:dyDescent="0.25">
      <c r="A497" s="471"/>
      <c r="B497" s="741" t="s">
        <v>3560</v>
      </c>
      <c r="C497" s="704"/>
      <c r="D497" s="704"/>
      <c r="E497" s="705"/>
      <c r="F497" s="471"/>
      <c r="G497" s="741" t="s">
        <v>3561</v>
      </c>
      <c r="H497" s="704"/>
      <c r="I497" s="704"/>
      <c r="J497" s="705"/>
      <c r="K497" s="471"/>
      <c r="L497" s="471"/>
      <c r="M497" s="471"/>
      <c r="N497" s="471"/>
      <c r="O497" s="471"/>
    </row>
    <row r="498" spans="1:15" x14ac:dyDescent="0.25">
      <c r="A498" s="471"/>
      <c r="B498" s="490" t="s">
        <v>2446</v>
      </c>
      <c r="C498" s="490" t="s">
        <v>2447</v>
      </c>
      <c r="D498" s="498" t="s">
        <v>2448</v>
      </c>
      <c r="E498" s="490" t="s">
        <v>3391</v>
      </c>
      <c r="F498" s="471"/>
      <c r="G498" s="490" t="s">
        <v>2446</v>
      </c>
      <c r="H498" s="490" t="s">
        <v>2447</v>
      </c>
      <c r="I498" s="498" t="s">
        <v>2448</v>
      </c>
      <c r="J498" s="490" t="s">
        <v>3391</v>
      </c>
      <c r="K498" s="471"/>
      <c r="L498" s="471"/>
      <c r="M498" s="471"/>
      <c r="N498" s="471"/>
      <c r="O498" s="471"/>
    </row>
    <row r="499" spans="1:15" x14ac:dyDescent="0.25">
      <c r="A499" s="471"/>
      <c r="B499" s="491" t="s">
        <v>3562</v>
      </c>
      <c r="C499" s="491" t="s">
        <v>118</v>
      </c>
      <c r="D499" s="492">
        <v>118900</v>
      </c>
      <c r="E499" s="491" t="s">
        <v>2450</v>
      </c>
      <c r="F499" s="471"/>
      <c r="G499" s="473" t="s">
        <v>258</v>
      </c>
      <c r="H499" s="473" t="s">
        <v>92</v>
      </c>
      <c r="I499" s="475">
        <v>100000</v>
      </c>
      <c r="J499" s="473" t="s">
        <v>2452</v>
      </c>
      <c r="K499" s="471"/>
      <c r="L499" s="471"/>
      <c r="M499" s="471"/>
      <c r="N499" s="471"/>
      <c r="O499" s="471"/>
    </row>
    <row r="500" spans="1:15" x14ac:dyDescent="0.25">
      <c r="A500" s="471"/>
      <c r="B500" s="471"/>
      <c r="C500" s="471"/>
      <c r="D500" s="589"/>
      <c r="E500" s="471"/>
      <c r="F500" s="471"/>
      <c r="G500" s="473" t="s">
        <v>1935</v>
      </c>
      <c r="H500" s="473" t="s">
        <v>118</v>
      </c>
      <c r="I500" s="475">
        <v>14000</v>
      </c>
      <c r="J500" s="473" t="s">
        <v>2452</v>
      </c>
      <c r="K500" s="471"/>
      <c r="L500" s="471"/>
      <c r="M500" s="471"/>
      <c r="N500" s="471"/>
      <c r="O500" s="471"/>
    </row>
    <row r="501" spans="1:15" x14ac:dyDescent="0.25">
      <c r="A501" s="471"/>
      <c r="B501" s="493" t="s">
        <v>2448</v>
      </c>
      <c r="C501" s="494"/>
      <c r="D501" s="586">
        <f>SUM(D499:D499)</f>
        <v>118900</v>
      </c>
      <c r="E501" s="494"/>
      <c r="F501" s="471"/>
      <c r="G501" s="471"/>
      <c r="H501" s="471"/>
      <c r="I501" s="589"/>
      <c r="J501" s="471"/>
      <c r="K501" s="471"/>
      <c r="L501" s="471"/>
      <c r="M501" s="471"/>
      <c r="N501" s="471"/>
      <c r="O501" s="471"/>
    </row>
    <row r="502" spans="1:15" x14ac:dyDescent="0.25">
      <c r="A502" s="471"/>
      <c r="B502" s="495" t="s">
        <v>2451</v>
      </c>
      <c r="C502" s="496"/>
      <c r="D502" s="587">
        <f>SUMIF(E499:E499, "CANCELADA", D499:D499)</f>
        <v>118900</v>
      </c>
      <c r="E502" s="496"/>
      <c r="F502" s="471"/>
      <c r="G502" s="493" t="s">
        <v>2448</v>
      </c>
      <c r="H502" s="494"/>
      <c r="I502" s="586">
        <f>SUM(I499:I500)</f>
        <v>114000</v>
      </c>
      <c r="J502" s="494"/>
      <c r="K502" s="471"/>
      <c r="L502" s="471"/>
      <c r="M502" s="471"/>
      <c r="N502" s="471"/>
      <c r="O502" s="471"/>
    </row>
    <row r="503" spans="1:15" x14ac:dyDescent="0.25">
      <c r="A503" s="471"/>
      <c r="B503" s="495" t="s">
        <v>2452</v>
      </c>
      <c r="C503" s="496"/>
      <c r="D503" s="587">
        <f>D501-D502</f>
        <v>0</v>
      </c>
      <c r="E503" s="496"/>
      <c r="F503" s="471"/>
      <c r="G503" s="495" t="s">
        <v>2451</v>
      </c>
      <c r="H503" s="496"/>
      <c r="I503" s="587">
        <f>SUMIF(J499:J500, "CANCELADA", I499:I500)</f>
        <v>0</v>
      </c>
      <c r="J503" s="496"/>
      <c r="K503" s="471"/>
      <c r="L503" s="471"/>
      <c r="M503" s="471"/>
      <c r="N503" s="471"/>
      <c r="O503" s="471"/>
    </row>
    <row r="504" spans="1:15" x14ac:dyDescent="0.25">
      <c r="A504" s="471"/>
      <c r="B504" s="471"/>
      <c r="C504" s="471"/>
      <c r="D504" s="471"/>
      <c r="E504" s="471"/>
      <c r="F504" s="471"/>
      <c r="G504" s="495" t="s">
        <v>2452</v>
      </c>
      <c r="H504" s="496"/>
      <c r="I504" s="587">
        <f>I502-I503</f>
        <v>114000</v>
      </c>
      <c r="J504" s="496"/>
      <c r="K504" s="471"/>
      <c r="L504" s="471"/>
      <c r="M504" s="471"/>
      <c r="N504" s="471"/>
      <c r="O504" s="471"/>
    </row>
    <row r="505" spans="1:15" x14ac:dyDescent="0.25">
      <c r="A505" s="471"/>
      <c r="B505" s="471"/>
      <c r="C505" s="471"/>
      <c r="D505" s="471"/>
      <c r="E505" s="471"/>
      <c r="F505" s="471"/>
      <c r="G505" s="471"/>
      <c r="H505" s="471"/>
      <c r="I505" s="471"/>
      <c r="J505" s="471"/>
      <c r="K505" s="471"/>
      <c r="L505" s="471"/>
      <c r="M505" s="471"/>
      <c r="N505" s="471"/>
      <c r="O505" s="471"/>
    </row>
    <row r="506" spans="1:15" x14ac:dyDescent="0.25">
      <c r="A506" s="471"/>
      <c r="B506" s="471"/>
      <c r="C506" s="471"/>
      <c r="D506" s="497"/>
      <c r="E506" s="471"/>
      <c r="F506" s="471"/>
      <c r="G506" s="471"/>
      <c r="H506" s="471"/>
      <c r="I506" s="497"/>
      <c r="J506" s="471"/>
      <c r="K506" s="471"/>
      <c r="L506" s="471"/>
      <c r="M506" s="471"/>
      <c r="N506" s="471"/>
      <c r="O506" s="471"/>
    </row>
    <row r="507" spans="1:15" x14ac:dyDescent="0.25">
      <c r="A507" s="471"/>
      <c r="B507" s="741" t="s">
        <v>3563</v>
      </c>
      <c r="C507" s="704"/>
      <c r="D507" s="704"/>
      <c r="E507" s="705"/>
      <c r="F507" s="471"/>
      <c r="G507" s="741" t="s">
        <v>3564</v>
      </c>
      <c r="H507" s="704"/>
      <c r="I507" s="704"/>
      <c r="J507" s="705"/>
      <c r="K507" s="471"/>
      <c r="L507" s="471"/>
      <c r="M507" s="471"/>
      <c r="N507" s="471"/>
      <c r="O507" s="471"/>
    </row>
    <row r="508" spans="1:15" x14ac:dyDescent="0.25">
      <c r="A508" s="471"/>
      <c r="B508" s="490" t="s">
        <v>2446</v>
      </c>
      <c r="C508" s="490" t="s">
        <v>2447</v>
      </c>
      <c r="D508" s="591" t="s">
        <v>2448</v>
      </c>
      <c r="E508" s="490" t="s">
        <v>3391</v>
      </c>
      <c r="F508" s="471"/>
      <c r="G508" s="490" t="s">
        <v>2446</v>
      </c>
      <c r="H508" s="490" t="s">
        <v>2447</v>
      </c>
      <c r="I508" s="498" t="s">
        <v>2448</v>
      </c>
      <c r="J508" s="490" t="s">
        <v>3391</v>
      </c>
      <c r="K508" s="471"/>
      <c r="L508" s="471"/>
      <c r="M508" s="471"/>
      <c r="N508" s="471"/>
      <c r="O508" s="471"/>
    </row>
    <row r="509" spans="1:15" x14ac:dyDescent="0.25">
      <c r="A509" s="471"/>
      <c r="B509" s="491" t="s">
        <v>1950</v>
      </c>
      <c r="C509" s="491" t="s">
        <v>121</v>
      </c>
      <c r="D509" s="492">
        <v>109400</v>
      </c>
      <c r="E509" s="491" t="s">
        <v>2450</v>
      </c>
      <c r="F509" s="471"/>
      <c r="G509" s="491" t="s">
        <v>3565</v>
      </c>
      <c r="H509" s="491" t="s">
        <v>118</v>
      </c>
      <c r="I509" s="492">
        <v>95800</v>
      </c>
      <c r="J509" s="491" t="s">
        <v>2450</v>
      </c>
      <c r="K509" s="471"/>
      <c r="L509" s="471"/>
      <c r="M509" s="471"/>
      <c r="N509" s="471"/>
      <c r="O509" s="471"/>
    </row>
    <row r="510" spans="1:15" x14ac:dyDescent="0.25">
      <c r="A510" s="471"/>
      <c r="B510" s="471"/>
      <c r="C510" s="471"/>
      <c r="D510" s="589"/>
      <c r="E510" s="471"/>
      <c r="F510" s="471"/>
      <c r="G510" s="471"/>
      <c r="H510" s="471"/>
      <c r="I510" s="589"/>
      <c r="J510" s="471"/>
      <c r="K510" s="471"/>
      <c r="L510" s="471"/>
      <c r="M510" s="471"/>
      <c r="N510" s="471"/>
      <c r="O510" s="471"/>
    </row>
    <row r="511" spans="1:15" x14ac:dyDescent="0.25">
      <c r="A511" s="471"/>
      <c r="B511" s="493" t="s">
        <v>2448</v>
      </c>
      <c r="C511" s="494"/>
      <c r="D511" s="586">
        <f>SUM(D509:D509)</f>
        <v>109400</v>
      </c>
      <c r="E511" s="494"/>
      <c r="F511" s="471"/>
      <c r="G511" s="493" t="s">
        <v>2448</v>
      </c>
      <c r="H511" s="494"/>
      <c r="I511" s="586">
        <f>SUM(I509:I509)</f>
        <v>95800</v>
      </c>
      <c r="J511" s="494"/>
      <c r="K511" s="471"/>
      <c r="L511" s="471"/>
      <c r="M511" s="471"/>
      <c r="N511" s="471"/>
      <c r="O511" s="471"/>
    </row>
    <row r="512" spans="1:15" x14ac:dyDescent="0.25">
      <c r="A512" s="471"/>
      <c r="B512" s="495" t="s">
        <v>2451</v>
      </c>
      <c r="C512" s="496"/>
      <c r="D512" s="587">
        <f>SUMIF(E509:E509, "CANCELADA", D509:D509)</f>
        <v>109400</v>
      </c>
      <c r="E512" s="496"/>
      <c r="F512" s="471"/>
      <c r="G512" s="495" t="s">
        <v>2451</v>
      </c>
      <c r="H512" s="496"/>
      <c r="I512" s="587">
        <f>SUMIF(J509:J509, "CANCELADA", I509:I509)</f>
        <v>95800</v>
      </c>
      <c r="J512" s="496"/>
      <c r="K512" s="471"/>
      <c r="L512" s="471"/>
      <c r="M512" s="471"/>
      <c r="N512" s="471"/>
      <c r="O512" s="471"/>
    </row>
    <row r="513" spans="1:15" x14ac:dyDescent="0.25">
      <c r="A513" s="471"/>
      <c r="B513" s="495" t="s">
        <v>2452</v>
      </c>
      <c r="C513" s="496"/>
      <c r="D513" s="587">
        <f>D511-D512</f>
        <v>0</v>
      </c>
      <c r="E513" s="496"/>
      <c r="F513" s="471"/>
      <c r="G513" s="495" t="s">
        <v>2452</v>
      </c>
      <c r="H513" s="496"/>
      <c r="I513" s="587">
        <f>I511-I512</f>
        <v>0</v>
      </c>
      <c r="J513" s="496"/>
      <c r="K513" s="471"/>
      <c r="L513" s="471"/>
      <c r="M513" s="471"/>
      <c r="N513" s="471"/>
      <c r="O513" s="471"/>
    </row>
    <row r="514" spans="1:15" x14ac:dyDescent="0.25">
      <c r="A514" s="471"/>
      <c r="B514" s="471"/>
      <c r="C514" s="471"/>
      <c r="D514" s="471"/>
      <c r="E514" s="471"/>
      <c r="F514" s="471"/>
      <c r="G514" s="471"/>
      <c r="H514" s="471"/>
      <c r="I514" s="471"/>
      <c r="J514" s="471"/>
      <c r="K514" s="471"/>
      <c r="L514" s="471"/>
      <c r="M514" s="471"/>
      <c r="N514" s="471"/>
      <c r="O514" s="471"/>
    </row>
    <row r="515" spans="1:15" x14ac:dyDescent="0.25">
      <c r="A515" s="471"/>
      <c r="B515" s="471"/>
      <c r="C515" s="471"/>
      <c r="D515" s="471"/>
      <c r="E515" s="471"/>
      <c r="F515" s="471"/>
      <c r="G515" s="471"/>
      <c r="H515" s="471"/>
      <c r="I515" s="471"/>
      <c r="J515" s="471"/>
      <c r="K515" s="471"/>
      <c r="L515" s="471"/>
      <c r="M515" s="471"/>
      <c r="N515" s="471"/>
      <c r="O515" s="471"/>
    </row>
    <row r="516" spans="1:15" x14ac:dyDescent="0.25">
      <c r="A516" s="471"/>
      <c r="B516" s="741" t="s">
        <v>3566</v>
      </c>
      <c r="C516" s="704"/>
      <c r="D516" s="704"/>
      <c r="E516" s="705"/>
      <c r="F516" s="471"/>
      <c r="G516" s="741" t="s">
        <v>3567</v>
      </c>
      <c r="H516" s="704"/>
      <c r="I516" s="704"/>
      <c r="J516" s="705"/>
      <c r="K516" s="471"/>
      <c r="L516" s="471"/>
      <c r="M516" s="471"/>
      <c r="N516" s="471"/>
      <c r="O516" s="471"/>
    </row>
    <row r="517" spans="1:15" x14ac:dyDescent="0.25">
      <c r="A517" s="471"/>
      <c r="B517" s="490" t="s">
        <v>2446</v>
      </c>
      <c r="C517" s="490" t="s">
        <v>2447</v>
      </c>
      <c r="D517" s="498" t="s">
        <v>2448</v>
      </c>
      <c r="E517" s="490" t="s">
        <v>3391</v>
      </c>
      <c r="F517" s="471"/>
      <c r="G517" s="490" t="s">
        <v>2446</v>
      </c>
      <c r="H517" s="490" t="s">
        <v>2447</v>
      </c>
      <c r="I517" s="498" t="s">
        <v>2448</v>
      </c>
      <c r="J517" s="490" t="s">
        <v>3391</v>
      </c>
      <c r="K517" s="471"/>
      <c r="L517" s="471"/>
      <c r="M517" s="471"/>
      <c r="N517" s="471"/>
      <c r="O517" s="471"/>
    </row>
    <row r="518" spans="1:15" x14ac:dyDescent="0.25">
      <c r="A518" s="471"/>
      <c r="B518" s="473" t="s">
        <v>1719</v>
      </c>
      <c r="C518" s="473" t="s">
        <v>104</v>
      </c>
      <c r="D518" s="475">
        <v>72000</v>
      </c>
      <c r="E518" s="473" t="s">
        <v>2452</v>
      </c>
      <c r="F518" s="471"/>
      <c r="G518" s="473" t="s">
        <v>1989</v>
      </c>
      <c r="H518" s="473" t="s">
        <v>127</v>
      </c>
      <c r="I518" s="475">
        <v>70000</v>
      </c>
      <c r="J518" s="473" t="s">
        <v>2452</v>
      </c>
      <c r="K518" s="471"/>
      <c r="L518" s="471"/>
      <c r="M518" s="471"/>
      <c r="N518" s="471"/>
      <c r="O518" s="471"/>
    </row>
    <row r="519" spans="1:15" x14ac:dyDescent="0.25">
      <c r="A519" s="471"/>
      <c r="B519" s="471"/>
      <c r="C519" s="471"/>
      <c r="D519" s="589"/>
      <c r="E519" s="471"/>
      <c r="F519" s="471"/>
      <c r="G519" s="471"/>
      <c r="H519" s="471"/>
      <c r="I519" s="589"/>
      <c r="J519" s="471"/>
      <c r="K519" s="471"/>
      <c r="L519" s="471"/>
      <c r="M519" s="471"/>
      <c r="N519" s="471"/>
      <c r="O519" s="471"/>
    </row>
    <row r="520" spans="1:15" x14ac:dyDescent="0.25">
      <c r="A520" s="471"/>
      <c r="B520" s="493" t="s">
        <v>2448</v>
      </c>
      <c r="C520" s="494"/>
      <c r="D520" s="586">
        <f>SUM(D518:D518)</f>
        <v>72000</v>
      </c>
      <c r="E520" s="494"/>
      <c r="F520" s="471"/>
      <c r="G520" s="493" t="s">
        <v>2448</v>
      </c>
      <c r="H520" s="494"/>
      <c r="I520" s="586">
        <f>SUM(I518:I518)</f>
        <v>70000</v>
      </c>
      <c r="J520" s="494"/>
      <c r="K520" s="471"/>
      <c r="L520" s="471"/>
      <c r="M520" s="471"/>
      <c r="N520" s="471"/>
      <c r="O520" s="471"/>
    </row>
    <row r="521" spans="1:15" x14ac:dyDescent="0.25">
      <c r="A521" s="471"/>
      <c r="B521" s="495" t="s">
        <v>2451</v>
      </c>
      <c r="C521" s="496"/>
      <c r="D521" s="587">
        <f>SUMIF(E518:E518, "CANCELADA", D518:D518)</f>
        <v>0</v>
      </c>
      <c r="E521" s="496"/>
      <c r="F521" s="471"/>
      <c r="G521" s="495" t="s">
        <v>2451</v>
      </c>
      <c r="H521" s="496"/>
      <c r="I521" s="587">
        <f>SUMIF(J518:J518, "CANCELADA", I518:I518)</f>
        <v>0</v>
      </c>
      <c r="J521" s="496"/>
      <c r="K521" s="471"/>
      <c r="L521" s="471"/>
      <c r="M521" s="471"/>
      <c r="N521" s="471"/>
      <c r="O521" s="471"/>
    </row>
    <row r="522" spans="1:15" x14ac:dyDescent="0.25">
      <c r="A522" s="471"/>
      <c r="B522" s="495" t="s">
        <v>2452</v>
      </c>
      <c r="C522" s="496"/>
      <c r="D522" s="587">
        <f>D520-D521</f>
        <v>72000</v>
      </c>
      <c r="E522" s="496"/>
      <c r="F522" s="471"/>
      <c r="G522" s="495" t="s">
        <v>2452</v>
      </c>
      <c r="H522" s="496"/>
      <c r="I522" s="587">
        <f>I520-I521</f>
        <v>70000</v>
      </c>
      <c r="J522" s="496"/>
      <c r="K522" s="471"/>
      <c r="L522" s="471"/>
      <c r="M522" s="471"/>
      <c r="N522" s="471"/>
      <c r="O522" s="471"/>
    </row>
    <row r="523" spans="1:15" x14ac:dyDescent="0.25">
      <c r="A523" s="471"/>
      <c r="B523" s="471"/>
      <c r="C523" s="471"/>
      <c r="D523" s="471"/>
      <c r="E523" s="471"/>
      <c r="F523" s="471"/>
      <c r="G523" s="471"/>
      <c r="H523" s="471"/>
      <c r="I523" s="471"/>
      <c r="J523" s="471"/>
      <c r="K523" s="471"/>
      <c r="L523" s="471"/>
      <c r="M523" s="471"/>
      <c r="N523" s="471"/>
      <c r="O523" s="471"/>
    </row>
    <row r="524" spans="1:15" x14ac:dyDescent="0.25">
      <c r="A524" s="471"/>
      <c r="B524" s="471"/>
      <c r="C524" s="471"/>
      <c r="D524" s="471"/>
      <c r="E524" s="471"/>
      <c r="F524" s="471"/>
      <c r="G524" s="471"/>
      <c r="H524" s="471"/>
      <c r="I524" s="471"/>
      <c r="J524" s="471"/>
      <c r="K524" s="471"/>
      <c r="L524" s="471"/>
      <c r="M524" s="471"/>
      <c r="N524" s="471"/>
      <c r="O524" s="471"/>
    </row>
    <row r="525" spans="1:15" x14ac:dyDescent="0.25">
      <c r="A525" s="471"/>
      <c r="B525" s="741" t="s">
        <v>3568</v>
      </c>
      <c r="C525" s="704"/>
      <c r="D525" s="704"/>
      <c r="E525" s="705"/>
      <c r="F525" s="471"/>
      <c r="G525" s="471"/>
      <c r="H525" s="471"/>
      <c r="I525" s="497"/>
      <c r="J525" s="471"/>
      <c r="K525" s="471"/>
      <c r="L525" s="471"/>
      <c r="M525" s="471"/>
      <c r="N525" s="471"/>
      <c r="O525" s="471"/>
    </row>
    <row r="526" spans="1:15" x14ac:dyDescent="0.25">
      <c r="A526" s="471"/>
      <c r="B526" s="490" t="s">
        <v>2446</v>
      </c>
      <c r="C526" s="490" t="s">
        <v>2447</v>
      </c>
      <c r="D526" s="498" t="s">
        <v>2448</v>
      </c>
      <c r="E526" s="490" t="s">
        <v>3391</v>
      </c>
      <c r="F526" s="471"/>
      <c r="G526" s="471"/>
      <c r="H526" s="471"/>
      <c r="I526" s="497"/>
      <c r="J526" s="471"/>
      <c r="K526" s="471"/>
      <c r="L526" s="471"/>
      <c r="M526" s="471"/>
      <c r="N526" s="471"/>
      <c r="O526" s="471"/>
    </row>
    <row r="527" spans="1:15" x14ac:dyDescent="0.25">
      <c r="A527" s="471"/>
      <c r="B527" s="491" t="s">
        <v>1956</v>
      </c>
      <c r="C527" s="491" t="s">
        <v>121</v>
      </c>
      <c r="D527" s="492">
        <v>6900</v>
      </c>
      <c r="E527" s="491" t="s">
        <v>2450</v>
      </c>
      <c r="F527" s="471"/>
      <c r="G527" s="471"/>
      <c r="H527" s="471"/>
      <c r="I527" s="589"/>
      <c r="J527" s="471"/>
      <c r="K527" s="471"/>
      <c r="L527" s="471"/>
      <c r="M527" s="471"/>
      <c r="N527" s="471"/>
      <c r="O527" s="471"/>
    </row>
    <row r="528" spans="1:15" x14ac:dyDescent="0.25">
      <c r="A528" s="471"/>
      <c r="B528" s="471"/>
      <c r="C528" s="471"/>
      <c r="D528" s="589"/>
      <c r="E528" s="471"/>
      <c r="F528" s="471"/>
      <c r="G528" s="471"/>
      <c r="H528" s="471"/>
      <c r="I528" s="589"/>
      <c r="J528" s="471"/>
      <c r="K528" s="471"/>
      <c r="L528" s="471"/>
      <c r="M528" s="471"/>
      <c r="N528" s="471"/>
      <c r="O528" s="471"/>
    </row>
    <row r="529" spans="1:15" x14ac:dyDescent="0.25">
      <c r="A529" s="471"/>
      <c r="B529" s="493" t="s">
        <v>2448</v>
      </c>
      <c r="C529" s="494"/>
      <c r="D529" s="586">
        <f>SUM(D527:D527)</f>
        <v>6900</v>
      </c>
      <c r="E529" s="494"/>
      <c r="F529" s="471"/>
      <c r="G529" s="471"/>
      <c r="H529" s="471"/>
      <c r="I529" s="589"/>
      <c r="J529" s="471"/>
      <c r="K529" s="471"/>
      <c r="L529" s="471"/>
      <c r="M529" s="471"/>
      <c r="N529" s="471"/>
      <c r="O529" s="471"/>
    </row>
    <row r="530" spans="1:15" x14ac:dyDescent="0.25">
      <c r="A530" s="471"/>
      <c r="B530" s="495" t="s">
        <v>2451</v>
      </c>
      <c r="C530" s="496"/>
      <c r="D530" s="587">
        <f>SUMIF(E527:E527, "CANCELADA", D527:D527)</f>
        <v>6900</v>
      </c>
      <c r="E530" s="496"/>
      <c r="F530" s="471"/>
      <c r="G530" s="471"/>
      <c r="H530" s="471"/>
      <c r="I530" s="589"/>
      <c r="J530" s="471"/>
      <c r="K530" s="471"/>
      <c r="L530" s="471"/>
      <c r="M530" s="471"/>
      <c r="N530" s="471"/>
      <c r="O530" s="471"/>
    </row>
    <row r="531" spans="1:15" x14ac:dyDescent="0.25">
      <c r="A531" s="471"/>
      <c r="B531" s="495" t="s">
        <v>2452</v>
      </c>
      <c r="C531" s="496"/>
      <c r="D531" s="587">
        <f>D529-D530</f>
        <v>0</v>
      </c>
      <c r="E531" s="496"/>
      <c r="F531" s="471"/>
      <c r="G531" s="471"/>
      <c r="H531" s="471"/>
      <c r="I531" s="471"/>
      <c r="J531" s="471"/>
      <c r="K531" s="471"/>
      <c r="L531" s="471"/>
      <c r="M531" s="471"/>
      <c r="N531" s="471"/>
      <c r="O531" s="471"/>
    </row>
    <row r="532" spans="1:15" x14ac:dyDescent="0.25">
      <c r="A532" s="471"/>
      <c r="B532" s="471"/>
      <c r="C532" s="471"/>
      <c r="D532" s="471"/>
      <c r="E532" s="471"/>
      <c r="F532" s="471"/>
      <c r="G532" s="471"/>
      <c r="H532" s="471"/>
      <c r="I532" s="471"/>
      <c r="J532" s="471"/>
      <c r="K532" s="471"/>
      <c r="L532" s="471"/>
      <c r="M532" s="471"/>
      <c r="N532" s="471"/>
      <c r="O532" s="471"/>
    </row>
    <row r="533" spans="1:15" x14ac:dyDescent="0.25">
      <c r="A533" s="471"/>
      <c r="B533" s="471"/>
      <c r="C533" s="471"/>
      <c r="D533" s="471"/>
      <c r="E533" s="471"/>
      <c r="F533" s="471"/>
      <c r="G533" s="471"/>
      <c r="H533" s="471"/>
      <c r="I533" s="471"/>
      <c r="J533" s="471"/>
      <c r="K533" s="471"/>
      <c r="L533" s="471"/>
      <c r="M533" s="471"/>
      <c r="N533" s="471"/>
      <c r="O533" s="471"/>
    </row>
    <row r="534" spans="1:15" x14ac:dyDescent="0.25">
      <c r="A534" s="471"/>
      <c r="B534" s="471"/>
      <c r="C534" s="471"/>
      <c r="D534" s="497"/>
      <c r="E534" s="471"/>
      <c r="F534" s="471"/>
      <c r="G534" s="471"/>
      <c r="H534" s="471"/>
      <c r="I534" s="471"/>
      <c r="J534" s="471"/>
      <c r="K534" s="471"/>
      <c r="L534" s="471"/>
      <c r="M534" s="471"/>
      <c r="N534" s="471"/>
      <c r="O534" s="471"/>
    </row>
    <row r="535" spans="1:15" x14ac:dyDescent="0.25">
      <c r="A535" s="471"/>
      <c r="B535" s="471"/>
      <c r="C535" s="471"/>
      <c r="D535" s="497"/>
      <c r="E535" s="471"/>
      <c r="F535" s="471"/>
      <c r="G535" s="471"/>
      <c r="H535" s="471"/>
      <c r="I535" s="471"/>
      <c r="J535" s="471"/>
      <c r="K535" s="471"/>
      <c r="L535" s="471"/>
      <c r="M535" s="471"/>
      <c r="N535" s="471"/>
      <c r="O535" s="471"/>
    </row>
    <row r="536" spans="1:15" x14ac:dyDescent="0.25">
      <c r="A536" s="471"/>
      <c r="B536" s="471"/>
      <c r="C536" s="471"/>
      <c r="D536" s="589"/>
      <c r="E536" s="471"/>
      <c r="F536" s="471"/>
      <c r="G536" s="471"/>
      <c r="H536" s="471"/>
      <c r="I536" s="471"/>
      <c r="J536" s="471"/>
      <c r="K536" s="471"/>
      <c r="L536" s="471"/>
      <c r="M536" s="471"/>
      <c r="N536" s="471"/>
      <c r="O536" s="471"/>
    </row>
    <row r="537" spans="1:15" x14ac:dyDescent="0.25">
      <c r="A537" s="471"/>
      <c r="B537" s="471"/>
      <c r="C537" s="471"/>
      <c r="D537" s="589"/>
      <c r="E537" s="471"/>
      <c r="F537" s="471"/>
      <c r="G537" s="471"/>
      <c r="H537" s="471"/>
      <c r="I537" s="471"/>
      <c r="J537" s="471"/>
      <c r="K537" s="471"/>
      <c r="L537" s="471"/>
      <c r="M537" s="471"/>
      <c r="N537" s="471"/>
      <c r="O537" s="471"/>
    </row>
    <row r="538" spans="1:15" x14ac:dyDescent="0.25">
      <c r="A538" s="471"/>
      <c r="B538" s="471"/>
      <c r="C538" s="471"/>
      <c r="D538" s="589"/>
      <c r="E538" s="471"/>
      <c r="F538" s="471"/>
      <c r="G538" s="471"/>
      <c r="H538" s="471"/>
      <c r="I538" s="471"/>
      <c r="J538" s="471"/>
      <c r="K538" s="471"/>
      <c r="L538" s="471"/>
      <c r="M538" s="471"/>
      <c r="N538" s="471"/>
      <c r="O538" s="471"/>
    </row>
    <row r="539" spans="1:15" x14ac:dyDescent="0.25">
      <c r="A539" s="471"/>
      <c r="B539" s="471"/>
      <c r="C539" s="471"/>
      <c r="D539" s="589"/>
      <c r="E539" s="471"/>
      <c r="F539" s="471"/>
      <c r="G539" s="471"/>
      <c r="H539" s="471"/>
      <c r="I539" s="471"/>
      <c r="J539" s="471"/>
      <c r="K539" s="471"/>
      <c r="L539" s="471"/>
      <c r="M539" s="471"/>
      <c r="N539" s="471"/>
      <c r="O539" s="471"/>
    </row>
  </sheetData>
  <autoFilter ref="B10:J54" xr:uid="{00000000-0009-0000-0000-00000B000000}"/>
  <mergeCells count="63">
    <mergeCell ref="B292:E292"/>
    <mergeCell ref="G201:J201"/>
    <mergeCell ref="B7:C7"/>
    <mergeCell ref="J5:K5"/>
    <mergeCell ref="G368:J368"/>
    <mergeCell ref="B9:K9"/>
    <mergeCell ref="F5:G5"/>
    <mergeCell ref="F7:G7"/>
    <mergeCell ref="D6:E6"/>
    <mergeCell ref="H6:I6"/>
    <mergeCell ref="J6:K6"/>
    <mergeCell ref="B280:E280"/>
    <mergeCell ref="G77:J77"/>
    <mergeCell ref="G59:J59"/>
    <mergeCell ref="B59:E59"/>
    <mergeCell ref="B497:E497"/>
    <mergeCell ref="G516:J516"/>
    <mergeCell ref="B378:E378"/>
    <mergeCell ref="G507:J507"/>
    <mergeCell ref="G321:J321"/>
    <mergeCell ref="G448:J448"/>
    <mergeCell ref="B418:E418"/>
    <mergeCell ref="B368:E368"/>
    <mergeCell ref="G418:J418"/>
    <mergeCell ref="B516:E516"/>
    <mergeCell ref="G332:J332"/>
    <mergeCell ref="B507:E507"/>
    <mergeCell ref="B321:E321"/>
    <mergeCell ref="G497:J497"/>
    <mergeCell ref="G473:J473"/>
    <mergeCell ref="G428:J428"/>
    <mergeCell ref="G357:J357"/>
    <mergeCell ref="H5:I5"/>
    <mergeCell ref="B3:K3"/>
    <mergeCell ref="B357:E357"/>
    <mergeCell ref="B473:E473"/>
    <mergeCell ref="D7:E7"/>
    <mergeCell ref="B180:E180"/>
    <mergeCell ref="H7:I7"/>
    <mergeCell ref="B210:E210"/>
    <mergeCell ref="J7:K7"/>
    <mergeCell ref="B332:E332"/>
    <mergeCell ref="B77:E77"/>
    <mergeCell ref="B201:E201"/>
    <mergeCell ref="B428:E428"/>
    <mergeCell ref="G280:J280"/>
    <mergeCell ref="F6:G6"/>
    <mergeCell ref="B525:E525"/>
    <mergeCell ref="G180:J180"/>
    <mergeCell ref="B448:E448"/>
    <mergeCell ref="G378:J378"/>
    <mergeCell ref="B2:K2"/>
    <mergeCell ref="B484:E484"/>
    <mergeCell ref="G292:J292"/>
    <mergeCell ref="B54:D54"/>
    <mergeCell ref="G484:J484"/>
    <mergeCell ref="B6:C6"/>
    <mergeCell ref="G342:J342"/>
    <mergeCell ref="B57:K57"/>
    <mergeCell ref="B5:C5"/>
    <mergeCell ref="B342:E342"/>
    <mergeCell ref="D5:E5"/>
    <mergeCell ref="G210:J2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4"/>
  <sheetViews>
    <sheetView workbookViewId="0">
      <selection activeCell="D1" sqref="D1"/>
    </sheetView>
  </sheetViews>
  <sheetFormatPr baseColWidth="10" defaultRowHeight="15" x14ac:dyDescent="0.25"/>
  <cols>
    <col min="4" max="4" width="115.28515625" style="565" bestFit="1" customWidth="1"/>
  </cols>
  <sheetData>
    <row r="1" spans="1:7" x14ac:dyDescent="0.25">
      <c r="A1" s="1" t="s">
        <v>48</v>
      </c>
      <c r="B1" s="1" t="s">
        <v>3569</v>
      </c>
      <c r="C1" s="1" t="s">
        <v>3570</v>
      </c>
      <c r="D1" s="5" t="s">
        <v>554</v>
      </c>
      <c r="E1" s="2" t="s">
        <v>1225</v>
      </c>
      <c r="F1" s="1" t="s">
        <v>189</v>
      </c>
      <c r="G1" s="1" t="s">
        <v>3571</v>
      </c>
    </row>
    <row r="2" spans="1:7" x14ac:dyDescent="0.25">
      <c r="A2">
        <v>23</v>
      </c>
      <c r="B2" t="s">
        <v>1230</v>
      </c>
      <c r="C2" t="s">
        <v>233</v>
      </c>
      <c r="D2" t="s">
        <v>3572</v>
      </c>
      <c r="E2">
        <v>5.25</v>
      </c>
      <c r="F2">
        <v>33000</v>
      </c>
      <c r="G2">
        <v>173250</v>
      </c>
    </row>
    <row r="3" spans="1:7" x14ac:dyDescent="0.25">
      <c r="A3">
        <v>23</v>
      </c>
      <c r="B3" t="s">
        <v>1230</v>
      </c>
      <c r="C3" t="s">
        <v>3573</v>
      </c>
      <c r="D3" t="s">
        <v>3574</v>
      </c>
      <c r="E3">
        <v>5.35</v>
      </c>
      <c r="F3">
        <v>21500</v>
      </c>
      <c r="G3">
        <v>115025</v>
      </c>
    </row>
    <row r="4" spans="1:7" x14ac:dyDescent="0.25">
      <c r="A4">
        <v>14</v>
      </c>
      <c r="B4" t="s">
        <v>1230</v>
      </c>
      <c r="C4" t="s">
        <v>239</v>
      </c>
      <c r="D4" t="s">
        <v>3575</v>
      </c>
      <c r="E4">
        <v>10</v>
      </c>
      <c r="F4">
        <v>53000</v>
      </c>
      <c r="G4">
        <v>530000</v>
      </c>
    </row>
    <row r="5" spans="1:7" x14ac:dyDescent="0.25">
      <c r="A5">
        <v>20</v>
      </c>
      <c r="B5" t="s">
        <v>1230</v>
      </c>
      <c r="C5" t="s">
        <v>216</v>
      </c>
      <c r="D5" t="s">
        <v>3576</v>
      </c>
      <c r="E5">
        <v>6.1</v>
      </c>
      <c r="F5">
        <v>30000</v>
      </c>
      <c r="G5">
        <v>183000</v>
      </c>
    </row>
    <row r="6" spans="1:7" x14ac:dyDescent="0.25">
      <c r="A6">
        <v>20</v>
      </c>
      <c r="B6" t="s">
        <v>1230</v>
      </c>
      <c r="C6" t="s">
        <v>239</v>
      </c>
      <c r="D6" t="s">
        <v>3577</v>
      </c>
      <c r="E6">
        <v>14.05</v>
      </c>
      <c r="F6">
        <v>53000</v>
      </c>
      <c r="G6">
        <v>744650</v>
      </c>
    </row>
    <row r="7" spans="1:7" x14ac:dyDescent="0.25">
      <c r="A7">
        <v>20</v>
      </c>
      <c r="B7" t="s">
        <v>1230</v>
      </c>
      <c r="C7" t="s">
        <v>301</v>
      </c>
      <c r="D7" t="s">
        <v>3578</v>
      </c>
      <c r="E7">
        <v>11.375</v>
      </c>
      <c r="F7">
        <v>28000</v>
      </c>
      <c r="G7">
        <v>318500</v>
      </c>
    </row>
    <row r="8" spans="1:7" x14ac:dyDescent="0.25">
      <c r="A8">
        <v>20</v>
      </c>
      <c r="B8" t="s">
        <v>1230</v>
      </c>
      <c r="C8" t="s">
        <v>239</v>
      </c>
      <c r="D8" t="s">
        <v>3579</v>
      </c>
      <c r="E8">
        <v>14.05</v>
      </c>
      <c r="F8">
        <v>53000</v>
      </c>
      <c r="G8">
        <v>744650</v>
      </c>
    </row>
    <row r="9" spans="1:7" x14ac:dyDescent="0.25">
      <c r="A9">
        <v>20</v>
      </c>
      <c r="B9" t="s">
        <v>1230</v>
      </c>
      <c r="C9" t="s">
        <v>216</v>
      </c>
      <c r="D9" t="s">
        <v>3580</v>
      </c>
      <c r="E9">
        <v>6.1</v>
      </c>
      <c r="F9">
        <v>30000</v>
      </c>
      <c r="G9">
        <v>183000</v>
      </c>
    </row>
    <row r="10" spans="1:7" x14ac:dyDescent="0.25">
      <c r="A10">
        <v>20</v>
      </c>
      <c r="B10" t="s">
        <v>1230</v>
      </c>
      <c r="C10" t="s">
        <v>301</v>
      </c>
      <c r="D10" t="s">
        <v>3581</v>
      </c>
      <c r="E10">
        <v>11.38</v>
      </c>
      <c r="F10">
        <v>28000</v>
      </c>
      <c r="G10">
        <v>318500</v>
      </c>
    </row>
    <row r="11" spans="1:7" x14ac:dyDescent="0.25">
      <c r="A11">
        <v>19</v>
      </c>
      <c r="B11" t="s">
        <v>1230</v>
      </c>
      <c r="C11" t="s">
        <v>233</v>
      </c>
      <c r="D11" t="s">
        <v>3582</v>
      </c>
      <c r="E11">
        <v>4.3499999999999996</v>
      </c>
      <c r="F11">
        <v>34000</v>
      </c>
      <c r="G11">
        <v>147900</v>
      </c>
    </row>
    <row r="12" spans="1:7" x14ac:dyDescent="0.25">
      <c r="A12">
        <v>19</v>
      </c>
      <c r="B12" t="s">
        <v>1230</v>
      </c>
      <c r="C12" t="s">
        <v>277</v>
      </c>
      <c r="D12" t="s">
        <v>3583</v>
      </c>
      <c r="E12">
        <v>7.15</v>
      </c>
      <c r="F12">
        <v>18000</v>
      </c>
      <c r="G12">
        <v>128700</v>
      </c>
    </row>
    <row r="13" spans="1:7" x14ac:dyDescent="0.25">
      <c r="A13">
        <v>19</v>
      </c>
      <c r="B13" t="s">
        <v>1230</v>
      </c>
      <c r="C13" t="s">
        <v>216</v>
      </c>
      <c r="D13" t="s">
        <v>3584</v>
      </c>
      <c r="E13">
        <v>10</v>
      </c>
      <c r="F13">
        <v>30000</v>
      </c>
      <c r="G13">
        <v>300000</v>
      </c>
    </row>
    <row r="14" spans="1:7" x14ac:dyDescent="0.25">
      <c r="A14">
        <v>19</v>
      </c>
      <c r="B14" t="s">
        <v>1230</v>
      </c>
      <c r="C14" t="s">
        <v>277</v>
      </c>
      <c r="D14" t="s">
        <v>3583</v>
      </c>
      <c r="E14">
        <v>20</v>
      </c>
      <c r="F14">
        <v>20000</v>
      </c>
      <c r="G14">
        <v>400000</v>
      </c>
    </row>
    <row r="15" spans="1:7" x14ac:dyDescent="0.25">
      <c r="A15">
        <v>24</v>
      </c>
      <c r="B15" t="s">
        <v>1230</v>
      </c>
      <c r="C15" t="s">
        <v>216</v>
      </c>
      <c r="D15" t="s">
        <v>3585</v>
      </c>
      <c r="E15">
        <v>10.6</v>
      </c>
      <c r="F15">
        <v>30000</v>
      </c>
      <c r="G15">
        <v>318000</v>
      </c>
    </row>
    <row r="16" spans="1:7" x14ac:dyDescent="0.25">
      <c r="A16">
        <v>24</v>
      </c>
      <c r="B16" t="s">
        <v>1230</v>
      </c>
      <c r="C16" t="s">
        <v>233</v>
      </c>
      <c r="D16" t="s">
        <v>3586</v>
      </c>
      <c r="E16">
        <v>4.3</v>
      </c>
      <c r="F16">
        <v>33000</v>
      </c>
      <c r="G16">
        <v>141900</v>
      </c>
    </row>
    <row r="17" spans="1:7" x14ac:dyDescent="0.25">
      <c r="A17">
        <v>22</v>
      </c>
      <c r="B17" t="s">
        <v>1230</v>
      </c>
      <c r="C17" t="s">
        <v>216</v>
      </c>
      <c r="D17" t="s">
        <v>3587</v>
      </c>
      <c r="E17">
        <v>16.149999999999999</v>
      </c>
      <c r="F17">
        <v>30000</v>
      </c>
      <c r="G17">
        <v>484500</v>
      </c>
    </row>
    <row r="18" spans="1:7" x14ac:dyDescent="0.25">
      <c r="A18">
        <v>31</v>
      </c>
      <c r="B18" t="s">
        <v>1239</v>
      </c>
      <c r="C18" t="s">
        <v>1240</v>
      </c>
      <c r="D18" t="s">
        <v>3588</v>
      </c>
      <c r="E18">
        <v>200</v>
      </c>
      <c r="F18">
        <v>150</v>
      </c>
      <c r="G18">
        <v>30000</v>
      </c>
    </row>
    <row r="19" spans="1:7" x14ac:dyDescent="0.25">
      <c r="A19" s="182">
        <v>28</v>
      </c>
      <c r="B19" s="183" t="s">
        <v>1230</v>
      </c>
      <c r="C19" s="183" t="s">
        <v>216</v>
      </c>
      <c r="D19" s="183" t="s">
        <v>3589</v>
      </c>
      <c r="E19" s="184">
        <v>15</v>
      </c>
      <c r="F19" s="184">
        <v>30000</v>
      </c>
      <c r="G19" s="184">
        <v>450000</v>
      </c>
    </row>
    <row r="20" spans="1:7" x14ac:dyDescent="0.25">
      <c r="A20" s="182">
        <v>28</v>
      </c>
      <c r="B20" s="183" t="s">
        <v>1230</v>
      </c>
      <c r="C20" s="183" t="s">
        <v>1212</v>
      </c>
      <c r="D20" s="183" t="s">
        <v>3590</v>
      </c>
      <c r="E20" s="184">
        <v>12.2</v>
      </c>
      <c r="F20" s="184">
        <v>26000</v>
      </c>
      <c r="G20" s="184">
        <v>317200</v>
      </c>
    </row>
    <row r="21" spans="1:7" x14ac:dyDescent="0.25">
      <c r="A21" s="182">
        <v>29</v>
      </c>
      <c r="B21" s="183" t="s">
        <v>1230</v>
      </c>
      <c r="C21" s="183" t="s">
        <v>381</v>
      </c>
      <c r="D21" s="183" t="s">
        <v>3591</v>
      </c>
      <c r="E21" s="184">
        <v>8.85</v>
      </c>
      <c r="F21" s="184">
        <v>18000</v>
      </c>
      <c r="G21" s="184">
        <v>159300</v>
      </c>
    </row>
    <row r="22" spans="1:7" x14ac:dyDescent="0.25">
      <c r="A22" s="182">
        <v>29</v>
      </c>
      <c r="B22" s="183" t="s">
        <v>1230</v>
      </c>
      <c r="C22" s="183" t="s">
        <v>239</v>
      </c>
      <c r="D22" s="183" t="s">
        <v>3592</v>
      </c>
      <c r="E22" s="184">
        <v>5.16</v>
      </c>
      <c r="F22" s="184">
        <v>53000</v>
      </c>
      <c r="G22" s="184">
        <v>273480</v>
      </c>
    </row>
    <row r="23" spans="1:7" x14ac:dyDescent="0.25">
      <c r="A23" s="182">
        <v>31</v>
      </c>
      <c r="B23" s="183" t="s">
        <v>1230</v>
      </c>
      <c r="C23" s="183" t="s">
        <v>3593</v>
      </c>
      <c r="D23" s="183" t="s">
        <v>3594</v>
      </c>
      <c r="E23" s="184">
        <v>15.95</v>
      </c>
      <c r="F23" s="184">
        <v>5000</v>
      </c>
      <c r="G23" s="184">
        <v>79750</v>
      </c>
    </row>
    <row r="24" spans="1:7" x14ac:dyDescent="0.25">
      <c r="A24" s="182">
        <v>31</v>
      </c>
      <c r="B24" s="183" t="s">
        <v>1230</v>
      </c>
      <c r="C24" s="183" t="s">
        <v>233</v>
      </c>
      <c r="D24" s="183" t="s">
        <v>3595</v>
      </c>
      <c r="E24" s="184">
        <v>4</v>
      </c>
      <c r="F24" s="184">
        <v>33000</v>
      </c>
      <c r="G24" s="184">
        <v>132000</v>
      </c>
    </row>
  </sheetData>
  <autoFilter ref="A1:G1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2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8" style="565" customWidth="1"/>
    <col min="2" max="2" width="15" style="565" customWidth="1"/>
    <col min="3" max="3" width="30" style="565" customWidth="1"/>
    <col min="4" max="4" width="55" style="565" customWidth="1"/>
    <col min="5" max="5" width="12" style="565" customWidth="1"/>
    <col min="6" max="6" width="16" style="565" customWidth="1"/>
    <col min="7" max="7" width="18" style="565" customWidth="1"/>
    <col min="8" max="8" width="22" style="565" customWidth="1"/>
  </cols>
  <sheetData>
    <row r="1" spans="1:8" x14ac:dyDescent="0.25">
      <c r="A1" s="34" t="s">
        <v>48</v>
      </c>
      <c r="B1" s="34" t="s">
        <v>110</v>
      </c>
      <c r="C1" s="34" t="s">
        <v>1224</v>
      </c>
      <c r="D1" s="34" t="s">
        <v>3596</v>
      </c>
      <c r="E1" s="34" t="s">
        <v>1225</v>
      </c>
      <c r="F1" s="34" t="s">
        <v>189</v>
      </c>
      <c r="G1" s="34" t="s">
        <v>1226</v>
      </c>
      <c r="H1" s="34" t="s">
        <v>185</v>
      </c>
    </row>
    <row r="2" spans="1:8" x14ac:dyDescent="0.25">
      <c r="A2" s="33">
        <v>1</v>
      </c>
      <c r="B2" s="27" t="s">
        <v>91</v>
      </c>
      <c r="C2" s="28" t="s">
        <v>562</v>
      </c>
      <c r="D2" s="28" t="s">
        <v>3597</v>
      </c>
      <c r="E2" s="31">
        <v>1</v>
      </c>
      <c r="F2" s="310">
        <v>92200</v>
      </c>
      <c r="G2" s="310">
        <v>92200</v>
      </c>
      <c r="H2" s="27" t="s">
        <v>561</v>
      </c>
    </row>
    <row r="3" spans="1:8" x14ac:dyDescent="0.25">
      <c r="A3" s="33">
        <v>1</v>
      </c>
      <c r="B3" s="27" t="s">
        <v>91</v>
      </c>
      <c r="C3" s="28" t="s">
        <v>564</v>
      </c>
      <c r="D3" s="28" t="s">
        <v>3598</v>
      </c>
      <c r="E3" s="31">
        <v>1</v>
      </c>
      <c r="F3" s="310">
        <v>77500</v>
      </c>
      <c r="G3" s="310">
        <v>77500</v>
      </c>
      <c r="H3" s="27" t="s">
        <v>561</v>
      </c>
    </row>
    <row r="4" spans="1:8" x14ac:dyDescent="0.25">
      <c r="A4" s="33">
        <v>1</v>
      </c>
      <c r="B4" s="27" t="s">
        <v>91</v>
      </c>
      <c r="C4" s="28" t="s">
        <v>566</v>
      </c>
      <c r="D4" s="28" t="s">
        <v>3599</v>
      </c>
      <c r="E4" s="31">
        <v>1</v>
      </c>
      <c r="F4" s="310">
        <v>93000</v>
      </c>
      <c r="G4" s="310">
        <v>93000</v>
      </c>
      <c r="H4" s="27" t="s">
        <v>561</v>
      </c>
    </row>
    <row r="5" spans="1:8" x14ac:dyDescent="0.25">
      <c r="A5" s="33">
        <v>1</v>
      </c>
      <c r="B5" s="27" t="s">
        <v>91</v>
      </c>
      <c r="C5" s="28" t="s">
        <v>568</v>
      </c>
      <c r="D5" s="28" t="s">
        <v>3600</v>
      </c>
      <c r="E5" s="31">
        <v>2</v>
      </c>
      <c r="F5" s="310">
        <v>74500</v>
      </c>
      <c r="G5" s="310">
        <v>149000</v>
      </c>
      <c r="H5" s="27" t="s">
        <v>561</v>
      </c>
    </row>
    <row r="6" spans="1:8" x14ac:dyDescent="0.25">
      <c r="A6" s="33">
        <v>1</v>
      </c>
      <c r="B6" s="27" t="s">
        <v>1230</v>
      </c>
      <c r="C6" s="28" t="s">
        <v>195</v>
      </c>
      <c r="D6" s="28" t="s">
        <v>3601</v>
      </c>
      <c r="E6" s="31">
        <v>20</v>
      </c>
      <c r="F6" s="310">
        <v>16500</v>
      </c>
      <c r="G6" s="310">
        <v>330000</v>
      </c>
      <c r="H6" s="27" t="s">
        <v>194</v>
      </c>
    </row>
    <row r="7" spans="1:8" x14ac:dyDescent="0.25">
      <c r="A7" s="33">
        <v>2</v>
      </c>
      <c r="B7" s="27" t="s">
        <v>91</v>
      </c>
      <c r="C7" s="28" t="s">
        <v>572</v>
      </c>
      <c r="D7" s="28" t="s">
        <v>3602</v>
      </c>
      <c r="E7" s="31">
        <v>2</v>
      </c>
      <c r="F7" s="310">
        <v>39000</v>
      </c>
      <c r="G7" s="310">
        <v>78000</v>
      </c>
      <c r="H7" s="27" t="s">
        <v>571</v>
      </c>
    </row>
    <row r="8" spans="1:8" x14ac:dyDescent="0.25">
      <c r="A8" s="33">
        <v>2</v>
      </c>
      <c r="B8" s="27" t="s">
        <v>91</v>
      </c>
      <c r="C8" s="28" t="s">
        <v>574</v>
      </c>
      <c r="D8" s="28" t="s">
        <v>3603</v>
      </c>
      <c r="E8" s="31">
        <v>2</v>
      </c>
      <c r="F8" s="310">
        <v>32500</v>
      </c>
      <c r="G8" s="310">
        <v>65000</v>
      </c>
      <c r="H8" s="27" t="s">
        <v>571</v>
      </c>
    </row>
    <row r="9" spans="1:8" x14ac:dyDescent="0.25">
      <c r="A9" s="33">
        <v>2</v>
      </c>
      <c r="B9" s="27" t="s">
        <v>91</v>
      </c>
      <c r="C9" s="28" t="s">
        <v>576</v>
      </c>
      <c r="D9" s="28" t="s">
        <v>3604</v>
      </c>
      <c r="E9" s="31">
        <v>1</v>
      </c>
      <c r="F9" s="310">
        <v>51600</v>
      </c>
      <c r="G9" s="310">
        <v>51600</v>
      </c>
      <c r="H9" s="27" t="s">
        <v>571</v>
      </c>
    </row>
    <row r="10" spans="1:8" x14ac:dyDescent="0.25">
      <c r="A10" s="33">
        <v>2</v>
      </c>
      <c r="B10" s="27" t="s">
        <v>1101</v>
      </c>
      <c r="C10" s="28" t="s">
        <v>1292</v>
      </c>
      <c r="D10" s="28" t="s">
        <v>3605</v>
      </c>
      <c r="E10" s="31">
        <v>4</v>
      </c>
      <c r="F10" s="310">
        <v>18200</v>
      </c>
      <c r="G10" s="310">
        <v>72800</v>
      </c>
      <c r="H10" s="27" t="s">
        <v>1283</v>
      </c>
    </row>
    <row r="11" spans="1:8" x14ac:dyDescent="0.25">
      <c r="A11" s="33">
        <v>2</v>
      </c>
      <c r="B11" s="27" t="s">
        <v>1239</v>
      </c>
      <c r="C11" s="28" t="s">
        <v>1281</v>
      </c>
      <c r="D11" s="28" t="s">
        <v>3606</v>
      </c>
      <c r="E11" s="31">
        <v>5</v>
      </c>
      <c r="F11" s="310">
        <v>3105.6</v>
      </c>
      <c r="G11" s="310">
        <v>15528</v>
      </c>
      <c r="H11" s="27" t="s">
        <v>1283</v>
      </c>
    </row>
    <row r="12" spans="1:8" x14ac:dyDescent="0.25">
      <c r="A12" s="33">
        <v>2</v>
      </c>
      <c r="B12" s="27" t="s">
        <v>1239</v>
      </c>
      <c r="C12" s="28" t="s">
        <v>1281</v>
      </c>
      <c r="D12" s="28" t="s">
        <v>3607</v>
      </c>
      <c r="E12" s="31">
        <v>5</v>
      </c>
      <c r="F12" s="310">
        <v>3105.6</v>
      </c>
      <c r="G12" s="310">
        <v>15528</v>
      </c>
      <c r="H12" s="27" t="s">
        <v>1283</v>
      </c>
    </row>
    <row r="13" spans="1:8" x14ac:dyDescent="0.25">
      <c r="A13" s="33">
        <v>2</v>
      </c>
      <c r="B13" s="27" t="s">
        <v>1239</v>
      </c>
      <c r="C13" s="28" t="s">
        <v>1281</v>
      </c>
      <c r="D13" s="28" t="s">
        <v>3608</v>
      </c>
      <c r="E13" s="31">
        <v>5</v>
      </c>
      <c r="F13" s="310">
        <v>1309</v>
      </c>
      <c r="G13" s="310">
        <v>6545</v>
      </c>
      <c r="H13" s="27" t="s">
        <v>1283</v>
      </c>
    </row>
    <row r="14" spans="1:8" x14ac:dyDescent="0.25">
      <c r="A14" s="33">
        <v>2</v>
      </c>
      <c r="B14" s="27" t="s">
        <v>1239</v>
      </c>
      <c r="C14" s="28" t="s">
        <v>1281</v>
      </c>
      <c r="D14" s="28" t="s">
        <v>3609</v>
      </c>
      <c r="E14" s="31">
        <v>5</v>
      </c>
      <c r="F14" s="310">
        <v>2570.4</v>
      </c>
      <c r="G14" s="310">
        <v>12852</v>
      </c>
      <c r="H14" s="27" t="s">
        <v>1283</v>
      </c>
    </row>
    <row r="15" spans="1:8" x14ac:dyDescent="0.25">
      <c r="A15" s="33">
        <v>2</v>
      </c>
      <c r="B15" s="27" t="s">
        <v>1239</v>
      </c>
      <c r="C15" s="28" t="s">
        <v>1281</v>
      </c>
      <c r="D15" s="28" t="s">
        <v>3610</v>
      </c>
      <c r="E15" s="31">
        <v>3</v>
      </c>
      <c r="F15" s="310">
        <v>3760.33</v>
      </c>
      <c r="G15" s="310">
        <v>11281</v>
      </c>
      <c r="H15" s="27" t="s">
        <v>1283</v>
      </c>
    </row>
    <row r="16" spans="1:8" x14ac:dyDescent="0.25">
      <c r="A16" s="33">
        <v>2</v>
      </c>
      <c r="B16" s="27" t="s">
        <v>1239</v>
      </c>
      <c r="C16" s="28" t="s">
        <v>1281</v>
      </c>
      <c r="D16" s="28" t="s">
        <v>3611</v>
      </c>
      <c r="E16" s="31">
        <v>3</v>
      </c>
      <c r="F16" s="310">
        <v>3760.33</v>
      </c>
      <c r="G16" s="310">
        <v>11281</v>
      </c>
      <c r="H16" s="27" t="s">
        <v>1283</v>
      </c>
    </row>
    <row r="17" spans="1:8" x14ac:dyDescent="0.25">
      <c r="A17" s="33">
        <v>2</v>
      </c>
      <c r="B17" s="27" t="s">
        <v>1239</v>
      </c>
      <c r="C17" s="28" t="s">
        <v>1290</v>
      </c>
      <c r="D17" s="28" t="s">
        <v>3612</v>
      </c>
      <c r="E17" s="31">
        <v>70</v>
      </c>
      <c r="F17" s="310">
        <v>4180</v>
      </c>
      <c r="G17" s="310">
        <v>292600</v>
      </c>
      <c r="H17" s="27" t="s">
        <v>1283</v>
      </c>
    </row>
    <row r="18" spans="1:8" x14ac:dyDescent="0.25">
      <c r="A18" s="33">
        <v>3</v>
      </c>
      <c r="B18" s="27" t="s">
        <v>91</v>
      </c>
      <c r="C18" s="28" t="s">
        <v>580</v>
      </c>
      <c r="D18" s="28" t="s">
        <v>3613</v>
      </c>
      <c r="E18" s="31">
        <v>1</v>
      </c>
      <c r="F18" s="310">
        <v>32000</v>
      </c>
      <c r="G18" s="310">
        <v>32000</v>
      </c>
      <c r="H18" s="27" t="s">
        <v>3614</v>
      </c>
    </row>
    <row r="19" spans="1:8" x14ac:dyDescent="0.25">
      <c r="A19" s="33">
        <v>3</v>
      </c>
      <c r="B19" s="27" t="s">
        <v>91</v>
      </c>
      <c r="C19" s="28" t="s">
        <v>582</v>
      </c>
      <c r="D19" s="28" t="s">
        <v>3615</v>
      </c>
      <c r="E19" s="31">
        <v>2</v>
      </c>
      <c r="F19" s="310">
        <v>65000</v>
      </c>
      <c r="G19" s="310">
        <v>130000</v>
      </c>
      <c r="H19" s="27" t="s">
        <v>3614</v>
      </c>
    </row>
    <row r="20" spans="1:8" x14ac:dyDescent="0.25">
      <c r="A20" s="33">
        <v>3</v>
      </c>
      <c r="B20" s="27" t="s">
        <v>91</v>
      </c>
      <c r="C20" s="28" t="s">
        <v>584</v>
      </c>
      <c r="D20" s="28" t="s">
        <v>3616</v>
      </c>
      <c r="E20" s="31">
        <v>2</v>
      </c>
      <c r="F20" s="310">
        <v>65000</v>
      </c>
      <c r="G20" s="310">
        <v>130000</v>
      </c>
      <c r="H20" s="27" t="s">
        <v>3614</v>
      </c>
    </row>
    <row r="21" spans="1:8" x14ac:dyDescent="0.25">
      <c r="A21" s="33">
        <v>3</v>
      </c>
      <c r="B21" s="27" t="s">
        <v>91</v>
      </c>
      <c r="C21" s="28" t="s">
        <v>586</v>
      </c>
      <c r="D21" s="28" t="s">
        <v>3617</v>
      </c>
      <c r="E21" s="31">
        <v>10</v>
      </c>
      <c r="F21" s="310">
        <v>28800</v>
      </c>
      <c r="G21" s="310">
        <v>288000</v>
      </c>
      <c r="H21" s="27" t="s">
        <v>3614</v>
      </c>
    </row>
    <row r="22" spans="1:8" x14ac:dyDescent="0.25">
      <c r="A22" s="33">
        <v>3</v>
      </c>
      <c r="B22" s="27" t="s">
        <v>91</v>
      </c>
      <c r="C22" s="28" t="s">
        <v>588</v>
      </c>
      <c r="D22" s="28" t="s">
        <v>3618</v>
      </c>
      <c r="E22" s="31">
        <v>8</v>
      </c>
      <c r="F22" s="310">
        <v>30000</v>
      </c>
      <c r="G22" s="310">
        <v>240000</v>
      </c>
      <c r="H22" s="27" t="s">
        <v>3614</v>
      </c>
    </row>
    <row r="23" spans="1:8" x14ac:dyDescent="0.25">
      <c r="A23" s="33">
        <v>3</v>
      </c>
      <c r="B23" s="27" t="s">
        <v>91</v>
      </c>
      <c r="C23" s="28" t="s">
        <v>591</v>
      </c>
      <c r="D23" s="28" t="s">
        <v>3619</v>
      </c>
      <c r="E23" s="31">
        <v>2</v>
      </c>
      <c r="F23" s="310">
        <v>25100</v>
      </c>
      <c r="G23" s="310">
        <v>50200</v>
      </c>
      <c r="H23" s="27" t="s">
        <v>3614</v>
      </c>
    </row>
    <row r="24" spans="1:8" x14ac:dyDescent="0.25">
      <c r="A24" s="33">
        <v>3</v>
      </c>
      <c r="B24" s="27" t="s">
        <v>91</v>
      </c>
      <c r="C24" s="28" t="s">
        <v>591</v>
      </c>
      <c r="D24" s="28" t="s">
        <v>3620</v>
      </c>
      <c r="E24" s="31">
        <v>2</v>
      </c>
      <c r="F24" s="310">
        <v>25100</v>
      </c>
      <c r="G24" s="310">
        <v>50200</v>
      </c>
      <c r="H24" s="27" t="s">
        <v>3614</v>
      </c>
    </row>
    <row r="25" spans="1:8" x14ac:dyDescent="0.25">
      <c r="A25" s="33">
        <v>3</v>
      </c>
      <c r="B25" s="27" t="s">
        <v>91</v>
      </c>
      <c r="C25" s="28" t="s">
        <v>591</v>
      </c>
      <c r="D25" s="28" t="s">
        <v>3621</v>
      </c>
      <c r="E25" s="31">
        <v>2</v>
      </c>
      <c r="F25" s="310">
        <v>25100</v>
      </c>
      <c r="G25" s="310">
        <v>50200</v>
      </c>
      <c r="H25" s="27" t="s">
        <v>3614</v>
      </c>
    </row>
    <row r="26" spans="1:8" x14ac:dyDescent="0.25">
      <c r="A26" s="33">
        <v>3</v>
      </c>
      <c r="B26" s="27" t="s">
        <v>1235</v>
      </c>
      <c r="C26" s="28" t="s">
        <v>1114</v>
      </c>
      <c r="D26" s="28" t="s">
        <v>3622</v>
      </c>
      <c r="E26" s="31">
        <v>4</v>
      </c>
      <c r="F26" s="310">
        <v>26000</v>
      </c>
      <c r="G26" s="310">
        <v>104000</v>
      </c>
      <c r="H26" s="27" t="s">
        <v>1343</v>
      </c>
    </row>
    <row r="27" spans="1:8" x14ac:dyDescent="0.25">
      <c r="A27" s="33">
        <v>4</v>
      </c>
      <c r="B27" s="27" t="s">
        <v>1230</v>
      </c>
      <c r="C27" s="28" t="s">
        <v>254</v>
      </c>
      <c r="D27" s="28" t="s">
        <v>3623</v>
      </c>
      <c r="E27" s="29">
        <v>26.5</v>
      </c>
      <c r="F27" s="310">
        <v>19500</v>
      </c>
      <c r="G27" s="310">
        <v>516750</v>
      </c>
      <c r="H27" s="27" t="s">
        <v>253</v>
      </c>
    </row>
    <row r="28" spans="1:8" x14ac:dyDescent="0.25">
      <c r="A28" s="33">
        <v>5</v>
      </c>
      <c r="B28" s="27" t="s">
        <v>1230</v>
      </c>
      <c r="C28" s="28" t="s">
        <v>275</v>
      </c>
      <c r="D28" s="28" t="s">
        <v>3624</v>
      </c>
      <c r="E28" s="29">
        <v>19.7</v>
      </c>
      <c r="F28" s="310">
        <v>22900</v>
      </c>
      <c r="G28" s="310">
        <v>451130</v>
      </c>
      <c r="H28" s="27" t="s">
        <v>274</v>
      </c>
    </row>
    <row r="29" spans="1:8" x14ac:dyDescent="0.25">
      <c r="A29" s="33">
        <v>5</v>
      </c>
      <c r="B29" s="27" t="s">
        <v>1230</v>
      </c>
      <c r="C29" s="28" t="s">
        <v>277</v>
      </c>
      <c r="D29" s="28" t="s">
        <v>3625</v>
      </c>
      <c r="E29" s="29">
        <v>26.1</v>
      </c>
      <c r="F29" s="310">
        <v>18500</v>
      </c>
      <c r="G29" s="310">
        <v>482850</v>
      </c>
      <c r="H29" s="27" t="s">
        <v>274</v>
      </c>
    </row>
    <row r="30" spans="1:8" x14ac:dyDescent="0.25">
      <c r="A30" s="33">
        <v>5</v>
      </c>
      <c r="B30" s="27" t="s">
        <v>1230</v>
      </c>
      <c r="C30" s="28" t="s">
        <v>279</v>
      </c>
      <c r="D30" s="28" t="s">
        <v>3626</v>
      </c>
      <c r="E30" s="29">
        <v>30.66</v>
      </c>
      <c r="F30" s="310">
        <v>18900</v>
      </c>
      <c r="G30" s="310">
        <v>579474</v>
      </c>
      <c r="H30" s="27" t="s">
        <v>274</v>
      </c>
    </row>
    <row r="31" spans="1:8" x14ac:dyDescent="0.25">
      <c r="A31" s="33">
        <v>5</v>
      </c>
      <c r="B31" s="27" t="s">
        <v>1230</v>
      </c>
      <c r="C31" s="28" t="s">
        <v>281</v>
      </c>
      <c r="D31" s="28" t="s">
        <v>3627</v>
      </c>
      <c r="E31" s="29">
        <v>21.55</v>
      </c>
      <c r="F31" s="310">
        <v>42000</v>
      </c>
      <c r="G31" s="310">
        <v>905100</v>
      </c>
      <c r="H31" s="27" t="s">
        <v>274</v>
      </c>
    </row>
    <row r="32" spans="1:8" x14ac:dyDescent="0.25">
      <c r="A32" s="33">
        <v>5</v>
      </c>
      <c r="B32" s="27" t="s">
        <v>1230</v>
      </c>
      <c r="C32" s="28" t="s">
        <v>283</v>
      </c>
      <c r="D32" s="28" t="s">
        <v>3628</v>
      </c>
      <c r="E32" s="29">
        <v>18</v>
      </c>
      <c r="F32" s="310">
        <v>44000</v>
      </c>
      <c r="G32" s="310">
        <v>792000</v>
      </c>
      <c r="H32" s="27" t="s">
        <v>274</v>
      </c>
    </row>
    <row r="33" spans="1:8" x14ac:dyDescent="0.25">
      <c r="A33" s="33">
        <v>5</v>
      </c>
      <c r="B33" s="27" t="s">
        <v>1230</v>
      </c>
      <c r="C33" s="28" t="s">
        <v>214</v>
      </c>
      <c r="D33" s="28" t="s">
        <v>3629</v>
      </c>
      <c r="E33" s="29">
        <v>20.239999999999998</v>
      </c>
      <c r="F33" s="310">
        <v>25900</v>
      </c>
      <c r="G33" s="310">
        <v>524216</v>
      </c>
      <c r="H33" s="27" t="s">
        <v>274</v>
      </c>
    </row>
    <row r="34" spans="1:8" x14ac:dyDescent="0.25">
      <c r="A34" s="33">
        <v>5</v>
      </c>
      <c r="B34" s="27" t="s">
        <v>1230</v>
      </c>
      <c r="C34" s="28" t="s">
        <v>216</v>
      </c>
      <c r="D34" s="28" t="s">
        <v>3630</v>
      </c>
      <c r="E34" s="29">
        <v>9</v>
      </c>
      <c r="F34" s="310">
        <v>34500</v>
      </c>
      <c r="G34" s="310">
        <v>310500</v>
      </c>
      <c r="H34" s="27" t="s">
        <v>274</v>
      </c>
    </row>
    <row r="35" spans="1:8" x14ac:dyDescent="0.25">
      <c r="A35" s="33">
        <v>5</v>
      </c>
      <c r="B35" s="27" t="s">
        <v>1230</v>
      </c>
      <c r="C35" s="28" t="s">
        <v>287</v>
      </c>
      <c r="D35" s="28" t="s">
        <v>3631</v>
      </c>
      <c r="E35" s="29">
        <v>150.9</v>
      </c>
      <c r="F35" s="310">
        <v>21900</v>
      </c>
      <c r="G35" s="310">
        <v>3304710</v>
      </c>
      <c r="H35" s="27" t="s">
        <v>274</v>
      </c>
    </row>
    <row r="36" spans="1:8" x14ac:dyDescent="0.25">
      <c r="A36" s="33">
        <v>5</v>
      </c>
      <c r="B36" s="27" t="s">
        <v>1235</v>
      </c>
      <c r="C36" s="28" t="s">
        <v>1264</v>
      </c>
      <c r="D36" s="28" t="s">
        <v>3632</v>
      </c>
      <c r="E36" s="31">
        <v>12</v>
      </c>
      <c r="F36" s="310">
        <v>19500</v>
      </c>
      <c r="G36" s="310">
        <v>234000</v>
      </c>
      <c r="H36" s="27" t="s">
        <v>274</v>
      </c>
    </row>
    <row r="37" spans="1:8" x14ac:dyDescent="0.25">
      <c r="A37" s="33">
        <v>7</v>
      </c>
      <c r="B37" s="27" t="s">
        <v>1230</v>
      </c>
      <c r="C37" s="28" t="s">
        <v>301</v>
      </c>
      <c r="D37" s="28" t="s">
        <v>3633</v>
      </c>
      <c r="E37" s="29">
        <v>5.5919999999999996</v>
      </c>
      <c r="F37" s="310">
        <v>26900</v>
      </c>
      <c r="G37" s="310">
        <v>150425</v>
      </c>
      <c r="H37" s="27" t="s">
        <v>300</v>
      </c>
    </row>
    <row r="38" spans="1:8" x14ac:dyDescent="0.25">
      <c r="A38" s="33">
        <v>7</v>
      </c>
      <c r="B38" s="27" t="s">
        <v>1230</v>
      </c>
      <c r="C38" s="28" t="s">
        <v>214</v>
      </c>
      <c r="D38" s="28" t="s">
        <v>3634</v>
      </c>
      <c r="E38" s="29">
        <v>21.61</v>
      </c>
      <c r="F38" s="310">
        <v>25900</v>
      </c>
      <c r="G38" s="310">
        <v>559699</v>
      </c>
      <c r="H38" s="27" t="s">
        <v>300</v>
      </c>
    </row>
    <row r="39" spans="1:8" x14ac:dyDescent="0.25">
      <c r="A39" s="33">
        <v>7</v>
      </c>
      <c r="B39" s="27" t="s">
        <v>1230</v>
      </c>
      <c r="C39" s="28" t="s">
        <v>216</v>
      </c>
      <c r="D39" s="28" t="s">
        <v>3635</v>
      </c>
      <c r="E39" s="29">
        <v>20.565000000000001</v>
      </c>
      <c r="F39" s="310">
        <v>34500</v>
      </c>
      <c r="G39" s="310">
        <v>709493</v>
      </c>
      <c r="H39" s="27" t="s">
        <v>300</v>
      </c>
    </row>
    <row r="40" spans="1:8" x14ac:dyDescent="0.25">
      <c r="A40" s="33">
        <v>7</v>
      </c>
      <c r="B40" s="27" t="s">
        <v>1235</v>
      </c>
      <c r="C40" s="28" t="s">
        <v>1509</v>
      </c>
      <c r="D40" s="28" t="s">
        <v>3636</v>
      </c>
      <c r="E40" s="31">
        <v>10</v>
      </c>
      <c r="F40" s="310">
        <v>10900</v>
      </c>
      <c r="G40" s="310">
        <v>109000</v>
      </c>
      <c r="H40" s="27" t="s">
        <v>300</v>
      </c>
    </row>
    <row r="41" spans="1:8" x14ac:dyDescent="0.25">
      <c r="A41" s="33">
        <v>20</v>
      </c>
      <c r="B41" s="27" t="s">
        <v>1230</v>
      </c>
      <c r="C41" s="28" t="s">
        <v>239</v>
      </c>
      <c r="D41" s="28" t="s">
        <v>3579</v>
      </c>
      <c r="E41" s="29">
        <v>14.05</v>
      </c>
      <c r="F41" s="310">
        <v>53000</v>
      </c>
      <c r="G41" s="310">
        <v>744650</v>
      </c>
      <c r="H41" s="27" t="s">
        <v>3637</v>
      </c>
    </row>
    <row r="42" spans="1:8" x14ac:dyDescent="0.25">
      <c r="A42" s="33">
        <v>20</v>
      </c>
      <c r="B42" s="27" t="s">
        <v>1230</v>
      </c>
      <c r="C42" s="28" t="s">
        <v>301</v>
      </c>
      <c r="D42" s="28" t="s">
        <v>3581</v>
      </c>
      <c r="E42" s="29">
        <v>11.38</v>
      </c>
      <c r="F42" s="310">
        <v>28000</v>
      </c>
      <c r="G42" s="310">
        <v>318500</v>
      </c>
      <c r="H42" s="27" t="s">
        <v>3637</v>
      </c>
    </row>
    <row r="43" spans="1:8" x14ac:dyDescent="0.25">
      <c r="A43" s="33">
        <v>20</v>
      </c>
      <c r="B43" s="27" t="s">
        <v>1230</v>
      </c>
      <c r="C43" s="28" t="s">
        <v>216</v>
      </c>
      <c r="D43" s="28" t="s">
        <v>3580</v>
      </c>
      <c r="E43" s="29">
        <v>6.1</v>
      </c>
      <c r="F43" s="310">
        <v>30000</v>
      </c>
      <c r="G43" s="310">
        <v>183000</v>
      </c>
      <c r="H43" s="27" t="s">
        <v>3637</v>
      </c>
    </row>
    <row r="44" spans="1:8" x14ac:dyDescent="0.25">
      <c r="A44" s="33">
        <v>22</v>
      </c>
      <c r="B44" s="27" t="s">
        <v>1230</v>
      </c>
      <c r="C44" s="28" t="s">
        <v>216</v>
      </c>
      <c r="D44" s="28" t="s">
        <v>3587</v>
      </c>
      <c r="E44" s="29">
        <v>16.149999999999999</v>
      </c>
      <c r="F44" s="310">
        <v>30000</v>
      </c>
      <c r="G44" s="310">
        <v>484500</v>
      </c>
      <c r="H44" s="27" t="s">
        <v>3638</v>
      </c>
    </row>
    <row r="45" spans="1:8" x14ac:dyDescent="0.25">
      <c r="A45" s="33">
        <v>23</v>
      </c>
      <c r="B45" s="27" t="s">
        <v>1230</v>
      </c>
      <c r="C45" s="28" t="s">
        <v>233</v>
      </c>
      <c r="D45" s="28" t="s">
        <v>3572</v>
      </c>
      <c r="E45" s="29">
        <v>5.25</v>
      </c>
      <c r="F45" s="310">
        <v>33000</v>
      </c>
      <c r="G45" s="310">
        <v>173250</v>
      </c>
      <c r="H45" s="27" t="s">
        <v>3639</v>
      </c>
    </row>
    <row r="46" spans="1:8" x14ac:dyDescent="0.25">
      <c r="A46" s="33">
        <v>23</v>
      </c>
      <c r="B46" s="27" t="s">
        <v>1230</v>
      </c>
      <c r="C46" s="28" t="s">
        <v>3573</v>
      </c>
      <c r="D46" s="28" t="s">
        <v>3574</v>
      </c>
      <c r="E46" s="29">
        <v>5.35</v>
      </c>
      <c r="F46" s="310">
        <v>21500</v>
      </c>
      <c r="G46" s="310">
        <v>115025</v>
      </c>
      <c r="H46" s="27" t="s">
        <v>3639</v>
      </c>
    </row>
    <row r="47" spans="1:8" x14ac:dyDescent="0.25">
      <c r="A47" s="33">
        <v>24</v>
      </c>
      <c r="B47" s="27" t="s">
        <v>1230</v>
      </c>
      <c r="C47" s="28" t="s">
        <v>233</v>
      </c>
      <c r="D47" s="28" t="s">
        <v>3586</v>
      </c>
      <c r="E47" s="29">
        <v>4.3</v>
      </c>
      <c r="F47" s="310">
        <v>33000</v>
      </c>
      <c r="G47" s="310">
        <v>141900</v>
      </c>
      <c r="H47" s="27" t="s">
        <v>3640</v>
      </c>
    </row>
    <row r="48" spans="1:8" x14ac:dyDescent="0.25">
      <c r="A48" s="33">
        <v>24</v>
      </c>
      <c r="B48" s="27" t="s">
        <v>1230</v>
      </c>
      <c r="C48" s="28" t="s">
        <v>216</v>
      </c>
      <c r="D48" s="28" t="s">
        <v>3585</v>
      </c>
      <c r="E48" s="29">
        <v>10.6</v>
      </c>
      <c r="F48" s="310">
        <v>30000</v>
      </c>
      <c r="G48" s="310">
        <v>318000</v>
      </c>
      <c r="H48" s="27" t="s">
        <v>3640</v>
      </c>
    </row>
    <row r="49" spans="1:8" x14ac:dyDescent="0.25">
      <c r="A49" s="43">
        <v>4</v>
      </c>
      <c r="B49" s="47" t="s">
        <v>1255</v>
      </c>
      <c r="C49" s="47" t="s">
        <v>1256</v>
      </c>
      <c r="D49" s="47" t="s">
        <v>3641</v>
      </c>
      <c r="E49" s="45">
        <v>1</v>
      </c>
      <c r="F49" s="283">
        <v>30000</v>
      </c>
      <c r="G49" s="283">
        <v>30000</v>
      </c>
      <c r="H49" s="47" t="s">
        <v>1450</v>
      </c>
    </row>
    <row r="50" spans="1:8" x14ac:dyDescent="0.25">
      <c r="A50" s="51">
        <v>3</v>
      </c>
      <c r="B50" s="52" t="s">
        <v>1230</v>
      </c>
      <c r="C50" s="53" t="s">
        <v>246</v>
      </c>
      <c r="D50" s="53" t="s">
        <v>3642</v>
      </c>
      <c r="E50" s="54">
        <v>5</v>
      </c>
      <c r="F50" s="311">
        <v>47600</v>
      </c>
      <c r="G50" s="311">
        <v>238000</v>
      </c>
      <c r="H50" s="52" t="s">
        <v>245</v>
      </c>
    </row>
    <row r="51" spans="1:8" x14ac:dyDescent="0.25">
      <c r="A51" s="51">
        <v>6</v>
      </c>
      <c r="B51" s="52" t="s">
        <v>1235</v>
      </c>
      <c r="C51" s="53" t="s">
        <v>1236</v>
      </c>
      <c r="D51" s="53" t="s">
        <v>3643</v>
      </c>
      <c r="E51" s="54">
        <v>1</v>
      </c>
      <c r="F51" s="311">
        <v>200000</v>
      </c>
      <c r="G51" s="311">
        <v>200000</v>
      </c>
      <c r="H51" s="52" t="s">
        <v>3644</v>
      </c>
    </row>
    <row r="52" spans="1:8" x14ac:dyDescent="0.25">
      <c r="A52" s="98">
        <v>8</v>
      </c>
      <c r="B52" s="98" t="s">
        <v>1230</v>
      </c>
      <c r="C52" s="99" t="s">
        <v>420</v>
      </c>
      <c r="D52" s="99" t="s">
        <v>3645</v>
      </c>
      <c r="E52" s="100">
        <v>14.1</v>
      </c>
      <c r="F52" s="312">
        <v>18500</v>
      </c>
      <c r="G52" s="312">
        <v>260850</v>
      </c>
      <c r="H52" s="98" t="s">
        <v>406</v>
      </c>
    </row>
    <row r="53" spans="1:8" x14ac:dyDescent="0.25">
      <c r="A53" s="98">
        <v>8</v>
      </c>
      <c r="B53" s="98" t="s">
        <v>1230</v>
      </c>
      <c r="C53" s="99" t="s">
        <v>223</v>
      </c>
      <c r="D53" s="99" t="s">
        <v>3646</v>
      </c>
      <c r="E53" s="100">
        <v>14.9</v>
      </c>
      <c r="F53" s="312">
        <v>7500</v>
      </c>
      <c r="G53" s="312">
        <v>111750</v>
      </c>
      <c r="H53" s="98" t="s">
        <v>406</v>
      </c>
    </row>
    <row r="54" spans="1:8" x14ac:dyDescent="0.25">
      <c r="A54" s="98">
        <v>9</v>
      </c>
      <c r="B54" s="98" t="s">
        <v>1230</v>
      </c>
      <c r="C54" s="99" t="s">
        <v>420</v>
      </c>
      <c r="D54" s="99" t="s">
        <v>3647</v>
      </c>
      <c r="E54" s="100">
        <v>13.6</v>
      </c>
      <c r="F54" s="312">
        <v>18500</v>
      </c>
      <c r="G54" s="312">
        <v>251600</v>
      </c>
      <c r="H54" s="98" t="s">
        <v>401</v>
      </c>
    </row>
    <row r="55" spans="1:8" x14ac:dyDescent="0.25">
      <c r="A55" s="98">
        <v>9</v>
      </c>
      <c r="B55" s="98" t="s">
        <v>1230</v>
      </c>
      <c r="C55" s="99" t="s">
        <v>223</v>
      </c>
      <c r="D55" s="99" t="s">
        <v>3648</v>
      </c>
      <c r="E55" s="100">
        <v>43.4</v>
      </c>
      <c r="F55" s="312">
        <v>7500</v>
      </c>
      <c r="G55" s="312">
        <v>325500</v>
      </c>
      <c r="H55" s="98" t="s">
        <v>401</v>
      </c>
    </row>
    <row r="56" spans="1:8" x14ac:dyDescent="0.25">
      <c r="A56" s="98">
        <v>10</v>
      </c>
      <c r="B56" s="98" t="s">
        <v>1230</v>
      </c>
      <c r="C56" s="99" t="s">
        <v>223</v>
      </c>
      <c r="D56" s="99" t="s">
        <v>3649</v>
      </c>
      <c r="E56" s="100">
        <v>87.3</v>
      </c>
      <c r="F56" s="312">
        <v>7500</v>
      </c>
      <c r="G56" s="312">
        <v>654750</v>
      </c>
      <c r="H56" s="98" t="s">
        <v>3650</v>
      </c>
    </row>
    <row r="57" spans="1:8" x14ac:dyDescent="0.25">
      <c r="A57" s="98">
        <v>14</v>
      </c>
      <c r="B57" s="98" t="s">
        <v>1230</v>
      </c>
      <c r="C57" s="99" t="s">
        <v>3651</v>
      </c>
      <c r="D57" s="99" t="s">
        <v>3652</v>
      </c>
      <c r="E57" s="100">
        <v>19.422000000000001</v>
      </c>
      <c r="F57" s="312">
        <v>25900</v>
      </c>
      <c r="G57" s="312">
        <v>503030</v>
      </c>
      <c r="H57" s="98" t="s">
        <v>413</v>
      </c>
    </row>
    <row r="58" spans="1:8" x14ac:dyDescent="0.25">
      <c r="A58" s="98">
        <v>14</v>
      </c>
      <c r="B58" s="98" t="s">
        <v>1230</v>
      </c>
      <c r="C58" s="99" t="s">
        <v>3651</v>
      </c>
      <c r="D58" s="99" t="s">
        <v>3653</v>
      </c>
      <c r="E58" s="100">
        <v>5.3220000000000001</v>
      </c>
      <c r="F58" s="312">
        <v>29500</v>
      </c>
      <c r="G58" s="312">
        <v>156999</v>
      </c>
      <c r="H58" s="98" t="s">
        <v>413</v>
      </c>
    </row>
    <row r="59" spans="1:8" x14ac:dyDescent="0.25">
      <c r="A59" s="98">
        <v>14</v>
      </c>
      <c r="B59" s="98" t="s">
        <v>1520</v>
      </c>
      <c r="C59" s="99" t="s">
        <v>1833</v>
      </c>
      <c r="D59" s="99" t="s">
        <v>3654</v>
      </c>
      <c r="E59" s="100">
        <v>9</v>
      </c>
      <c r="F59" s="312">
        <v>15300</v>
      </c>
      <c r="G59" s="312">
        <v>137700</v>
      </c>
      <c r="H59" s="98" t="s">
        <v>1835</v>
      </c>
    </row>
    <row r="60" spans="1:8" x14ac:dyDescent="0.25">
      <c r="A60" s="98">
        <v>14</v>
      </c>
      <c r="B60" s="98" t="s">
        <v>1101</v>
      </c>
      <c r="C60" s="99" t="s">
        <v>3655</v>
      </c>
      <c r="D60" s="99" t="s">
        <v>3656</v>
      </c>
      <c r="E60" s="100">
        <v>1</v>
      </c>
      <c r="F60" s="312">
        <v>300</v>
      </c>
      <c r="G60" s="312">
        <v>300</v>
      </c>
      <c r="H60" s="98" t="s">
        <v>1835</v>
      </c>
    </row>
    <row r="61" spans="1:8" x14ac:dyDescent="0.25">
      <c r="A61" s="98">
        <v>14</v>
      </c>
      <c r="B61" s="98" t="s">
        <v>1520</v>
      </c>
      <c r="C61" s="99" t="s">
        <v>748</v>
      </c>
      <c r="D61" s="99" t="s">
        <v>3657</v>
      </c>
      <c r="E61" s="100">
        <v>2</v>
      </c>
      <c r="F61" s="312">
        <v>9500</v>
      </c>
      <c r="G61" s="312">
        <v>19000</v>
      </c>
      <c r="H61" s="98" t="s">
        <v>3658</v>
      </c>
    </row>
    <row r="62" spans="1:8" x14ac:dyDescent="0.25">
      <c r="A62" s="98">
        <v>14</v>
      </c>
      <c r="B62" s="98" t="s">
        <v>1520</v>
      </c>
      <c r="C62" s="99" t="s">
        <v>748</v>
      </c>
      <c r="D62" s="99" t="s">
        <v>3659</v>
      </c>
      <c r="E62" s="100">
        <v>3</v>
      </c>
      <c r="F62" s="312">
        <v>5000</v>
      </c>
      <c r="G62" s="312">
        <v>15000</v>
      </c>
      <c r="H62" s="98" t="s">
        <v>3658</v>
      </c>
    </row>
    <row r="63" spans="1:8" x14ac:dyDescent="0.25">
      <c r="A63" s="98">
        <v>14</v>
      </c>
      <c r="B63" s="98" t="s">
        <v>1520</v>
      </c>
      <c r="C63" s="99" t="s">
        <v>748</v>
      </c>
      <c r="D63" s="99" t="s">
        <v>3660</v>
      </c>
      <c r="E63" s="100">
        <v>4</v>
      </c>
      <c r="F63" s="312">
        <v>5000</v>
      </c>
      <c r="G63" s="312">
        <v>20000</v>
      </c>
      <c r="H63" s="98" t="s">
        <v>3661</v>
      </c>
    </row>
    <row r="64" spans="1:8" x14ac:dyDescent="0.25">
      <c r="A64" s="98">
        <v>15</v>
      </c>
      <c r="B64" s="98" t="s">
        <v>1230</v>
      </c>
      <c r="C64" s="99" t="s">
        <v>375</v>
      </c>
      <c r="D64" s="99" t="s">
        <v>3662</v>
      </c>
      <c r="E64" s="100">
        <v>39.75</v>
      </c>
      <c r="F64" s="312">
        <v>30000</v>
      </c>
      <c r="G64" s="312">
        <v>1192500</v>
      </c>
      <c r="H64" s="98" t="s">
        <v>3663</v>
      </c>
    </row>
    <row r="65" spans="1:8" x14ac:dyDescent="0.25">
      <c r="A65" s="98">
        <v>15</v>
      </c>
      <c r="B65" s="98" t="s">
        <v>1230</v>
      </c>
      <c r="C65" s="99" t="s">
        <v>382</v>
      </c>
      <c r="D65" s="99" t="s">
        <v>3664</v>
      </c>
      <c r="E65" s="100">
        <v>4.6500000000000004</v>
      </c>
      <c r="F65" s="312">
        <v>18600</v>
      </c>
      <c r="G65" s="312">
        <v>86490</v>
      </c>
      <c r="H65" s="98" t="s">
        <v>3663</v>
      </c>
    </row>
    <row r="66" spans="1:8" x14ac:dyDescent="0.25">
      <c r="A66" s="98">
        <v>15</v>
      </c>
      <c r="B66" s="98" t="s">
        <v>1230</v>
      </c>
      <c r="C66" s="99" t="s">
        <v>382</v>
      </c>
      <c r="D66" s="99" t="s">
        <v>3665</v>
      </c>
      <c r="E66" s="100">
        <v>9.19</v>
      </c>
      <c r="F66" s="312">
        <v>20400</v>
      </c>
      <c r="G66" s="312">
        <v>187476</v>
      </c>
      <c r="H66" s="98" t="s">
        <v>3666</v>
      </c>
    </row>
    <row r="67" spans="1:8" x14ac:dyDescent="0.25">
      <c r="A67" s="98">
        <v>15</v>
      </c>
      <c r="B67" s="98" t="s">
        <v>1230</v>
      </c>
      <c r="C67" s="99" t="s">
        <v>3667</v>
      </c>
      <c r="D67" s="99" t="s">
        <v>3668</v>
      </c>
      <c r="E67" s="100">
        <v>4.0999999999999996</v>
      </c>
      <c r="F67" s="312">
        <v>34000</v>
      </c>
      <c r="G67" s="312">
        <v>139400</v>
      </c>
      <c r="H67" s="98" t="s">
        <v>3669</v>
      </c>
    </row>
    <row r="68" spans="1:8" x14ac:dyDescent="0.25">
      <c r="A68" s="98">
        <v>15</v>
      </c>
      <c r="B68" s="98" t="s">
        <v>1230</v>
      </c>
      <c r="C68" s="99" t="s">
        <v>503</v>
      </c>
      <c r="D68" s="99" t="s">
        <v>3670</v>
      </c>
      <c r="E68" s="100">
        <v>20.399999999999999</v>
      </c>
      <c r="F68" s="312">
        <v>20000</v>
      </c>
      <c r="G68" s="312">
        <v>408000</v>
      </c>
      <c r="H68" s="98" t="s">
        <v>3669</v>
      </c>
    </row>
    <row r="69" spans="1:8" x14ac:dyDescent="0.25">
      <c r="A69" s="98">
        <v>11</v>
      </c>
      <c r="B69" s="98" t="s">
        <v>1230</v>
      </c>
      <c r="C69" s="99" t="s">
        <v>417</v>
      </c>
      <c r="D69" s="99" t="s">
        <v>3671</v>
      </c>
      <c r="E69" s="100">
        <v>18.649999999999999</v>
      </c>
      <c r="F69" s="312">
        <v>19500</v>
      </c>
      <c r="G69" s="312">
        <v>363675</v>
      </c>
      <c r="H69" s="98" t="s">
        <v>3672</v>
      </c>
    </row>
    <row r="70" spans="1:8" x14ac:dyDescent="0.25">
      <c r="A70" s="182">
        <v>11</v>
      </c>
      <c r="B70" s="183" t="s">
        <v>1768</v>
      </c>
      <c r="C70" s="183" t="s">
        <v>3673</v>
      </c>
      <c r="D70" s="183" t="s">
        <v>3674</v>
      </c>
      <c r="E70" s="184">
        <v>1</v>
      </c>
      <c r="F70" s="184">
        <v>16523800</v>
      </c>
      <c r="G70" s="184">
        <v>16523800</v>
      </c>
      <c r="H70" s="183" t="s">
        <v>971</v>
      </c>
    </row>
    <row r="71" spans="1:8" x14ac:dyDescent="0.25">
      <c r="A71" s="182">
        <v>11</v>
      </c>
      <c r="B71" s="183" t="s">
        <v>1235</v>
      </c>
      <c r="C71" s="183" t="s">
        <v>3675</v>
      </c>
      <c r="D71" s="183" t="s">
        <v>3676</v>
      </c>
      <c r="E71" s="184">
        <v>1</v>
      </c>
      <c r="F71" s="184">
        <v>2288950</v>
      </c>
      <c r="G71" s="184">
        <v>2288950</v>
      </c>
      <c r="H71" s="183" t="s">
        <v>3677</v>
      </c>
    </row>
    <row r="72" spans="1:8" x14ac:dyDescent="0.25">
      <c r="A72" s="182">
        <v>11</v>
      </c>
      <c r="B72" s="183" t="s">
        <v>1230</v>
      </c>
      <c r="C72" s="183" t="s">
        <v>3678</v>
      </c>
      <c r="D72" s="183" t="s">
        <v>3679</v>
      </c>
      <c r="E72" s="184">
        <v>1</v>
      </c>
      <c r="F72" s="184">
        <v>7769031</v>
      </c>
      <c r="G72" s="184">
        <v>7769031</v>
      </c>
      <c r="H72" s="183" t="s">
        <v>2449</v>
      </c>
    </row>
    <row r="73" spans="1:8" x14ac:dyDescent="0.25">
      <c r="A73" s="182">
        <v>8</v>
      </c>
      <c r="B73" s="183" t="s">
        <v>1614</v>
      </c>
      <c r="C73" s="183" t="s">
        <v>3680</v>
      </c>
      <c r="D73" s="183" t="s">
        <v>3681</v>
      </c>
      <c r="E73" s="184">
        <v>4</v>
      </c>
      <c r="F73" s="184">
        <v>44924.68</v>
      </c>
      <c r="G73" s="184">
        <v>179698.71</v>
      </c>
      <c r="H73" s="183" t="s">
        <v>1617</v>
      </c>
    </row>
    <row r="74" spans="1:8" x14ac:dyDescent="0.25">
      <c r="A74" s="182">
        <v>7</v>
      </c>
      <c r="B74" s="183" t="s">
        <v>1255</v>
      </c>
      <c r="C74" s="183" t="s">
        <v>3682</v>
      </c>
      <c r="D74" s="183" t="s">
        <v>3683</v>
      </c>
      <c r="E74" s="184">
        <v>1</v>
      </c>
      <c r="F74" s="184">
        <v>649800</v>
      </c>
      <c r="G74" s="184">
        <v>649800</v>
      </c>
      <c r="H74" s="183" t="s">
        <v>1500</v>
      </c>
    </row>
    <row r="75" spans="1:8" x14ac:dyDescent="0.25">
      <c r="A75" s="182">
        <v>9</v>
      </c>
      <c r="B75" s="183" t="s">
        <v>3684</v>
      </c>
      <c r="C75" s="183" t="s">
        <v>3685</v>
      </c>
      <c r="D75" s="183" t="s">
        <v>3686</v>
      </c>
      <c r="E75" s="184">
        <v>10</v>
      </c>
      <c r="F75" s="184">
        <v>42914</v>
      </c>
      <c r="G75" s="184">
        <v>429140</v>
      </c>
      <c r="H75" s="183" t="s">
        <v>3687</v>
      </c>
    </row>
    <row r="76" spans="1:8" x14ac:dyDescent="0.25">
      <c r="A76" s="182">
        <v>8</v>
      </c>
      <c r="B76" s="183" t="s">
        <v>1940</v>
      </c>
      <c r="C76" s="183" t="s">
        <v>3688</v>
      </c>
      <c r="D76" s="183" t="s">
        <v>3689</v>
      </c>
      <c r="E76" s="184">
        <v>12</v>
      </c>
      <c r="F76" s="184">
        <v>5970</v>
      </c>
      <c r="G76" s="184">
        <v>71630</v>
      </c>
      <c r="H76" s="183" t="s">
        <v>320</v>
      </c>
    </row>
    <row r="77" spans="1:8" x14ac:dyDescent="0.25">
      <c r="A77" s="182">
        <v>4</v>
      </c>
      <c r="B77" s="183" t="s">
        <v>1230</v>
      </c>
      <c r="C77" s="183" t="s">
        <v>93</v>
      </c>
      <c r="D77" s="183" t="s">
        <v>3690</v>
      </c>
      <c r="E77" s="184">
        <v>4</v>
      </c>
      <c r="F77" s="184">
        <v>281018.75</v>
      </c>
      <c r="G77" s="184">
        <v>1124075</v>
      </c>
      <c r="H77" s="183" t="s">
        <v>264</v>
      </c>
    </row>
    <row r="78" spans="1:8" x14ac:dyDescent="0.25">
      <c r="A78" s="182">
        <v>3</v>
      </c>
      <c r="B78" s="183" t="s">
        <v>3691</v>
      </c>
      <c r="C78" s="183" t="s">
        <v>1348</v>
      </c>
      <c r="D78" s="183" t="s">
        <v>3692</v>
      </c>
      <c r="E78" s="184">
        <v>3</v>
      </c>
      <c r="F78" s="184">
        <v>246000</v>
      </c>
      <c r="G78" s="184">
        <v>738000</v>
      </c>
      <c r="H78" s="183" t="s">
        <v>1347</v>
      </c>
    </row>
    <row r="79" spans="1:8" x14ac:dyDescent="0.25">
      <c r="A79" s="182">
        <v>9</v>
      </c>
      <c r="B79" s="183" t="s">
        <v>3691</v>
      </c>
      <c r="C79" s="183" t="s">
        <v>1348</v>
      </c>
      <c r="D79" s="183" t="s">
        <v>3693</v>
      </c>
      <c r="E79" s="184">
        <v>4</v>
      </c>
      <c r="F79" s="184">
        <v>269000</v>
      </c>
      <c r="G79" s="184">
        <v>1076000</v>
      </c>
      <c r="H79" s="183" t="s">
        <v>1860</v>
      </c>
    </row>
    <row r="80" spans="1:8" x14ac:dyDescent="0.25">
      <c r="A80" s="182">
        <v>5</v>
      </c>
      <c r="B80" s="183" t="s">
        <v>1230</v>
      </c>
      <c r="C80" s="183" t="s">
        <v>451</v>
      </c>
      <c r="D80" s="183" t="s">
        <v>3694</v>
      </c>
      <c r="E80" s="184">
        <v>1</v>
      </c>
      <c r="F80" s="184">
        <v>364000</v>
      </c>
      <c r="G80" s="184">
        <v>364000</v>
      </c>
      <c r="H80" s="183" t="s">
        <v>289</v>
      </c>
    </row>
    <row r="81" spans="1:8" x14ac:dyDescent="0.25">
      <c r="A81" s="182">
        <v>11</v>
      </c>
      <c r="B81" s="183" t="s">
        <v>1230</v>
      </c>
      <c r="C81" s="183" t="s">
        <v>451</v>
      </c>
      <c r="D81" s="183" t="s">
        <v>3695</v>
      </c>
      <c r="E81" s="184">
        <v>1</v>
      </c>
      <c r="F81" s="184">
        <v>728000</v>
      </c>
      <c r="G81" s="184">
        <v>728000</v>
      </c>
      <c r="H81" s="183" t="s">
        <v>369</v>
      </c>
    </row>
    <row r="82" spans="1:8" x14ac:dyDescent="0.25">
      <c r="A82" s="182">
        <v>7</v>
      </c>
      <c r="B82" s="183" t="s">
        <v>1230</v>
      </c>
      <c r="C82" s="183" t="s">
        <v>3696</v>
      </c>
      <c r="D82" s="183" t="s">
        <v>3697</v>
      </c>
      <c r="E82" s="184">
        <v>3</v>
      </c>
      <c r="F82" s="184">
        <v>208110</v>
      </c>
      <c r="G82" s="184">
        <v>624330</v>
      </c>
      <c r="H82" s="183" t="s">
        <v>3698</v>
      </c>
    </row>
    <row r="83" spans="1:8" x14ac:dyDescent="0.25">
      <c r="A83" s="182">
        <v>8</v>
      </c>
      <c r="B83" s="183" t="s">
        <v>1230</v>
      </c>
      <c r="C83" s="183" t="s">
        <v>3696</v>
      </c>
      <c r="D83" s="183" t="s">
        <v>3699</v>
      </c>
      <c r="E83" s="184">
        <v>1</v>
      </c>
      <c r="F83" s="184">
        <v>434750</v>
      </c>
      <c r="G83" s="184">
        <v>434750</v>
      </c>
      <c r="H83" s="183" t="s">
        <v>256</v>
      </c>
    </row>
    <row r="84" spans="1:8" x14ac:dyDescent="0.25">
      <c r="A84" s="182">
        <v>3</v>
      </c>
      <c r="B84" s="183" t="s">
        <v>1230</v>
      </c>
      <c r="C84" s="183" t="s">
        <v>3700</v>
      </c>
      <c r="D84" s="183" t="s">
        <v>3701</v>
      </c>
      <c r="E84" s="184">
        <v>6</v>
      </c>
      <c r="F84" s="184">
        <v>201131.67</v>
      </c>
      <c r="G84" s="184">
        <v>1206790</v>
      </c>
      <c r="H84" s="183" t="s">
        <v>3702</v>
      </c>
    </row>
    <row r="85" spans="1:8" x14ac:dyDescent="0.25">
      <c r="A85" s="182">
        <v>4</v>
      </c>
      <c r="B85" s="183" t="s">
        <v>1230</v>
      </c>
      <c r="C85" s="183" t="s">
        <v>3703</v>
      </c>
      <c r="D85" s="183" t="s">
        <v>3704</v>
      </c>
      <c r="E85" s="184">
        <v>26.5</v>
      </c>
      <c r="F85" s="184">
        <v>19500</v>
      </c>
      <c r="G85" s="184">
        <v>516750</v>
      </c>
      <c r="H85" s="183" t="s">
        <v>253</v>
      </c>
    </row>
    <row r="86" spans="1:8" x14ac:dyDescent="0.25">
      <c r="A86" s="182">
        <v>8</v>
      </c>
      <c r="B86" s="183" t="s">
        <v>1663</v>
      </c>
      <c r="C86" s="183" t="s">
        <v>3705</v>
      </c>
      <c r="D86" s="183" t="s">
        <v>3706</v>
      </c>
      <c r="E86" s="184">
        <v>1</v>
      </c>
      <c r="F86" s="184">
        <v>29512</v>
      </c>
      <c r="G86" s="184">
        <v>29512</v>
      </c>
      <c r="H86" s="183" t="s">
        <v>3707</v>
      </c>
    </row>
    <row r="87" spans="1:8" x14ac:dyDescent="0.25">
      <c r="A87" s="182">
        <v>9</v>
      </c>
      <c r="B87" s="183" t="s">
        <v>91</v>
      </c>
      <c r="C87" s="183" t="s">
        <v>3708</v>
      </c>
      <c r="D87" s="183" t="s">
        <v>3709</v>
      </c>
      <c r="E87" s="184">
        <v>1</v>
      </c>
      <c r="F87" s="184">
        <v>130000</v>
      </c>
      <c r="G87" s="184">
        <v>130000</v>
      </c>
      <c r="H87" s="183" t="s">
        <v>678</v>
      </c>
    </row>
    <row r="88" spans="1:8" x14ac:dyDescent="0.25">
      <c r="A88" s="182">
        <v>5</v>
      </c>
      <c r="B88" s="183" t="s">
        <v>1230</v>
      </c>
      <c r="C88" s="183" t="s">
        <v>3678</v>
      </c>
      <c r="D88" s="183" t="s">
        <v>3710</v>
      </c>
      <c r="E88" s="184">
        <v>9</v>
      </c>
      <c r="F88" s="184">
        <v>482850</v>
      </c>
      <c r="G88" s="184">
        <v>4345650</v>
      </c>
      <c r="H88" s="183" t="s">
        <v>274</v>
      </c>
    </row>
    <row r="89" spans="1:8" x14ac:dyDescent="0.25">
      <c r="A89" s="188">
        <v>7</v>
      </c>
      <c r="B89" s="186" t="s">
        <v>1805</v>
      </c>
      <c r="C89" s="186" t="s">
        <v>3711</v>
      </c>
      <c r="D89" s="186" t="s">
        <v>3712</v>
      </c>
      <c r="E89" s="189">
        <v>1</v>
      </c>
      <c r="F89" s="267">
        <v>569900</v>
      </c>
      <c r="G89" s="267">
        <v>569900</v>
      </c>
      <c r="H89" s="188" t="s">
        <v>3713</v>
      </c>
    </row>
    <row r="90" spans="1:8" x14ac:dyDescent="0.25">
      <c r="A90" s="188">
        <v>7</v>
      </c>
      <c r="B90" s="186" t="s">
        <v>1805</v>
      </c>
      <c r="C90" s="186" t="s">
        <v>3714</v>
      </c>
      <c r="D90" s="186" t="s">
        <v>3715</v>
      </c>
      <c r="E90" s="189">
        <v>1</v>
      </c>
      <c r="F90" s="267">
        <v>79900</v>
      </c>
      <c r="G90" s="267">
        <v>79900</v>
      </c>
      <c r="H90" s="188" t="s">
        <v>3713</v>
      </c>
    </row>
    <row r="91" spans="1:8" x14ac:dyDescent="0.25">
      <c r="A91" s="188">
        <v>9</v>
      </c>
      <c r="B91" s="186" t="s">
        <v>1805</v>
      </c>
      <c r="C91" s="186" t="s">
        <v>1870</v>
      </c>
      <c r="D91" s="186" t="s">
        <v>3716</v>
      </c>
      <c r="E91" s="189">
        <v>1</v>
      </c>
      <c r="F91" s="267">
        <v>1439070</v>
      </c>
      <c r="G91" s="267">
        <v>1439070</v>
      </c>
      <c r="H91" s="188" t="s">
        <v>3717</v>
      </c>
    </row>
    <row r="92" spans="1:8" x14ac:dyDescent="0.25">
      <c r="A92" s="188">
        <v>9</v>
      </c>
      <c r="B92" s="186" t="s">
        <v>1805</v>
      </c>
      <c r="C92" s="186" t="s">
        <v>1872</v>
      </c>
      <c r="D92" s="186" t="s">
        <v>3718</v>
      </c>
      <c r="E92" s="189">
        <v>2</v>
      </c>
      <c r="F92" s="267">
        <v>22950</v>
      </c>
      <c r="G92" s="267">
        <v>45900</v>
      </c>
      <c r="H92" s="188" t="s">
        <v>3717</v>
      </c>
    </row>
    <row r="93" spans="1:8" x14ac:dyDescent="0.25">
      <c r="A93" s="188">
        <v>9</v>
      </c>
      <c r="B93" s="186" t="s">
        <v>1805</v>
      </c>
      <c r="C93" s="186" t="s">
        <v>1874</v>
      </c>
      <c r="D93" s="186" t="s">
        <v>3719</v>
      </c>
      <c r="E93" s="189">
        <v>1</v>
      </c>
      <c r="F93" s="267">
        <v>27900</v>
      </c>
      <c r="G93" s="267">
        <v>27900</v>
      </c>
      <c r="H93" s="188" t="s">
        <v>3717</v>
      </c>
    </row>
    <row r="94" spans="1:8" x14ac:dyDescent="0.25">
      <c r="A94" s="188">
        <v>9</v>
      </c>
      <c r="B94" s="186" t="s">
        <v>1805</v>
      </c>
      <c r="C94" s="186" t="s">
        <v>1876</v>
      </c>
      <c r="D94" s="186" t="s">
        <v>3720</v>
      </c>
      <c r="E94" s="189">
        <v>1</v>
      </c>
      <c r="F94" s="267">
        <v>14800</v>
      </c>
      <c r="G94" s="267">
        <v>14800</v>
      </c>
      <c r="H94" s="188" t="s">
        <v>3717</v>
      </c>
    </row>
    <row r="95" spans="1:8" x14ac:dyDescent="0.25">
      <c r="A95" s="188">
        <v>9</v>
      </c>
      <c r="B95" s="186" t="s">
        <v>1805</v>
      </c>
      <c r="C95" s="186" t="s">
        <v>682</v>
      </c>
      <c r="D95" s="186" t="s">
        <v>3721</v>
      </c>
      <c r="E95" s="189">
        <v>1</v>
      </c>
      <c r="F95" s="267">
        <v>44900</v>
      </c>
      <c r="G95" s="267">
        <v>44900</v>
      </c>
      <c r="H95" s="188" t="s">
        <v>3717</v>
      </c>
    </row>
    <row r="96" spans="1:8" x14ac:dyDescent="0.25">
      <c r="A96" s="188">
        <v>9</v>
      </c>
      <c r="B96" s="186" t="s">
        <v>1805</v>
      </c>
      <c r="C96" s="186" t="s">
        <v>1878</v>
      </c>
      <c r="D96" s="186" t="s">
        <v>3722</v>
      </c>
      <c r="E96" s="189">
        <v>1</v>
      </c>
      <c r="F96" s="267">
        <v>73</v>
      </c>
      <c r="G96" s="267">
        <v>73</v>
      </c>
      <c r="H96" s="188" t="s">
        <v>3717</v>
      </c>
    </row>
    <row r="97" spans="1:8" x14ac:dyDescent="0.25">
      <c r="A97" s="188">
        <v>12</v>
      </c>
      <c r="B97" s="186" t="s">
        <v>91</v>
      </c>
      <c r="C97" s="186" t="s">
        <v>3723</v>
      </c>
      <c r="D97" s="186" t="s">
        <v>3724</v>
      </c>
      <c r="E97" s="189">
        <v>4</v>
      </c>
      <c r="F97" s="267">
        <v>20750</v>
      </c>
      <c r="G97" s="267">
        <v>83000</v>
      </c>
      <c r="H97" s="188" t="s">
        <v>3725</v>
      </c>
    </row>
    <row r="98" spans="1:8" x14ac:dyDescent="0.25">
      <c r="A98" s="188">
        <v>11</v>
      </c>
      <c r="B98" s="186" t="s">
        <v>1658</v>
      </c>
      <c r="C98" s="186" t="s">
        <v>3726</v>
      </c>
      <c r="D98" s="186" t="s">
        <v>3727</v>
      </c>
      <c r="E98" s="189">
        <v>4</v>
      </c>
      <c r="F98" s="267">
        <v>282500</v>
      </c>
      <c r="G98" s="267">
        <v>1130000</v>
      </c>
      <c r="H98" s="188" t="s">
        <v>1816</v>
      </c>
    </row>
    <row r="99" spans="1:8" x14ac:dyDescent="0.25">
      <c r="A99" s="188">
        <v>8</v>
      </c>
      <c r="B99" s="186" t="s">
        <v>1230</v>
      </c>
      <c r="C99" s="186" t="s">
        <v>417</v>
      </c>
      <c r="D99" s="186" t="s">
        <v>3728</v>
      </c>
      <c r="E99" s="189">
        <v>13.6</v>
      </c>
      <c r="F99" s="267">
        <v>19500</v>
      </c>
      <c r="G99" s="267">
        <v>265200</v>
      </c>
      <c r="H99" s="188" t="s">
        <v>3729</v>
      </c>
    </row>
    <row r="100" spans="1:8" x14ac:dyDescent="0.25">
      <c r="A100" s="188">
        <v>14</v>
      </c>
      <c r="B100" s="186" t="s">
        <v>1230</v>
      </c>
      <c r="C100" s="186" t="s">
        <v>417</v>
      </c>
      <c r="D100" s="186" t="s">
        <v>3730</v>
      </c>
      <c r="E100" s="189">
        <v>18.25</v>
      </c>
      <c r="F100" s="267">
        <v>19500</v>
      </c>
      <c r="G100" s="267">
        <v>355875</v>
      </c>
      <c r="H100" s="188" t="s">
        <v>3731</v>
      </c>
    </row>
    <row r="101" spans="1:8" x14ac:dyDescent="0.25">
      <c r="A101" s="188">
        <v>16</v>
      </c>
      <c r="B101" s="186" t="s">
        <v>1333</v>
      </c>
      <c r="C101" s="186" t="s">
        <v>1918</v>
      </c>
      <c r="D101" s="186" t="s">
        <v>3732</v>
      </c>
      <c r="E101" s="189">
        <v>1</v>
      </c>
      <c r="F101" s="267">
        <v>30000</v>
      </c>
      <c r="G101" s="267">
        <v>30000</v>
      </c>
      <c r="H101" s="188" t="s">
        <v>390</v>
      </c>
    </row>
    <row r="102" spans="1:8" x14ac:dyDescent="0.25">
      <c r="A102" s="319">
        <v>15</v>
      </c>
      <c r="B102" s="315" t="s">
        <v>1658</v>
      </c>
      <c r="C102" s="315" t="s">
        <v>1900</v>
      </c>
      <c r="D102" s="315" t="s">
        <v>3733</v>
      </c>
      <c r="E102" s="316">
        <v>2</v>
      </c>
      <c r="F102" s="317">
        <v>18200</v>
      </c>
      <c r="G102" s="318">
        <v>36400</v>
      </c>
      <c r="H102" s="319" t="s">
        <v>3734</v>
      </c>
    </row>
    <row r="103" spans="1:8" x14ac:dyDescent="0.25">
      <c r="A103" s="319">
        <v>15</v>
      </c>
      <c r="B103" s="315" t="s">
        <v>1520</v>
      </c>
      <c r="C103" s="315" t="s">
        <v>3735</v>
      </c>
      <c r="D103" s="315" t="s">
        <v>3736</v>
      </c>
      <c r="E103" s="316">
        <v>70</v>
      </c>
      <c r="F103" s="317">
        <v>4180</v>
      </c>
      <c r="G103" s="318">
        <v>292600</v>
      </c>
      <c r="H103" s="319" t="s">
        <v>3734</v>
      </c>
    </row>
    <row r="104" spans="1:8" x14ac:dyDescent="0.25">
      <c r="A104" s="319">
        <v>15</v>
      </c>
      <c r="B104" s="315" t="s">
        <v>91</v>
      </c>
      <c r="C104" s="315" t="s">
        <v>745</v>
      </c>
      <c r="D104" s="315" t="s">
        <v>3737</v>
      </c>
      <c r="E104" s="316">
        <v>2</v>
      </c>
      <c r="F104" s="317">
        <v>2200</v>
      </c>
      <c r="G104" s="318">
        <v>4400</v>
      </c>
      <c r="H104" s="319" t="s">
        <v>3734</v>
      </c>
    </row>
    <row r="105" spans="1:8" x14ac:dyDescent="0.25">
      <c r="A105" s="319">
        <v>15</v>
      </c>
      <c r="B105" s="315" t="s">
        <v>91</v>
      </c>
      <c r="C105" s="315" t="s">
        <v>641</v>
      </c>
      <c r="D105" s="315" t="s">
        <v>3738</v>
      </c>
      <c r="E105" s="316">
        <v>2</v>
      </c>
      <c r="F105" s="317">
        <v>9500</v>
      </c>
      <c r="G105" s="318">
        <v>19000</v>
      </c>
      <c r="H105" s="319" t="s">
        <v>2305</v>
      </c>
    </row>
    <row r="106" spans="1:8" x14ac:dyDescent="0.25">
      <c r="A106" s="319">
        <v>15</v>
      </c>
      <c r="B106" s="315" t="s">
        <v>1520</v>
      </c>
      <c r="C106" s="315" t="s">
        <v>3739</v>
      </c>
      <c r="D106" s="315" t="s">
        <v>3740</v>
      </c>
      <c r="E106" s="316">
        <v>2</v>
      </c>
      <c r="F106" s="317">
        <v>5000</v>
      </c>
      <c r="G106" s="318">
        <v>10000</v>
      </c>
      <c r="H106" s="319" t="s">
        <v>2305</v>
      </c>
    </row>
    <row r="107" spans="1:8" x14ac:dyDescent="0.25">
      <c r="A107" s="319">
        <v>16</v>
      </c>
      <c r="B107" s="315" t="s">
        <v>91</v>
      </c>
      <c r="C107" s="315" t="s">
        <v>641</v>
      </c>
      <c r="D107" s="315" t="s">
        <v>3741</v>
      </c>
      <c r="E107" s="316">
        <v>2</v>
      </c>
      <c r="F107" s="317">
        <v>9500</v>
      </c>
      <c r="G107" s="318">
        <v>19000</v>
      </c>
      <c r="H107" s="319" t="s">
        <v>2309</v>
      </c>
    </row>
    <row r="108" spans="1:8" x14ac:dyDescent="0.25">
      <c r="A108" s="319">
        <v>17</v>
      </c>
      <c r="B108" s="315" t="s">
        <v>91</v>
      </c>
      <c r="C108" s="315" t="s">
        <v>641</v>
      </c>
      <c r="D108" s="315" t="s">
        <v>3742</v>
      </c>
      <c r="E108" s="316">
        <v>2</v>
      </c>
      <c r="F108" s="317">
        <v>9500</v>
      </c>
      <c r="G108" s="318">
        <v>19000</v>
      </c>
      <c r="H108" s="319" t="s">
        <v>2311</v>
      </c>
    </row>
    <row r="109" spans="1:8" x14ac:dyDescent="0.25">
      <c r="A109" s="319">
        <v>17</v>
      </c>
      <c r="B109" s="315" t="s">
        <v>1520</v>
      </c>
      <c r="C109" s="315" t="s">
        <v>3739</v>
      </c>
      <c r="D109" s="315" t="s">
        <v>3743</v>
      </c>
      <c r="E109" s="316">
        <v>3</v>
      </c>
      <c r="F109" s="317">
        <v>5000</v>
      </c>
      <c r="G109" s="318">
        <v>15000</v>
      </c>
      <c r="H109" s="319" t="s">
        <v>2311</v>
      </c>
    </row>
    <row r="110" spans="1:8" x14ac:dyDescent="0.25">
      <c r="A110" s="319">
        <v>14</v>
      </c>
      <c r="B110" s="315" t="s">
        <v>91</v>
      </c>
      <c r="C110" s="315" t="s">
        <v>794</v>
      </c>
      <c r="D110" s="315" t="s">
        <v>3744</v>
      </c>
      <c r="E110" s="316">
        <v>15</v>
      </c>
      <c r="F110" s="317">
        <v>3101.4</v>
      </c>
      <c r="G110" s="318">
        <v>46521</v>
      </c>
      <c r="H110" s="319" t="s">
        <v>740</v>
      </c>
    </row>
    <row r="111" spans="1:8" x14ac:dyDescent="0.25">
      <c r="A111" s="319">
        <v>14</v>
      </c>
      <c r="B111" s="315" t="s">
        <v>91</v>
      </c>
      <c r="C111" s="315" t="s">
        <v>3745</v>
      </c>
      <c r="D111" s="315" t="s">
        <v>3746</v>
      </c>
      <c r="E111" s="316">
        <v>40</v>
      </c>
      <c r="F111" s="317">
        <v>1600</v>
      </c>
      <c r="G111" s="318">
        <v>64000</v>
      </c>
      <c r="H111" s="319" t="s">
        <v>737</v>
      </c>
    </row>
    <row r="112" spans="1:8" x14ac:dyDescent="0.25">
      <c r="A112" s="319">
        <v>12</v>
      </c>
      <c r="B112" s="315" t="s">
        <v>91</v>
      </c>
      <c r="C112" s="315" t="s">
        <v>731</v>
      </c>
      <c r="D112" s="315" t="s">
        <v>3747</v>
      </c>
      <c r="E112" s="316">
        <v>4</v>
      </c>
      <c r="F112" s="317">
        <v>20750</v>
      </c>
      <c r="G112" s="318">
        <v>83000</v>
      </c>
      <c r="H112" s="319" t="s">
        <v>3725</v>
      </c>
    </row>
    <row r="113" spans="1:8" x14ac:dyDescent="0.25">
      <c r="A113" s="319">
        <v>7</v>
      </c>
      <c r="B113" s="315" t="s">
        <v>1255</v>
      </c>
      <c r="C113" s="315" t="s">
        <v>3748</v>
      </c>
      <c r="D113" s="315" t="s">
        <v>3749</v>
      </c>
      <c r="E113" s="316">
        <v>1</v>
      </c>
      <c r="F113" s="317">
        <v>649800</v>
      </c>
      <c r="G113" s="318">
        <v>649800</v>
      </c>
      <c r="H113" s="319" t="s">
        <v>3713</v>
      </c>
    </row>
    <row r="114" spans="1:8" x14ac:dyDescent="0.25">
      <c r="A114" s="319">
        <v>9</v>
      </c>
      <c r="B114" s="315" t="s">
        <v>1255</v>
      </c>
      <c r="C114" s="315" t="s">
        <v>3750</v>
      </c>
      <c r="D114" s="315" t="s">
        <v>3751</v>
      </c>
      <c r="E114" s="316">
        <v>1</v>
      </c>
      <c r="F114" s="317">
        <v>1572643</v>
      </c>
      <c r="G114" s="318">
        <v>1572643</v>
      </c>
      <c r="H114" s="319" t="s">
        <v>3717</v>
      </c>
    </row>
    <row r="115" spans="1:8" x14ac:dyDescent="0.25">
      <c r="A115" s="325">
        <v>18</v>
      </c>
      <c r="B115" s="321" t="s">
        <v>1267</v>
      </c>
      <c r="C115" s="321" t="s">
        <v>3752</v>
      </c>
      <c r="D115" s="321" t="s">
        <v>3753</v>
      </c>
      <c r="E115" s="322">
        <v>1</v>
      </c>
      <c r="F115" s="323">
        <v>69900</v>
      </c>
      <c r="G115" s="324">
        <v>69900</v>
      </c>
      <c r="H115" s="325" t="s">
        <v>1989</v>
      </c>
    </row>
    <row r="116" spans="1:8" x14ac:dyDescent="0.25">
      <c r="A116" s="325">
        <v>18</v>
      </c>
      <c r="B116" s="321" t="s">
        <v>91</v>
      </c>
      <c r="C116" s="321" t="s">
        <v>3754</v>
      </c>
      <c r="D116" s="321" t="s">
        <v>3755</v>
      </c>
      <c r="E116" s="322">
        <v>1</v>
      </c>
      <c r="F116" s="323">
        <v>24000</v>
      </c>
      <c r="G116" s="324">
        <v>24000</v>
      </c>
      <c r="H116" s="325" t="s">
        <v>778</v>
      </c>
    </row>
    <row r="117" spans="1:8" x14ac:dyDescent="0.25">
      <c r="A117" s="325">
        <v>17</v>
      </c>
      <c r="B117" s="321" t="s">
        <v>1658</v>
      </c>
      <c r="C117" s="321" t="s">
        <v>3756</v>
      </c>
      <c r="D117" s="321" t="s">
        <v>3757</v>
      </c>
      <c r="E117" s="322">
        <v>4</v>
      </c>
      <c r="F117" s="323">
        <v>1997</v>
      </c>
      <c r="G117" s="324">
        <v>7988</v>
      </c>
      <c r="H117" s="325" t="s">
        <v>1981</v>
      </c>
    </row>
    <row r="118" spans="1:8" x14ac:dyDescent="0.25">
      <c r="A118" s="325">
        <v>17</v>
      </c>
      <c r="B118" s="321" t="s">
        <v>91</v>
      </c>
      <c r="C118" s="321" t="s">
        <v>3754</v>
      </c>
      <c r="D118" s="321" t="s">
        <v>3758</v>
      </c>
      <c r="E118" s="322">
        <v>1</v>
      </c>
      <c r="F118" s="323">
        <v>29000</v>
      </c>
      <c r="G118" s="324">
        <v>29000</v>
      </c>
      <c r="H118" s="325" t="s">
        <v>762</v>
      </c>
    </row>
    <row r="119" spans="1:8" x14ac:dyDescent="0.25">
      <c r="A119" s="325">
        <v>16</v>
      </c>
      <c r="B119" s="321" t="s">
        <v>1745</v>
      </c>
      <c r="C119" s="321" t="s">
        <v>1944</v>
      </c>
      <c r="D119" s="321" t="s">
        <v>3759</v>
      </c>
      <c r="E119" s="322">
        <v>1</v>
      </c>
      <c r="F119" s="323">
        <v>69000</v>
      </c>
      <c r="G119" s="324">
        <v>69000</v>
      </c>
      <c r="H119" s="325" t="s">
        <v>390</v>
      </c>
    </row>
    <row r="120" spans="1:8" x14ac:dyDescent="0.25">
      <c r="A120" s="325">
        <v>16</v>
      </c>
      <c r="B120" s="321" t="s">
        <v>1614</v>
      </c>
      <c r="C120" s="321" t="s">
        <v>3760</v>
      </c>
      <c r="D120" s="321" t="s">
        <v>3761</v>
      </c>
      <c r="E120" s="322">
        <v>1</v>
      </c>
      <c r="F120" s="323">
        <v>109400</v>
      </c>
      <c r="G120" s="324">
        <v>109400</v>
      </c>
      <c r="H120" s="325" t="s">
        <v>1950</v>
      </c>
    </row>
    <row r="121" spans="1:8" x14ac:dyDescent="0.25">
      <c r="A121" s="325">
        <v>16</v>
      </c>
      <c r="B121" s="321" t="s">
        <v>91</v>
      </c>
      <c r="C121" s="321" t="s">
        <v>3754</v>
      </c>
      <c r="D121" s="321" t="s">
        <v>3762</v>
      </c>
      <c r="E121" s="322">
        <v>1</v>
      </c>
      <c r="F121" s="323">
        <v>34000</v>
      </c>
      <c r="G121" s="324">
        <v>34000</v>
      </c>
      <c r="H121" s="325" t="s">
        <v>754</v>
      </c>
    </row>
    <row r="122" spans="1:8" x14ac:dyDescent="0.25">
      <c r="A122" s="325">
        <v>16</v>
      </c>
      <c r="B122" s="321" t="s">
        <v>1230</v>
      </c>
      <c r="C122" s="321" t="s">
        <v>3763</v>
      </c>
      <c r="D122" s="321" t="s">
        <v>3764</v>
      </c>
      <c r="E122" s="322">
        <v>4.0519999999999996</v>
      </c>
      <c r="F122" s="323">
        <v>17500</v>
      </c>
      <c r="G122" s="324">
        <v>70910</v>
      </c>
      <c r="H122" s="325" t="s">
        <v>432</v>
      </c>
    </row>
    <row r="123" spans="1:8" x14ac:dyDescent="0.25">
      <c r="A123" s="325">
        <v>16</v>
      </c>
      <c r="B123" s="321" t="s">
        <v>1614</v>
      </c>
      <c r="C123" s="321" t="s">
        <v>3765</v>
      </c>
      <c r="D123" s="321" t="s">
        <v>3766</v>
      </c>
      <c r="E123" s="322">
        <v>3</v>
      </c>
      <c r="F123" s="323">
        <v>2300</v>
      </c>
      <c r="G123" s="324">
        <v>6900</v>
      </c>
      <c r="H123" s="325" t="s">
        <v>1956</v>
      </c>
    </row>
    <row r="124" spans="1:8" x14ac:dyDescent="0.25">
      <c r="A124" s="325">
        <v>15</v>
      </c>
      <c r="B124" s="321" t="s">
        <v>1745</v>
      </c>
      <c r="C124" s="321" t="s">
        <v>3767</v>
      </c>
      <c r="D124" s="321" t="s">
        <v>3768</v>
      </c>
      <c r="E124" s="322">
        <v>1</v>
      </c>
      <c r="F124" s="323">
        <v>3500</v>
      </c>
      <c r="G124" s="324">
        <v>3500</v>
      </c>
      <c r="H124" s="325" t="s">
        <v>1928</v>
      </c>
    </row>
    <row r="125" spans="1:8" x14ac:dyDescent="0.25">
      <c r="A125" s="325">
        <v>15</v>
      </c>
      <c r="B125" s="321" t="s">
        <v>1230</v>
      </c>
      <c r="C125" s="321" t="s">
        <v>3769</v>
      </c>
      <c r="D125" s="321" t="s">
        <v>3770</v>
      </c>
      <c r="E125" s="322">
        <v>1</v>
      </c>
      <c r="F125" s="323">
        <v>144700</v>
      </c>
      <c r="G125" s="324">
        <v>144700</v>
      </c>
      <c r="H125" s="325" t="s">
        <v>750</v>
      </c>
    </row>
    <row r="126" spans="1:8" x14ac:dyDescent="0.25">
      <c r="A126" s="325">
        <v>15</v>
      </c>
      <c r="B126" s="321" t="s">
        <v>1658</v>
      </c>
      <c r="C126" s="321" t="s">
        <v>3771</v>
      </c>
      <c r="D126" s="321" t="s">
        <v>3772</v>
      </c>
      <c r="E126" s="322">
        <v>1</v>
      </c>
      <c r="F126" s="323">
        <v>16550</v>
      </c>
      <c r="G126" s="324">
        <v>16550</v>
      </c>
      <c r="H126" s="325" t="s">
        <v>1924</v>
      </c>
    </row>
    <row r="127" spans="1:8" x14ac:dyDescent="0.25">
      <c r="A127" s="325">
        <v>15</v>
      </c>
      <c r="B127" s="321" t="s">
        <v>1520</v>
      </c>
      <c r="C127" s="321" t="s">
        <v>3773</v>
      </c>
      <c r="D127" s="321" t="s">
        <v>3774</v>
      </c>
      <c r="E127" s="322">
        <v>1</v>
      </c>
      <c r="F127" s="323">
        <v>14000</v>
      </c>
      <c r="G127" s="324">
        <v>14000</v>
      </c>
      <c r="H127" s="325" t="s">
        <v>425</v>
      </c>
    </row>
    <row r="128" spans="1:8" x14ac:dyDescent="0.25">
      <c r="A128" s="325">
        <v>15</v>
      </c>
      <c r="B128" s="321" t="s">
        <v>1663</v>
      </c>
      <c r="C128" s="321" t="s">
        <v>3775</v>
      </c>
      <c r="D128" s="321" t="s">
        <v>3776</v>
      </c>
      <c r="E128" s="322">
        <v>1</v>
      </c>
      <c r="F128" s="323">
        <v>11100</v>
      </c>
      <c r="G128" s="324">
        <v>11100</v>
      </c>
      <c r="H128" s="325" t="s">
        <v>1932</v>
      </c>
    </row>
    <row r="129" spans="1:8" x14ac:dyDescent="0.25">
      <c r="A129" s="325">
        <v>15</v>
      </c>
      <c r="B129" s="321" t="s">
        <v>1230</v>
      </c>
      <c r="C129" s="321" t="s">
        <v>3777</v>
      </c>
      <c r="D129" s="321" t="s">
        <v>3778</v>
      </c>
      <c r="E129" s="322">
        <v>10</v>
      </c>
      <c r="F129" s="323">
        <v>9000</v>
      </c>
      <c r="G129" s="324">
        <v>90000</v>
      </c>
      <c r="H129" s="325" t="s">
        <v>1935</v>
      </c>
    </row>
    <row r="130" spans="1:8" x14ac:dyDescent="0.25">
      <c r="A130" s="325">
        <v>15</v>
      </c>
      <c r="B130" s="321" t="s">
        <v>91</v>
      </c>
      <c r="C130" s="321" t="s">
        <v>3754</v>
      </c>
      <c r="D130" s="321" t="s">
        <v>3779</v>
      </c>
      <c r="E130" s="322">
        <v>1</v>
      </c>
      <c r="F130" s="323">
        <v>19000</v>
      </c>
      <c r="G130" s="324">
        <v>19000</v>
      </c>
      <c r="H130" s="325" t="s">
        <v>747</v>
      </c>
    </row>
    <row r="131" spans="1:8" x14ac:dyDescent="0.25">
      <c r="A131" s="325">
        <v>15</v>
      </c>
      <c r="B131" s="321" t="s">
        <v>1658</v>
      </c>
      <c r="C131" s="321" t="s">
        <v>3780</v>
      </c>
      <c r="D131" s="321" t="s">
        <v>3781</v>
      </c>
      <c r="E131" s="322">
        <v>1</v>
      </c>
      <c r="F131" s="323">
        <v>14200</v>
      </c>
      <c r="G131" s="324">
        <v>14200</v>
      </c>
      <c r="H131" s="325" t="s">
        <v>1938</v>
      </c>
    </row>
    <row r="132" spans="1:8" x14ac:dyDescent="0.25">
      <c r="A132" s="325">
        <v>15</v>
      </c>
      <c r="B132" s="321" t="s">
        <v>1235</v>
      </c>
      <c r="C132" s="321" t="s">
        <v>3782</v>
      </c>
      <c r="D132" s="321" t="s">
        <v>3783</v>
      </c>
      <c r="E132" s="322">
        <v>22</v>
      </c>
      <c r="F132" s="323">
        <v>1800</v>
      </c>
      <c r="G132" s="324">
        <v>39600</v>
      </c>
      <c r="H132" s="325" t="s">
        <v>962</v>
      </c>
    </row>
    <row r="133" spans="1:8" x14ac:dyDescent="0.25">
      <c r="A133" s="564">
        <v>19</v>
      </c>
      <c r="B133" s="561" t="s">
        <v>1235</v>
      </c>
      <c r="C133" s="561" t="s">
        <v>2274</v>
      </c>
      <c r="D133" s="561" t="s">
        <v>3784</v>
      </c>
      <c r="E133" s="562">
        <v>3</v>
      </c>
      <c r="F133" s="563">
        <v>26000</v>
      </c>
      <c r="G133" s="563">
        <v>78000</v>
      </c>
      <c r="H133" s="561" t="s">
        <v>2275</v>
      </c>
    </row>
    <row r="134" spans="1:8" x14ac:dyDescent="0.25">
      <c r="A134" s="564">
        <v>19</v>
      </c>
      <c r="B134" s="561" t="s">
        <v>91</v>
      </c>
      <c r="C134" s="561" t="s">
        <v>719</v>
      </c>
      <c r="D134" s="561" t="s">
        <v>3785</v>
      </c>
      <c r="E134" s="562">
        <v>1</v>
      </c>
      <c r="F134" s="563">
        <v>382099</v>
      </c>
      <c r="G134" s="563">
        <v>382099</v>
      </c>
      <c r="H134" s="561" t="s">
        <v>3786</v>
      </c>
    </row>
    <row r="135" spans="1:8" x14ac:dyDescent="0.25">
      <c r="A135" s="564">
        <v>19</v>
      </c>
      <c r="B135" s="561" t="s">
        <v>1255</v>
      </c>
      <c r="C135" s="561" t="s">
        <v>3754</v>
      </c>
      <c r="D135" s="561" t="s">
        <v>3787</v>
      </c>
      <c r="E135" s="562">
        <v>3</v>
      </c>
      <c r="F135" s="563">
        <v>8000</v>
      </c>
      <c r="G135" s="563">
        <v>24000</v>
      </c>
      <c r="H135" s="561" t="s">
        <v>2281</v>
      </c>
    </row>
    <row r="136" spans="1:8" x14ac:dyDescent="0.25">
      <c r="A136" s="564">
        <v>18</v>
      </c>
      <c r="B136" s="561" t="s">
        <v>1255</v>
      </c>
      <c r="C136" s="561" t="s">
        <v>3754</v>
      </c>
      <c r="D136" s="561" t="s">
        <v>3788</v>
      </c>
      <c r="E136" s="562">
        <v>4</v>
      </c>
      <c r="F136" s="563">
        <v>7250</v>
      </c>
      <c r="G136" s="563">
        <v>29000</v>
      </c>
      <c r="H136" s="561" t="s">
        <v>2157</v>
      </c>
    </row>
    <row r="137" spans="1:8" x14ac:dyDescent="0.25">
      <c r="A137" s="564">
        <v>12</v>
      </c>
      <c r="B137" s="561" t="s">
        <v>1230</v>
      </c>
      <c r="C137" s="561" t="s">
        <v>3789</v>
      </c>
      <c r="D137" s="561" t="s">
        <v>3790</v>
      </c>
      <c r="E137" s="562">
        <v>262.76</v>
      </c>
      <c r="F137" s="563">
        <v>23151.75</v>
      </c>
      <c r="G137" s="563">
        <v>6083354</v>
      </c>
      <c r="H137" s="561" t="s">
        <v>371</v>
      </c>
    </row>
    <row r="138" spans="1:8" x14ac:dyDescent="0.25">
      <c r="A138" s="564">
        <v>14</v>
      </c>
      <c r="B138" s="561" t="s">
        <v>1230</v>
      </c>
      <c r="C138" s="561" t="s">
        <v>3791</v>
      </c>
      <c r="D138" s="561" t="s">
        <v>3792</v>
      </c>
      <c r="E138" s="562">
        <v>24.74</v>
      </c>
      <c r="F138" s="563">
        <v>26678.62</v>
      </c>
      <c r="G138" s="563">
        <v>660029</v>
      </c>
      <c r="H138" s="561" t="s">
        <v>413</v>
      </c>
    </row>
    <row r="139" spans="1:8" x14ac:dyDescent="0.25">
      <c r="A139" s="564">
        <v>9</v>
      </c>
      <c r="B139" s="561" t="s">
        <v>1230</v>
      </c>
      <c r="C139" s="561" t="s">
        <v>3789</v>
      </c>
      <c r="D139" s="561" t="s">
        <v>3793</v>
      </c>
      <c r="E139" s="562">
        <v>197.64</v>
      </c>
      <c r="F139" s="563">
        <v>20568.37</v>
      </c>
      <c r="G139" s="563">
        <v>4065132</v>
      </c>
      <c r="H139" s="561" t="s">
        <v>324</v>
      </c>
    </row>
    <row r="140" spans="1:8" x14ac:dyDescent="0.25">
      <c r="A140" s="564">
        <v>7</v>
      </c>
      <c r="B140" s="561" t="s">
        <v>1230</v>
      </c>
      <c r="C140" s="561" t="s">
        <v>3789</v>
      </c>
      <c r="D140" s="561" t="s">
        <v>3794</v>
      </c>
      <c r="E140" s="562">
        <v>57.76</v>
      </c>
      <c r="F140" s="563">
        <v>26464.98</v>
      </c>
      <c r="G140" s="563">
        <v>1528617</v>
      </c>
      <c r="H140" s="561" t="s">
        <v>300</v>
      </c>
    </row>
    <row r="141" spans="1:8" x14ac:dyDescent="0.25">
      <c r="A141" s="579">
        <v>17</v>
      </c>
      <c r="B141" s="575" t="s">
        <v>1235</v>
      </c>
      <c r="C141" s="575" t="s">
        <v>3795</v>
      </c>
      <c r="D141" s="575" t="s">
        <v>3796</v>
      </c>
      <c r="E141" s="576">
        <v>1</v>
      </c>
      <c r="F141" s="577">
        <v>812600</v>
      </c>
      <c r="G141" s="578">
        <v>812600</v>
      </c>
      <c r="H141" s="579" t="s">
        <v>2019</v>
      </c>
    </row>
    <row r="142" spans="1:8" x14ac:dyDescent="0.25">
      <c r="A142" s="579">
        <v>17</v>
      </c>
      <c r="B142" s="575" t="s">
        <v>1235</v>
      </c>
      <c r="C142" s="575" t="s">
        <v>3795</v>
      </c>
      <c r="D142" s="575" t="s">
        <v>3797</v>
      </c>
      <c r="E142" s="576">
        <v>1</v>
      </c>
      <c r="F142" s="577">
        <v>960630</v>
      </c>
      <c r="G142" s="578">
        <v>960630</v>
      </c>
      <c r="H142" s="579" t="s">
        <v>2037</v>
      </c>
    </row>
    <row r="143" spans="1:8" x14ac:dyDescent="0.25">
      <c r="A143" s="579">
        <v>18</v>
      </c>
      <c r="B143" s="575" t="s">
        <v>1235</v>
      </c>
      <c r="C143" s="575" t="s">
        <v>3795</v>
      </c>
      <c r="D143" s="575" t="s">
        <v>3798</v>
      </c>
      <c r="E143" s="576">
        <v>1</v>
      </c>
      <c r="F143" s="577">
        <v>697250</v>
      </c>
      <c r="G143" s="578">
        <v>697250</v>
      </c>
      <c r="H143" s="579" t="s">
        <v>2122</v>
      </c>
    </row>
    <row r="144" spans="1:8" x14ac:dyDescent="0.25">
      <c r="A144" s="579">
        <v>18</v>
      </c>
      <c r="B144" s="575" t="s">
        <v>1235</v>
      </c>
      <c r="C144" s="575" t="s">
        <v>3795</v>
      </c>
      <c r="D144" s="575" t="s">
        <v>3799</v>
      </c>
      <c r="E144" s="576">
        <v>1</v>
      </c>
      <c r="F144" s="577">
        <v>1165080</v>
      </c>
      <c r="G144" s="578">
        <v>1165080</v>
      </c>
      <c r="H144" s="579" t="s">
        <v>2140</v>
      </c>
    </row>
    <row r="145" spans="1:8" x14ac:dyDescent="0.25">
      <c r="A145" s="579">
        <v>18</v>
      </c>
      <c r="B145" s="575" t="s">
        <v>1235</v>
      </c>
      <c r="C145" s="575" t="s">
        <v>3795</v>
      </c>
      <c r="D145" s="575" t="s">
        <v>3800</v>
      </c>
      <c r="E145" s="576">
        <v>1</v>
      </c>
      <c r="F145" s="577">
        <v>1035990</v>
      </c>
      <c r="G145" s="578">
        <v>1035990</v>
      </c>
      <c r="H145" s="579" t="s">
        <v>2152</v>
      </c>
    </row>
    <row r="146" spans="1:8" x14ac:dyDescent="0.25">
      <c r="A146" s="579">
        <v>17</v>
      </c>
      <c r="B146" s="575" t="s">
        <v>1230</v>
      </c>
      <c r="C146" s="575" t="s">
        <v>454</v>
      </c>
      <c r="D146" s="575" t="s">
        <v>3801</v>
      </c>
      <c r="E146" s="576">
        <v>43.5</v>
      </c>
      <c r="F146" s="577">
        <v>6500</v>
      </c>
      <c r="G146" s="578">
        <v>240500</v>
      </c>
      <c r="H146" s="579" t="s">
        <v>453</v>
      </c>
    </row>
    <row r="147" spans="1:8" x14ac:dyDescent="0.25">
      <c r="A147" s="579">
        <v>16</v>
      </c>
      <c r="B147" s="575" t="s">
        <v>1230</v>
      </c>
      <c r="C147" s="575" t="s">
        <v>93</v>
      </c>
      <c r="D147" s="575" t="s">
        <v>3802</v>
      </c>
      <c r="E147" s="576">
        <v>1</v>
      </c>
      <c r="F147" s="577">
        <v>389775</v>
      </c>
      <c r="G147" s="578">
        <v>389775</v>
      </c>
      <c r="H147" s="579" t="s">
        <v>435</v>
      </c>
    </row>
    <row r="148" spans="1:8" x14ac:dyDescent="0.25">
      <c r="A148" s="579">
        <v>19</v>
      </c>
      <c r="B148" s="575" t="s">
        <v>1230</v>
      </c>
      <c r="C148" s="575" t="s">
        <v>93</v>
      </c>
      <c r="D148" s="575" t="s">
        <v>3803</v>
      </c>
      <c r="E148" s="576">
        <v>1</v>
      </c>
      <c r="F148" s="577">
        <v>744421</v>
      </c>
      <c r="G148" s="578">
        <v>744421</v>
      </c>
      <c r="H148" s="579" t="s">
        <v>479</v>
      </c>
    </row>
    <row r="149" spans="1:8" x14ac:dyDescent="0.25">
      <c r="A149" s="579">
        <v>10</v>
      </c>
      <c r="B149" s="575" t="s">
        <v>1230</v>
      </c>
      <c r="C149" s="575" t="s">
        <v>3804</v>
      </c>
      <c r="D149" s="575" t="s">
        <v>3805</v>
      </c>
      <c r="E149" s="576">
        <v>15</v>
      </c>
      <c r="F149" s="577">
        <v>18260</v>
      </c>
      <c r="G149" s="578">
        <v>273900</v>
      </c>
      <c r="H149" s="579" t="s">
        <v>3806</v>
      </c>
    </row>
    <row r="150" spans="1:8" x14ac:dyDescent="0.25">
      <c r="A150" s="579">
        <v>10</v>
      </c>
      <c r="B150" s="575" t="s">
        <v>1230</v>
      </c>
      <c r="C150" s="575" t="s">
        <v>457</v>
      </c>
      <c r="D150" s="575" t="s">
        <v>3807</v>
      </c>
      <c r="E150" s="576">
        <v>7</v>
      </c>
      <c r="F150" s="577">
        <v>19564.29</v>
      </c>
      <c r="G150" s="578">
        <v>136950</v>
      </c>
      <c r="H150" s="579" t="s">
        <v>354</v>
      </c>
    </row>
    <row r="151" spans="1:8" x14ac:dyDescent="0.25">
      <c r="A151" s="579">
        <v>10</v>
      </c>
      <c r="B151" s="575" t="s">
        <v>1230</v>
      </c>
      <c r="C151" s="575" t="s">
        <v>3808</v>
      </c>
      <c r="D151" s="575" t="s">
        <v>3809</v>
      </c>
      <c r="E151" s="576">
        <v>1</v>
      </c>
      <c r="F151" s="577">
        <v>180000</v>
      </c>
      <c r="G151" s="578">
        <v>180000</v>
      </c>
      <c r="H151" s="579" t="s">
        <v>3810</v>
      </c>
    </row>
    <row r="152" spans="1:8" x14ac:dyDescent="0.25">
      <c r="A152" s="579">
        <v>10</v>
      </c>
      <c r="B152" s="575" t="s">
        <v>1230</v>
      </c>
      <c r="C152" s="575" t="s">
        <v>3811</v>
      </c>
      <c r="D152" s="575" t="s">
        <v>3812</v>
      </c>
      <c r="E152" s="576">
        <v>1</v>
      </c>
      <c r="F152" s="577">
        <v>300750</v>
      </c>
      <c r="G152" s="578">
        <v>300750</v>
      </c>
      <c r="H152" s="579" t="s">
        <v>3813</v>
      </c>
    </row>
    <row r="153" spans="1:8" x14ac:dyDescent="0.25">
      <c r="A153" s="579">
        <v>17</v>
      </c>
      <c r="B153" s="575" t="s">
        <v>1230</v>
      </c>
      <c r="C153" s="575" t="s">
        <v>457</v>
      </c>
      <c r="D153" s="575" t="s">
        <v>3814</v>
      </c>
      <c r="E153" s="576">
        <v>5</v>
      </c>
      <c r="F153" s="577">
        <v>21500</v>
      </c>
      <c r="G153" s="578">
        <v>107500</v>
      </c>
      <c r="H153" s="579" t="s">
        <v>456</v>
      </c>
    </row>
    <row r="154" spans="1:8" x14ac:dyDescent="0.25">
      <c r="A154" s="579">
        <v>17</v>
      </c>
      <c r="B154" s="575" t="s">
        <v>1230</v>
      </c>
      <c r="C154" s="575" t="s">
        <v>3815</v>
      </c>
      <c r="D154" s="575" t="s">
        <v>3816</v>
      </c>
      <c r="E154" s="576">
        <v>1</v>
      </c>
      <c r="F154" s="577">
        <v>531940</v>
      </c>
      <c r="G154" s="578">
        <v>531940</v>
      </c>
      <c r="H154" s="579" t="s">
        <v>462</v>
      </c>
    </row>
    <row r="155" spans="1:8" x14ac:dyDescent="0.25">
      <c r="A155" s="579">
        <v>22</v>
      </c>
      <c r="B155" s="575" t="s">
        <v>1658</v>
      </c>
      <c r="C155" s="575" t="s">
        <v>3817</v>
      </c>
      <c r="D155" s="575" t="s">
        <v>3818</v>
      </c>
      <c r="E155" s="576">
        <v>1</v>
      </c>
      <c r="F155" s="577">
        <v>114908</v>
      </c>
      <c r="G155" s="578">
        <v>114908</v>
      </c>
      <c r="H155" s="579" t="s">
        <v>485</v>
      </c>
    </row>
    <row r="156" spans="1:8" x14ac:dyDescent="0.25">
      <c r="A156" s="579">
        <v>24</v>
      </c>
      <c r="B156" s="575" t="s">
        <v>1658</v>
      </c>
      <c r="C156" s="575" t="s">
        <v>3817</v>
      </c>
      <c r="D156" s="575" t="s">
        <v>3819</v>
      </c>
      <c r="E156" s="576">
        <v>1</v>
      </c>
      <c r="F156" s="577">
        <v>51700</v>
      </c>
      <c r="G156" s="578">
        <v>51700</v>
      </c>
      <c r="H156" s="579" t="s">
        <v>2373</v>
      </c>
    </row>
    <row r="157" spans="1:8" x14ac:dyDescent="0.25">
      <c r="A157" s="579">
        <v>24</v>
      </c>
      <c r="B157" s="575" t="s">
        <v>1658</v>
      </c>
      <c r="C157" s="575" t="s">
        <v>3817</v>
      </c>
      <c r="D157" s="575" t="s">
        <v>3820</v>
      </c>
      <c r="E157" s="576">
        <v>1</v>
      </c>
      <c r="F157" s="577">
        <v>111732</v>
      </c>
      <c r="G157" s="578">
        <v>111732</v>
      </c>
      <c r="H157" s="579" t="s">
        <v>519</v>
      </c>
    </row>
    <row r="158" spans="1:8" x14ac:dyDescent="0.25">
      <c r="A158" s="579">
        <v>25</v>
      </c>
      <c r="B158" s="575" t="s">
        <v>1658</v>
      </c>
      <c r="C158" s="575" t="s">
        <v>3817</v>
      </c>
      <c r="D158" s="575" t="s">
        <v>3821</v>
      </c>
      <c r="E158" s="576">
        <v>1</v>
      </c>
      <c r="F158" s="577">
        <v>199000</v>
      </c>
      <c r="G158" s="578">
        <v>199000</v>
      </c>
      <c r="H158" s="579" t="s">
        <v>798</v>
      </c>
    </row>
    <row r="159" spans="1:8" x14ac:dyDescent="0.25">
      <c r="A159" s="579">
        <v>18</v>
      </c>
      <c r="B159" s="575" t="s">
        <v>1239</v>
      </c>
      <c r="C159" s="575" t="s">
        <v>1348</v>
      </c>
      <c r="D159" s="575" t="s">
        <v>3822</v>
      </c>
      <c r="E159" s="576">
        <v>1</v>
      </c>
      <c r="F159" s="577">
        <v>870000</v>
      </c>
      <c r="G159" s="578">
        <v>870000</v>
      </c>
      <c r="H159" s="579" t="s">
        <v>2320</v>
      </c>
    </row>
    <row r="160" spans="1:8" x14ac:dyDescent="0.25">
      <c r="A160" s="579">
        <v>18</v>
      </c>
      <c r="B160" s="575" t="s">
        <v>1230</v>
      </c>
      <c r="C160" s="575" t="s">
        <v>2706</v>
      </c>
      <c r="D160" s="575" t="s">
        <v>3823</v>
      </c>
      <c r="E160" s="576">
        <v>1</v>
      </c>
      <c r="F160" s="577">
        <v>728000</v>
      </c>
      <c r="G160" s="578">
        <v>728000</v>
      </c>
      <c r="H160" s="579" t="s">
        <v>470</v>
      </c>
    </row>
    <row r="161" spans="1:8" x14ac:dyDescent="0.25">
      <c r="A161" s="579">
        <v>22</v>
      </c>
      <c r="B161" s="575" t="s">
        <v>1255</v>
      </c>
      <c r="C161" s="575" t="s">
        <v>3824</v>
      </c>
      <c r="D161" s="575" t="s">
        <v>3825</v>
      </c>
      <c r="E161" s="576">
        <v>1</v>
      </c>
      <c r="F161" s="577">
        <v>330000</v>
      </c>
      <c r="G161" s="578">
        <v>330000</v>
      </c>
      <c r="H161" s="579" t="s">
        <v>490</v>
      </c>
    </row>
    <row r="162" spans="1:8" x14ac:dyDescent="0.25">
      <c r="A162" s="579">
        <v>22</v>
      </c>
      <c r="B162" s="575" t="s">
        <v>1520</v>
      </c>
      <c r="C162" s="575" t="s">
        <v>3826</v>
      </c>
      <c r="D162" s="575" t="s">
        <v>3827</v>
      </c>
      <c r="E162" s="576">
        <v>1</v>
      </c>
      <c r="F162" s="577">
        <v>287200</v>
      </c>
      <c r="G162" s="578">
        <v>287200</v>
      </c>
      <c r="H162" s="579" t="s">
        <v>2339</v>
      </c>
    </row>
    <row r="163" spans="1:8" x14ac:dyDescent="0.25">
      <c r="A163" s="579">
        <v>22</v>
      </c>
      <c r="B163" s="575" t="s">
        <v>1230</v>
      </c>
      <c r="C163" s="575" t="s">
        <v>2016</v>
      </c>
      <c r="D163" s="575" t="s">
        <v>3828</v>
      </c>
      <c r="E163" s="576">
        <v>1</v>
      </c>
      <c r="F163" s="577">
        <v>240500</v>
      </c>
      <c r="G163" s="578">
        <v>240500</v>
      </c>
      <c r="H163" s="579" t="s">
        <v>505</v>
      </c>
    </row>
    <row r="164" spans="1:8" x14ac:dyDescent="0.25">
      <c r="A164" s="579">
        <v>24</v>
      </c>
      <c r="B164" s="575" t="s">
        <v>1230</v>
      </c>
      <c r="C164" s="575" t="s">
        <v>2016</v>
      </c>
      <c r="D164" s="575" t="s">
        <v>3829</v>
      </c>
      <c r="E164" s="576">
        <v>1</v>
      </c>
      <c r="F164" s="577">
        <v>102510</v>
      </c>
      <c r="G164" s="578">
        <v>102510</v>
      </c>
      <c r="H164" s="579" t="s">
        <v>521</v>
      </c>
    </row>
    <row r="165" spans="1:8" x14ac:dyDescent="0.25">
      <c r="A165" s="579">
        <v>24</v>
      </c>
      <c r="B165" s="575" t="s">
        <v>91</v>
      </c>
      <c r="C165" s="575" t="s">
        <v>3013</v>
      </c>
      <c r="D165" s="575" t="s">
        <v>3830</v>
      </c>
      <c r="E165" s="576">
        <v>1</v>
      </c>
      <c r="F165" s="577">
        <v>315500</v>
      </c>
      <c r="G165" s="578">
        <v>315500</v>
      </c>
      <c r="H165" s="579" t="s">
        <v>793</v>
      </c>
    </row>
    <row r="166" spans="1:8" x14ac:dyDescent="0.25">
      <c r="A166" s="579">
        <v>22</v>
      </c>
      <c r="B166" s="575" t="s">
        <v>1230</v>
      </c>
      <c r="C166" s="575" t="s">
        <v>3831</v>
      </c>
      <c r="D166" s="575" t="s">
        <v>3832</v>
      </c>
      <c r="E166" s="576">
        <v>1</v>
      </c>
      <c r="F166" s="577">
        <v>364500</v>
      </c>
      <c r="G166" s="578">
        <v>364500</v>
      </c>
      <c r="H166" s="579" t="s">
        <v>493</v>
      </c>
    </row>
    <row r="167" spans="1:8" x14ac:dyDescent="0.25">
      <c r="A167" s="579">
        <v>22</v>
      </c>
      <c r="B167" s="575" t="s">
        <v>1230</v>
      </c>
      <c r="C167" s="575" t="s">
        <v>3831</v>
      </c>
      <c r="D167" s="575" t="s">
        <v>3833</v>
      </c>
      <c r="E167" s="576">
        <v>1</v>
      </c>
      <c r="F167" s="577">
        <v>500650</v>
      </c>
      <c r="G167" s="578">
        <v>500650</v>
      </c>
      <c r="H167" s="579" t="s">
        <v>496</v>
      </c>
    </row>
    <row r="168" spans="1:8" x14ac:dyDescent="0.25">
      <c r="A168" s="579">
        <v>22</v>
      </c>
      <c r="B168" s="575" t="s">
        <v>1230</v>
      </c>
      <c r="C168" s="575" t="s">
        <v>3831</v>
      </c>
      <c r="D168" s="575" t="s">
        <v>3834</v>
      </c>
      <c r="E168" s="576">
        <v>1</v>
      </c>
      <c r="F168" s="577">
        <v>417245</v>
      </c>
      <c r="G168" s="578">
        <v>417245</v>
      </c>
      <c r="H168" s="579" t="s">
        <v>498</v>
      </c>
    </row>
    <row r="169" spans="1:8" x14ac:dyDescent="0.25">
      <c r="A169" s="579">
        <v>22</v>
      </c>
      <c r="B169" s="575" t="s">
        <v>1230</v>
      </c>
      <c r="C169" s="575" t="s">
        <v>3831</v>
      </c>
      <c r="D169" s="575" t="s">
        <v>3835</v>
      </c>
      <c r="E169" s="576">
        <v>1</v>
      </c>
      <c r="F169" s="577">
        <v>634830</v>
      </c>
      <c r="G169" s="578">
        <v>634830</v>
      </c>
      <c r="H169" s="579" t="s">
        <v>502</v>
      </c>
    </row>
    <row r="170" spans="1:8" x14ac:dyDescent="0.25">
      <c r="A170" s="579">
        <v>25</v>
      </c>
      <c r="B170" s="575" t="s">
        <v>91</v>
      </c>
      <c r="C170" s="575" t="s">
        <v>3836</v>
      </c>
      <c r="D170" s="575" t="s">
        <v>3837</v>
      </c>
      <c r="E170" s="576">
        <v>1</v>
      </c>
      <c r="F170" s="577">
        <v>473600</v>
      </c>
      <c r="G170" s="578">
        <v>473600</v>
      </c>
      <c r="H170" s="579" t="s">
        <v>811</v>
      </c>
    </row>
    <row r="171" spans="1:8" x14ac:dyDescent="0.25">
      <c r="A171" s="579">
        <v>26</v>
      </c>
      <c r="B171" s="575" t="s">
        <v>1235</v>
      </c>
      <c r="C171" s="575" t="s">
        <v>3838</v>
      </c>
      <c r="D171" s="575" t="s">
        <v>3839</v>
      </c>
      <c r="E171" s="576">
        <v>1</v>
      </c>
      <c r="F171" s="577">
        <v>78000</v>
      </c>
      <c r="G171" s="578">
        <v>78000</v>
      </c>
      <c r="H171" s="579" t="s">
        <v>825</v>
      </c>
    </row>
    <row r="172" spans="1:8" x14ac:dyDescent="0.25">
      <c r="A172" s="579">
        <v>22</v>
      </c>
      <c r="B172" s="575" t="s">
        <v>1230</v>
      </c>
      <c r="C172" s="575" t="s">
        <v>3840</v>
      </c>
      <c r="D172" s="575" t="s">
        <v>3841</v>
      </c>
      <c r="E172" s="576">
        <v>1</v>
      </c>
      <c r="F172" s="577">
        <v>109311</v>
      </c>
      <c r="G172" s="578">
        <v>109311</v>
      </c>
      <c r="H172" s="579" t="s">
        <v>508</v>
      </c>
    </row>
  </sheetData>
  <autoFilter ref="A1:H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00"/>
  <sheetViews>
    <sheetView topLeftCell="A58" zoomScaleNormal="100" workbookViewId="0">
      <selection activeCell="D12" sqref="D12"/>
    </sheetView>
  </sheetViews>
  <sheetFormatPr baseColWidth="10" defaultColWidth="9.140625" defaultRowHeight="15" x14ac:dyDescent="0.25"/>
  <cols>
    <col min="1" max="1" width="3" style="565" customWidth="1"/>
    <col min="2" max="2" width="6" style="565" customWidth="1"/>
    <col min="3" max="3" width="22" style="565" customWidth="1"/>
    <col min="4" max="4" width="16" style="565" customWidth="1"/>
    <col min="5" max="5" width="36.140625" style="565" bestFit="1" customWidth="1"/>
    <col min="6" max="6" width="71" style="565" bestFit="1" customWidth="1"/>
    <col min="7" max="8" width="16" style="565" customWidth="1"/>
    <col min="9" max="9" width="15.42578125" style="565" customWidth="1"/>
    <col min="10" max="10" width="14.5703125" style="565" customWidth="1"/>
    <col min="11" max="11" width="12" style="565" customWidth="1"/>
    <col min="12" max="12" width="24" style="565" customWidth="1"/>
    <col min="13" max="13" width="12" style="565" customWidth="1"/>
    <col min="14" max="14" width="16" style="565" customWidth="1"/>
    <col min="15" max="15" width="18" style="565" customWidth="1"/>
    <col min="16" max="16" width="25" style="565" bestFit="1" customWidth="1"/>
  </cols>
  <sheetData>
    <row r="1" spans="1:16" x14ac:dyDescent="0.25">
      <c r="A1" s="513"/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</row>
    <row r="2" spans="1:16" ht="27.95" customHeight="1" x14ac:dyDescent="0.25">
      <c r="A2" s="513"/>
      <c r="B2" s="753" t="s">
        <v>3842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16" ht="18" customHeight="1" x14ac:dyDescent="0.25">
      <c r="A3" s="513"/>
      <c r="B3" s="763" t="s">
        <v>3843</v>
      </c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  <c r="O3" s="642"/>
      <c r="P3" s="642"/>
    </row>
    <row r="4" spans="1:16" x14ac:dyDescent="0.25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  <c r="M4" s="513"/>
      <c r="N4" s="513"/>
      <c r="O4" s="513"/>
      <c r="P4" s="513"/>
    </row>
    <row r="5" spans="1:16" ht="15.95" customHeight="1" x14ac:dyDescent="0.25">
      <c r="A5" s="513"/>
      <c r="B5" s="764" t="s">
        <v>3844</v>
      </c>
      <c r="C5" s="648"/>
      <c r="D5" s="764" t="s">
        <v>3845</v>
      </c>
      <c r="E5" s="648"/>
      <c r="F5" s="764" t="s">
        <v>3846</v>
      </c>
      <c r="G5" s="648"/>
      <c r="H5" s="764" t="s">
        <v>3847</v>
      </c>
      <c r="I5" s="648"/>
      <c r="J5" s="764" t="s">
        <v>3848</v>
      </c>
      <c r="K5" s="652"/>
      <c r="L5" s="648"/>
      <c r="M5" s="764" t="s">
        <v>3849</v>
      </c>
      <c r="N5" s="648"/>
      <c r="O5" s="764" t="s">
        <v>2459</v>
      </c>
      <c r="P5" s="648"/>
    </row>
    <row r="6" spans="1:16" ht="24" customHeight="1" x14ac:dyDescent="0.25">
      <c r="A6" s="513"/>
      <c r="B6" s="758" t="s">
        <v>3850</v>
      </c>
      <c r="C6" s="648"/>
      <c r="D6" s="758" t="s">
        <v>3851</v>
      </c>
      <c r="E6" s="648"/>
      <c r="F6" s="758" t="s">
        <v>3852</v>
      </c>
      <c r="G6" s="648"/>
      <c r="H6" s="758" t="s">
        <v>3853</v>
      </c>
      <c r="I6" s="648"/>
      <c r="J6" s="758" t="s">
        <v>3854</v>
      </c>
      <c r="K6" s="652"/>
      <c r="L6" s="648"/>
      <c r="M6" s="758" t="s">
        <v>3855</v>
      </c>
      <c r="N6" s="648"/>
      <c r="O6" s="758" t="s">
        <v>3856</v>
      </c>
      <c r="P6" s="648"/>
    </row>
    <row r="7" spans="1:16" ht="15" customHeight="1" x14ac:dyDescent="0.25">
      <c r="A7" s="513"/>
      <c r="B7" s="762" t="s">
        <v>3857</v>
      </c>
      <c r="C7" s="648"/>
      <c r="D7" s="762" t="s">
        <v>3858</v>
      </c>
      <c r="E7" s="648"/>
      <c r="F7" s="762" t="s">
        <v>3859</v>
      </c>
      <c r="G7" s="648"/>
      <c r="H7" s="762" t="s">
        <v>3860</v>
      </c>
      <c r="I7" s="648"/>
      <c r="J7" s="762" t="s">
        <v>3861</v>
      </c>
      <c r="K7" s="652"/>
      <c r="L7" s="648"/>
      <c r="M7" s="762" t="s">
        <v>3862</v>
      </c>
      <c r="N7" s="648"/>
      <c r="O7" s="762" t="s">
        <v>3863</v>
      </c>
      <c r="P7" s="648"/>
    </row>
    <row r="8" spans="1:16" x14ac:dyDescent="0.25">
      <c r="A8" s="513"/>
      <c r="B8" s="513"/>
      <c r="C8" s="513"/>
      <c r="D8" s="513"/>
      <c r="E8" s="513"/>
      <c r="F8" s="513"/>
      <c r="G8" s="513"/>
      <c r="H8" s="513"/>
      <c r="I8" s="513"/>
      <c r="J8" s="513"/>
      <c r="K8" s="513"/>
      <c r="L8" s="513"/>
      <c r="M8" s="513"/>
      <c r="N8" s="513"/>
      <c r="O8" s="513"/>
      <c r="P8" s="513"/>
    </row>
    <row r="9" spans="1:16" ht="21.95" customHeight="1" x14ac:dyDescent="0.25">
      <c r="A9" s="513"/>
      <c r="B9" s="768" t="s">
        <v>3864</v>
      </c>
      <c r="C9" s="642"/>
      <c r="D9" s="642"/>
      <c r="E9" s="642"/>
      <c r="F9" s="642"/>
      <c r="G9" s="642"/>
      <c r="H9" s="642"/>
      <c r="I9" s="642"/>
      <c r="J9" s="642"/>
      <c r="K9" s="642"/>
      <c r="L9" s="642"/>
      <c r="M9" s="642"/>
      <c r="N9" s="642"/>
      <c r="O9" s="642"/>
      <c r="P9" s="642"/>
    </row>
    <row r="10" spans="1:16" ht="27.95" customHeight="1" x14ac:dyDescent="0.25">
      <c r="A10" s="513"/>
      <c r="B10" s="514" t="s">
        <v>2468</v>
      </c>
      <c r="C10" s="514" t="s">
        <v>3865</v>
      </c>
      <c r="D10" s="514" t="s">
        <v>3866</v>
      </c>
      <c r="E10" s="514" t="s">
        <v>3867</v>
      </c>
      <c r="F10" s="514" t="s">
        <v>3868</v>
      </c>
      <c r="G10" s="514" t="s">
        <v>3869</v>
      </c>
      <c r="H10" s="514" t="s">
        <v>3870</v>
      </c>
      <c r="I10" s="514" t="s">
        <v>3871</v>
      </c>
      <c r="J10" s="514" t="s">
        <v>3872</v>
      </c>
      <c r="K10" s="514" t="s">
        <v>3873</v>
      </c>
      <c r="L10" s="514" t="s">
        <v>3874</v>
      </c>
      <c r="M10" s="514" t="s">
        <v>3875</v>
      </c>
      <c r="N10" s="514" t="s">
        <v>3876</v>
      </c>
      <c r="O10" s="514" t="s">
        <v>3877</v>
      </c>
      <c r="P10" s="514" t="s">
        <v>3878</v>
      </c>
    </row>
    <row r="11" spans="1:16" ht="20.100000000000001" customHeight="1" x14ac:dyDescent="0.25">
      <c r="A11" s="513"/>
      <c r="B11" s="515">
        <v>1</v>
      </c>
      <c r="C11" s="559" t="s">
        <v>576</v>
      </c>
      <c r="D11" s="515" t="s">
        <v>3879</v>
      </c>
      <c r="E11" s="517" t="s">
        <v>3880</v>
      </c>
      <c r="F11" s="518">
        <v>48</v>
      </c>
      <c r="G11" s="558">
        <v>103200</v>
      </c>
      <c r="H11" s="519">
        <v>2150</v>
      </c>
      <c r="I11" s="518">
        <v>17</v>
      </c>
      <c r="J11" s="558">
        <v>61200</v>
      </c>
      <c r="K11" s="519">
        <v>3600</v>
      </c>
      <c r="L11" s="519">
        <v>1450</v>
      </c>
      <c r="M11" s="520">
        <v>0.40277777777777779</v>
      </c>
      <c r="N11" s="518">
        <v>31</v>
      </c>
      <c r="O11" s="518">
        <v>6</v>
      </c>
      <c r="P11" s="521" t="s">
        <v>3881</v>
      </c>
    </row>
    <row r="12" spans="1:16" ht="20.100000000000001" customHeight="1" x14ac:dyDescent="0.25">
      <c r="A12" s="513"/>
      <c r="B12" s="522">
        <v>2</v>
      </c>
      <c r="C12" s="559" t="s">
        <v>1152</v>
      </c>
      <c r="D12" s="522" t="s">
        <v>3882</v>
      </c>
      <c r="E12" s="524" t="s">
        <v>3883</v>
      </c>
      <c r="F12" s="525">
        <v>9</v>
      </c>
      <c r="G12" s="558">
        <v>30241</v>
      </c>
      <c r="H12" s="526">
        <v>3360.1111111111109</v>
      </c>
      <c r="I12" s="525">
        <v>16</v>
      </c>
      <c r="J12" s="558">
        <v>70603</v>
      </c>
      <c r="K12" s="526">
        <v>4412.6875</v>
      </c>
      <c r="L12" s="526">
        <v>1052.5763888888889</v>
      </c>
      <c r="M12" s="527">
        <v>0.2385340881013869</v>
      </c>
      <c r="N12" s="525">
        <v>-7</v>
      </c>
      <c r="O12" s="525">
        <v>12</v>
      </c>
      <c r="P12" s="528" t="s">
        <v>3881</v>
      </c>
    </row>
    <row r="13" spans="1:16" ht="20.100000000000001" customHeight="1" x14ac:dyDescent="0.25">
      <c r="A13" s="513"/>
      <c r="B13" s="515">
        <v>3</v>
      </c>
      <c r="C13" s="559" t="s">
        <v>3884</v>
      </c>
      <c r="D13" s="515" t="s">
        <v>3885</v>
      </c>
      <c r="E13" s="517" t="s">
        <v>3886</v>
      </c>
      <c r="F13" s="518">
        <v>24</v>
      </c>
      <c r="G13" s="558">
        <v>70491</v>
      </c>
      <c r="H13" s="519">
        <v>2937.125</v>
      </c>
      <c r="I13" s="518">
        <v>0</v>
      </c>
      <c r="J13" s="558">
        <v>0</v>
      </c>
      <c r="K13" s="519">
        <v>0</v>
      </c>
      <c r="L13" s="519">
        <v>0</v>
      </c>
      <c r="M13" s="520">
        <v>0</v>
      </c>
      <c r="N13" s="518">
        <v>24</v>
      </c>
      <c r="O13" s="518">
        <v>-16</v>
      </c>
      <c r="P13" s="521" t="s">
        <v>3887</v>
      </c>
    </row>
    <row r="14" spans="1:16" ht="20.100000000000001" customHeight="1" x14ac:dyDescent="0.25">
      <c r="A14" s="513"/>
      <c r="B14" s="522">
        <v>4</v>
      </c>
      <c r="C14" s="523" t="s">
        <v>3888</v>
      </c>
      <c r="D14" s="522" t="s">
        <v>3889</v>
      </c>
      <c r="E14" s="524" t="s">
        <v>3890</v>
      </c>
      <c r="F14" s="525">
        <v>15</v>
      </c>
      <c r="G14" s="526">
        <v>18381</v>
      </c>
      <c r="H14" s="526">
        <v>1225.4000000000001</v>
      </c>
      <c r="I14" s="525">
        <v>0</v>
      </c>
      <c r="J14" s="526">
        <v>0</v>
      </c>
      <c r="K14" s="526">
        <v>0</v>
      </c>
      <c r="L14" s="526">
        <v>0</v>
      </c>
      <c r="M14" s="527">
        <v>0</v>
      </c>
      <c r="N14" s="525">
        <v>15</v>
      </c>
      <c r="O14" s="525">
        <v>-12</v>
      </c>
      <c r="P14" s="528" t="s">
        <v>3887</v>
      </c>
    </row>
    <row r="15" spans="1:16" ht="20.100000000000001" customHeight="1" x14ac:dyDescent="0.25">
      <c r="A15" s="513"/>
      <c r="B15" s="515">
        <v>5</v>
      </c>
      <c r="C15" s="559" t="s">
        <v>1199</v>
      </c>
      <c r="D15" s="515" t="s">
        <v>3882</v>
      </c>
      <c r="E15" s="517" t="s">
        <v>3891</v>
      </c>
      <c r="F15" s="518">
        <v>10</v>
      </c>
      <c r="G15" s="558">
        <v>31056</v>
      </c>
      <c r="H15" s="519">
        <v>3105.6</v>
      </c>
      <c r="I15" s="518">
        <v>5</v>
      </c>
      <c r="J15" s="558">
        <v>22500</v>
      </c>
      <c r="K15" s="519">
        <v>4500</v>
      </c>
      <c r="L15" s="519">
        <v>1394.4</v>
      </c>
      <c r="M15" s="520">
        <v>0.30986666666666668</v>
      </c>
      <c r="N15" s="518">
        <v>5</v>
      </c>
      <c r="O15" s="518">
        <v>0</v>
      </c>
      <c r="P15" s="521" t="s">
        <v>3892</v>
      </c>
    </row>
    <row r="16" spans="1:16" ht="20.100000000000001" customHeight="1" x14ac:dyDescent="0.25">
      <c r="A16" s="513"/>
      <c r="B16" s="522">
        <v>6</v>
      </c>
      <c r="C16" s="559" t="s">
        <v>1174</v>
      </c>
      <c r="D16" s="522" t="s">
        <v>3882</v>
      </c>
      <c r="E16" s="524" t="s">
        <v>3893</v>
      </c>
      <c r="F16" s="525">
        <v>5</v>
      </c>
      <c r="G16" s="558">
        <v>12852</v>
      </c>
      <c r="H16" s="526">
        <v>2570.4</v>
      </c>
      <c r="I16" s="525">
        <v>0</v>
      </c>
      <c r="J16" s="558">
        <v>0</v>
      </c>
      <c r="K16" s="526">
        <v>0</v>
      </c>
      <c r="L16" s="526">
        <v>0</v>
      </c>
      <c r="M16" s="527">
        <v>0</v>
      </c>
      <c r="N16" s="525">
        <v>5</v>
      </c>
      <c r="O16" s="525">
        <v>0</v>
      </c>
      <c r="P16" s="528" t="s">
        <v>3887</v>
      </c>
    </row>
    <row r="17" spans="1:16" ht="20.100000000000001" customHeight="1" x14ac:dyDescent="0.25">
      <c r="A17" s="513"/>
      <c r="B17" s="515">
        <v>7</v>
      </c>
      <c r="C17" s="516" t="s">
        <v>3894</v>
      </c>
      <c r="D17" s="515" t="s">
        <v>3895</v>
      </c>
      <c r="E17" s="517" t="s">
        <v>3896</v>
      </c>
      <c r="F17" s="518">
        <v>720</v>
      </c>
      <c r="G17" s="519">
        <v>504000</v>
      </c>
      <c r="H17" s="519">
        <v>700</v>
      </c>
      <c r="I17" s="518">
        <v>13</v>
      </c>
      <c r="J17" s="519">
        <v>32500</v>
      </c>
      <c r="K17" s="519">
        <v>2500</v>
      </c>
      <c r="L17" s="519">
        <v>1800</v>
      </c>
      <c r="M17" s="520">
        <v>0.72</v>
      </c>
      <c r="N17" s="518">
        <v>707</v>
      </c>
      <c r="O17" s="518">
        <v>-703</v>
      </c>
      <c r="P17" s="521" t="s">
        <v>3881</v>
      </c>
    </row>
    <row r="18" spans="1:16" ht="20.100000000000001" customHeight="1" x14ac:dyDescent="0.25">
      <c r="A18" s="513"/>
      <c r="B18" s="522">
        <v>8</v>
      </c>
      <c r="C18" s="523" t="s">
        <v>1119</v>
      </c>
      <c r="D18" s="522" t="s">
        <v>3897</v>
      </c>
      <c r="E18" s="524" t="s">
        <v>3898</v>
      </c>
      <c r="F18" s="525">
        <v>12</v>
      </c>
      <c r="G18" s="526">
        <v>22689.119999999999</v>
      </c>
      <c r="H18" s="526">
        <v>1890.76</v>
      </c>
      <c r="I18" s="525">
        <v>0</v>
      </c>
      <c r="J18" s="526">
        <v>0</v>
      </c>
      <c r="K18" s="526">
        <v>0</v>
      </c>
      <c r="L18" s="526">
        <v>0</v>
      </c>
      <c r="M18" s="527">
        <v>0</v>
      </c>
      <c r="N18" s="525">
        <v>12</v>
      </c>
      <c r="O18" s="525">
        <v>0</v>
      </c>
      <c r="P18" s="528" t="s">
        <v>3887</v>
      </c>
    </row>
    <row r="19" spans="1:16" ht="20.100000000000001" customHeight="1" x14ac:dyDescent="0.25">
      <c r="A19" s="513"/>
      <c r="B19" s="515">
        <v>9</v>
      </c>
      <c r="C19" s="516" t="s">
        <v>3899</v>
      </c>
      <c r="D19" s="515" t="s">
        <v>3900</v>
      </c>
      <c r="E19" s="517" t="s">
        <v>3901</v>
      </c>
      <c r="F19" s="518">
        <v>0</v>
      </c>
      <c r="G19" s="519">
        <v>0</v>
      </c>
      <c r="H19" s="519">
        <v>0</v>
      </c>
      <c r="I19" s="518">
        <v>0</v>
      </c>
      <c r="J19" s="519">
        <v>0</v>
      </c>
      <c r="K19" s="519">
        <v>0</v>
      </c>
      <c r="L19" s="519">
        <v>0</v>
      </c>
      <c r="M19" s="520">
        <v>0</v>
      </c>
      <c r="N19" s="518">
        <v>0</v>
      </c>
      <c r="O19" s="518">
        <v>19</v>
      </c>
      <c r="P19" s="529" t="s">
        <v>3902</v>
      </c>
    </row>
    <row r="20" spans="1:16" ht="20.100000000000001" customHeight="1" x14ac:dyDescent="0.25">
      <c r="A20" s="513"/>
      <c r="B20" s="522">
        <v>10</v>
      </c>
      <c r="C20" s="523" t="s">
        <v>3903</v>
      </c>
      <c r="D20" s="522" t="s">
        <v>3904</v>
      </c>
      <c r="E20" s="524" t="s">
        <v>3898</v>
      </c>
      <c r="F20" s="525">
        <v>0</v>
      </c>
      <c r="G20" s="526">
        <v>0</v>
      </c>
      <c r="H20" s="526">
        <v>0</v>
      </c>
      <c r="I20" s="525">
        <v>33</v>
      </c>
      <c r="J20" s="526">
        <v>122100</v>
      </c>
      <c r="K20" s="526">
        <v>3700</v>
      </c>
      <c r="L20" s="526">
        <v>0</v>
      </c>
      <c r="M20" s="527">
        <v>0</v>
      </c>
      <c r="N20" s="525">
        <v>-33</v>
      </c>
      <c r="O20" s="525">
        <v>86</v>
      </c>
      <c r="P20" s="530" t="s">
        <v>3905</v>
      </c>
    </row>
    <row r="21" spans="1:16" ht="20.100000000000001" customHeight="1" x14ac:dyDescent="0.25">
      <c r="A21" s="513"/>
      <c r="B21" s="515">
        <v>11</v>
      </c>
      <c r="C21" s="516" t="s">
        <v>738</v>
      </c>
      <c r="D21" s="515" t="s">
        <v>3906</v>
      </c>
      <c r="E21" s="517" t="s">
        <v>3907</v>
      </c>
      <c r="F21" s="518">
        <v>312</v>
      </c>
      <c r="G21" s="519">
        <v>660499.67999999993</v>
      </c>
      <c r="H21" s="519">
        <v>2116.9861538461541</v>
      </c>
      <c r="I21" s="518">
        <v>358</v>
      </c>
      <c r="J21" s="519">
        <v>1007400</v>
      </c>
      <c r="K21" s="519">
        <v>2813.966480446928</v>
      </c>
      <c r="L21" s="519">
        <v>696.98032660077388</v>
      </c>
      <c r="M21" s="520">
        <v>0.24768607993158329</v>
      </c>
      <c r="N21" s="518">
        <v>-46</v>
      </c>
      <c r="O21" s="518">
        <v>218</v>
      </c>
      <c r="P21" s="521" t="s">
        <v>3881</v>
      </c>
    </row>
    <row r="22" spans="1:16" ht="20.100000000000001" customHeight="1" x14ac:dyDescent="0.25">
      <c r="A22" s="513"/>
      <c r="B22" s="522">
        <v>12</v>
      </c>
      <c r="C22" s="523" t="s">
        <v>3908</v>
      </c>
      <c r="D22" s="522" t="s">
        <v>3909</v>
      </c>
      <c r="E22" s="524" t="s">
        <v>3910</v>
      </c>
      <c r="F22" s="525">
        <v>84</v>
      </c>
      <c r="G22" s="526">
        <v>409382</v>
      </c>
      <c r="H22" s="526">
        <v>4873.5952380952394</v>
      </c>
      <c r="I22" s="525">
        <v>5</v>
      </c>
      <c r="J22" s="526">
        <v>25000</v>
      </c>
      <c r="K22" s="526">
        <v>5000</v>
      </c>
      <c r="L22" s="526">
        <v>126.4047619047615</v>
      </c>
      <c r="M22" s="527">
        <v>2.5280952380952289E-2</v>
      </c>
      <c r="N22" s="525">
        <v>79</v>
      </c>
      <c r="O22" s="525">
        <v>-72</v>
      </c>
      <c r="P22" s="528" t="s">
        <v>3881</v>
      </c>
    </row>
    <row r="23" spans="1:16" ht="20.100000000000001" customHeight="1" x14ac:dyDescent="0.25">
      <c r="A23" s="513"/>
      <c r="B23" s="515">
        <v>13</v>
      </c>
      <c r="C23" s="516" t="s">
        <v>3911</v>
      </c>
      <c r="D23" s="515" t="s">
        <v>3912</v>
      </c>
      <c r="E23" s="517" t="s">
        <v>3913</v>
      </c>
      <c r="F23" s="518">
        <v>30</v>
      </c>
      <c r="G23" s="519">
        <v>62500</v>
      </c>
      <c r="H23" s="519">
        <v>2083.333333333333</v>
      </c>
      <c r="I23" s="518">
        <v>51</v>
      </c>
      <c r="J23" s="519">
        <v>152829</v>
      </c>
      <c r="K23" s="519">
        <v>2996.6470588235288</v>
      </c>
      <c r="L23" s="519">
        <v>913.31372549019579</v>
      </c>
      <c r="M23" s="520">
        <v>0.30477854333928761</v>
      </c>
      <c r="N23" s="518">
        <v>-21</v>
      </c>
      <c r="O23" s="518">
        <v>60</v>
      </c>
      <c r="P23" s="521" t="s">
        <v>3881</v>
      </c>
    </row>
    <row r="24" spans="1:16" ht="20.100000000000001" customHeight="1" x14ac:dyDescent="0.25">
      <c r="A24" s="513"/>
      <c r="B24" s="522">
        <v>14</v>
      </c>
      <c r="C24" s="523" t="s">
        <v>3914</v>
      </c>
      <c r="D24" s="522" t="s">
        <v>3885</v>
      </c>
      <c r="E24" s="524" t="s">
        <v>3915</v>
      </c>
      <c r="F24" s="525">
        <v>0</v>
      </c>
      <c r="G24" s="526">
        <v>0</v>
      </c>
      <c r="H24" s="526">
        <v>0</v>
      </c>
      <c r="I24" s="525">
        <v>4</v>
      </c>
      <c r="J24" s="526">
        <v>50000</v>
      </c>
      <c r="K24" s="526">
        <v>12500</v>
      </c>
      <c r="L24" s="526">
        <v>0</v>
      </c>
      <c r="M24" s="527">
        <v>0</v>
      </c>
      <c r="N24" s="525">
        <v>-4</v>
      </c>
      <c r="O24" s="525">
        <v>12</v>
      </c>
      <c r="P24" s="530" t="s">
        <v>3905</v>
      </c>
    </row>
    <row r="25" spans="1:16" ht="20.100000000000001" customHeight="1" x14ac:dyDescent="0.25">
      <c r="A25" s="513"/>
      <c r="B25" s="515">
        <v>15</v>
      </c>
      <c r="C25" s="516" t="s">
        <v>3916</v>
      </c>
      <c r="D25" s="515" t="s">
        <v>3917</v>
      </c>
      <c r="E25" s="517" t="s">
        <v>3918</v>
      </c>
      <c r="F25" s="518">
        <v>77</v>
      </c>
      <c r="G25" s="519">
        <v>357945.35</v>
      </c>
      <c r="H25" s="519">
        <v>4648.6409090909092</v>
      </c>
      <c r="I25" s="518">
        <v>94</v>
      </c>
      <c r="J25" s="519">
        <v>658000</v>
      </c>
      <c r="K25" s="519">
        <v>7000</v>
      </c>
      <c r="L25" s="519">
        <v>2351.3590909090908</v>
      </c>
      <c r="M25" s="520">
        <v>0.33590844155844152</v>
      </c>
      <c r="N25" s="518">
        <v>-17</v>
      </c>
      <c r="O25" s="518">
        <v>120</v>
      </c>
      <c r="P25" s="521" t="s">
        <v>3881</v>
      </c>
    </row>
    <row r="26" spans="1:16" ht="20.100000000000001" customHeight="1" x14ac:dyDescent="0.25">
      <c r="A26" s="513"/>
      <c r="B26" s="522">
        <v>16</v>
      </c>
      <c r="C26" s="523" t="s">
        <v>3919</v>
      </c>
      <c r="D26" s="522" t="s">
        <v>3920</v>
      </c>
      <c r="E26" s="524" t="s">
        <v>3921</v>
      </c>
      <c r="F26" s="525">
        <v>0</v>
      </c>
      <c r="G26" s="526">
        <v>0</v>
      </c>
      <c r="H26" s="526">
        <v>0</v>
      </c>
      <c r="I26" s="525">
        <v>0</v>
      </c>
      <c r="J26" s="526">
        <v>0</v>
      </c>
      <c r="K26" s="526">
        <v>0</v>
      </c>
      <c r="L26" s="526">
        <v>0</v>
      </c>
      <c r="M26" s="527">
        <v>0</v>
      </c>
      <c r="N26" s="525">
        <v>0</v>
      </c>
      <c r="O26" s="525">
        <v>23</v>
      </c>
      <c r="P26" s="531" t="s">
        <v>3902</v>
      </c>
    </row>
    <row r="27" spans="1:16" ht="20.100000000000001" customHeight="1" x14ac:dyDescent="0.25">
      <c r="A27" s="513"/>
      <c r="B27" s="515">
        <v>17</v>
      </c>
      <c r="C27" s="516" t="s">
        <v>3922</v>
      </c>
      <c r="D27" s="515" t="s">
        <v>3923</v>
      </c>
      <c r="E27" s="517" t="s">
        <v>3924</v>
      </c>
      <c r="F27" s="518">
        <v>24</v>
      </c>
      <c r="G27" s="519">
        <v>60900</v>
      </c>
      <c r="H27" s="519">
        <v>2537.5</v>
      </c>
      <c r="I27" s="518">
        <v>17</v>
      </c>
      <c r="J27" s="519">
        <v>50069</v>
      </c>
      <c r="K27" s="519">
        <v>2945.2352941176468</v>
      </c>
      <c r="L27" s="519">
        <v>407.73529411764679</v>
      </c>
      <c r="M27" s="520">
        <v>0.1384389542431444</v>
      </c>
      <c r="N27" s="518">
        <v>7</v>
      </c>
      <c r="O27" s="518">
        <v>13</v>
      </c>
      <c r="P27" s="521" t="s">
        <v>3881</v>
      </c>
    </row>
    <row r="28" spans="1:16" ht="20.100000000000001" customHeight="1" x14ac:dyDescent="0.25">
      <c r="A28" s="513"/>
      <c r="B28" s="522">
        <v>18</v>
      </c>
      <c r="C28" s="523" t="s">
        <v>572</v>
      </c>
      <c r="D28" s="522" t="s">
        <v>3900</v>
      </c>
      <c r="E28" s="524" t="s">
        <v>3925</v>
      </c>
      <c r="F28" s="525">
        <v>24</v>
      </c>
      <c r="G28" s="526">
        <v>78000</v>
      </c>
      <c r="H28" s="526">
        <v>3250</v>
      </c>
      <c r="I28" s="525">
        <v>38</v>
      </c>
      <c r="J28" s="526">
        <v>174800</v>
      </c>
      <c r="K28" s="526">
        <v>4600</v>
      </c>
      <c r="L28" s="526">
        <v>1350</v>
      </c>
      <c r="M28" s="527">
        <v>0.29347826086956519</v>
      </c>
      <c r="N28" s="525">
        <v>-14</v>
      </c>
      <c r="O28" s="525">
        <v>33</v>
      </c>
      <c r="P28" s="528" t="s">
        <v>3881</v>
      </c>
    </row>
    <row r="29" spans="1:16" ht="20.100000000000001" customHeight="1" x14ac:dyDescent="0.25">
      <c r="A29" s="513"/>
      <c r="B29" s="515">
        <v>19</v>
      </c>
      <c r="C29" s="516" t="s">
        <v>3926</v>
      </c>
      <c r="D29" s="515" t="s">
        <v>3927</v>
      </c>
      <c r="E29" s="517" t="s">
        <v>3928</v>
      </c>
      <c r="F29" s="518">
        <v>348</v>
      </c>
      <c r="G29" s="519">
        <v>843000</v>
      </c>
      <c r="H29" s="519">
        <v>2422.4137931034479</v>
      </c>
      <c r="I29" s="518">
        <v>258</v>
      </c>
      <c r="J29" s="519">
        <v>1031805</v>
      </c>
      <c r="K29" s="519">
        <v>3999.244186046511</v>
      </c>
      <c r="L29" s="519">
        <v>1576.8303929430631</v>
      </c>
      <c r="M29" s="520">
        <v>0.39428209921381491</v>
      </c>
      <c r="N29" s="518">
        <v>90</v>
      </c>
      <c r="O29" s="518">
        <v>71</v>
      </c>
      <c r="P29" s="521" t="s">
        <v>3881</v>
      </c>
    </row>
    <row r="30" spans="1:16" ht="20.100000000000001" customHeight="1" x14ac:dyDescent="0.25">
      <c r="A30" s="513"/>
      <c r="B30" s="522">
        <v>20</v>
      </c>
      <c r="C30" s="523" t="s">
        <v>3929</v>
      </c>
      <c r="D30" s="522" t="s">
        <v>3930</v>
      </c>
      <c r="E30" s="524" t="s">
        <v>3931</v>
      </c>
      <c r="F30" s="525">
        <v>150</v>
      </c>
      <c r="G30" s="526">
        <v>235658.61</v>
      </c>
      <c r="H30" s="526">
        <v>1571.0573999999999</v>
      </c>
      <c r="I30" s="525">
        <v>138</v>
      </c>
      <c r="J30" s="526">
        <v>414000</v>
      </c>
      <c r="K30" s="526">
        <v>3000</v>
      </c>
      <c r="L30" s="526">
        <v>1428.9426000000001</v>
      </c>
      <c r="M30" s="527">
        <v>0.47631419999999991</v>
      </c>
      <c r="N30" s="525">
        <v>12</v>
      </c>
      <c r="O30" s="525">
        <v>154</v>
      </c>
      <c r="P30" s="528" t="s">
        <v>3881</v>
      </c>
    </row>
    <row r="31" spans="1:16" ht="20.100000000000001" customHeight="1" x14ac:dyDescent="0.25">
      <c r="A31" s="513"/>
      <c r="B31" s="515">
        <v>21</v>
      </c>
      <c r="C31" s="516" t="s">
        <v>3932</v>
      </c>
      <c r="D31" s="515" t="s">
        <v>3933</v>
      </c>
      <c r="E31" s="517" t="s">
        <v>3931</v>
      </c>
      <c r="F31" s="518">
        <v>90</v>
      </c>
      <c r="G31" s="519">
        <v>172500.3</v>
      </c>
      <c r="H31" s="519">
        <v>1916.67</v>
      </c>
      <c r="I31" s="518">
        <v>79</v>
      </c>
      <c r="J31" s="519">
        <v>316000</v>
      </c>
      <c r="K31" s="519">
        <v>4000</v>
      </c>
      <c r="L31" s="519">
        <v>2083.33</v>
      </c>
      <c r="M31" s="520">
        <v>0.52083250000000003</v>
      </c>
      <c r="N31" s="518">
        <v>11</v>
      </c>
      <c r="O31" s="518">
        <v>7</v>
      </c>
      <c r="P31" s="521" t="s">
        <v>3881</v>
      </c>
    </row>
    <row r="32" spans="1:16" ht="20.100000000000001" customHeight="1" x14ac:dyDescent="0.25">
      <c r="A32" s="513"/>
      <c r="B32" s="522">
        <v>22</v>
      </c>
      <c r="C32" s="523" t="s">
        <v>3934</v>
      </c>
      <c r="D32" s="522" t="s">
        <v>3935</v>
      </c>
      <c r="E32" s="524" t="s">
        <v>3936</v>
      </c>
      <c r="F32" s="525">
        <v>57</v>
      </c>
      <c r="G32" s="526">
        <v>124811.01</v>
      </c>
      <c r="H32" s="526">
        <v>2189.6668421052632</v>
      </c>
      <c r="I32" s="525">
        <v>61</v>
      </c>
      <c r="J32" s="526">
        <v>183000</v>
      </c>
      <c r="K32" s="526">
        <v>3000</v>
      </c>
      <c r="L32" s="526">
        <v>810.33315789473727</v>
      </c>
      <c r="M32" s="527">
        <v>0.27011105263157908</v>
      </c>
      <c r="N32" s="525">
        <v>-4</v>
      </c>
      <c r="O32" s="525">
        <v>42</v>
      </c>
      <c r="P32" s="528" t="s">
        <v>3881</v>
      </c>
    </row>
    <row r="33" spans="1:16" ht="20.100000000000001" customHeight="1" x14ac:dyDescent="0.25">
      <c r="A33" s="513"/>
      <c r="B33" s="515">
        <v>23</v>
      </c>
      <c r="C33" s="516" t="s">
        <v>3937</v>
      </c>
      <c r="D33" s="515" t="s">
        <v>3935</v>
      </c>
      <c r="E33" s="517" t="s">
        <v>3938</v>
      </c>
      <c r="F33" s="518">
        <v>24</v>
      </c>
      <c r="G33" s="519">
        <v>83000</v>
      </c>
      <c r="H33" s="519">
        <v>3458.333333333333</v>
      </c>
      <c r="I33" s="518">
        <v>8</v>
      </c>
      <c r="J33" s="519">
        <v>40000</v>
      </c>
      <c r="K33" s="519">
        <v>5000</v>
      </c>
      <c r="L33" s="519">
        <v>1541.666666666667</v>
      </c>
      <c r="M33" s="520">
        <v>0.30833333333333329</v>
      </c>
      <c r="N33" s="518">
        <v>16</v>
      </c>
      <c r="O33" s="518">
        <v>22</v>
      </c>
      <c r="P33" s="521" t="s">
        <v>3881</v>
      </c>
    </row>
    <row r="34" spans="1:16" ht="20.100000000000001" customHeight="1" x14ac:dyDescent="0.25">
      <c r="A34" s="513"/>
      <c r="B34" s="522">
        <v>24</v>
      </c>
      <c r="C34" s="523" t="s">
        <v>566</v>
      </c>
      <c r="D34" s="522" t="s">
        <v>3939</v>
      </c>
      <c r="E34" s="524" t="s">
        <v>3940</v>
      </c>
      <c r="F34" s="525">
        <v>72</v>
      </c>
      <c r="G34" s="526">
        <v>277400</v>
      </c>
      <c r="H34" s="526">
        <v>3852.7777777777778</v>
      </c>
      <c r="I34" s="525">
        <v>55</v>
      </c>
      <c r="J34" s="526">
        <v>385000</v>
      </c>
      <c r="K34" s="526">
        <v>7000</v>
      </c>
      <c r="L34" s="526">
        <v>3147.2222222222222</v>
      </c>
      <c r="M34" s="527">
        <v>0.44960317460317462</v>
      </c>
      <c r="N34" s="525">
        <v>17</v>
      </c>
      <c r="O34" s="525">
        <v>12</v>
      </c>
      <c r="P34" s="528" t="s">
        <v>3881</v>
      </c>
    </row>
    <row r="35" spans="1:16" ht="20.100000000000001" customHeight="1" x14ac:dyDescent="0.25">
      <c r="A35" s="513"/>
      <c r="B35" s="515">
        <v>25</v>
      </c>
      <c r="C35" s="516" t="s">
        <v>3941</v>
      </c>
      <c r="D35" s="515" t="s">
        <v>3942</v>
      </c>
      <c r="E35" s="517" t="s">
        <v>3943</v>
      </c>
      <c r="F35" s="518">
        <v>48</v>
      </c>
      <c r="G35" s="519">
        <v>155000</v>
      </c>
      <c r="H35" s="519">
        <v>3229.166666666667</v>
      </c>
      <c r="I35" s="518">
        <v>57</v>
      </c>
      <c r="J35" s="519">
        <v>342000</v>
      </c>
      <c r="K35" s="519">
        <v>6000</v>
      </c>
      <c r="L35" s="519">
        <v>2770.833333333333</v>
      </c>
      <c r="M35" s="520">
        <v>0.46180555555555558</v>
      </c>
      <c r="N35" s="518">
        <v>-9</v>
      </c>
      <c r="O35" s="518">
        <v>86</v>
      </c>
      <c r="P35" s="521" t="s">
        <v>3881</v>
      </c>
    </row>
    <row r="36" spans="1:16" ht="20.100000000000001" customHeight="1" x14ac:dyDescent="0.25">
      <c r="A36" s="513"/>
      <c r="B36" s="522">
        <v>26</v>
      </c>
      <c r="C36" s="523" t="s">
        <v>568</v>
      </c>
      <c r="D36" s="522" t="s">
        <v>3944</v>
      </c>
      <c r="E36" s="524" t="s">
        <v>3943</v>
      </c>
      <c r="F36" s="525">
        <v>96</v>
      </c>
      <c r="G36" s="526">
        <v>298000</v>
      </c>
      <c r="H36" s="526">
        <v>3104.166666666667</v>
      </c>
      <c r="I36" s="525">
        <v>71</v>
      </c>
      <c r="J36" s="526">
        <v>355000</v>
      </c>
      <c r="K36" s="526">
        <v>5000</v>
      </c>
      <c r="L36" s="526">
        <v>1895.833333333333</v>
      </c>
      <c r="M36" s="527">
        <v>0.37916666666666671</v>
      </c>
      <c r="N36" s="525">
        <v>25</v>
      </c>
      <c r="O36" s="525">
        <v>56</v>
      </c>
      <c r="P36" s="528" t="s">
        <v>3881</v>
      </c>
    </row>
    <row r="37" spans="1:16" ht="24" customHeight="1" x14ac:dyDescent="0.25">
      <c r="A37" s="513"/>
      <c r="B37" s="532" t="s">
        <v>2448</v>
      </c>
      <c r="C37" s="533" t="s">
        <v>3945</v>
      </c>
      <c r="D37" s="532" t="s">
        <v>3946</v>
      </c>
      <c r="E37" s="534" t="s">
        <v>44</v>
      </c>
      <c r="F37" s="535">
        <f>SUM(F11:F36)</f>
        <v>2279</v>
      </c>
      <c r="G37" s="536">
        <f>SUM(G11:G36)</f>
        <v>4611507.0699999994</v>
      </c>
      <c r="H37" s="536">
        <f>IF(F37&gt;0, G37/F37, 0)</f>
        <v>2023.4783106625709</v>
      </c>
      <c r="I37" s="535">
        <f>SUM(I11:I36)</f>
        <v>1378</v>
      </c>
      <c r="J37" s="536">
        <f>SUM(J11:J36)</f>
        <v>5493806</v>
      </c>
      <c r="K37" s="536">
        <f>IF(I37&gt;0, J37/I37, 0)</f>
        <v>3986.7968069666181</v>
      </c>
      <c r="L37" s="536">
        <f>K37-H37</f>
        <v>1963.3184963040471</v>
      </c>
      <c r="M37" s="537">
        <f>IF(K37&gt;0, (K37-H37)/K37, 0)</f>
        <v>0.4924551190753691</v>
      </c>
      <c r="N37" s="535">
        <f>SUM(N11:N36)</f>
        <v>901</v>
      </c>
      <c r="O37" s="535">
        <f>SUM(O11:O36)</f>
        <v>249</v>
      </c>
      <c r="P37" s="532" t="s">
        <v>3947</v>
      </c>
    </row>
    <row r="38" spans="1:16" x14ac:dyDescent="0.25">
      <c r="A38" s="513"/>
      <c r="B38" s="513"/>
      <c r="C38" s="513"/>
      <c r="D38" s="513"/>
      <c r="E38" s="513"/>
      <c r="F38" s="513"/>
      <c r="G38" s="513"/>
      <c r="H38" s="513"/>
      <c r="I38" s="513"/>
      <c r="J38" s="513"/>
      <c r="K38" s="513"/>
      <c r="L38" s="513"/>
      <c r="M38" s="513"/>
      <c r="N38" s="513"/>
      <c r="O38" s="513"/>
      <c r="P38" s="513"/>
    </row>
    <row r="39" spans="1:16" ht="21.95" customHeight="1" x14ac:dyDescent="0.25">
      <c r="A39" s="513"/>
      <c r="B39" s="768" t="s">
        <v>3948</v>
      </c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</row>
    <row r="40" spans="1:16" x14ac:dyDescent="0.25">
      <c r="A40" s="513"/>
      <c r="B40" s="513"/>
      <c r="C40" s="513"/>
      <c r="D40" s="513"/>
      <c r="E40" s="513"/>
      <c r="F40" s="513"/>
      <c r="G40" s="513"/>
      <c r="H40" s="513"/>
      <c r="I40" s="513"/>
      <c r="J40" s="513"/>
      <c r="K40" s="513"/>
      <c r="L40" s="513"/>
      <c r="M40" s="513"/>
      <c r="N40" s="513"/>
      <c r="O40" s="513"/>
      <c r="P40" s="513"/>
    </row>
    <row r="41" spans="1:16" ht="21.95" customHeight="1" x14ac:dyDescent="0.25">
      <c r="A41" s="513"/>
      <c r="B41" s="752" t="s">
        <v>3949</v>
      </c>
      <c r="C41" s="642"/>
      <c r="D41" s="642"/>
      <c r="E41" s="642"/>
      <c r="F41" s="642"/>
      <c r="G41" s="642"/>
      <c r="H41" s="642"/>
      <c r="I41" s="642"/>
      <c r="J41" s="642"/>
      <c r="K41" s="642"/>
      <c r="L41" s="642"/>
      <c r="M41" s="642"/>
      <c r="N41" s="642"/>
      <c r="O41" s="642"/>
      <c r="P41" s="642"/>
    </row>
    <row r="42" spans="1:16" ht="15.95" customHeight="1" x14ac:dyDescent="0.25">
      <c r="A42" s="513"/>
      <c r="B42" s="755" t="s">
        <v>3950</v>
      </c>
      <c r="C42" s="652"/>
      <c r="D42" s="652"/>
      <c r="E42" s="652"/>
      <c r="F42" s="652"/>
      <c r="G42" s="652"/>
      <c r="H42" s="652"/>
      <c r="I42" s="652"/>
      <c r="J42" s="652"/>
      <c r="K42" s="652"/>
      <c r="L42" s="652"/>
      <c r="M42" s="652"/>
      <c r="N42" s="652"/>
      <c r="O42" s="652"/>
      <c r="P42" s="648"/>
    </row>
    <row r="43" spans="1:16" ht="20.100000000000001" customHeight="1" x14ac:dyDescent="0.25">
      <c r="A43" s="513"/>
      <c r="B43" s="756" t="s">
        <v>3951</v>
      </c>
      <c r="C43" s="652"/>
      <c r="D43" s="652"/>
      <c r="E43" s="652"/>
      <c r="F43" s="652"/>
      <c r="G43" s="652"/>
      <c r="H43" s="648"/>
      <c r="I43" s="538"/>
      <c r="J43" s="751" t="s">
        <v>3952</v>
      </c>
      <c r="K43" s="652"/>
      <c r="L43" s="652"/>
      <c r="M43" s="652"/>
      <c r="N43" s="652"/>
      <c r="O43" s="652"/>
      <c r="P43" s="648"/>
    </row>
    <row r="44" spans="1:16" ht="18" customHeight="1" x14ac:dyDescent="0.25">
      <c r="A44" s="513"/>
      <c r="B44" s="539" t="s">
        <v>48</v>
      </c>
      <c r="C44" s="539" t="s">
        <v>76</v>
      </c>
      <c r="D44" s="539" t="s">
        <v>2561</v>
      </c>
      <c r="E44" s="539" t="s">
        <v>1229</v>
      </c>
      <c r="F44" s="539" t="s">
        <v>3953</v>
      </c>
      <c r="G44" s="539" t="s">
        <v>3954</v>
      </c>
      <c r="H44" s="539" t="s">
        <v>3955</v>
      </c>
      <c r="I44" s="513"/>
      <c r="J44" s="540" t="s">
        <v>48</v>
      </c>
      <c r="K44" s="540" t="s">
        <v>76</v>
      </c>
      <c r="L44" s="540" t="s">
        <v>3956</v>
      </c>
      <c r="M44" s="540" t="s">
        <v>3957</v>
      </c>
      <c r="N44" s="540" t="s">
        <v>3958</v>
      </c>
      <c r="O44" s="540" t="s">
        <v>3959</v>
      </c>
      <c r="P44" s="540" t="s">
        <v>3960</v>
      </c>
    </row>
    <row r="45" spans="1:16" ht="17.100000000000001" customHeight="1" x14ac:dyDescent="0.25">
      <c r="A45" s="513"/>
      <c r="B45" s="541">
        <v>2</v>
      </c>
      <c r="C45" s="541" t="s">
        <v>88</v>
      </c>
      <c r="D45" s="541" t="s">
        <v>571</v>
      </c>
      <c r="E45" s="542" t="s">
        <v>1263</v>
      </c>
      <c r="F45" s="542" t="s">
        <v>577</v>
      </c>
      <c r="G45" s="543">
        <v>24</v>
      </c>
      <c r="H45" s="544">
        <v>51600</v>
      </c>
      <c r="I45" s="513"/>
      <c r="J45" s="541">
        <v>2</v>
      </c>
      <c r="K45" s="541" t="s">
        <v>88</v>
      </c>
      <c r="L45" s="542" t="s">
        <v>1162</v>
      </c>
      <c r="M45" s="543">
        <v>2</v>
      </c>
      <c r="N45" s="544">
        <v>3333</v>
      </c>
      <c r="O45" s="544">
        <v>7200</v>
      </c>
      <c r="P45" s="541" t="s">
        <v>3961</v>
      </c>
    </row>
    <row r="46" spans="1:16" ht="17.100000000000001" customHeight="1" x14ac:dyDescent="0.25">
      <c r="A46" s="513"/>
      <c r="B46" s="541">
        <v>18</v>
      </c>
      <c r="C46" s="541" t="s">
        <v>127</v>
      </c>
      <c r="D46" s="541" t="s">
        <v>765</v>
      </c>
      <c r="E46" s="542" t="s">
        <v>1263</v>
      </c>
      <c r="F46" s="542" t="s">
        <v>775</v>
      </c>
      <c r="G46" s="543">
        <v>24</v>
      </c>
      <c r="H46" s="544">
        <v>51600</v>
      </c>
      <c r="I46" s="513"/>
      <c r="J46" s="541">
        <v>3</v>
      </c>
      <c r="K46" s="541" t="s">
        <v>90</v>
      </c>
      <c r="L46" s="542" t="s">
        <v>1173</v>
      </c>
      <c r="M46" s="543">
        <v>2</v>
      </c>
      <c r="N46" s="544">
        <v>3333</v>
      </c>
      <c r="O46" s="544">
        <v>7200</v>
      </c>
      <c r="P46" s="541" t="s">
        <v>3961</v>
      </c>
    </row>
    <row r="47" spans="1:16" ht="17.100000000000001" customHeight="1" x14ac:dyDescent="0.25">
      <c r="A47" s="513"/>
      <c r="B47" s="545"/>
      <c r="C47" s="545"/>
      <c r="D47" s="545"/>
      <c r="E47" s="545"/>
      <c r="F47" s="545"/>
      <c r="G47" s="545"/>
      <c r="H47" s="545"/>
      <c r="I47" s="513"/>
      <c r="J47" s="541">
        <v>6</v>
      </c>
      <c r="K47" s="541" t="s">
        <v>96</v>
      </c>
      <c r="L47" s="542" t="s">
        <v>1162</v>
      </c>
      <c r="M47" s="543">
        <v>2</v>
      </c>
      <c r="N47" s="544">
        <v>3333</v>
      </c>
      <c r="O47" s="544">
        <v>7200</v>
      </c>
      <c r="P47" s="541" t="s">
        <v>3961</v>
      </c>
    </row>
    <row r="48" spans="1:16" ht="17.100000000000001" customHeight="1" x14ac:dyDescent="0.25">
      <c r="A48" s="513"/>
      <c r="B48" s="545"/>
      <c r="C48" s="545"/>
      <c r="D48" s="545"/>
      <c r="E48" s="545"/>
      <c r="F48" s="545"/>
      <c r="G48" s="545"/>
      <c r="H48" s="545"/>
      <c r="I48" s="513"/>
      <c r="J48" s="541">
        <v>8</v>
      </c>
      <c r="K48" s="541" t="s">
        <v>100</v>
      </c>
      <c r="L48" s="542" t="s">
        <v>1162</v>
      </c>
      <c r="M48" s="543">
        <v>1</v>
      </c>
      <c r="N48" s="544">
        <v>3333</v>
      </c>
      <c r="O48" s="544">
        <v>3600</v>
      </c>
      <c r="P48" s="541" t="s">
        <v>3961</v>
      </c>
    </row>
    <row r="49" spans="1:16" ht="17.100000000000001" customHeight="1" x14ac:dyDescent="0.25">
      <c r="A49" s="513"/>
      <c r="B49" s="545"/>
      <c r="C49" s="545"/>
      <c r="D49" s="545"/>
      <c r="E49" s="545"/>
      <c r="F49" s="545"/>
      <c r="G49" s="545"/>
      <c r="H49" s="545"/>
      <c r="I49" s="513"/>
      <c r="J49" s="541">
        <v>8</v>
      </c>
      <c r="K49" s="541" t="s">
        <v>100</v>
      </c>
      <c r="L49" s="542" t="s">
        <v>1173</v>
      </c>
      <c r="M49" s="543">
        <v>1</v>
      </c>
      <c r="N49" s="544">
        <v>3333</v>
      </c>
      <c r="O49" s="544">
        <v>3600</v>
      </c>
      <c r="P49" s="541" t="s">
        <v>3961</v>
      </c>
    </row>
    <row r="50" spans="1:16" ht="17.100000000000001" customHeight="1" x14ac:dyDescent="0.25">
      <c r="A50" s="513"/>
      <c r="B50" s="545"/>
      <c r="C50" s="545"/>
      <c r="D50" s="545"/>
      <c r="E50" s="545"/>
      <c r="F50" s="545"/>
      <c r="G50" s="545"/>
      <c r="H50" s="545"/>
      <c r="I50" s="513"/>
      <c r="J50" s="541">
        <v>9</v>
      </c>
      <c r="K50" s="541" t="s">
        <v>102</v>
      </c>
      <c r="L50" s="542" t="s">
        <v>1162</v>
      </c>
      <c r="M50" s="543">
        <v>1</v>
      </c>
      <c r="N50" s="544">
        <v>3333</v>
      </c>
      <c r="O50" s="544">
        <v>3600</v>
      </c>
      <c r="P50" s="541" t="s">
        <v>3961</v>
      </c>
    </row>
    <row r="51" spans="1:16" ht="17.100000000000001" customHeight="1" x14ac:dyDescent="0.25">
      <c r="A51" s="513"/>
      <c r="B51" s="545"/>
      <c r="C51" s="545"/>
      <c r="D51" s="545"/>
      <c r="E51" s="545"/>
      <c r="F51" s="545"/>
      <c r="G51" s="545"/>
      <c r="H51" s="545"/>
      <c r="I51" s="513"/>
      <c r="J51" s="541">
        <v>10</v>
      </c>
      <c r="K51" s="541" t="s">
        <v>103</v>
      </c>
      <c r="L51" s="542" t="s">
        <v>1162</v>
      </c>
      <c r="M51" s="543">
        <v>1</v>
      </c>
      <c r="N51" s="544">
        <v>3333</v>
      </c>
      <c r="O51" s="544">
        <v>3600</v>
      </c>
      <c r="P51" s="541" t="s">
        <v>3961</v>
      </c>
    </row>
    <row r="52" spans="1:16" ht="17.100000000000001" customHeight="1" x14ac:dyDescent="0.25">
      <c r="A52" s="513"/>
      <c r="B52" s="545"/>
      <c r="C52" s="545"/>
      <c r="D52" s="545"/>
      <c r="E52" s="545"/>
      <c r="F52" s="545"/>
      <c r="G52" s="545"/>
      <c r="H52" s="545"/>
      <c r="I52" s="513"/>
      <c r="J52" s="541">
        <v>11</v>
      </c>
      <c r="K52" s="541" t="s">
        <v>104</v>
      </c>
      <c r="L52" s="542" t="s">
        <v>1162</v>
      </c>
      <c r="M52" s="543">
        <v>1</v>
      </c>
      <c r="N52" s="544">
        <v>3333</v>
      </c>
      <c r="O52" s="544">
        <v>3600</v>
      </c>
      <c r="P52" s="541" t="s">
        <v>3961</v>
      </c>
    </row>
    <row r="53" spans="1:16" ht="17.100000000000001" customHeight="1" x14ac:dyDescent="0.25">
      <c r="A53" s="513"/>
      <c r="B53" s="545"/>
      <c r="C53" s="545"/>
      <c r="D53" s="545"/>
      <c r="E53" s="545"/>
      <c r="F53" s="545"/>
      <c r="G53" s="545"/>
      <c r="H53" s="545"/>
      <c r="I53" s="513"/>
      <c r="J53" s="541">
        <v>14</v>
      </c>
      <c r="K53" s="541" t="s">
        <v>115</v>
      </c>
      <c r="L53" s="542" t="s">
        <v>1162</v>
      </c>
      <c r="M53" s="543">
        <v>2</v>
      </c>
      <c r="N53" s="544">
        <v>3333</v>
      </c>
      <c r="O53" s="544">
        <v>7200</v>
      </c>
      <c r="P53" s="541" t="s">
        <v>3961</v>
      </c>
    </row>
    <row r="54" spans="1:16" ht="17.100000000000001" customHeight="1" x14ac:dyDescent="0.25">
      <c r="A54" s="513"/>
      <c r="B54" s="545"/>
      <c r="C54" s="545"/>
      <c r="D54" s="545"/>
      <c r="E54" s="545"/>
      <c r="F54" s="545"/>
      <c r="G54" s="545"/>
      <c r="H54" s="545"/>
      <c r="I54" s="513"/>
      <c r="J54" s="541">
        <v>15</v>
      </c>
      <c r="K54" s="541" t="s">
        <v>118</v>
      </c>
      <c r="L54" s="542" t="s">
        <v>1162</v>
      </c>
      <c r="M54" s="543">
        <v>2</v>
      </c>
      <c r="N54" s="544">
        <v>3333</v>
      </c>
      <c r="O54" s="544">
        <v>7200</v>
      </c>
      <c r="P54" s="541" t="s">
        <v>3961</v>
      </c>
    </row>
    <row r="55" spans="1:16" ht="17.100000000000001" customHeight="1" x14ac:dyDescent="0.25">
      <c r="A55" s="513"/>
      <c r="B55" s="545"/>
      <c r="C55" s="545"/>
      <c r="D55" s="545"/>
      <c r="E55" s="545"/>
      <c r="F55" s="545"/>
      <c r="G55" s="545"/>
      <c r="H55" s="545"/>
      <c r="I55" s="513"/>
      <c r="J55" s="541">
        <v>17</v>
      </c>
      <c r="K55" s="541" t="s">
        <v>124</v>
      </c>
      <c r="L55" s="542" t="s">
        <v>1162</v>
      </c>
      <c r="M55" s="543">
        <v>1</v>
      </c>
      <c r="N55" s="544">
        <v>3333</v>
      </c>
      <c r="O55" s="544">
        <v>3600</v>
      </c>
      <c r="P55" s="541" t="s">
        <v>3961</v>
      </c>
    </row>
    <row r="56" spans="1:16" ht="17.100000000000001" customHeight="1" x14ac:dyDescent="0.25">
      <c r="A56" s="513"/>
      <c r="B56" s="545"/>
      <c r="C56" s="545"/>
      <c r="D56" s="545"/>
      <c r="E56" s="545"/>
      <c r="F56" s="545"/>
      <c r="G56" s="545"/>
      <c r="H56" s="545"/>
      <c r="I56" s="513"/>
      <c r="J56" s="541">
        <v>19</v>
      </c>
      <c r="K56" s="541" t="s">
        <v>130</v>
      </c>
      <c r="L56" s="542" t="s">
        <v>1162</v>
      </c>
      <c r="M56" s="543">
        <v>1</v>
      </c>
      <c r="N56" s="544">
        <v>3333</v>
      </c>
      <c r="O56" s="544">
        <v>3600</v>
      </c>
      <c r="P56" s="541" t="s">
        <v>3961</v>
      </c>
    </row>
    <row r="57" spans="1:16" ht="17.100000000000001" customHeight="1" x14ac:dyDescent="0.25">
      <c r="A57" s="513"/>
      <c r="B57" s="545"/>
      <c r="C57" s="545"/>
      <c r="D57" s="545"/>
      <c r="E57" s="545"/>
      <c r="F57" s="545"/>
      <c r="G57" s="545"/>
      <c r="H57" s="545"/>
      <c r="I57" s="513"/>
      <c r="J57" s="541">
        <v>20</v>
      </c>
      <c r="K57" s="541" t="s">
        <v>133</v>
      </c>
      <c r="L57" s="542" t="s">
        <v>1173</v>
      </c>
      <c r="M57" s="543">
        <v>0</v>
      </c>
      <c r="N57" s="544">
        <v>0</v>
      </c>
      <c r="O57" s="544">
        <v>0</v>
      </c>
      <c r="P57" s="541" t="s">
        <v>3961</v>
      </c>
    </row>
    <row r="58" spans="1:16" ht="18.95" customHeight="1" x14ac:dyDescent="0.25">
      <c r="A58" s="513"/>
      <c r="B58" s="761" t="s">
        <v>3962</v>
      </c>
      <c r="C58" s="652"/>
      <c r="D58" s="652"/>
      <c r="E58" s="652"/>
      <c r="F58" s="648"/>
      <c r="G58" s="546">
        <v>48</v>
      </c>
      <c r="H58" s="547">
        <v>103200</v>
      </c>
      <c r="I58" s="513"/>
      <c r="J58" s="761" t="s">
        <v>3963</v>
      </c>
      <c r="K58" s="652"/>
      <c r="L58" s="648"/>
      <c r="M58" s="546">
        <v>17</v>
      </c>
      <c r="N58" s="548" t="s">
        <v>44</v>
      </c>
      <c r="O58" s="547">
        <v>61200</v>
      </c>
      <c r="P58" s="548" t="s">
        <v>44</v>
      </c>
    </row>
    <row r="59" spans="1:16" x14ac:dyDescent="0.25">
      <c r="A59" s="513"/>
      <c r="B59" s="513"/>
      <c r="C59" s="513"/>
      <c r="D59" s="513"/>
      <c r="E59" s="513"/>
      <c r="F59" s="513"/>
      <c r="G59" s="513"/>
      <c r="H59" s="513"/>
      <c r="I59" s="513"/>
      <c r="J59" s="513"/>
      <c r="K59" s="513"/>
      <c r="L59" s="513"/>
      <c r="M59" s="513"/>
      <c r="N59" s="513"/>
      <c r="O59" s="513"/>
      <c r="P59" s="513"/>
    </row>
    <row r="60" spans="1:16" ht="24" customHeight="1" x14ac:dyDescent="0.25">
      <c r="A60" s="513"/>
      <c r="B60" s="757" t="s">
        <v>3964</v>
      </c>
      <c r="C60" s="642"/>
      <c r="D60" s="642"/>
      <c r="E60" s="642"/>
      <c r="F60" s="642"/>
      <c r="G60" s="642"/>
      <c r="H60" s="642"/>
      <c r="I60" s="642"/>
      <c r="J60" s="642"/>
      <c r="K60" s="642"/>
      <c r="L60" s="642"/>
      <c r="M60" s="642"/>
      <c r="N60" s="642"/>
      <c r="O60" s="642"/>
      <c r="P60" s="642"/>
    </row>
    <row r="61" spans="1:16" ht="18" customHeight="1" x14ac:dyDescent="0.25">
      <c r="A61" s="513"/>
      <c r="B61" s="766" t="s">
        <v>3965</v>
      </c>
      <c r="C61" s="652"/>
      <c r="D61" s="652"/>
      <c r="E61" s="652"/>
      <c r="F61" s="652"/>
      <c r="G61" s="652"/>
      <c r="H61" s="652"/>
      <c r="I61" s="652"/>
      <c r="J61" s="652"/>
      <c r="K61" s="652"/>
      <c r="L61" s="652"/>
      <c r="M61" s="652"/>
      <c r="N61" s="652"/>
      <c r="O61" s="652"/>
      <c r="P61" s="648"/>
    </row>
    <row r="62" spans="1:16" ht="15.95" customHeight="1" x14ac:dyDescent="0.25">
      <c r="A62" s="513"/>
      <c r="B62" s="760" t="s">
        <v>3966</v>
      </c>
      <c r="C62" s="652"/>
      <c r="D62" s="648"/>
      <c r="E62" s="760" t="s">
        <v>3967</v>
      </c>
      <c r="F62" s="652"/>
      <c r="G62" s="648"/>
      <c r="H62" s="760" t="s">
        <v>3968</v>
      </c>
      <c r="I62" s="652"/>
      <c r="J62" s="648"/>
      <c r="K62" s="760" t="s">
        <v>3969</v>
      </c>
      <c r="L62" s="652"/>
      <c r="M62" s="648"/>
      <c r="N62" s="760" t="s">
        <v>3970</v>
      </c>
      <c r="O62" s="652"/>
      <c r="P62" s="648"/>
    </row>
    <row r="63" spans="1:16" ht="21.95" customHeight="1" x14ac:dyDescent="0.25">
      <c r="A63" s="513"/>
      <c r="B63" s="765" t="s">
        <v>3971</v>
      </c>
      <c r="C63" s="652"/>
      <c r="D63" s="648"/>
      <c r="E63" s="765" t="s">
        <v>3972</v>
      </c>
      <c r="F63" s="652"/>
      <c r="G63" s="648"/>
      <c r="H63" s="765" t="s">
        <v>3973</v>
      </c>
      <c r="I63" s="652"/>
      <c r="J63" s="648"/>
      <c r="K63" s="765" t="s">
        <v>3974</v>
      </c>
      <c r="L63" s="652"/>
      <c r="M63" s="648"/>
      <c r="N63" s="765" t="s">
        <v>3975</v>
      </c>
      <c r="O63" s="652"/>
      <c r="P63" s="648"/>
    </row>
    <row r="64" spans="1:16" ht="15" customHeight="1" x14ac:dyDescent="0.25">
      <c r="A64" s="513"/>
      <c r="B64" s="759" t="s">
        <v>3976</v>
      </c>
      <c r="C64" s="652"/>
      <c r="D64" s="648"/>
      <c r="E64" s="759" t="s">
        <v>3977</v>
      </c>
      <c r="F64" s="652"/>
      <c r="G64" s="648"/>
      <c r="H64" s="767" t="s">
        <v>3978</v>
      </c>
      <c r="I64" s="652"/>
      <c r="J64" s="648"/>
      <c r="K64" s="759" t="s">
        <v>3979</v>
      </c>
      <c r="L64" s="652"/>
      <c r="M64" s="648"/>
      <c r="N64" s="767" t="s">
        <v>3980</v>
      </c>
      <c r="O64" s="652"/>
      <c r="P64" s="648"/>
    </row>
    <row r="65" spans="1:16" ht="17.100000000000001" customHeight="1" x14ac:dyDescent="0.25">
      <c r="A65" s="513"/>
      <c r="B65" s="513"/>
      <c r="C65" s="513"/>
      <c r="D65" s="513"/>
      <c r="E65" s="513"/>
      <c r="F65" s="513"/>
      <c r="G65" s="549"/>
      <c r="H65" s="550"/>
      <c r="I65" s="513"/>
      <c r="J65" s="513"/>
      <c r="K65" s="513"/>
      <c r="L65" s="513"/>
      <c r="M65" s="549"/>
      <c r="N65" s="550"/>
      <c r="O65" s="550"/>
      <c r="P65" s="513"/>
    </row>
    <row r="66" spans="1:16" ht="20.100000000000001" customHeight="1" x14ac:dyDescent="0.25">
      <c r="A66" s="513"/>
      <c r="B66" s="756" t="s">
        <v>3981</v>
      </c>
      <c r="C66" s="652"/>
      <c r="D66" s="652"/>
      <c r="E66" s="652"/>
      <c r="F66" s="652"/>
      <c r="G66" s="652"/>
      <c r="H66" s="648"/>
      <c r="I66" s="538"/>
      <c r="J66" s="751" t="s">
        <v>3982</v>
      </c>
      <c r="K66" s="652"/>
      <c r="L66" s="652"/>
      <c r="M66" s="652"/>
      <c r="N66" s="652"/>
      <c r="O66" s="652"/>
      <c r="P66" s="648"/>
    </row>
    <row r="67" spans="1:16" ht="18" customHeight="1" x14ac:dyDescent="0.25">
      <c r="A67" s="513"/>
      <c r="B67" s="539" t="s">
        <v>48</v>
      </c>
      <c r="C67" s="539" t="s">
        <v>76</v>
      </c>
      <c r="D67" s="539" t="s">
        <v>2561</v>
      </c>
      <c r="E67" s="539" t="s">
        <v>1229</v>
      </c>
      <c r="F67" s="539" t="s">
        <v>3953</v>
      </c>
      <c r="G67" s="539" t="s">
        <v>3954</v>
      </c>
      <c r="H67" s="539" t="s">
        <v>3955</v>
      </c>
      <c r="I67" s="513"/>
      <c r="J67" s="540" t="s">
        <v>48</v>
      </c>
      <c r="K67" s="540" t="s">
        <v>76</v>
      </c>
      <c r="L67" s="540" t="s">
        <v>3956</v>
      </c>
      <c r="M67" s="551" t="s">
        <v>3957</v>
      </c>
      <c r="N67" s="552" t="s">
        <v>3958</v>
      </c>
      <c r="O67" s="552" t="s">
        <v>3959</v>
      </c>
      <c r="P67" s="540" t="s">
        <v>3983</v>
      </c>
    </row>
    <row r="68" spans="1:16" ht="17.100000000000001" customHeight="1" x14ac:dyDescent="0.25">
      <c r="A68" s="513"/>
      <c r="B68" s="541">
        <v>2</v>
      </c>
      <c r="C68" s="541" t="s">
        <v>88</v>
      </c>
      <c r="D68" s="541" t="s">
        <v>1283</v>
      </c>
      <c r="E68" s="542" t="s">
        <v>1284</v>
      </c>
      <c r="F68" s="542" t="s">
        <v>1282</v>
      </c>
      <c r="G68" s="543">
        <v>5</v>
      </c>
      <c r="H68" s="544">
        <v>15528</v>
      </c>
      <c r="I68" s="513"/>
      <c r="J68" s="541">
        <v>2</v>
      </c>
      <c r="K68" s="541" t="s">
        <v>88</v>
      </c>
      <c r="L68" s="542" t="s">
        <v>1152</v>
      </c>
      <c r="M68" s="543">
        <v>1</v>
      </c>
      <c r="N68" s="544">
        <v>4167</v>
      </c>
      <c r="O68" s="544">
        <v>4500</v>
      </c>
      <c r="P68" s="541" t="s">
        <v>3984</v>
      </c>
    </row>
    <row r="69" spans="1:16" ht="17.100000000000001" customHeight="1" x14ac:dyDescent="0.25">
      <c r="A69" s="513"/>
      <c r="B69" s="541">
        <v>2</v>
      </c>
      <c r="C69" s="541" t="s">
        <v>88</v>
      </c>
      <c r="D69" s="541" t="s">
        <v>1283</v>
      </c>
      <c r="E69" s="542" t="s">
        <v>1284</v>
      </c>
      <c r="F69" s="542" t="s">
        <v>1285</v>
      </c>
      <c r="G69" s="543">
        <v>5</v>
      </c>
      <c r="H69" s="544">
        <v>15528</v>
      </c>
      <c r="I69" s="513"/>
      <c r="J69" s="541">
        <v>4</v>
      </c>
      <c r="K69" s="541" t="s">
        <v>92</v>
      </c>
      <c r="L69" s="542" t="s">
        <v>1174</v>
      </c>
      <c r="M69" s="543">
        <v>0</v>
      </c>
      <c r="N69" s="544">
        <v>0</v>
      </c>
      <c r="O69" s="544">
        <v>0</v>
      </c>
      <c r="P69" s="541" t="s">
        <v>3984</v>
      </c>
    </row>
    <row r="70" spans="1:16" ht="17.100000000000001" customHeight="1" x14ac:dyDescent="0.25">
      <c r="A70" s="513"/>
      <c r="B70" s="541">
        <v>2</v>
      </c>
      <c r="C70" s="541" t="s">
        <v>88</v>
      </c>
      <c r="D70" s="541" t="s">
        <v>1283</v>
      </c>
      <c r="E70" s="542" t="s">
        <v>1284</v>
      </c>
      <c r="F70" s="542" t="s">
        <v>1286</v>
      </c>
      <c r="G70" s="543">
        <v>5</v>
      </c>
      <c r="H70" s="544">
        <v>6545</v>
      </c>
      <c r="I70" s="513"/>
      <c r="J70" s="541">
        <v>4</v>
      </c>
      <c r="K70" s="541" t="s">
        <v>92</v>
      </c>
      <c r="L70" s="542" t="s">
        <v>1152</v>
      </c>
      <c r="M70" s="543">
        <v>3</v>
      </c>
      <c r="N70" s="544">
        <v>4167</v>
      </c>
      <c r="O70" s="544">
        <v>13500</v>
      </c>
      <c r="P70" s="541" t="s">
        <v>3984</v>
      </c>
    </row>
    <row r="71" spans="1:16" ht="17.100000000000001" customHeight="1" x14ac:dyDescent="0.25">
      <c r="A71" s="513"/>
      <c r="B71" s="541">
        <v>2</v>
      </c>
      <c r="C71" s="541" t="s">
        <v>88</v>
      </c>
      <c r="D71" s="541" t="s">
        <v>1283</v>
      </c>
      <c r="E71" s="542" t="s">
        <v>1284</v>
      </c>
      <c r="F71" s="542" t="s">
        <v>1287</v>
      </c>
      <c r="G71" s="543">
        <v>5</v>
      </c>
      <c r="H71" s="544">
        <v>12852</v>
      </c>
      <c r="I71" s="513"/>
      <c r="J71" s="541">
        <v>6</v>
      </c>
      <c r="K71" s="541" t="s">
        <v>96</v>
      </c>
      <c r="L71" s="542" t="s">
        <v>1199</v>
      </c>
      <c r="M71" s="543">
        <v>2</v>
      </c>
      <c r="N71" s="544">
        <v>4167</v>
      </c>
      <c r="O71" s="544">
        <v>9000</v>
      </c>
      <c r="P71" s="541" t="s">
        <v>3984</v>
      </c>
    </row>
    <row r="72" spans="1:16" ht="17.100000000000001" customHeight="1" x14ac:dyDescent="0.25">
      <c r="A72" s="513"/>
      <c r="B72" s="541">
        <v>2</v>
      </c>
      <c r="C72" s="541" t="s">
        <v>88</v>
      </c>
      <c r="D72" s="541" t="s">
        <v>1283</v>
      </c>
      <c r="E72" s="542" t="s">
        <v>1284</v>
      </c>
      <c r="F72" s="542" t="s">
        <v>1288</v>
      </c>
      <c r="G72" s="543">
        <v>3</v>
      </c>
      <c r="H72" s="544">
        <v>11281</v>
      </c>
      <c r="I72" s="513"/>
      <c r="J72" s="541">
        <v>9</v>
      </c>
      <c r="K72" s="541" t="s">
        <v>102</v>
      </c>
      <c r="L72" s="542" t="s">
        <v>1152</v>
      </c>
      <c r="M72" s="543">
        <v>2</v>
      </c>
      <c r="N72" s="544">
        <v>4167</v>
      </c>
      <c r="O72" s="544">
        <v>9000</v>
      </c>
      <c r="P72" s="541" t="s">
        <v>3984</v>
      </c>
    </row>
    <row r="73" spans="1:16" ht="17.100000000000001" customHeight="1" x14ac:dyDescent="0.25">
      <c r="A73" s="513"/>
      <c r="B73" s="541">
        <v>2</v>
      </c>
      <c r="C73" s="541" t="s">
        <v>88</v>
      </c>
      <c r="D73" s="541" t="s">
        <v>1283</v>
      </c>
      <c r="E73" s="542" t="s">
        <v>1284</v>
      </c>
      <c r="F73" s="542" t="s">
        <v>1289</v>
      </c>
      <c r="G73" s="543">
        <v>3</v>
      </c>
      <c r="H73" s="544">
        <v>11281</v>
      </c>
      <c r="I73" s="513"/>
      <c r="J73" s="541">
        <v>12</v>
      </c>
      <c r="K73" s="541" t="s">
        <v>106</v>
      </c>
      <c r="L73" s="542" t="s">
        <v>1174</v>
      </c>
      <c r="M73" s="543">
        <v>0</v>
      </c>
      <c r="N73" s="544">
        <v>0</v>
      </c>
      <c r="O73" s="544">
        <v>0</v>
      </c>
      <c r="P73" s="541" t="s">
        <v>3984</v>
      </c>
    </row>
    <row r="74" spans="1:16" ht="17.100000000000001" customHeight="1" x14ac:dyDescent="0.25">
      <c r="A74" s="513"/>
      <c r="B74" s="541">
        <v>2</v>
      </c>
      <c r="C74" s="541" t="s">
        <v>88</v>
      </c>
      <c r="D74" s="541" t="s">
        <v>1283</v>
      </c>
      <c r="E74" s="542" t="s">
        <v>1284</v>
      </c>
      <c r="F74" s="542" t="s">
        <v>1291</v>
      </c>
      <c r="G74" s="543">
        <v>70</v>
      </c>
      <c r="H74" s="544">
        <v>292600</v>
      </c>
      <c r="I74" s="513"/>
      <c r="J74" s="541">
        <v>12</v>
      </c>
      <c r="K74" s="541" t="s">
        <v>106</v>
      </c>
      <c r="L74" s="542" t="s">
        <v>1152</v>
      </c>
      <c r="M74" s="543">
        <v>2</v>
      </c>
      <c r="N74" s="544">
        <v>4167</v>
      </c>
      <c r="O74" s="544">
        <v>9000</v>
      </c>
      <c r="P74" s="541" t="s">
        <v>3984</v>
      </c>
    </row>
    <row r="75" spans="1:16" ht="17.100000000000001" customHeight="1" x14ac:dyDescent="0.25">
      <c r="A75" s="513"/>
      <c r="B75" s="541">
        <v>2</v>
      </c>
      <c r="C75" s="541" t="s">
        <v>88</v>
      </c>
      <c r="D75" s="541" t="s">
        <v>1283</v>
      </c>
      <c r="E75" s="542" t="s">
        <v>1284</v>
      </c>
      <c r="F75" s="542" t="s">
        <v>1293</v>
      </c>
      <c r="G75" s="543">
        <v>4</v>
      </c>
      <c r="H75" s="544">
        <v>72800</v>
      </c>
      <c r="I75" s="513"/>
      <c r="J75" s="541">
        <v>13</v>
      </c>
      <c r="K75" s="541" t="s">
        <v>112</v>
      </c>
      <c r="L75" s="542" t="s">
        <v>1199</v>
      </c>
      <c r="M75" s="543">
        <v>1</v>
      </c>
      <c r="N75" s="544">
        <v>4167</v>
      </c>
      <c r="O75" s="544">
        <v>4500</v>
      </c>
      <c r="P75" s="541" t="s">
        <v>3984</v>
      </c>
    </row>
    <row r="76" spans="1:16" ht="17.100000000000001" customHeight="1" x14ac:dyDescent="0.25">
      <c r="A76" s="513"/>
      <c r="B76" s="541">
        <v>9</v>
      </c>
      <c r="C76" s="541" t="s">
        <v>102</v>
      </c>
      <c r="D76" s="541" t="s">
        <v>684</v>
      </c>
      <c r="E76" s="542" t="s">
        <v>1344</v>
      </c>
      <c r="F76" s="542" t="s">
        <v>686</v>
      </c>
      <c r="G76" s="543">
        <v>5</v>
      </c>
      <c r="H76" s="544">
        <v>15800</v>
      </c>
      <c r="I76" s="513"/>
      <c r="J76" s="541">
        <v>13</v>
      </c>
      <c r="K76" s="541" t="s">
        <v>112</v>
      </c>
      <c r="L76" s="542" t="s">
        <v>1152</v>
      </c>
      <c r="M76" s="543">
        <v>4</v>
      </c>
      <c r="N76" s="544">
        <v>4167</v>
      </c>
      <c r="O76" s="544">
        <v>18000</v>
      </c>
      <c r="P76" s="541" t="s">
        <v>3984</v>
      </c>
    </row>
    <row r="77" spans="1:16" ht="17.100000000000001" customHeight="1" x14ac:dyDescent="0.25">
      <c r="A77" s="513"/>
      <c r="B77" s="541">
        <v>9</v>
      </c>
      <c r="C77" s="541" t="s">
        <v>102</v>
      </c>
      <c r="D77" s="541" t="s">
        <v>684</v>
      </c>
      <c r="E77" s="542" t="s">
        <v>1344</v>
      </c>
      <c r="F77" s="542" t="s">
        <v>688</v>
      </c>
      <c r="G77" s="543">
        <v>5</v>
      </c>
      <c r="H77" s="544">
        <v>12550</v>
      </c>
      <c r="I77" s="513"/>
      <c r="J77" s="541">
        <v>15</v>
      </c>
      <c r="K77" s="541" t="s">
        <v>118</v>
      </c>
      <c r="L77" s="542" t="s">
        <v>1152</v>
      </c>
      <c r="M77" s="543">
        <v>1</v>
      </c>
      <c r="N77" s="544">
        <v>4167</v>
      </c>
      <c r="O77" s="544">
        <v>4500</v>
      </c>
      <c r="P77" s="541" t="s">
        <v>3984</v>
      </c>
    </row>
    <row r="78" spans="1:16" ht="17.100000000000001" customHeight="1" x14ac:dyDescent="0.25">
      <c r="A78" s="513"/>
      <c r="B78" s="541">
        <v>9</v>
      </c>
      <c r="C78" s="541" t="s">
        <v>102</v>
      </c>
      <c r="D78" s="541" t="s">
        <v>684</v>
      </c>
      <c r="E78" s="542" t="s">
        <v>1344</v>
      </c>
      <c r="F78" s="542" t="s">
        <v>690</v>
      </c>
      <c r="G78" s="543">
        <v>2</v>
      </c>
      <c r="H78" s="544">
        <v>36400</v>
      </c>
      <c r="I78" s="513"/>
      <c r="J78" s="541">
        <v>16</v>
      </c>
      <c r="K78" s="541" t="s">
        <v>121</v>
      </c>
      <c r="L78" s="542" t="s">
        <v>1199</v>
      </c>
      <c r="M78" s="543">
        <v>1</v>
      </c>
      <c r="N78" s="544">
        <v>4167</v>
      </c>
      <c r="O78" s="544">
        <v>4500</v>
      </c>
      <c r="P78" s="541" t="s">
        <v>3984</v>
      </c>
    </row>
    <row r="79" spans="1:16" ht="17.100000000000001" customHeight="1" x14ac:dyDescent="0.25">
      <c r="A79" s="513"/>
      <c r="B79" s="541">
        <v>9</v>
      </c>
      <c r="C79" s="541" t="s">
        <v>102</v>
      </c>
      <c r="D79" s="541" t="s">
        <v>684</v>
      </c>
      <c r="E79" s="542" t="s">
        <v>1344</v>
      </c>
      <c r="F79" s="542" t="s">
        <v>692</v>
      </c>
      <c r="G79" s="543">
        <v>70</v>
      </c>
      <c r="H79" s="544">
        <v>292600</v>
      </c>
      <c r="I79" s="513"/>
      <c r="J79" s="541">
        <v>16</v>
      </c>
      <c r="K79" s="541" t="s">
        <v>121</v>
      </c>
      <c r="L79" s="542" t="s">
        <v>1152</v>
      </c>
      <c r="M79" s="543">
        <v>1</v>
      </c>
      <c r="N79" s="544">
        <v>2874</v>
      </c>
      <c r="O79" s="544">
        <v>3103</v>
      </c>
      <c r="P79" s="541" t="s">
        <v>3984</v>
      </c>
    </row>
    <row r="80" spans="1:16" ht="17.100000000000001" customHeight="1" x14ac:dyDescent="0.25">
      <c r="A80" s="513"/>
      <c r="B80" s="541">
        <v>9</v>
      </c>
      <c r="C80" s="541" t="s">
        <v>102</v>
      </c>
      <c r="D80" s="541" t="s">
        <v>684</v>
      </c>
      <c r="E80" s="542" t="s">
        <v>1344</v>
      </c>
      <c r="F80" s="542" t="s">
        <v>694</v>
      </c>
      <c r="G80" s="543">
        <v>6</v>
      </c>
      <c r="H80" s="544">
        <v>6600</v>
      </c>
      <c r="I80" s="513"/>
      <c r="J80" s="541">
        <v>17</v>
      </c>
      <c r="K80" s="541" t="s">
        <v>124</v>
      </c>
      <c r="L80" s="542" t="s">
        <v>1152</v>
      </c>
      <c r="M80" s="543">
        <v>1</v>
      </c>
      <c r="N80" s="544">
        <v>4167</v>
      </c>
      <c r="O80" s="544">
        <v>4500</v>
      </c>
      <c r="P80" s="541" t="s">
        <v>3984</v>
      </c>
    </row>
    <row r="81" spans="1:16" ht="17.100000000000001" customHeight="1" x14ac:dyDescent="0.25">
      <c r="A81" s="513"/>
      <c r="B81" s="541">
        <v>9</v>
      </c>
      <c r="C81" s="541" t="s">
        <v>102</v>
      </c>
      <c r="D81" s="541" t="s">
        <v>684</v>
      </c>
      <c r="E81" s="542" t="s">
        <v>1344</v>
      </c>
      <c r="F81" s="542" t="s">
        <v>696</v>
      </c>
      <c r="G81" s="543">
        <v>6</v>
      </c>
      <c r="H81" s="544">
        <v>15060</v>
      </c>
      <c r="I81" s="513"/>
      <c r="J81" s="541">
        <v>19</v>
      </c>
      <c r="K81" s="541" t="s">
        <v>130</v>
      </c>
      <c r="L81" s="542" t="s">
        <v>1199</v>
      </c>
      <c r="M81" s="543">
        <v>1</v>
      </c>
      <c r="N81" s="544">
        <v>4167</v>
      </c>
      <c r="O81" s="544">
        <v>4500</v>
      </c>
      <c r="P81" s="541" t="s">
        <v>3984</v>
      </c>
    </row>
    <row r="82" spans="1:16" ht="17.100000000000001" customHeight="1" x14ac:dyDescent="0.25">
      <c r="A82" s="513"/>
      <c r="B82" s="541">
        <v>9</v>
      </c>
      <c r="C82" s="541" t="s">
        <v>102</v>
      </c>
      <c r="D82" s="541" t="s">
        <v>684</v>
      </c>
      <c r="E82" s="542" t="s">
        <v>1344</v>
      </c>
      <c r="F82" s="542" t="s">
        <v>698</v>
      </c>
      <c r="G82" s="543">
        <v>5</v>
      </c>
      <c r="H82" s="544">
        <v>15800</v>
      </c>
      <c r="I82" s="513"/>
      <c r="J82" s="541">
        <v>20</v>
      </c>
      <c r="K82" s="541" t="s">
        <v>133</v>
      </c>
      <c r="L82" s="542" t="s">
        <v>1152</v>
      </c>
      <c r="M82" s="543">
        <v>1</v>
      </c>
      <c r="N82" s="544">
        <v>4167</v>
      </c>
      <c r="O82" s="544">
        <v>4500</v>
      </c>
      <c r="P82" s="541" t="s">
        <v>3984</v>
      </c>
    </row>
    <row r="83" spans="1:16" ht="17.100000000000001" customHeight="1" x14ac:dyDescent="0.25">
      <c r="A83" s="513"/>
      <c r="B83" s="541">
        <v>9</v>
      </c>
      <c r="C83" s="541" t="s">
        <v>102</v>
      </c>
      <c r="D83" s="541" t="s">
        <v>684</v>
      </c>
      <c r="E83" s="542" t="s">
        <v>1344</v>
      </c>
      <c r="F83" s="542" t="s">
        <v>700</v>
      </c>
      <c r="G83" s="543">
        <v>6</v>
      </c>
      <c r="H83" s="544">
        <v>18960</v>
      </c>
      <c r="I83" s="513"/>
      <c r="J83" s="545"/>
      <c r="K83" s="545"/>
      <c r="L83" s="545"/>
      <c r="M83" s="553"/>
      <c r="N83" s="554"/>
      <c r="O83" s="554"/>
      <c r="P83" s="545"/>
    </row>
    <row r="84" spans="1:16" ht="17.100000000000001" customHeight="1" x14ac:dyDescent="0.25">
      <c r="A84" s="513"/>
      <c r="B84" s="541">
        <v>15</v>
      </c>
      <c r="C84" s="541" t="s">
        <v>118</v>
      </c>
      <c r="D84" s="541" t="s">
        <v>744</v>
      </c>
      <c r="E84" s="542" t="s">
        <v>1284</v>
      </c>
      <c r="F84" s="542" t="s">
        <v>1901</v>
      </c>
      <c r="G84" s="543">
        <v>2</v>
      </c>
      <c r="H84" s="544">
        <v>36400</v>
      </c>
      <c r="I84" s="513"/>
      <c r="J84" s="545"/>
      <c r="K84" s="545"/>
      <c r="L84" s="545"/>
      <c r="M84" s="553"/>
      <c r="N84" s="554"/>
      <c r="O84" s="554"/>
      <c r="P84" s="545"/>
    </row>
    <row r="85" spans="1:16" ht="17.100000000000001" customHeight="1" x14ac:dyDescent="0.25">
      <c r="A85" s="513"/>
      <c r="B85" s="541">
        <v>15</v>
      </c>
      <c r="C85" s="541" t="s">
        <v>118</v>
      </c>
      <c r="D85" s="541" t="s">
        <v>744</v>
      </c>
      <c r="E85" s="542" t="s">
        <v>1284</v>
      </c>
      <c r="F85" s="542" t="s">
        <v>1904</v>
      </c>
      <c r="G85" s="543">
        <v>70</v>
      </c>
      <c r="H85" s="544">
        <v>292600</v>
      </c>
      <c r="I85" s="513"/>
      <c r="J85" s="545"/>
      <c r="K85" s="545"/>
      <c r="L85" s="545"/>
      <c r="M85" s="553"/>
      <c r="N85" s="554"/>
      <c r="O85" s="554"/>
      <c r="P85" s="545"/>
    </row>
    <row r="86" spans="1:16" ht="17.100000000000001" customHeight="1" x14ac:dyDescent="0.25">
      <c r="A86" s="513"/>
      <c r="B86" s="541">
        <v>15</v>
      </c>
      <c r="C86" s="541" t="s">
        <v>118</v>
      </c>
      <c r="D86" s="541" t="s">
        <v>744</v>
      </c>
      <c r="E86" s="542" t="s">
        <v>1284</v>
      </c>
      <c r="F86" s="542" t="s">
        <v>746</v>
      </c>
      <c r="G86" s="543">
        <v>4</v>
      </c>
      <c r="H86" s="544">
        <v>5236</v>
      </c>
      <c r="I86" s="513"/>
      <c r="J86" s="545"/>
      <c r="K86" s="545"/>
      <c r="L86" s="545"/>
      <c r="M86" s="553"/>
      <c r="N86" s="554"/>
      <c r="O86" s="554"/>
      <c r="P86" s="545"/>
    </row>
    <row r="87" spans="1:16" ht="17.100000000000001" customHeight="1" x14ac:dyDescent="0.25">
      <c r="A87" s="513"/>
      <c r="B87" s="541">
        <v>11</v>
      </c>
      <c r="C87" s="541" t="s">
        <v>104</v>
      </c>
      <c r="D87" s="541" t="s">
        <v>2232</v>
      </c>
      <c r="E87" s="542" t="s">
        <v>1365</v>
      </c>
      <c r="F87" s="542" t="s">
        <v>2233</v>
      </c>
      <c r="G87" s="543">
        <v>2</v>
      </c>
      <c r="H87" s="544">
        <v>39600</v>
      </c>
      <c r="I87" s="513"/>
      <c r="J87" s="545"/>
      <c r="K87" s="545"/>
      <c r="L87" s="545"/>
      <c r="M87" s="553"/>
      <c r="N87" s="554"/>
      <c r="O87" s="554"/>
      <c r="P87" s="545"/>
    </row>
    <row r="88" spans="1:16" ht="20.100000000000001" customHeight="1" x14ac:dyDescent="0.25">
      <c r="A88" s="513"/>
      <c r="B88" s="761" t="s">
        <v>3985</v>
      </c>
      <c r="C88" s="652"/>
      <c r="D88" s="652"/>
      <c r="E88" s="652"/>
      <c r="F88" s="648"/>
      <c r="G88" s="546">
        <f>SUM(G68:G87)</f>
        <v>283</v>
      </c>
      <c r="H88" s="547">
        <f>SUM(H68:H87)</f>
        <v>1226021</v>
      </c>
      <c r="I88" s="513"/>
      <c r="J88" s="761" t="s">
        <v>3986</v>
      </c>
      <c r="K88" s="652"/>
      <c r="L88" s="648"/>
      <c r="M88" s="546">
        <v>21</v>
      </c>
      <c r="N88" s="555" t="s">
        <v>44</v>
      </c>
      <c r="O88" s="547">
        <v>93103</v>
      </c>
      <c r="P88" s="548" t="s">
        <v>44</v>
      </c>
    </row>
    <row r="89" spans="1:16" ht="17.100000000000001" customHeight="1" x14ac:dyDescent="0.25">
      <c r="A89" s="513"/>
      <c r="B89" s="513"/>
      <c r="C89" s="513"/>
      <c r="D89" s="513"/>
      <c r="E89" s="513"/>
      <c r="F89" s="513"/>
      <c r="G89" s="513"/>
      <c r="H89" s="513"/>
      <c r="I89" s="513"/>
      <c r="J89" s="513"/>
      <c r="K89" s="513"/>
      <c r="L89" s="513"/>
      <c r="M89" s="549"/>
      <c r="N89" s="550"/>
      <c r="O89" s="550"/>
      <c r="P89" s="513"/>
    </row>
    <row r="90" spans="1:16" ht="17.100000000000001" customHeight="1" x14ac:dyDescent="0.25">
      <c r="A90" s="513"/>
      <c r="B90" s="513"/>
      <c r="C90" s="513"/>
      <c r="D90" s="513"/>
      <c r="E90" s="513"/>
      <c r="F90" s="513"/>
      <c r="G90" s="549"/>
      <c r="H90" s="550"/>
      <c r="I90" s="513"/>
      <c r="J90" s="513"/>
      <c r="K90" s="513"/>
      <c r="L90" s="513"/>
      <c r="M90" s="549"/>
      <c r="N90" s="550"/>
      <c r="O90" s="550"/>
      <c r="P90" s="513"/>
    </row>
    <row r="91" spans="1:16" ht="21.95" customHeight="1" x14ac:dyDescent="0.25">
      <c r="A91" s="513"/>
      <c r="B91" s="752" t="s">
        <v>3987</v>
      </c>
      <c r="C91" s="642"/>
      <c r="D91" s="642"/>
      <c r="E91" s="642"/>
      <c r="F91" s="642"/>
      <c r="G91" s="642"/>
      <c r="H91" s="642"/>
      <c r="I91" s="642"/>
      <c r="J91" s="642"/>
      <c r="K91" s="642"/>
      <c r="L91" s="642"/>
      <c r="M91" s="642"/>
      <c r="N91" s="642"/>
      <c r="O91" s="642"/>
      <c r="P91" s="642"/>
    </row>
    <row r="92" spans="1:16" ht="15.95" customHeight="1" x14ac:dyDescent="0.25">
      <c r="A92" s="513"/>
      <c r="B92" s="755" t="s">
        <v>3988</v>
      </c>
      <c r="C92" s="652"/>
      <c r="D92" s="652"/>
      <c r="E92" s="652"/>
      <c r="F92" s="652"/>
      <c r="G92" s="652"/>
      <c r="H92" s="652"/>
      <c r="I92" s="652"/>
      <c r="J92" s="652"/>
      <c r="K92" s="652"/>
      <c r="L92" s="652"/>
      <c r="M92" s="652"/>
      <c r="N92" s="652"/>
      <c r="O92" s="652"/>
      <c r="P92" s="648"/>
    </row>
    <row r="93" spans="1:16" ht="20.100000000000001" customHeight="1" x14ac:dyDescent="0.25">
      <c r="A93" s="513"/>
      <c r="B93" s="756" t="s">
        <v>3989</v>
      </c>
      <c r="C93" s="652"/>
      <c r="D93" s="652"/>
      <c r="E93" s="652"/>
      <c r="F93" s="652"/>
      <c r="G93" s="652"/>
      <c r="H93" s="648"/>
      <c r="I93" s="538"/>
      <c r="J93" s="751" t="s">
        <v>3990</v>
      </c>
      <c r="K93" s="652"/>
      <c r="L93" s="652"/>
      <c r="M93" s="652"/>
      <c r="N93" s="652"/>
      <c r="O93" s="652"/>
      <c r="P93" s="648"/>
    </row>
    <row r="94" spans="1:16" ht="18" customHeight="1" x14ac:dyDescent="0.25">
      <c r="A94" s="513"/>
      <c r="B94" s="539" t="s">
        <v>48</v>
      </c>
      <c r="C94" s="539" t="s">
        <v>76</v>
      </c>
      <c r="D94" s="539" t="s">
        <v>2561</v>
      </c>
      <c r="E94" s="539" t="s">
        <v>1229</v>
      </c>
      <c r="F94" s="539" t="s">
        <v>3953</v>
      </c>
      <c r="G94" s="539" t="s">
        <v>3954</v>
      </c>
      <c r="H94" s="539" t="s">
        <v>3955</v>
      </c>
      <c r="I94" s="513"/>
      <c r="J94" s="540" t="s">
        <v>48</v>
      </c>
      <c r="K94" s="540" t="s">
        <v>76</v>
      </c>
      <c r="L94" s="540" t="s">
        <v>3956</v>
      </c>
      <c r="M94" s="551" t="s">
        <v>3957</v>
      </c>
      <c r="N94" s="552" t="s">
        <v>3958</v>
      </c>
      <c r="O94" s="552" t="s">
        <v>3959</v>
      </c>
      <c r="P94" s="540" t="s">
        <v>3960</v>
      </c>
    </row>
    <row r="95" spans="1:16" ht="17.100000000000001" customHeight="1" x14ac:dyDescent="0.25">
      <c r="A95" s="513"/>
      <c r="B95" s="541">
        <v>9</v>
      </c>
      <c r="C95" s="541" t="s">
        <v>102</v>
      </c>
      <c r="D95" s="541" t="s">
        <v>645</v>
      </c>
      <c r="E95" s="542" t="s">
        <v>1365</v>
      </c>
      <c r="F95" s="542" t="s">
        <v>647</v>
      </c>
      <c r="G95" s="543">
        <v>720</v>
      </c>
      <c r="H95" s="544">
        <v>504000</v>
      </c>
      <c r="I95" s="513"/>
      <c r="J95" s="541">
        <v>4</v>
      </c>
      <c r="K95" s="541" t="s">
        <v>92</v>
      </c>
      <c r="L95" s="542" t="s">
        <v>1176</v>
      </c>
      <c r="M95" s="543">
        <v>1</v>
      </c>
      <c r="N95" s="544">
        <v>2315</v>
      </c>
      <c r="O95" s="544">
        <v>2500</v>
      </c>
      <c r="P95" s="541" t="s">
        <v>3961</v>
      </c>
    </row>
    <row r="96" spans="1:16" ht="17.100000000000001" customHeight="1" x14ac:dyDescent="0.25">
      <c r="A96" s="513"/>
      <c r="B96" s="545"/>
      <c r="C96" s="545"/>
      <c r="D96" s="545"/>
      <c r="E96" s="545"/>
      <c r="F96" s="545"/>
      <c r="G96" s="545"/>
      <c r="H96" s="545"/>
      <c r="I96" s="513"/>
      <c r="J96" s="541">
        <v>12</v>
      </c>
      <c r="K96" s="541" t="s">
        <v>106</v>
      </c>
      <c r="L96" s="542" t="s">
        <v>1176</v>
      </c>
      <c r="M96" s="543">
        <v>1</v>
      </c>
      <c r="N96" s="544">
        <v>2315</v>
      </c>
      <c r="O96" s="544">
        <v>2500</v>
      </c>
      <c r="P96" s="541" t="s">
        <v>3961</v>
      </c>
    </row>
    <row r="97" spans="1:16" ht="17.100000000000001" customHeight="1" x14ac:dyDescent="0.25">
      <c r="A97" s="513"/>
      <c r="B97" s="545"/>
      <c r="C97" s="545"/>
      <c r="D97" s="545"/>
      <c r="E97" s="545"/>
      <c r="F97" s="545"/>
      <c r="G97" s="545"/>
      <c r="H97" s="545"/>
      <c r="I97" s="513"/>
      <c r="J97" s="541">
        <v>13</v>
      </c>
      <c r="K97" s="541" t="s">
        <v>112</v>
      </c>
      <c r="L97" s="542" t="s">
        <v>1176</v>
      </c>
      <c r="M97" s="543">
        <v>2</v>
      </c>
      <c r="N97" s="544">
        <v>2315</v>
      </c>
      <c r="O97" s="544">
        <v>5000</v>
      </c>
      <c r="P97" s="541" t="s">
        <v>3961</v>
      </c>
    </row>
    <row r="98" spans="1:16" ht="17.100000000000001" customHeight="1" x14ac:dyDescent="0.25">
      <c r="A98" s="513"/>
      <c r="B98" s="545"/>
      <c r="C98" s="545"/>
      <c r="D98" s="545"/>
      <c r="E98" s="545"/>
      <c r="F98" s="545"/>
      <c r="G98" s="545"/>
      <c r="H98" s="545"/>
      <c r="I98" s="513"/>
      <c r="J98" s="541">
        <v>16</v>
      </c>
      <c r="K98" s="541" t="s">
        <v>121</v>
      </c>
      <c r="L98" s="542" t="s">
        <v>1176</v>
      </c>
      <c r="M98" s="543">
        <v>2</v>
      </c>
      <c r="N98" s="544">
        <v>2315</v>
      </c>
      <c r="O98" s="544">
        <v>5000</v>
      </c>
      <c r="P98" s="541" t="s">
        <v>3961</v>
      </c>
    </row>
    <row r="99" spans="1:16" ht="17.100000000000001" customHeight="1" x14ac:dyDescent="0.25">
      <c r="A99" s="513"/>
      <c r="B99" s="545"/>
      <c r="C99" s="545"/>
      <c r="D99" s="545"/>
      <c r="E99" s="545"/>
      <c r="F99" s="545"/>
      <c r="G99" s="553"/>
      <c r="H99" s="554"/>
      <c r="I99" s="513"/>
      <c r="J99" s="541">
        <v>17</v>
      </c>
      <c r="K99" s="541" t="s">
        <v>124</v>
      </c>
      <c r="L99" s="542" t="s">
        <v>1176</v>
      </c>
      <c r="M99" s="543">
        <v>1</v>
      </c>
      <c r="N99" s="544">
        <v>2315</v>
      </c>
      <c r="O99" s="544">
        <v>2500</v>
      </c>
      <c r="P99" s="541" t="s">
        <v>3961</v>
      </c>
    </row>
    <row r="100" spans="1:16" ht="17.100000000000001" customHeight="1" x14ac:dyDescent="0.25">
      <c r="A100" s="513"/>
      <c r="B100" s="545"/>
      <c r="C100" s="545"/>
      <c r="D100" s="545"/>
      <c r="E100" s="545"/>
      <c r="F100" s="545"/>
      <c r="G100" s="553"/>
      <c r="H100" s="554"/>
      <c r="I100" s="513"/>
      <c r="J100" s="541">
        <v>18</v>
      </c>
      <c r="K100" s="541" t="s">
        <v>127</v>
      </c>
      <c r="L100" s="542" t="s">
        <v>1176</v>
      </c>
      <c r="M100" s="543">
        <v>4</v>
      </c>
      <c r="N100" s="544">
        <v>2315</v>
      </c>
      <c r="O100" s="544">
        <v>10000</v>
      </c>
      <c r="P100" s="541" t="s">
        <v>3961</v>
      </c>
    </row>
    <row r="101" spans="1:16" ht="17.100000000000001" customHeight="1" x14ac:dyDescent="0.25">
      <c r="A101" s="513"/>
      <c r="B101" s="545"/>
      <c r="C101" s="545"/>
      <c r="D101" s="545"/>
      <c r="E101" s="545"/>
      <c r="F101" s="545"/>
      <c r="G101" s="553"/>
      <c r="H101" s="554"/>
      <c r="I101" s="513"/>
      <c r="J101" s="541">
        <v>19</v>
      </c>
      <c r="K101" s="541" t="s">
        <v>130</v>
      </c>
      <c r="L101" s="542" t="s">
        <v>1176</v>
      </c>
      <c r="M101" s="543">
        <v>1</v>
      </c>
      <c r="N101" s="544">
        <v>2315</v>
      </c>
      <c r="O101" s="544">
        <v>2500</v>
      </c>
      <c r="P101" s="541" t="s">
        <v>3961</v>
      </c>
    </row>
    <row r="102" spans="1:16" ht="17.100000000000001" customHeight="1" x14ac:dyDescent="0.25">
      <c r="A102" s="513"/>
      <c r="B102" s="545"/>
      <c r="C102" s="545"/>
      <c r="D102" s="545"/>
      <c r="E102" s="545"/>
      <c r="F102" s="545"/>
      <c r="G102" s="545"/>
      <c r="H102" s="545"/>
      <c r="I102" s="513"/>
      <c r="J102" s="541">
        <v>20</v>
      </c>
      <c r="K102" s="541" t="s">
        <v>133</v>
      </c>
      <c r="L102" s="542" t="s">
        <v>1176</v>
      </c>
      <c r="M102" s="543">
        <v>1</v>
      </c>
      <c r="N102" s="544">
        <v>2315</v>
      </c>
      <c r="O102" s="544">
        <v>2500</v>
      </c>
      <c r="P102" s="541" t="s">
        <v>3961</v>
      </c>
    </row>
    <row r="103" spans="1:16" ht="18.95" customHeight="1" x14ac:dyDescent="0.25">
      <c r="A103" s="513"/>
      <c r="B103" s="761" t="s">
        <v>3991</v>
      </c>
      <c r="C103" s="652"/>
      <c r="D103" s="652"/>
      <c r="E103" s="652"/>
      <c r="F103" s="648"/>
      <c r="G103" s="546">
        <v>720</v>
      </c>
      <c r="H103" s="547">
        <v>504000</v>
      </c>
      <c r="I103" s="513"/>
      <c r="J103" s="761" t="s">
        <v>3992</v>
      </c>
      <c r="K103" s="652"/>
      <c r="L103" s="648"/>
      <c r="M103" s="546">
        <v>13</v>
      </c>
      <c r="N103" s="555" t="s">
        <v>44</v>
      </c>
      <c r="O103" s="547">
        <v>32500</v>
      </c>
      <c r="P103" s="548" t="s">
        <v>44</v>
      </c>
    </row>
    <row r="104" spans="1:16" ht="17.100000000000001" customHeight="1" x14ac:dyDescent="0.25">
      <c r="A104" s="513"/>
      <c r="B104" s="513"/>
      <c r="C104" s="513"/>
      <c r="D104" s="513"/>
      <c r="E104" s="513"/>
      <c r="F104" s="513"/>
      <c r="G104" s="513"/>
      <c r="H104" s="513"/>
      <c r="I104" s="513"/>
      <c r="J104" s="513"/>
      <c r="K104" s="513"/>
      <c r="L104" s="513"/>
      <c r="M104" s="549"/>
      <c r="N104" s="550"/>
      <c r="O104" s="550"/>
      <c r="P104" s="513"/>
    </row>
    <row r="105" spans="1:16" ht="21.95" customHeight="1" x14ac:dyDescent="0.25">
      <c r="A105" s="513"/>
      <c r="B105" s="752" t="s">
        <v>3993</v>
      </c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</row>
    <row r="106" spans="1:16" ht="15.95" customHeight="1" x14ac:dyDescent="0.25">
      <c r="A106" s="513"/>
      <c r="B106" s="755" t="s">
        <v>3994</v>
      </c>
      <c r="C106" s="652"/>
      <c r="D106" s="652"/>
      <c r="E106" s="652"/>
      <c r="F106" s="652"/>
      <c r="G106" s="652"/>
      <c r="H106" s="652"/>
      <c r="I106" s="652"/>
      <c r="J106" s="652"/>
      <c r="K106" s="652"/>
      <c r="L106" s="652"/>
      <c r="M106" s="652"/>
      <c r="N106" s="652"/>
      <c r="O106" s="652"/>
      <c r="P106" s="648"/>
    </row>
    <row r="107" spans="1:16" ht="20.100000000000001" customHeight="1" x14ac:dyDescent="0.25">
      <c r="A107" s="513"/>
      <c r="B107" s="756" t="s">
        <v>3951</v>
      </c>
      <c r="C107" s="652"/>
      <c r="D107" s="652"/>
      <c r="E107" s="652"/>
      <c r="F107" s="652"/>
      <c r="G107" s="652"/>
      <c r="H107" s="648"/>
      <c r="I107" s="538"/>
      <c r="J107" s="751" t="s">
        <v>3995</v>
      </c>
      <c r="K107" s="652"/>
      <c r="L107" s="652"/>
      <c r="M107" s="652"/>
      <c r="N107" s="652"/>
      <c r="O107" s="652"/>
      <c r="P107" s="648"/>
    </row>
    <row r="108" spans="1:16" ht="18" customHeight="1" x14ac:dyDescent="0.25">
      <c r="A108" s="513"/>
      <c r="B108" s="539" t="s">
        <v>48</v>
      </c>
      <c r="C108" s="539" t="s">
        <v>76</v>
      </c>
      <c r="D108" s="539" t="s">
        <v>2561</v>
      </c>
      <c r="E108" s="539" t="s">
        <v>1229</v>
      </c>
      <c r="F108" s="539" t="s">
        <v>3953</v>
      </c>
      <c r="G108" s="539" t="s">
        <v>3954</v>
      </c>
      <c r="H108" s="539" t="s">
        <v>3955</v>
      </c>
      <c r="I108" s="513"/>
      <c r="J108" s="540" t="s">
        <v>48</v>
      </c>
      <c r="K108" s="540" t="s">
        <v>76</v>
      </c>
      <c r="L108" s="540" t="s">
        <v>3956</v>
      </c>
      <c r="M108" s="551" t="s">
        <v>3957</v>
      </c>
      <c r="N108" s="552" t="s">
        <v>3958</v>
      </c>
      <c r="O108" s="552" t="s">
        <v>3959</v>
      </c>
      <c r="P108" s="540" t="s">
        <v>3960</v>
      </c>
    </row>
    <row r="109" spans="1:16" ht="17.100000000000001" customHeight="1" x14ac:dyDescent="0.25">
      <c r="A109" s="513"/>
      <c r="B109" s="541">
        <v>5</v>
      </c>
      <c r="C109" s="541" t="s">
        <v>94</v>
      </c>
      <c r="D109" s="541" t="s">
        <v>603</v>
      </c>
      <c r="E109" s="542" t="s">
        <v>1640</v>
      </c>
      <c r="F109" s="542" t="s">
        <v>611</v>
      </c>
      <c r="G109" s="543">
        <v>6</v>
      </c>
      <c r="H109" s="544">
        <v>11344.56</v>
      </c>
      <c r="I109" s="513"/>
      <c r="J109" s="754" t="s">
        <v>3996</v>
      </c>
      <c r="K109" s="652"/>
      <c r="L109" s="652"/>
      <c r="M109" s="652"/>
      <c r="N109" s="652"/>
      <c r="O109" s="652"/>
      <c r="P109" s="648"/>
    </row>
    <row r="110" spans="1:16" ht="17.100000000000001" customHeight="1" x14ac:dyDescent="0.25">
      <c r="A110" s="513"/>
      <c r="B110" s="541">
        <v>5</v>
      </c>
      <c r="C110" s="541" t="s">
        <v>94</v>
      </c>
      <c r="D110" s="541" t="s">
        <v>603</v>
      </c>
      <c r="E110" s="542" t="s">
        <v>1640</v>
      </c>
      <c r="F110" s="542" t="s">
        <v>613</v>
      </c>
      <c r="G110" s="543">
        <v>6</v>
      </c>
      <c r="H110" s="544">
        <v>11344.56</v>
      </c>
      <c r="I110" s="513"/>
      <c r="J110" s="545"/>
      <c r="K110" s="545"/>
      <c r="L110" s="545"/>
      <c r="M110" s="553"/>
      <c r="N110" s="554"/>
      <c r="O110" s="554"/>
      <c r="P110" s="545"/>
    </row>
    <row r="111" spans="1:16" ht="18.95" customHeight="1" x14ac:dyDescent="0.25">
      <c r="A111" s="513"/>
      <c r="B111" s="761" t="s">
        <v>3997</v>
      </c>
      <c r="C111" s="652"/>
      <c r="D111" s="652"/>
      <c r="E111" s="652"/>
      <c r="F111" s="648"/>
      <c r="G111" s="546">
        <v>12</v>
      </c>
      <c r="H111" s="547">
        <v>22689.119999999999</v>
      </c>
      <c r="I111" s="513"/>
      <c r="J111" s="761" t="s">
        <v>3998</v>
      </c>
      <c r="K111" s="652"/>
      <c r="L111" s="648"/>
      <c r="M111" s="546">
        <v>0</v>
      </c>
      <c r="N111" s="555" t="s">
        <v>44</v>
      </c>
      <c r="O111" s="547">
        <v>0</v>
      </c>
      <c r="P111" s="548" t="s">
        <v>44</v>
      </c>
    </row>
    <row r="112" spans="1:16" ht="17.100000000000001" customHeight="1" x14ac:dyDescent="0.25">
      <c r="A112" s="513"/>
      <c r="B112" s="513"/>
      <c r="C112" s="513"/>
      <c r="D112" s="513"/>
      <c r="E112" s="513"/>
      <c r="F112" s="513"/>
      <c r="G112" s="513"/>
      <c r="H112" s="513"/>
      <c r="I112" s="513"/>
      <c r="J112" s="513"/>
      <c r="K112" s="513"/>
      <c r="L112" s="513"/>
      <c r="M112" s="549"/>
      <c r="N112" s="550"/>
      <c r="O112" s="550"/>
      <c r="P112" s="513"/>
    </row>
    <row r="113" spans="1:16" ht="21.95" customHeight="1" x14ac:dyDescent="0.25">
      <c r="A113" s="513"/>
      <c r="B113" s="752" t="s">
        <v>3999</v>
      </c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42"/>
      <c r="P113" s="642"/>
    </row>
    <row r="114" spans="1:16" ht="15.95" customHeight="1" x14ac:dyDescent="0.25">
      <c r="A114" s="513"/>
      <c r="B114" s="755" t="s">
        <v>4000</v>
      </c>
      <c r="C114" s="652"/>
      <c r="D114" s="652"/>
      <c r="E114" s="652"/>
      <c r="F114" s="652"/>
      <c r="G114" s="652"/>
      <c r="H114" s="652"/>
      <c r="I114" s="652"/>
      <c r="J114" s="652"/>
      <c r="K114" s="652"/>
      <c r="L114" s="652"/>
      <c r="M114" s="652"/>
      <c r="N114" s="652"/>
      <c r="O114" s="652"/>
      <c r="P114" s="648"/>
    </row>
    <row r="115" spans="1:16" ht="20.100000000000001" customHeight="1" x14ac:dyDescent="0.25">
      <c r="A115" s="513"/>
      <c r="B115" s="756" t="s">
        <v>4001</v>
      </c>
      <c r="C115" s="652"/>
      <c r="D115" s="652"/>
      <c r="E115" s="652"/>
      <c r="F115" s="652"/>
      <c r="G115" s="652"/>
      <c r="H115" s="648"/>
      <c r="I115" s="538"/>
      <c r="J115" s="751" t="s">
        <v>3995</v>
      </c>
      <c r="K115" s="652"/>
      <c r="L115" s="652"/>
      <c r="M115" s="652"/>
      <c r="N115" s="652"/>
      <c r="O115" s="652"/>
      <c r="P115" s="648"/>
    </row>
    <row r="116" spans="1:16" ht="18" customHeight="1" x14ac:dyDescent="0.25">
      <c r="A116" s="513"/>
      <c r="B116" s="539" t="s">
        <v>48</v>
      </c>
      <c r="C116" s="539" t="s">
        <v>76</v>
      </c>
      <c r="D116" s="539" t="s">
        <v>2561</v>
      </c>
      <c r="E116" s="539" t="s">
        <v>1229</v>
      </c>
      <c r="F116" s="539" t="s">
        <v>3953</v>
      </c>
      <c r="G116" s="539" t="s">
        <v>3954</v>
      </c>
      <c r="H116" s="539" t="s">
        <v>3955</v>
      </c>
      <c r="I116" s="513"/>
      <c r="J116" s="540" t="s">
        <v>48</v>
      </c>
      <c r="K116" s="540" t="s">
        <v>76</v>
      </c>
      <c r="L116" s="540" t="s">
        <v>3956</v>
      </c>
      <c r="M116" s="551" t="s">
        <v>3957</v>
      </c>
      <c r="N116" s="552" t="s">
        <v>3958</v>
      </c>
      <c r="O116" s="552" t="s">
        <v>3959</v>
      </c>
      <c r="P116" s="540" t="s">
        <v>3960</v>
      </c>
    </row>
    <row r="117" spans="1:16" ht="17.100000000000001" customHeight="1" x14ac:dyDescent="0.25">
      <c r="A117" s="513"/>
      <c r="B117" s="754" t="s">
        <v>4002</v>
      </c>
      <c r="C117" s="652"/>
      <c r="D117" s="652"/>
      <c r="E117" s="652"/>
      <c r="F117" s="652"/>
      <c r="G117" s="652"/>
      <c r="H117" s="648"/>
      <c r="I117" s="513"/>
      <c r="J117" s="754" t="s">
        <v>3996</v>
      </c>
      <c r="K117" s="652"/>
      <c r="L117" s="652"/>
      <c r="M117" s="652"/>
      <c r="N117" s="652"/>
      <c r="O117" s="652"/>
      <c r="P117" s="648"/>
    </row>
    <row r="118" spans="1:16" ht="18.95" customHeight="1" x14ac:dyDescent="0.25">
      <c r="A118" s="513"/>
      <c r="B118" s="761" t="s">
        <v>4003</v>
      </c>
      <c r="C118" s="652"/>
      <c r="D118" s="652"/>
      <c r="E118" s="652"/>
      <c r="F118" s="648"/>
      <c r="G118" s="546">
        <v>0</v>
      </c>
      <c r="H118" s="547">
        <v>0</v>
      </c>
      <c r="I118" s="513"/>
      <c r="J118" s="761" t="s">
        <v>4004</v>
      </c>
      <c r="K118" s="652"/>
      <c r="L118" s="648"/>
      <c r="M118" s="546">
        <v>0</v>
      </c>
      <c r="N118" s="555" t="s">
        <v>44</v>
      </c>
      <c r="O118" s="547">
        <v>0</v>
      </c>
      <c r="P118" s="548" t="s">
        <v>44</v>
      </c>
    </row>
    <row r="119" spans="1:16" ht="17.100000000000001" customHeight="1" x14ac:dyDescent="0.25">
      <c r="A119" s="513"/>
      <c r="B119" s="513"/>
      <c r="C119" s="513"/>
      <c r="D119" s="513"/>
      <c r="E119" s="513"/>
      <c r="F119" s="513"/>
      <c r="G119" s="513"/>
      <c r="H119" s="513"/>
      <c r="I119" s="513"/>
      <c r="J119" s="513"/>
      <c r="K119" s="513"/>
      <c r="L119" s="513"/>
      <c r="M119" s="549"/>
      <c r="N119" s="550"/>
      <c r="O119" s="550"/>
      <c r="P119" s="513"/>
    </row>
    <row r="120" spans="1:16" ht="21.95" customHeight="1" x14ac:dyDescent="0.25">
      <c r="A120" s="513"/>
      <c r="B120" s="752" t="s">
        <v>4005</v>
      </c>
      <c r="C120" s="642"/>
      <c r="D120" s="642"/>
      <c r="E120" s="642"/>
      <c r="F120" s="642"/>
      <c r="G120" s="642"/>
      <c r="H120" s="642"/>
      <c r="I120" s="642"/>
      <c r="J120" s="642"/>
      <c r="K120" s="642"/>
      <c r="L120" s="642"/>
      <c r="M120" s="642"/>
      <c r="N120" s="642"/>
      <c r="O120" s="642"/>
      <c r="P120" s="642"/>
    </row>
    <row r="121" spans="1:16" ht="15.95" customHeight="1" x14ac:dyDescent="0.25">
      <c r="A121" s="513"/>
      <c r="B121" s="755" t="s">
        <v>4006</v>
      </c>
      <c r="C121" s="652"/>
      <c r="D121" s="652"/>
      <c r="E121" s="652"/>
      <c r="F121" s="652"/>
      <c r="G121" s="652"/>
      <c r="H121" s="652"/>
      <c r="I121" s="652"/>
      <c r="J121" s="652"/>
      <c r="K121" s="652"/>
      <c r="L121" s="652"/>
      <c r="M121" s="652"/>
      <c r="N121" s="652"/>
      <c r="O121" s="652"/>
      <c r="P121" s="648"/>
    </row>
    <row r="122" spans="1:16" ht="20.100000000000001" customHeight="1" x14ac:dyDescent="0.25">
      <c r="A122" s="513"/>
      <c r="B122" s="756" t="s">
        <v>4001</v>
      </c>
      <c r="C122" s="652"/>
      <c r="D122" s="652"/>
      <c r="E122" s="652"/>
      <c r="F122" s="652"/>
      <c r="G122" s="652"/>
      <c r="H122" s="648"/>
      <c r="I122" s="538"/>
      <c r="J122" s="751" t="s">
        <v>4007</v>
      </c>
      <c r="K122" s="652"/>
      <c r="L122" s="652"/>
      <c r="M122" s="652"/>
      <c r="N122" s="652"/>
      <c r="O122" s="652"/>
      <c r="P122" s="648"/>
    </row>
    <row r="123" spans="1:16" ht="18" customHeight="1" x14ac:dyDescent="0.25">
      <c r="A123" s="513"/>
      <c r="B123" s="539" t="s">
        <v>48</v>
      </c>
      <c r="C123" s="539" t="s">
        <v>76</v>
      </c>
      <c r="D123" s="539" t="s">
        <v>2561</v>
      </c>
      <c r="E123" s="539" t="s">
        <v>1229</v>
      </c>
      <c r="F123" s="539" t="s">
        <v>3953</v>
      </c>
      <c r="G123" s="556" t="s">
        <v>3954</v>
      </c>
      <c r="H123" s="557" t="s">
        <v>3955</v>
      </c>
      <c r="I123" s="513"/>
      <c r="J123" s="540" t="s">
        <v>48</v>
      </c>
      <c r="K123" s="540" t="s">
        <v>76</v>
      </c>
      <c r="L123" s="540" t="s">
        <v>3956</v>
      </c>
      <c r="M123" s="551" t="s">
        <v>3957</v>
      </c>
      <c r="N123" s="552" t="s">
        <v>3958</v>
      </c>
      <c r="O123" s="552" t="s">
        <v>3959</v>
      </c>
      <c r="P123" s="540" t="s">
        <v>3960</v>
      </c>
    </row>
    <row r="124" spans="1:16" ht="17.100000000000001" customHeight="1" x14ac:dyDescent="0.25">
      <c r="A124" s="513"/>
      <c r="B124" s="754" t="s">
        <v>4002</v>
      </c>
      <c r="C124" s="652"/>
      <c r="D124" s="652"/>
      <c r="E124" s="652"/>
      <c r="F124" s="652"/>
      <c r="G124" s="652"/>
      <c r="H124" s="648"/>
      <c r="I124" s="513"/>
      <c r="J124" s="541">
        <v>2</v>
      </c>
      <c r="K124" s="541" t="s">
        <v>88</v>
      </c>
      <c r="L124" s="542" t="s">
        <v>1154</v>
      </c>
      <c r="M124" s="543">
        <v>1</v>
      </c>
      <c r="N124" s="544">
        <v>3426</v>
      </c>
      <c r="O124" s="544">
        <v>3700</v>
      </c>
      <c r="P124" s="541" t="s">
        <v>3961</v>
      </c>
    </row>
    <row r="125" spans="1:16" ht="17.100000000000001" customHeight="1" x14ac:dyDescent="0.25">
      <c r="A125" s="513"/>
      <c r="B125" s="545"/>
      <c r="C125" s="545"/>
      <c r="D125" s="545"/>
      <c r="E125" s="545"/>
      <c r="F125" s="545"/>
      <c r="G125" s="545"/>
      <c r="H125" s="545"/>
      <c r="I125" s="513"/>
      <c r="J125" s="541">
        <v>4</v>
      </c>
      <c r="K125" s="541" t="s">
        <v>92</v>
      </c>
      <c r="L125" s="542" t="s">
        <v>1154</v>
      </c>
      <c r="M125" s="543">
        <v>2</v>
      </c>
      <c r="N125" s="544">
        <v>3426</v>
      </c>
      <c r="O125" s="544">
        <v>7400</v>
      </c>
      <c r="P125" s="541" t="s">
        <v>3961</v>
      </c>
    </row>
    <row r="126" spans="1:16" ht="17.100000000000001" customHeight="1" x14ac:dyDescent="0.25">
      <c r="A126" s="513"/>
      <c r="B126" s="545"/>
      <c r="C126" s="545"/>
      <c r="D126" s="545"/>
      <c r="E126" s="545"/>
      <c r="F126" s="545"/>
      <c r="G126" s="545"/>
      <c r="H126" s="545"/>
      <c r="I126" s="513"/>
      <c r="J126" s="541">
        <v>6</v>
      </c>
      <c r="K126" s="541" t="s">
        <v>96</v>
      </c>
      <c r="L126" s="542" t="s">
        <v>1154</v>
      </c>
      <c r="M126" s="543">
        <v>2</v>
      </c>
      <c r="N126" s="544">
        <v>3426</v>
      </c>
      <c r="O126" s="544">
        <v>7400</v>
      </c>
      <c r="P126" s="541" t="s">
        <v>3961</v>
      </c>
    </row>
    <row r="127" spans="1:16" ht="17.100000000000001" customHeight="1" x14ac:dyDescent="0.25">
      <c r="A127" s="513"/>
      <c r="B127" s="545"/>
      <c r="C127" s="545"/>
      <c r="D127" s="545"/>
      <c r="E127" s="545"/>
      <c r="F127" s="545"/>
      <c r="G127" s="545"/>
      <c r="H127" s="545"/>
      <c r="I127" s="513"/>
      <c r="J127" s="541">
        <v>7</v>
      </c>
      <c r="K127" s="541" t="s">
        <v>98</v>
      </c>
      <c r="L127" s="542" t="s">
        <v>1154</v>
      </c>
      <c r="M127" s="543">
        <v>4</v>
      </c>
      <c r="N127" s="544">
        <v>3426</v>
      </c>
      <c r="O127" s="544">
        <v>14800</v>
      </c>
      <c r="P127" s="541" t="s">
        <v>3961</v>
      </c>
    </row>
    <row r="128" spans="1:16" ht="17.100000000000001" customHeight="1" x14ac:dyDescent="0.25">
      <c r="A128" s="513"/>
      <c r="B128" s="545"/>
      <c r="C128" s="545"/>
      <c r="D128" s="545"/>
      <c r="E128" s="545"/>
      <c r="F128" s="545"/>
      <c r="G128" s="545"/>
      <c r="H128" s="545"/>
      <c r="I128" s="513"/>
      <c r="J128" s="541">
        <v>8</v>
      </c>
      <c r="K128" s="541" t="s">
        <v>100</v>
      </c>
      <c r="L128" s="542" t="s">
        <v>1154</v>
      </c>
      <c r="M128" s="543">
        <v>2</v>
      </c>
      <c r="N128" s="544">
        <v>3426</v>
      </c>
      <c r="O128" s="544">
        <v>7400</v>
      </c>
      <c r="P128" s="541" t="s">
        <v>3961</v>
      </c>
    </row>
    <row r="129" spans="1:16" ht="17.100000000000001" customHeight="1" x14ac:dyDescent="0.25">
      <c r="A129" s="513"/>
      <c r="B129" s="545"/>
      <c r="C129" s="545"/>
      <c r="D129" s="545"/>
      <c r="E129" s="545"/>
      <c r="F129" s="545"/>
      <c r="G129" s="553"/>
      <c r="H129" s="554"/>
      <c r="I129" s="513"/>
      <c r="J129" s="541">
        <v>9</v>
      </c>
      <c r="K129" s="541" t="s">
        <v>102</v>
      </c>
      <c r="L129" s="542" t="s">
        <v>1154</v>
      </c>
      <c r="M129" s="543">
        <v>3</v>
      </c>
      <c r="N129" s="544">
        <v>3426</v>
      </c>
      <c r="O129" s="544">
        <v>11100</v>
      </c>
      <c r="P129" s="541" t="s">
        <v>3961</v>
      </c>
    </row>
    <row r="130" spans="1:16" ht="17.100000000000001" customHeight="1" x14ac:dyDescent="0.25">
      <c r="A130" s="513"/>
      <c r="B130" s="545"/>
      <c r="C130" s="545"/>
      <c r="D130" s="545"/>
      <c r="E130" s="545"/>
      <c r="F130" s="545"/>
      <c r="G130" s="553"/>
      <c r="H130" s="554"/>
      <c r="I130" s="513"/>
      <c r="J130" s="541">
        <v>10</v>
      </c>
      <c r="K130" s="541" t="s">
        <v>103</v>
      </c>
      <c r="L130" s="542" t="s">
        <v>1154</v>
      </c>
      <c r="M130" s="543">
        <v>8</v>
      </c>
      <c r="N130" s="544">
        <v>3426</v>
      </c>
      <c r="O130" s="544">
        <v>29600</v>
      </c>
      <c r="P130" s="541" t="s">
        <v>3961</v>
      </c>
    </row>
    <row r="131" spans="1:16" ht="17.100000000000001" customHeight="1" x14ac:dyDescent="0.25">
      <c r="A131" s="513"/>
      <c r="B131" s="545"/>
      <c r="C131" s="545"/>
      <c r="D131" s="545"/>
      <c r="E131" s="545"/>
      <c r="F131" s="545"/>
      <c r="G131" s="553"/>
      <c r="H131" s="554"/>
      <c r="I131" s="513"/>
      <c r="J131" s="541">
        <v>11</v>
      </c>
      <c r="K131" s="541" t="s">
        <v>104</v>
      </c>
      <c r="L131" s="542" t="s">
        <v>1154</v>
      </c>
      <c r="M131" s="543">
        <v>1</v>
      </c>
      <c r="N131" s="544">
        <v>3426</v>
      </c>
      <c r="O131" s="544">
        <v>3700</v>
      </c>
      <c r="P131" s="541" t="s">
        <v>3961</v>
      </c>
    </row>
    <row r="132" spans="1:16" ht="17.100000000000001" customHeight="1" x14ac:dyDescent="0.25">
      <c r="A132" s="513"/>
      <c r="B132" s="545"/>
      <c r="C132" s="545"/>
      <c r="D132" s="545"/>
      <c r="E132" s="545"/>
      <c r="F132" s="545"/>
      <c r="G132" s="545"/>
      <c r="H132" s="545"/>
      <c r="I132" s="513"/>
      <c r="J132" s="541">
        <v>12</v>
      </c>
      <c r="K132" s="541" t="s">
        <v>106</v>
      </c>
      <c r="L132" s="542" t="s">
        <v>1154</v>
      </c>
      <c r="M132" s="543">
        <v>3</v>
      </c>
      <c r="N132" s="544">
        <v>3426</v>
      </c>
      <c r="O132" s="544">
        <v>11100</v>
      </c>
      <c r="P132" s="541" t="s">
        <v>3961</v>
      </c>
    </row>
    <row r="133" spans="1:16" ht="17.100000000000001" customHeight="1" x14ac:dyDescent="0.25">
      <c r="A133" s="513"/>
      <c r="B133" s="545"/>
      <c r="C133" s="545"/>
      <c r="D133" s="545"/>
      <c r="E133" s="545"/>
      <c r="F133" s="545"/>
      <c r="G133" s="545"/>
      <c r="H133" s="545"/>
      <c r="I133" s="513"/>
      <c r="J133" s="541">
        <v>13</v>
      </c>
      <c r="K133" s="541" t="s">
        <v>112</v>
      </c>
      <c r="L133" s="542" t="s">
        <v>1154</v>
      </c>
      <c r="M133" s="543">
        <v>1</v>
      </c>
      <c r="N133" s="544">
        <v>3426</v>
      </c>
      <c r="O133" s="544">
        <v>3700</v>
      </c>
      <c r="P133" s="541" t="s">
        <v>3961</v>
      </c>
    </row>
    <row r="134" spans="1:16" ht="17.100000000000001" customHeight="1" x14ac:dyDescent="0.25">
      <c r="A134" s="513"/>
      <c r="B134" s="545"/>
      <c r="C134" s="545"/>
      <c r="D134" s="545"/>
      <c r="E134" s="545"/>
      <c r="F134" s="545"/>
      <c r="G134" s="545"/>
      <c r="H134" s="545"/>
      <c r="I134" s="513"/>
      <c r="J134" s="541">
        <v>14</v>
      </c>
      <c r="K134" s="541" t="s">
        <v>115</v>
      </c>
      <c r="L134" s="542" t="s">
        <v>1154</v>
      </c>
      <c r="M134" s="543">
        <v>2</v>
      </c>
      <c r="N134" s="544">
        <v>3426</v>
      </c>
      <c r="O134" s="544">
        <v>7400</v>
      </c>
      <c r="P134" s="541" t="s">
        <v>3961</v>
      </c>
    </row>
    <row r="135" spans="1:16" ht="17.100000000000001" customHeight="1" x14ac:dyDescent="0.25">
      <c r="A135" s="513"/>
      <c r="B135" s="545"/>
      <c r="C135" s="545"/>
      <c r="D135" s="545"/>
      <c r="E135" s="545"/>
      <c r="F135" s="545"/>
      <c r="G135" s="545"/>
      <c r="H135" s="545"/>
      <c r="I135" s="513"/>
      <c r="J135" s="541">
        <v>15</v>
      </c>
      <c r="K135" s="541" t="s">
        <v>118</v>
      </c>
      <c r="L135" s="542" t="s">
        <v>1154</v>
      </c>
      <c r="M135" s="543">
        <v>1</v>
      </c>
      <c r="N135" s="544">
        <v>3426</v>
      </c>
      <c r="O135" s="544">
        <v>3700</v>
      </c>
      <c r="P135" s="541" t="s">
        <v>3961</v>
      </c>
    </row>
    <row r="136" spans="1:16" ht="17.100000000000001" customHeight="1" x14ac:dyDescent="0.25">
      <c r="A136" s="513"/>
      <c r="B136" s="545"/>
      <c r="C136" s="545"/>
      <c r="D136" s="545"/>
      <c r="E136" s="545"/>
      <c r="F136" s="545"/>
      <c r="G136" s="553"/>
      <c r="H136" s="554"/>
      <c r="I136" s="513"/>
      <c r="J136" s="541">
        <v>18</v>
      </c>
      <c r="K136" s="541" t="s">
        <v>127</v>
      </c>
      <c r="L136" s="542" t="s">
        <v>1154</v>
      </c>
      <c r="M136" s="543">
        <v>1</v>
      </c>
      <c r="N136" s="544">
        <v>3426</v>
      </c>
      <c r="O136" s="544">
        <v>3700</v>
      </c>
      <c r="P136" s="541" t="s">
        <v>3961</v>
      </c>
    </row>
    <row r="137" spans="1:16" ht="17.100000000000001" customHeight="1" x14ac:dyDescent="0.25">
      <c r="A137" s="513"/>
      <c r="B137" s="545"/>
      <c r="C137" s="545"/>
      <c r="D137" s="545"/>
      <c r="E137" s="545"/>
      <c r="F137" s="545"/>
      <c r="G137" s="545"/>
      <c r="H137" s="545"/>
      <c r="I137" s="513"/>
      <c r="J137" s="541">
        <v>20</v>
      </c>
      <c r="K137" s="541" t="s">
        <v>133</v>
      </c>
      <c r="L137" s="542" t="s">
        <v>1154</v>
      </c>
      <c r="M137" s="543">
        <v>2</v>
      </c>
      <c r="N137" s="544">
        <v>3426</v>
      </c>
      <c r="O137" s="544">
        <v>7400</v>
      </c>
      <c r="P137" s="541" t="s">
        <v>3961</v>
      </c>
    </row>
    <row r="138" spans="1:16" ht="18.95" customHeight="1" x14ac:dyDescent="0.25">
      <c r="A138" s="513"/>
      <c r="B138" s="761" t="s">
        <v>4008</v>
      </c>
      <c r="C138" s="652"/>
      <c r="D138" s="652"/>
      <c r="E138" s="652"/>
      <c r="F138" s="648"/>
      <c r="G138" s="546">
        <v>0</v>
      </c>
      <c r="H138" s="547">
        <v>0</v>
      </c>
      <c r="I138" s="513"/>
      <c r="J138" s="761" t="s">
        <v>4009</v>
      </c>
      <c r="K138" s="652"/>
      <c r="L138" s="648"/>
      <c r="M138" s="546">
        <v>33</v>
      </c>
      <c r="N138" s="555" t="s">
        <v>44</v>
      </c>
      <c r="O138" s="547">
        <v>122100</v>
      </c>
      <c r="P138" s="548" t="s">
        <v>44</v>
      </c>
    </row>
    <row r="139" spans="1:16" ht="17.100000000000001" customHeight="1" x14ac:dyDescent="0.25">
      <c r="A139" s="513"/>
      <c r="B139" s="513"/>
      <c r="C139" s="513"/>
      <c r="D139" s="513"/>
      <c r="E139" s="513"/>
      <c r="F139" s="513"/>
      <c r="G139" s="513"/>
      <c r="H139" s="513"/>
      <c r="I139" s="513"/>
      <c r="J139" s="513"/>
      <c r="K139" s="513"/>
      <c r="L139" s="513"/>
      <c r="M139" s="549"/>
      <c r="N139" s="550"/>
      <c r="O139" s="550"/>
      <c r="P139" s="513"/>
    </row>
    <row r="140" spans="1:16" ht="21.95" customHeight="1" x14ac:dyDescent="0.25">
      <c r="A140" s="513"/>
      <c r="B140" s="752" t="s">
        <v>4010</v>
      </c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</row>
    <row r="141" spans="1:16" ht="15.95" customHeight="1" x14ac:dyDescent="0.25">
      <c r="A141" s="513"/>
      <c r="B141" s="755" t="s">
        <v>4011</v>
      </c>
      <c r="C141" s="652"/>
      <c r="D141" s="652"/>
      <c r="E141" s="652"/>
      <c r="F141" s="652"/>
      <c r="G141" s="652"/>
      <c r="H141" s="652"/>
      <c r="I141" s="652"/>
      <c r="J141" s="652"/>
      <c r="K141" s="652"/>
      <c r="L141" s="652"/>
      <c r="M141" s="652"/>
      <c r="N141" s="652"/>
      <c r="O141" s="652"/>
      <c r="P141" s="648"/>
    </row>
    <row r="142" spans="1:16" ht="20.100000000000001" customHeight="1" x14ac:dyDescent="0.25">
      <c r="A142" s="513"/>
      <c r="B142" s="756" t="s">
        <v>4012</v>
      </c>
      <c r="C142" s="652"/>
      <c r="D142" s="652"/>
      <c r="E142" s="652"/>
      <c r="F142" s="652"/>
      <c r="G142" s="652"/>
      <c r="H142" s="648"/>
      <c r="I142" s="538"/>
      <c r="J142" s="751" t="s">
        <v>4013</v>
      </c>
      <c r="K142" s="652"/>
      <c r="L142" s="652"/>
      <c r="M142" s="652"/>
      <c r="N142" s="652"/>
      <c r="O142" s="652"/>
      <c r="P142" s="648"/>
    </row>
    <row r="143" spans="1:16" ht="18" customHeight="1" x14ac:dyDescent="0.25">
      <c r="A143" s="513"/>
      <c r="B143" s="539" t="s">
        <v>48</v>
      </c>
      <c r="C143" s="539" t="s">
        <v>76</v>
      </c>
      <c r="D143" s="539" t="s">
        <v>2561</v>
      </c>
      <c r="E143" s="539" t="s">
        <v>1229</v>
      </c>
      <c r="F143" s="539" t="s">
        <v>3953</v>
      </c>
      <c r="G143" s="539" t="s">
        <v>3954</v>
      </c>
      <c r="H143" s="539" t="s">
        <v>3955</v>
      </c>
      <c r="I143" s="513"/>
      <c r="J143" s="540" t="s">
        <v>48</v>
      </c>
      <c r="K143" s="540" t="s">
        <v>76</v>
      </c>
      <c r="L143" s="540" t="s">
        <v>3956</v>
      </c>
      <c r="M143" s="551" t="s">
        <v>3957</v>
      </c>
      <c r="N143" s="552" t="s">
        <v>3958</v>
      </c>
      <c r="O143" s="552" t="s">
        <v>3959</v>
      </c>
      <c r="P143" s="540" t="s">
        <v>3960</v>
      </c>
    </row>
    <row r="144" spans="1:16" ht="17.100000000000001" customHeight="1" x14ac:dyDescent="0.25">
      <c r="A144" s="513"/>
      <c r="B144" s="541">
        <v>3</v>
      </c>
      <c r="C144" s="541" t="s">
        <v>90</v>
      </c>
      <c r="D144" s="541" t="s">
        <v>579</v>
      </c>
      <c r="E144" s="542" t="s">
        <v>1341</v>
      </c>
      <c r="F144" s="542" t="s">
        <v>581</v>
      </c>
      <c r="G144" s="543">
        <v>24</v>
      </c>
      <c r="H144" s="544">
        <v>32000</v>
      </c>
      <c r="I144" s="513"/>
      <c r="J144" s="541">
        <v>1</v>
      </c>
      <c r="K144" s="541" t="s">
        <v>86</v>
      </c>
      <c r="L144" s="542" t="s">
        <v>1084</v>
      </c>
      <c r="M144" s="543">
        <v>13</v>
      </c>
      <c r="N144" s="544">
        <v>2593</v>
      </c>
      <c r="O144" s="544">
        <v>36400</v>
      </c>
      <c r="P144" s="541" t="s">
        <v>3961</v>
      </c>
    </row>
    <row r="145" spans="1:16" ht="17.100000000000001" customHeight="1" x14ac:dyDescent="0.25">
      <c r="A145" s="513"/>
      <c r="B145" s="541">
        <v>9</v>
      </c>
      <c r="C145" s="541" t="s">
        <v>102</v>
      </c>
      <c r="D145" s="541" t="s">
        <v>648</v>
      </c>
      <c r="E145" s="542" t="s">
        <v>1640</v>
      </c>
      <c r="F145" s="542" t="s">
        <v>656</v>
      </c>
      <c r="G145" s="543">
        <v>24</v>
      </c>
      <c r="H145" s="544">
        <v>36000</v>
      </c>
      <c r="I145" s="513"/>
      <c r="J145" s="541">
        <v>2</v>
      </c>
      <c r="K145" s="541" t="s">
        <v>88</v>
      </c>
      <c r="L145" s="542" t="s">
        <v>1084</v>
      </c>
      <c r="M145" s="543">
        <v>17</v>
      </c>
      <c r="N145" s="544">
        <v>2593</v>
      </c>
      <c r="O145" s="544">
        <v>47600</v>
      </c>
      <c r="P145" s="541" t="s">
        <v>3961</v>
      </c>
    </row>
    <row r="146" spans="1:16" ht="17.100000000000001" customHeight="1" x14ac:dyDescent="0.25">
      <c r="A146" s="513"/>
      <c r="B146" s="541">
        <v>9</v>
      </c>
      <c r="C146" s="541" t="s">
        <v>102</v>
      </c>
      <c r="D146" s="541" t="s">
        <v>648</v>
      </c>
      <c r="E146" s="542" t="s">
        <v>1640</v>
      </c>
      <c r="F146" s="542" t="s">
        <v>658</v>
      </c>
      <c r="G146" s="543">
        <v>48</v>
      </c>
      <c r="H146" s="544">
        <v>63999.839999999997</v>
      </c>
      <c r="I146" s="513"/>
      <c r="J146" s="541">
        <v>3</v>
      </c>
      <c r="K146" s="541" t="s">
        <v>90</v>
      </c>
      <c r="L146" s="542" t="s">
        <v>1084</v>
      </c>
      <c r="M146" s="543">
        <v>9</v>
      </c>
      <c r="N146" s="544">
        <v>2593</v>
      </c>
      <c r="O146" s="544">
        <v>25200</v>
      </c>
      <c r="P146" s="541" t="s">
        <v>3961</v>
      </c>
    </row>
    <row r="147" spans="1:16" ht="17.100000000000001" customHeight="1" x14ac:dyDescent="0.25">
      <c r="A147" s="513"/>
      <c r="B147" s="541">
        <v>13</v>
      </c>
      <c r="C147" s="541" t="s">
        <v>112</v>
      </c>
      <c r="D147" s="541" t="s">
        <v>737</v>
      </c>
      <c r="E147" s="542" t="s">
        <v>1294</v>
      </c>
      <c r="F147" s="542" t="s">
        <v>739</v>
      </c>
      <c r="G147" s="543">
        <v>48</v>
      </c>
      <c r="H147" s="544">
        <v>64000</v>
      </c>
      <c r="I147" s="513"/>
      <c r="J147" s="541">
        <v>4</v>
      </c>
      <c r="K147" s="541" t="s">
        <v>92</v>
      </c>
      <c r="L147" s="542" t="s">
        <v>1084</v>
      </c>
      <c r="M147" s="543">
        <v>18</v>
      </c>
      <c r="N147" s="544">
        <v>2593</v>
      </c>
      <c r="O147" s="544">
        <v>50400</v>
      </c>
      <c r="P147" s="541" t="s">
        <v>3961</v>
      </c>
    </row>
    <row r="148" spans="1:16" ht="17.100000000000001" customHeight="1" x14ac:dyDescent="0.25">
      <c r="A148" s="513"/>
      <c r="B148" s="541">
        <v>10</v>
      </c>
      <c r="C148" s="541" t="s">
        <v>103</v>
      </c>
      <c r="D148" s="541" t="s">
        <v>715</v>
      </c>
      <c r="E148" s="542" t="s">
        <v>1294</v>
      </c>
      <c r="F148" s="542" t="s">
        <v>717</v>
      </c>
      <c r="G148" s="543">
        <v>24</v>
      </c>
      <c r="H148" s="544">
        <v>264500</v>
      </c>
      <c r="I148" s="513"/>
      <c r="J148" s="541">
        <v>5</v>
      </c>
      <c r="K148" s="541" t="s">
        <v>94</v>
      </c>
      <c r="L148" s="542" t="s">
        <v>1084</v>
      </c>
      <c r="M148" s="543">
        <v>29</v>
      </c>
      <c r="N148" s="544">
        <v>2593</v>
      </c>
      <c r="O148" s="544">
        <v>81200</v>
      </c>
      <c r="P148" s="541" t="s">
        <v>3961</v>
      </c>
    </row>
    <row r="149" spans="1:16" ht="17.100000000000001" customHeight="1" x14ac:dyDescent="0.25">
      <c r="A149" s="513"/>
      <c r="B149" s="541">
        <v>5</v>
      </c>
      <c r="C149" s="541" t="s">
        <v>94</v>
      </c>
      <c r="D149" s="541" t="s">
        <v>603</v>
      </c>
      <c r="E149" s="542" t="s">
        <v>1640</v>
      </c>
      <c r="F149" s="542" t="s">
        <v>631</v>
      </c>
      <c r="G149" s="543">
        <v>48</v>
      </c>
      <c r="H149" s="544">
        <v>63999.839999999997</v>
      </c>
      <c r="I149" s="513"/>
      <c r="J149" s="541">
        <v>6</v>
      </c>
      <c r="K149" s="541" t="s">
        <v>96</v>
      </c>
      <c r="L149" s="542" t="s">
        <v>1084</v>
      </c>
      <c r="M149" s="543">
        <v>30</v>
      </c>
      <c r="N149" s="544">
        <v>2593</v>
      </c>
      <c r="O149" s="544">
        <v>84000</v>
      </c>
      <c r="P149" s="541" t="s">
        <v>3961</v>
      </c>
    </row>
    <row r="150" spans="1:16" ht="17.100000000000001" customHeight="1" x14ac:dyDescent="0.25">
      <c r="A150" s="513"/>
      <c r="B150" s="541">
        <v>5</v>
      </c>
      <c r="C150" s="541" t="s">
        <v>94</v>
      </c>
      <c r="D150" s="541" t="s">
        <v>603</v>
      </c>
      <c r="E150" s="542" t="s">
        <v>1640</v>
      </c>
      <c r="F150" s="542" t="s">
        <v>633</v>
      </c>
      <c r="G150" s="543">
        <v>48</v>
      </c>
      <c r="H150" s="544">
        <v>72000</v>
      </c>
      <c r="I150" s="513"/>
      <c r="J150" s="541">
        <v>7</v>
      </c>
      <c r="K150" s="541" t="s">
        <v>98</v>
      </c>
      <c r="L150" s="542" t="s">
        <v>1084</v>
      </c>
      <c r="M150" s="543">
        <v>13</v>
      </c>
      <c r="N150" s="544">
        <v>2593</v>
      </c>
      <c r="O150" s="544">
        <v>36400</v>
      </c>
      <c r="P150" s="541" t="s">
        <v>3961</v>
      </c>
    </row>
    <row r="151" spans="1:16" ht="17.100000000000001" customHeight="1" x14ac:dyDescent="0.25">
      <c r="A151" s="513"/>
      <c r="B151" s="541">
        <v>21</v>
      </c>
      <c r="C151" s="541" t="s">
        <v>136</v>
      </c>
      <c r="D151" s="541" t="s">
        <v>781</v>
      </c>
      <c r="E151" s="542" t="s">
        <v>1341</v>
      </c>
      <c r="F151" s="542" t="s">
        <v>739</v>
      </c>
      <c r="G151" s="543">
        <v>24</v>
      </c>
      <c r="H151" s="544">
        <v>32000</v>
      </c>
      <c r="I151" s="513"/>
      <c r="J151" s="541">
        <v>8</v>
      </c>
      <c r="K151" s="541" t="s">
        <v>100</v>
      </c>
      <c r="L151" s="542" t="s">
        <v>1084</v>
      </c>
      <c r="M151" s="543">
        <v>23</v>
      </c>
      <c r="N151" s="544">
        <v>2593</v>
      </c>
      <c r="O151" s="544">
        <v>64400</v>
      </c>
      <c r="P151" s="541" t="s">
        <v>3961</v>
      </c>
    </row>
    <row r="152" spans="1:16" ht="17.100000000000001" customHeight="1" x14ac:dyDescent="0.25">
      <c r="A152" s="513"/>
      <c r="B152" s="541">
        <v>21</v>
      </c>
      <c r="C152" s="541" t="s">
        <v>136</v>
      </c>
      <c r="D152" s="541" t="s">
        <v>781</v>
      </c>
      <c r="E152" s="542" t="s">
        <v>1341</v>
      </c>
      <c r="F152" s="542" t="s">
        <v>785</v>
      </c>
      <c r="G152" s="543">
        <v>24</v>
      </c>
      <c r="H152" s="544">
        <v>32000</v>
      </c>
      <c r="I152" s="513"/>
      <c r="J152" s="541">
        <v>9</v>
      </c>
      <c r="K152" s="541" t="s">
        <v>102</v>
      </c>
      <c r="L152" s="542" t="s">
        <v>1084</v>
      </c>
      <c r="M152" s="543">
        <v>17</v>
      </c>
      <c r="N152" s="544">
        <v>2593</v>
      </c>
      <c r="O152" s="544">
        <v>47600</v>
      </c>
      <c r="P152" s="541" t="s">
        <v>3961</v>
      </c>
    </row>
    <row r="153" spans="1:16" ht="17.100000000000001" customHeight="1" x14ac:dyDescent="0.25">
      <c r="A153" s="513"/>
      <c r="B153" s="545"/>
      <c r="C153" s="545"/>
      <c r="D153" s="545"/>
      <c r="E153" s="545"/>
      <c r="F153" s="545"/>
      <c r="G153" s="545"/>
      <c r="H153" s="545"/>
      <c r="I153" s="513"/>
      <c r="J153" s="541">
        <v>10</v>
      </c>
      <c r="K153" s="541" t="s">
        <v>103</v>
      </c>
      <c r="L153" s="542" t="s">
        <v>1084</v>
      </c>
      <c r="M153" s="543">
        <v>19</v>
      </c>
      <c r="N153" s="544">
        <v>2593</v>
      </c>
      <c r="O153" s="544">
        <v>53200</v>
      </c>
      <c r="P153" s="541" t="s">
        <v>3961</v>
      </c>
    </row>
    <row r="154" spans="1:16" ht="17.100000000000001" customHeight="1" x14ac:dyDescent="0.25">
      <c r="A154" s="513"/>
      <c r="B154" s="545"/>
      <c r="C154" s="545"/>
      <c r="D154" s="545"/>
      <c r="E154" s="545"/>
      <c r="F154" s="545"/>
      <c r="G154" s="545"/>
      <c r="H154" s="545"/>
      <c r="I154" s="513"/>
      <c r="J154" s="541">
        <v>11</v>
      </c>
      <c r="K154" s="541" t="s">
        <v>104</v>
      </c>
      <c r="L154" s="542" t="s">
        <v>1084</v>
      </c>
      <c r="M154" s="543">
        <v>10</v>
      </c>
      <c r="N154" s="544">
        <v>2593</v>
      </c>
      <c r="O154" s="544">
        <v>28000</v>
      </c>
      <c r="P154" s="541" t="s">
        <v>3961</v>
      </c>
    </row>
    <row r="155" spans="1:16" ht="17.100000000000001" customHeight="1" x14ac:dyDescent="0.25">
      <c r="A155" s="513"/>
      <c r="B155" s="545"/>
      <c r="C155" s="545"/>
      <c r="D155" s="545"/>
      <c r="E155" s="545"/>
      <c r="F155" s="545"/>
      <c r="G155" s="545"/>
      <c r="H155" s="545"/>
      <c r="I155" s="513"/>
      <c r="J155" s="541">
        <v>12</v>
      </c>
      <c r="K155" s="541" t="s">
        <v>106</v>
      </c>
      <c r="L155" s="542" t="s">
        <v>1084</v>
      </c>
      <c r="M155" s="543">
        <v>16</v>
      </c>
      <c r="N155" s="544">
        <v>2593</v>
      </c>
      <c r="O155" s="544">
        <v>44800</v>
      </c>
      <c r="P155" s="541" t="s">
        <v>3961</v>
      </c>
    </row>
    <row r="156" spans="1:16" ht="17.100000000000001" customHeight="1" x14ac:dyDescent="0.25">
      <c r="A156" s="513"/>
      <c r="B156" s="545"/>
      <c r="C156" s="545"/>
      <c r="D156" s="545"/>
      <c r="E156" s="545"/>
      <c r="F156" s="545"/>
      <c r="G156" s="545"/>
      <c r="H156" s="545"/>
      <c r="I156" s="513"/>
      <c r="J156" s="541">
        <v>13</v>
      </c>
      <c r="K156" s="541" t="s">
        <v>112</v>
      </c>
      <c r="L156" s="542" t="s">
        <v>1084</v>
      </c>
      <c r="M156" s="543">
        <v>25</v>
      </c>
      <c r="N156" s="544">
        <v>2593</v>
      </c>
      <c r="O156" s="544">
        <v>70000</v>
      </c>
      <c r="P156" s="541" t="s">
        <v>3961</v>
      </c>
    </row>
    <row r="157" spans="1:16" ht="17.100000000000001" customHeight="1" x14ac:dyDescent="0.25">
      <c r="A157" s="513"/>
      <c r="B157" s="545"/>
      <c r="C157" s="545"/>
      <c r="D157" s="545"/>
      <c r="E157" s="545"/>
      <c r="F157" s="545"/>
      <c r="G157" s="545"/>
      <c r="H157" s="545"/>
      <c r="I157" s="513"/>
      <c r="J157" s="541">
        <v>14</v>
      </c>
      <c r="K157" s="541" t="s">
        <v>115</v>
      </c>
      <c r="L157" s="542" t="s">
        <v>1217</v>
      </c>
      <c r="M157" s="543">
        <v>1</v>
      </c>
      <c r="N157" s="544">
        <v>3519</v>
      </c>
      <c r="O157" s="544">
        <v>3800</v>
      </c>
      <c r="P157" s="541" t="s">
        <v>3961</v>
      </c>
    </row>
    <row r="158" spans="1:16" ht="17.100000000000001" customHeight="1" x14ac:dyDescent="0.25">
      <c r="A158" s="513"/>
      <c r="B158" s="545"/>
      <c r="C158" s="545"/>
      <c r="D158" s="545"/>
      <c r="E158" s="545"/>
      <c r="F158" s="545"/>
      <c r="G158" s="545"/>
      <c r="H158" s="545"/>
      <c r="I158" s="513"/>
      <c r="J158" s="541">
        <v>14</v>
      </c>
      <c r="K158" s="541" t="s">
        <v>115</v>
      </c>
      <c r="L158" s="542" t="s">
        <v>1084</v>
      </c>
      <c r="M158" s="543">
        <v>13</v>
      </c>
      <c r="N158" s="544">
        <v>2593</v>
      </c>
      <c r="O158" s="544">
        <v>36400</v>
      </c>
      <c r="P158" s="541" t="s">
        <v>3961</v>
      </c>
    </row>
    <row r="159" spans="1:16" ht="17.100000000000001" customHeight="1" x14ac:dyDescent="0.25">
      <c r="A159" s="513"/>
      <c r="B159" s="545"/>
      <c r="C159" s="545"/>
      <c r="D159" s="545"/>
      <c r="E159" s="545"/>
      <c r="F159" s="545"/>
      <c r="G159" s="553"/>
      <c r="H159" s="554"/>
      <c r="I159" s="513"/>
      <c r="J159" s="541">
        <v>15</v>
      </c>
      <c r="K159" s="541" t="s">
        <v>118</v>
      </c>
      <c r="L159" s="542" t="s">
        <v>1084</v>
      </c>
      <c r="M159" s="543">
        <v>12</v>
      </c>
      <c r="N159" s="544">
        <v>2593</v>
      </c>
      <c r="O159" s="544">
        <v>33600</v>
      </c>
      <c r="P159" s="541" t="s">
        <v>3961</v>
      </c>
    </row>
    <row r="160" spans="1:16" ht="17.100000000000001" customHeight="1" x14ac:dyDescent="0.25">
      <c r="A160" s="513"/>
      <c r="B160" s="545"/>
      <c r="C160" s="545"/>
      <c r="D160" s="545"/>
      <c r="E160" s="545"/>
      <c r="F160" s="545"/>
      <c r="G160" s="545"/>
      <c r="H160" s="545"/>
      <c r="I160" s="513"/>
      <c r="J160" s="541">
        <v>16</v>
      </c>
      <c r="K160" s="541" t="s">
        <v>121</v>
      </c>
      <c r="L160" s="542" t="s">
        <v>1217</v>
      </c>
      <c r="M160" s="543">
        <v>1</v>
      </c>
      <c r="N160" s="544">
        <v>3519</v>
      </c>
      <c r="O160" s="544">
        <v>3800</v>
      </c>
      <c r="P160" s="541" t="s">
        <v>3961</v>
      </c>
    </row>
    <row r="161" spans="1:16" ht="17.100000000000001" customHeight="1" x14ac:dyDescent="0.25">
      <c r="A161" s="513"/>
      <c r="B161" s="545"/>
      <c r="C161" s="545"/>
      <c r="D161" s="545"/>
      <c r="E161" s="545"/>
      <c r="F161" s="545"/>
      <c r="G161" s="545"/>
      <c r="H161" s="545"/>
      <c r="I161" s="513"/>
      <c r="J161" s="541">
        <v>16</v>
      </c>
      <c r="K161" s="541" t="s">
        <v>121</v>
      </c>
      <c r="L161" s="542" t="s">
        <v>1084</v>
      </c>
      <c r="M161" s="543">
        <v>14</v>
      </c>
      <c r="N161" s="544">
        <v>2593</v>
      </c>
      <c r="O161" s="544">
        <v>39200</v>
      </c>
      <c r="P161" s="541" t="s">
        <v>3961</v>
      </c>
    </row>
    <row r="162" spans="1:16" ht="17.100000000000001" customHeight="1" x14ac:dyDescent="0.25">
      <c r="A162" s="513"/>
      <c r="B162" s="545"/>
      <c r="C162" s="545"/>
      <c r="D162" s="545"/>
      <c r="E162" s="545"/>
      <c r="F162" s="545"/>
      <c r="G162" s="545"/>
      <c r="H162" s="545"/>
      <c r="I162" s="513"/>
      <c r="J162" s="541">
        <v>17</v>
      </c>
      <c r="K162" s="541" t="s">
        <v>124</v>
      </c>
      <c r="L162" s="542" t="s">
        <v>1217</v>
      </c>
      <c r="M162" s="543">
        <v>1</v>
      </c>
      <c r="N162" s="544">
        <v>3519</v>
      </c>
      <c r="O162" s="544">
        <v>3800</v>
      </c>
      <c r="P162" s="541" t="s">
        <v>3961</v>
      </c>
    </row>
    <row r="163" spans="1:16" ht="17.100000000000001" customHeight="1" x14ac:dyDescent="0.25">
      <c r="A163" s="513"/>
      <c r="B163" s="545"/>
      <c r="C163" s="545"/>
      <c r="D163" s="545"/>
      <c r="E163" s="545"/>
      <c r="F163" s="545"/>
      <c r="G163" s="545"/>
      <c r="H163" s="545"/>
      <c r="I163" s="513"/>
      <c r="J163" s="541">
        <v>17</v>
      </c>
      <c r="K163" s="541" t="s">
        <v>124</v>
      </c>
      <c r="L163" s="542" t="s">
        <v>1084</v>
      </c>
      <c r="M163" s="543">
        <v>15</v>
      </c>
      <c r="N163" s="544">
        <v>2593</v>
      </c>
      <c r="O163" s="544">
        <v>42000</v>
      </c>
      <c r="P163" s="541" t="s">
        <v>3961</v>
      </c>
    </row>
    <row r="164" spans="1:16" ht="17.100000000000001" customHeight="1" x14ac:dyDescent="0.25">
      <c r="A164" s="513"/>
      <c r="B164" s="545"/>
      <c r="C164" s="545"/>
      <c r="D164" s="545"/>
      <c r="E164" s="545"/>
      <c r="F164" s="545"/>
      <c r="G164" s="553"/>
      <c r="H164" s="554"/>
      <c r="I164" s="513"/>
      <c r="J164" s="541">
        <v>18</v>
      </c>
      <c r="K164" s="541" t="s">
        <v>127</v>
      </c>
      <c r="L164" s="542" t="s">
        <v>1217</v>
      </c>
      <c r="M164" s="543">
        <v>1</v>
      </c>
      <c r="N164" s="544">
        <v>3519</v>
      </c>
      <c r="O164" s="544">
        <v>3800</v>
      </c>
      <c r="P164" s="541" t="s">
        <v>3961</v>
      </c>
    </row>
    <row r="165" spans="1:16" ht="17.100000000000001" customHeight="1" x14ac:dyDescent="0.25">
      <c r="A165" s="513"/>
      <c r="B165" s="545"/>
      <c r="C165" s="545"/>
      <c r="D165" s="545"/>
      <c r="E165" s="545"/>
      <c r="F165" s="545"/>
      <c r="G165" s="545"/>
      <c r="H165" s="545"/>
      <c r="I165" s="513"/>
      <c r="J165" s="541">
        <v>18</v>
      </c>
      <c r="K165" s="541" t="s">
        <v>127</v>
      </c>
      <c r="L165" s="542" t="s">
        <v>1084</v>
      </c>
      <c r="M165" s="543">
        <v>12</v>
      </c>
      <c r="N165" s="544">
        <v>2593</v>
      </c>
      <c r="O165" s="544">
        <v>33600</v>
      </c>
      <c r="P165" s="541" t="s">
        <v>3961</v>
      </c>
    </row>
    <row r="166" spans="1:16" ht="17.100000000000001" customHeight="1" x14ac:dyDescent="0.25">
      <c r="A166" s="513"/>
      <c r="B166" s="545"/>
      <c r="C166" s="545"/>
      <c r="D166" s="545"/>
      <c r="E166" s="545"/>
      <c r="F166" s="545"/>
      <c r="G166" s="553"/>
      <c r="H166" s="554"/>
      <c r="I166" s="513"/>
      <c r="J166" s="541">
        <v>19</v>
      </c>
      <c r="K166" s="541" t="s">
        <v>130</v>
      </c>
      <c r="L166" s="542" t="s">
        <v>1217</v>
      </c>
      <c r="M166" s="543">
        <v>1</v>
      </c>
      <c r="N166" s="544">
        <v>3519</v>
      </c>
      <c r="O166" s="544">
        <v>3800</v>
      </c>
      <c r="P166" s="541" t="s">
        <v>3961</v>
      </c>
    </row>
    <row r="167" spans="1:16" ht="17.100000000000001" customHeight="1" x14ac:dyDescent="0.25">
      <c r="A167" s="513"/>
      <c r="B167" s="545"/>
      <c r="C167" s="545"/>
      <c r="D167" s="545"/>
      <c r="E167" s="545"/>
      <c r="F167" s="545"/>
      <c r="G167" s="553"/>
      <c r="H167" s="554"/>
      <c r="I167" s="513"/>
      <c r="J167" s="541">
        <v>19</v>
      </c>
      <c r="K167" s="541" t="s">
        <v>130</v>
      </c>
      <c r="L167" s="542" t="s">
        <v>1084</v>
      </c>
      <c r="M167" s="543">
        <v>14</v>
      </c>
      <c r="N167" s="544">
        <v>2593</v>
      </c>
      <c r="O167" s="544">
        <v>39200</v>
      </c>
      <c r="P167" s="541" t="s">
        <v>3961</v>
      </c>
    </row>
    <row r="168" spans="1:16" ht="17.100000000000001" customHeight="1" x14ac:dyDescent="0.25">
      <c r="A168" s="513"/>
      <c r="B168" s="545"/>
      <c r="C168" s="545"/>
      <c r="D168" s="545"/>
      <c r="E168" s="545"/>
      <c r="F168" s="545"/>
      <c r="G168" s="553"/>
      <c r="H168" s="554"/>
      <c r="I168" s="513"/>
      <c r="J168" s="541">
        <v>20</v>
      </c>
      <c r="K168" s="541" t="s">
        <v>133</v>
      </c>
      <c r="L168" s="542" t="s">
        <v>1084</v>
      </c>
      <c r="M168" s="543">
        <v>34</v>
      </c>
      <c r="N168" s="544">
        <v>2593</v>
      </c>
      <c r="O168" s="544">
        <v>95200</v>
      </c>
      <c r="P168" s="541" t="s">
        <v>3961</v>
      </c>
    </row>
    <row r="169" spans="1:16" ht="18.95" customHeight="1" x14ac:dyDescent="0.25">
      <c r="A169" s="513"/>
      <c r="B169" s="761" t="s">
        <v>4014</v>
      </c>
      <c r="C169" s="652"/>
      <c r="D169" s="652"/>
      <c r="E169" s="652"/>
      <c r="F169" s="648"/>
      <c r="G169" s="546">
        <v>312</v>
      </c>
      <c r="H169" s="547">
        <v>660499.67999999993</v>
      </c>
      <c r="I169" s="513"/>
      <c r="J169" s="761" t="s">
        <v>4015</v>
      </c>
      <c r="K169" s="652"/>
      <c r="L169" s="648"/>
      <c r="M169" s="546">
        <v>358</v>
      </c>
      <c r="N169" s="555" t="s">
        <v>44</v>
      </c>
      <c r="O169" s="547">
        <v>1007400</v>
      </c>
      <c r="P169" s="548" t="s">
        <v>44</v>
      </c>
    </row>
    <row r="170" spans="1:16" ht="17.100000000000001" customHeight="1" x14ac:dyDescent="0.25">
      <c r="A170" s="513"/>
      <c r="B170" s="513"/>
      <c r="C170" s="513"/>
      <c r="D170" s="513"/>
      <c r="E170" s="513"/>
      <c r="F170" s="513"/>
      <c r="G170" s="549"/>
      <c r="H170" s="550"/>
      <c r="I170" s="513"/>
      <c r="J170" s="513"/>
      <c r="K170" s="513"/>
      <c r="L170" s="513"/>
      <c r="M170" s="549"/>
      <c r="N170" s="550"/>
      <c r="O170" s="550"/>
      <c r="P170" s="513"/>
    </row>
    <row r="171" spans="1:16" ht="21.95" customHeight="1" x14ac:dyDescent="0.25">
      <c r="A171" s="513"/>
      <c r="B171" s="752" t="s">
        <v>4016</v>
      </c>
      <c r="C171" s="642"/>
      <c r="D171" s="642"/>
      <c r="E171" s="642"/>
      <c r="F171" s="642"/>
      <c r="G171" s="642"/>
      <c r="H171" s="642"/>
      <c r="I171" s="642"/>
      <c r="J171" s="642"/>
      <c r="K171" s="642"/>
      <c r="L171" s="642"/>
      <c r="M171" s="642"/>
      <c r="N171" s="642"/>
      <c r="O171" s="642"/>
      <c r="P171" s="642"/>
    </row>
    <row r="172" spans="1:16" ht="15.95" customHeight="1" x14ac:dyDescent="0.25">
      <c r="A172" s="513"/>
      <c r="B172" s="755" t="s">
        <v>4017</v>
      </c>
      <c r="C172" s="652"/>
      <c r="D172" s="652"/>
      <c r="E172" s="652"/>
      <c r="F172" s="652"/>
      <c r="G172" s="652"/>
      <c r="H172" s="652"/>
      <c r="I172" s="652"/>
      <c r="J172" s="652"/>
      <c r="K172" s="652"/>
      <c r="L172" s="652"/>
      <c r="M172" s="652"/>
      <c r="N172" s="652"/>
      <c r="O172" s="652"/>
      <c r="P172" s="648"/>
    </row>
    <row r="173" spans="1:16" ht="20.100000000000001" customHeight="1" x14ac:dyDescent="0.25">
      <c r="A173" s="513"/>
      <c r="B173" s="756" t="s">
        <v>4018</v>
      </c>
      <c r="C173" s="652"/>
      <c r="D173" s="652"/>
      <c r="E173" s="652"/>
      <c r="F173" s="652"/>
      <c r="G173" s="652"/>
      <c r="H173" s="648"/>
      <c r="I173" s="538"/>
      <c r="J173" s="751" t="s">
        <v>4019</v>
      </c>
      <c r="K173" s="652"/>
      <c r="L173" s="652"/>
      <c r="M173" s="652"/>
      <c r="N173" s="652"/>
      <c r="O173" s="652"/>
      <c r="P173" s="648"/>
    </row>
    <row r="174" spans="1:16" ht="18" customHeight="1" x14ac:dyDescent="0.25">
      <c r="A174" s="513"/>
      <c r="B174" s="539" t="s">
        <v>48</v>
      </c>
      <c r="C174" s="539" t="s">
        <v>76</v>
      </c>
      <c r="D174" s="539" t="s">
        <v>2561</v>
      </c>
      <c r="E174" s="539" t="s">
        <v>1229</v>
      </c>
      <c r="F174" s="539" t="s">
        <v>3953</v>
      </c>
      <c r="G174" s="539" t="s">
        <v>3954</v>
      </c>
      <c r="H174" s="539" t="s">
        <v>3955</v>
      </c>
      <c r="I174" s="513"/>
      <c r="J174" s="540" t="s">
        <v>48</v>
      </c>
      <c r="K174" s="540" t="s">
        <v>76</v>
      </c>
      <c r="L174" s="540" t="s">
        <v>3956</v>
      </c>
      <c r="M174" s="551" t="s">
        <v>3957</v>
      </c>
      <c r="N174" s="552" t="s">
        <v>3958</v>
      </c>
      <c r="O174" s="552" t="s">
        <v>3959</v>
      </c>
      <c r="P174" s="540" t="s">
        <v>3960</v>
      </c>
    </row>
    <row r="175" spans="1:16" ht="17.100000000000001" customHeight="1" x14ac:dyDescent="0.25">
      <c r="A175" s="513"/>
      <c r="B175" s="541">
        <v>3</v>
      </c>
      <c r="C175" s="541" t="s">
        <v>90</v>
      </c>
      <c r="D175" s="541" t="s">
        <v>579</v>
      </c>
      <c r="E175" s="542" t="s">
        <v>1341</v>
      </c>
      <c r="F175" s="542" t="s">
        <v>583</v>
      </c>
      <c r="G175" s="543">
        <v>24</v>
      </c>
      <c r="H175" s="544">
        <v>130000</v>
      </c>
      <c r="I175" s="513"/>
      <c r="J175" s="541">
        <v>14</v>
      </c>
      <c r="K175" s="541" t="s">
        <v>115</v>
      </c>
      <c r="L175" s="542" t="s">
        <v>1218</v>
      </c>
      <c r="M175" s="543">
        <v>1</v>
      </c>
      <c r="N175" s="544">
        <v>4630</v>
      </c>
      <c r="O175" s="544">
        <v>5000</v>
      </c>
      <c r="P175" s="541" t="s">
        <v>3961</v>
      </c>
    </row>
    <row r="176" spans="1:16" ht="17.100000000000001" customHeight="1" x14ac:dyDescent="0.25">
      <c r="A176" s="513"/>
      <c r="B176" s="541">
        <v>3</v>
      </c>
      <c r="C176" s="541" t="s">
        <v>90</v>
      </c>
      <c r="D176" s="541" t="s">
        <v>579</v>
      </c>
      <c r="E176" s="542" t="s">
        <v>1341</v>
      </c>
      <c r="F176" s="542" t="s">
        <v>585</v>
      </c>
      <c r="G176" s="543">
        <v>24</v>
      </c>
      <c r="H176" s="544">
        <v>130000</v>
      </c>
      <c r="I176" s="513"/>
      <c r="J176" s="541">
        <v>17</v>
      </c>
      <c r="K176" s="541" t="s">
        <v>124</v>
      </c>
      <c r="L176" s="542" t="s">
        <v>1218</v>
      </c>
      <c r="M176" s="543">
        <v>1</v>
      </c>
      <c r="N176" s="544">
        <v>4630</v>
      </c>
      <c r="O176" s="544">
        <v>5000</v>
      </c>
      <c r="P176" s="541" t="s">
        <v>3961</v>
      </c>
    </row>
    <row r="177" spans="1:16" ht="17.100000000000001" customHeight="1" x14ac:dyDescent="0.25">
      <c r="A177" s="513"/>
      <c r="B177" s="541">
        <v>10</v>
      </c>
      <c r="C177" s="541" t="s">
        <v>103</v>
      </c>
      <c r="D177" s="541" t="s">
        <v>709</v>
      </c>
      <c r="E177" s="542" t="s">
        <v>1341</v>
      </c>
      <c r="F177" s="542" t="s">
        <v>711</v>
      </c>
      <c r="G177" s="543">
        <v>12</v>
      </c>
      <c r="H177" s="544">
        <v>33782</v>
      </c>
      <c r="I177" s="513"/>
      <c r="J177" s="541">
        <v>18</v>
      </c>
      <c r="K177" s="541" t="s">
        <v>127</v>
      </c>
      <c r="L177" s="542" t="s">
        <v>1218</v>
      </c>
      <c r="M177" s="543">
        <v>1</v>
      </c>
      <c r="N177" s="544">
        <v>4630</v>
      </c>
      <c r="O177" s="544">
        <v>5000</v>
      </c>
      <c r="P177" s="541" t="s">
        <v>3961</v>
      </c>
    </row>
    <row r="178" spans="1:16" ht="17.100000000000001" customHeight="1" x14ac:dyDescent="0.25">
      <c r="A178" s="513"/>
      <c r="B178" s="541">
        <v>17</v>
      </c>
      <c r="C178" s="541" t="s">
        <v>124</v>
      </c>
      <c r="D178" s="541" t="s">
        <v>757</v>
      </c>
      <c r="E178" s="542" t="s">
        <v>1341</v>
      </c>
      <c r="F178" s="542" t="s">
        <v>759</v>
      </c>
      <c r="G178" s="543">
        <v>24</v>
      </c>
      <c r="H178" s="544">
        <v>115600</v>
      </c>
      <c r="I178" s="513"/>
      <c r="J178" s="541">
        <v>19</v>
      </c>
      <c r="K178" s="541" t="s">
        <v>130</v>
      </c>
      <c r="L178" s="542" t="s">
        <v>1218</v>
      </c>
      <c r="M178" s="543">
        <v>1</v>
      </c>
      <c r="N178" s="544">
        <v>4630</v>
      </c>
      <c r="O178" s="544">
        <v>5000</v>
      </c>
      <c r="P178" s="541" t="s">
        <v>3961</v>
      </c>
    </row>
    <row r="179" spans="1:16" ht="17.100000000000001" customHeight="1" x14ac:dyDescent="0.25">
      <c r="A179" s="513"/>
      <c r="B179" s="545"/>
      <c r="C179" s="545"/>
      <c r="D179" s="545"/>
      <c r="E179" s="545"/>
      <c r="F179" s="545"/>
      <c r="G179" s="553"/>
      <c r="H179" s="554"/>
      <c r="I179" s="513"/>
      <c r="J179" s="541">
        <v>20</v>
      </c>
      <c r="K179" s="541" t="s">
        <v>133</v>
      </c>
      <c r="L179" s="542" t="s">
        <v>1218</v>
      </c>
      <c r="M179" s="543">
        <v>1</v>
      </c>
      <c r="N179" s="544">
        <v>4630</v>
      </c>
      <c r="O179" s="544">
        <v>5000</v>
      </c>
      <c r="P179" s="541" t="s">
        <v>3961</v>
      </c>
    </row>
    <row r="180" spans="1:16" ht="18.95" customHeight="1" x14ac:dyDescent="0.25">
      <c r="A180" s="513"/>
      <c r="B180" s="761" t="s">
        <v>4020</v>
      </c>
      <c r="C180" s="652"/>
      <c r="D180" s="652"/>
      <c r="E180" s="652"/>
      <c r="F180" s="648"/>
      <c r="G180" s="546">
        <v>84</v>
      </c>
      <c r="H180" s="547">
        <v>409382</v>
      </c>
      <c r="I180" s="513"/>
      <c r="J180" s="761" t="s">
        <v>4021</v>
      </c>
      <c r="K180" s="652"/>
      <c r="L180" s="648"/>
      <c r="M180" s="546">
        <v>5</v>
      </c>
      <c r="N180" s="555" t="s">
        <v>44</v>
      </c>
      <c r="O180" s="547">
        <v>25000</v>
      </c>
      <c r="P180" s="548" t="s">
        <v>44</v>
      </c>
    </row>
    <row r="181" spans="1:16" ht="21.95" customHeight="1" x14ac:dyDescent="0.25">
      <c r="A181" s="513"/>
      <c r="B181" s="513"/>
      <c r="C181" s="513"/>
      <c r="D181" s="513"/>
      <c r="E181" s="513"/>
      <c r="F181" s="513"/>
      <c r="G181" s="513"/>
      <c r="H181" s="513"/>
      <c r="I181" s="513"/>
      <c r="J181" s="513"/>
      <c r="K181" s="513"/>
      <c r="L181" s="513"/>
      <c r="M181" s="513"/>
      <c r="N181" s="513"/>
      <c r="O181" s="513"/>
      <c r="P181" s="513"/>
    </row>
    <row r="182" spans="1:16" ht="21.95" customHeight="1" x14ac:dyDescent="0.25">
      <c r="A182" s="513"/>
      <c r="B182" s="752" t="s">
        <v>4022</v>
      </c>
      <c r="C182" s="642"/>
      <c r="D182" s="642"/>
      <c r="E182" s="642"/>
      <c r="F182" s="642"/>
      <c r="G182" s="642"/>
      <c r="H182" s="642"/>
      <c r="I182" s="642"/>
      <c r="J182" s="642"/>
      <c r="K182" s="642"/>
      <c r="L182" s="642"/>
      <c r="M182" s="642"/>
      <c r="N182" s="642"/>
      <c r="O182" s="642"/>
      <c r="P182" s="642"/>
    </row>
    <row r="183" spans="1:16" ht="15.95" customHeight="1" x14ac:dyDescent="0.25">
      <c r="A183" s="513"/>
      <c r="B183" s="755" t="s">
        <v>4023</v>
      </c>
      <c r="C183" s="652"/>
      <c r="D183" s="652"/>
      <c r="E183" s="652"/>
      <c r="F183" s="652"/>
      <c r="G183" s="652"/>
      <c r="H183" s="652"/>
      <c r="I183" s="652"/>
      <c r="J183" s="652"/>
      <c r="K183" s="652"/>
      <c r="L183" s="652"/>
      <c r="M183" s="652"/>
      <c r="N183" s="652"/>
      <c r="O183" s="652"/>
      <c r="P183" s="648"/>
    </row>
    <row r="184" spans="1:16" ht="20.100000000000001" customHeight="1" x14ac:dyDescent="0.25">
      <c r="A184" s="513"/>
      <c r="B184" s="756" t="s">
        <v>3989</v>
      </c>
      <c r="C184" s="652"/>
      <c r="D184" s="652"/>
      <c r="E184" s="652"/>
      <c r="F184" s="652"/>
      <c r="G184" s="652"/>
      <c r="H184" s="648"/>
      <c r="I184" s="538"/>
      <c r="J184" s="751" t="s">
        <v>4024</v>
      </c>
      <c r="K184" s="652"/>
      <c r="L184" s="652"/>
      <c r="M184" s="652"/>
      <c r="N184" s="652"/>
      <c r="O184" s="652"/>
      <c r="P184" s="648"/>
    </row>
    <row r="185" spans="1:16" ht="18" customHeight="1" x14ac:dyDescent="0.25">
      <c r="A185" s="513"/>
      <c r="B185" s="539" t="s">
        <v>48</v>
      </c>
      <c r="C185" s="539" t="s">
        <v>76</v>
      </c>
      <c r="D185" s="539" t="s">
        <v>2561</v>
      </c>
      <c r="E185" s="539" t="s">
        <v>1229</v>
      </c>
      <c r="F185" s="539" t="s">
        <v>3953</v>
      </c>
      <c r="G185" s="556" t="s">
        <v>3954</v>
      </c>
      <c r="H185" s="557" t="s">
        <v>3955</v>
      </c>
      <c r="I185" s="513"/>
      <c r="J185" s="540" t="s">
        <v>48</v>
      </c>
      <c r="K185" s="540" t="s">
        <v>76</v>
      </c>
      <c r="L185" s="540" t="s">
        <v>3956</v>
      </c>
      <c r="M185" s="551" t="s">
        <v>3957</v>
      </c>
      <c r="N185" s="552" t="s">
        <v>3958</v>
      </c>
      <c r="O185" s="552" t="s">
        <v>3959</v>
      </c>
      <c r="P185" s="540" t="s">
        <v>3960</v>
      </c>
    </row>
    <row r="186" spans="1:16" ht="17.100000000000001" customHeight="1" x14ac:dyDescent="0.25">
      <c r="A186" s="513"/>
      <c r="B186" s="541">
        <v>13</v>
      </c>
      <c r="C186" s="541" t="s">
        <v>112</v>
      </c>
      <c r="D186" s="541" t="s">
        <v>740</v>
      </c>
      <c r="E186" s="542" t="s">
        <v>1341</v>
      </c>
      <c r="F186" s="542" t="s">
        <v>742</v>
      </c>
      <c r="G186" s="543">
        <v>30</v>
      </c>
      <c r="H186" s="544">
        <v>62500</v>
      </c>
      <c r="I186" s="513"/>
      <c r="J186" s="541">
        <v>1</v>
      </c>
      <c r="K186" s="541" t="s">
        <v>86</v>
      </c>
      <c r="L186" s="542" t="s">
        <v>1100</v>
      </c>
      <c r="M186" s="543">
        <v>1</v>
      </c>
      <c r="N186" s="544">
        <v>2778</v>
      </c>
      <c r="O186" s="544">
        <v>3000</v>
      </c>
      <c r="P186" s="541" t="s">
        <v>3961</v>
      </c>
    </row>
    <row r="187" spans="1:16" ht="17.100000000000001" customHeight="1" x14ac:dyDescent="0.25">
      <c r="A187" s="513"/>
      <c r="B187" s="545"/>
      <c r="C187" s="545"/>
      <c r="D187" s="545"/>
      <c r="E187" s="545"/>
      <c r="F187" s="545"/>
      <c r="G187" s="553"/>
      <c r="H187" s="554"/>
      <c r="I187" s="513"/>
      <c r="J187" s="541">
        <v>2</v>
      </c>
      <c r="K187" s="541" t="s">
        <v>88</v>
      </c>
      <c r="L187" s="542" t="s">
        <v>1100</v>
      </c>
      <c r="M187" s="543">
        <v>3</v>
      </c>
      <c r="N187" s="544">
        <v>2778</v>
      </c>
      <c r="O187" s="544">
        <v>9000</v>
      </c>
      <c r="P187" s="541" t="s">
        <v>3961</v>
      </c>
    </row>
    <row r="188" spans="1:16" ht="17.100000000000001" customHeight="1" x14ac:dyDescent="0.25">
      <c r="A188" s="513"/>
      <c r="B188" s="545"/>
      <c r="C188" s="545"/>
      <c r="D188" s="545"/>
      <c r="E188" s="545"/>
      <c r="F188" s="545"/>
      <c r="G188" s="553"/>
      <c r="H188" s="554"/>
      <c r="I188" s="513"/>
      <c r="J188" s="541">
        <v>3</v>
      </c>
      <c r="K188" s="541" t="s">
        <v>90</v>
      </c>
      <c r="L188" s="542" t="s">
        <v>1100</v>
      </c>
      <c r="M188" s="543">
        <v>5</v>
      </c>
      <c r="N188" s="544">
        <v>2778</v>
      </c>
      <c r="O188" s="544">
        <v>15000</v>
      </c>
      <c r="P188" s="541" t="s">
        <v>3961</v>
      </c>
    </row>
    <row r="189" spans="1:16" ht="17.100000000000001" customHeight="1" x14ac:dyDescent="0.25">
      <c r="A189" s="513"/>
      <c r="B189" s="545"/>
      <c r="C189" s="545"/>
      <c r="D189" s="545"/>
      <c r="E189" s="545"/>
      <c r="F189" s="545"/>
      <c r="G189" s="553"/>
      <c r="H189" s="554"/>
      <c r="I189" s="513"/>
      <c r="J189" s="541">
        <v>4</v>
      </c>
      <c r="K189" s="541" t="s">
        <v>92</v>
      </c>
      <c r="L189" s="542" t="s">
        <v>1100</v>
      </c>
      <c r="M189" s="543">
        <v>1</v>
      </c>
      <c r="N189" s="544">
        <v>2778</v>
      </c>
      <c r="O189" s="544">
        <v>3000</v>
      </c>
      <c r="P189" s="541" t="s">
        <v>3961</v>
      </c>
    </row>
    <row r="190" spans="1:16" ht="17.100000000000001" customHeight="1" x14ac:dyDescent="0.25">
      <c r="A190" s="513"/>
      <c r="B190" s="545"/>
      <c r="C190" s="545"/>
      <c r="D190" s="545"/>
      <c r="E190" s="545"/>
      <c r="F190" s="545"/>
      <c r="G190" s="553"/>
      <c r="H190" s="554"/>
      <c r="I190" s="513"/>
      <c r="J190" s="541">
        <v>5</v>
      </c>
      <c r="K190" s="541" t="s">
        <v>94</v>
      </c>
      <c r="L190" s="542" t="s">
        <v>1100</v>
      </c>
      <c r="M190" s="543">
        <v>7</v>
      </c>
      <c r="N190" s="544">
        <v>2778</v>
      </c>
      <c r="O190" s="544">
        <v>21000</v>
      </c>
      <c r="P190" s="541" t="s">
        <v>3961</v>
      </c>
    </row>
    <row r="191" spans="1:16" ht="17.100000000000001" customHeight="1" x14ac:dyDescent="0.25">
      <c r="A191" s="513"/>
      <c r="B191" s="545"/>
      <c r="C191" s="545"/>
      <c r="D191" s="545"/>
      <c r="E191" s="545"/>
      <c r="F191" s="545"/>
      <c r="G191" s="553"/>
      <c r="H191" s="554"/>
      <c r="I191" s="513"/>
      <c r="J191" s="541">
        <v>7</v>
      </c>
      <c r="K191" s="541" t="s">
        <v>98</v>
      </c>
      <c r="L191" s="542" t="s">
        <v>1100</v>
      </c>
      <c r="M191" s="543">
        <v>2</v>
      </c>
      <c r="N191" s="544">
        <v>2778</v>
      </c>
      <c r="O191" s="544">
        <v>6000</v>
      </c>
      <c r="P191" s="541" t="s">
        <v>3961</v>
      </c>
    </row>
    <row r="192" spans="1:16" ht="17.100000000000001" customHeight="1" x14ac:dyDescent="0.25">
      <c r="A192" s="513"/>
      <c r="B192" s="545"/>
      <c r="C192" s="545"/>
      <c r="D192" s="545"/>
      <c r="E192" s="545"/>
      <c r="F192" s="545"/>
      <c r="G192" s="553"/>
      <c r="H192" s="554"/>
      <c r="I192" s="513"/>
      <c r="J192" s="541">
        <v>8</v>
      </c>
      <c r="K192" s="541" t="s">
        <v>100</v>
      </c>
      <c r="L192" s="542" t="s">
        <v>1100</v>
      </c>
      <c r="M192" s="543">
        <v>5</v>
      </c>
      <c r="N192" s="544">
        <v>2778</v>
      </c>
      <c r="O192" s="544">
        <v>15000</v>
      </c>
      <c r="P192" s="541" t="s">
        <v>3961</v>
      </c>
    </row>
    <row r="193" spans="1:16" ht="17.100000000000001" customHeight="1" x14ac:dyDescent="0.25">
      <c r="A193" s="513"/>
      <c r="B193" s="545"/>
      <c r="C193" s="545"/>
      <c r="D193" s="545"/>
      <c r="E193" s="545"/>
      <c r="F193" s="545"/>
      <c r="G193" s="553"/>
      <c r="H193" s="554"/>
      <c r="I193" s="513"/>
      <c r="J193" s="541">
        <v>9</v>
      </c>
      <c r="K193" s="541" t="s">
        <v>102</v>
      </c>
      <c r="L193" s="542" t="s">
        <v>1100</v>
      </c>
      <c r="M193" s="543">
        <v>2</v>
      </c>
      <c r="N193" s="544">
        <v>2698</v>
      </c>
      <c r="O193" s="544">
        <v>5829</v>
      </c>
      <c r="P193" s="541" t="s">
        <v>3961</v>
      </c>
    </row>
    <row r="194" spans="1:16" ht="17.100000000000001" customHeight="1" x14ac:dyDescent="0.25">
      <c r="A194" s="513"/>
      <c r="B194" s="545"/>
      <c r="C194" s="545"/>
      <c r="D194" s="545"/>
      <c r="E194" s="545"/>
      <c r="F194" s="545"/>
      <c r="G194" s="545"/>
      <c r="H194" s="545"/>
      <c r="I194" s="513"/>
      <c r="J194" s="541">
        <v>10</v>
      </c>
      <c r="K194" s="541" t="s">
        <v>103</v>
      </c>
      <c r="L194" s="542" t="s">
        <v>1100</v>
      </c>
      <c r="M194" s="543">
        <v>4</v>
      </c>
      <c r="N194" s="544">
        <v>2778</v>
      </c>
      <c r="O194" s="544">
        <v>12000</v>
      </c>
      <c r="P194" s="541" t="s">
        <v>3961</v>
      </c>
    </row>
    <row r="195" spans="1:16" ht="17.100000000000001" customHeight="1" x14ac:dyDescent="0.25">
      <c r="A195" s="513"/>
      <c r="B195" s="545"/>
      <c r="C195" s="545"/>
      <c r="D195" s="545"/>
      <c r="E195" s="545"/>
      <c r="F195" s="545"/>
      <c r="G195" s="553"/>
      <c r="H195" s="554"/>
      <c r="I195" s="513"/>
      <c r="J195" s="541">
        <v>11</v>
      </c>
      <c r="K195" s="541" t="s">
        <v>104</v>
      </c>
      <c r="L195" s="542" t="s">
        <v>1100</v>
      </c>
      <c r="M195" s="543">
        <v>0</v>
      </c>
      <c r="N195" s="544">
        <v>0</v>
      </c>
      <c r="O195" s="544">
        <v>0</v>
      </c>
      <c r="P195" s="541" t="s">
        <v>3961</v>
      </c>
    </row>
    <row r="196" spans="1:16" ht="17.100000000000001" customHeight="1" x14ac:dyDescent="0.25">
      <c r="A196" s="513"/>
      <c r="B196" s="545"/>
      <c r="C196" s="545"/>
      <c r="D196" s="545"/>
      <c r="E196" s="545"/>
      <c r="F196" s="545"/>
      <c r="G196" s="553"/>
      <c r="H196" s="554"/>
      <c r="I196" s="513"/>
      <c r="J196" s="541">
        <v>12</v>
      </c>
      <c r="K196" s="541" t="s">
        <v>106</v>
      </c>
      <c r="L196" s="542" t="s">
        <v>1100</v>
      </c>
      <c r="M196" s="543">
        <v>1</v>
      </c>
      <c r="N196" s="544">
        <v>2778</v>
      </c>
      <c r="O196" s="544">
        <v>3000</v>
      </c>
      <c r="P196" s="541" t="s">
        <v>3961</v>
      </c>
    </row>
    <row r="197" spans="1:16" ht="17.100000000000001" customHeight="1" x14ac:dyDescent="0.25">
      <c r="A197" s="513"/>
      <c r="B197" s="545"/>
      <c r="C197" s="545"/>
      <c r="D197" s="545"/>
      <c r="E197" s="545"/>
      <c r="F197" s="545"/>
      <c r="G197" s="553"/>
      <c r="H197" s="554"/>
      <c r="I197" s="513"/>
      <c r="J197" s="541">
        <v>13</v>
      </c>
      <c r="K197" s="541" t="s">
        <v>112</v>
      </c>
      <c r="L197" s="542" t="s">
        <v>1100</v>
      </c>
      <c r="M197" s="543">
        <v>1</v>
      </c>
      <c r="N197" s="544">
        <v>2778</v>
      </c>
      <c r="O197" s="544">
        <v>3000</v>
      </c>
      <c r="P197" s="541" t="s">
        <v>3961</v>
      </c>
    </row>
    <row r="198" spans="1:16" ht="17.100000000000001" customHeight="1" x14ac:dyDescent="0.25">
      <c r="A198" s="513"/>
      <c r="B198" s="545"/>
      <c r="C198" s="545"/>
      <c r="D198" s="545"/>
      <c r="E198" s="545"/>
      <c r="F198" s="545"/>
      <c r="G198" s="553"/>
      <c r="H198" s="554"/>
      <c r="I198" s="513"/>
      <c r="J198" s="541">
        <v>14</v>
      </c>
      <c r="K198" s="541" t="s">
        <v>115</v>
      </c>
      <c r="L198" s="542" t="s">
        <v>1100</v>
      </c>
      <c r="M198" s="543">
        <v>2</v>
      </c>
      <c r="N198" s="544">
        <v>2778</v>
      </c>
      <c r="O198" s="544">
        <v>6000</v>
      </c>
      <c r="P198" s="541" t="s">
        <v>3961</v>
      </c>
    </row>
    <row r="199" spans="1:16" ht="17.100000000000001" customHeight="1" x14ac:dyDescent="0.25">
      <c r="A199" s="513"/>
      <c r="B199" s="545"/>
      <c r="C199" s="545"/>
      <c r="D199" s="545"/>
      <c r="E199" s="545"/>
      <c r="F199" s="545"/>
      <c r="G199" s="545"/>
      <c r="H199" s="545"/>
      <c r="I199" s="513"/>
      <c r="J199" s="541">
        <v>15</v>
      </c>
      <c r="K199" s="541" t="s">
        <v>118</v>
      </c>
      <c r="L199" s="542" t="s">
        <v>1100</v>
      </c>
      <c r="M199" s="543">
        <v>2</v>
      </c>
      <c r="N199" s="544">
        <v>2778</v>
      </c>
      <c r="O199" s="544">
        <v>6000</v>
      </c>
      <c r="P199" s="541" t="s">
        <v>3961</v>
      </c>
    </row>
    <row r="200" spans="1:16" ht="17.100000000000001" customHeight="1" x14ac:dyDescent="0.25">
      <c r="A200" s="513"/>
      <c r="B200" s="545"/>
      <c r="C200" s="545"/>
      <c r="D200" s="545"/>
      <c r="E200" s="545"/>
      <c r="F200" s="545"/>
      <c r="G200" s="553"/>
      <c r="H200" s="554"/>
      <c r="I200" s="513"/>
      <c r="J200" s="541">
        <v>16</v>
      </c>
      <c r="K200" s="541" t="s">
        <v>121</v>
      </c>
      <c r="L200" s="542" t="s">
        <v>1100</v>
      </c>
      <c r="M200" s="543">
        <v>2</v>
      </c>
      <c r="N200" s="544">
        <v>2778</v>
      </c>
      <c r="O200" s="544">
        <v>6000</v>
      </c>
      <c r="P200" s="541" t="s">
        <v>3961</v>
      </c>
    </row>
    <row r="201" spans="1:16" ht="17.100000000000001" customHeight="1" x14ac:dyDescent="0.25">
      <c r="A201" s="513"/>
      <c r="B201" s="545"/>
      <c r="C201" s="545"/>
      <c r="D201" s="545"/>
      <c r="E201" s="545"/>
      <c r="F201" s="545"/>
      <c r="G201" s="545"/>
      <c r="H201" s="545"/>
      <c r="I201" s="513"/>
      <c r="J201" s="541">
        <v>17</v>
      </c>
      <c r="K201" s="541" t="s">
        <v>124</v>
      </c>
      <c r="L201" s="542" t="s">
        <v>1100</v>
      </c>
      <c r="M201" s="543">
        <v>5</v>
      </c>
      <c r="N201" s="544">
        <v>2778</v>
      </c>
      <c r="O201" s="544">
        <v>15000</v>
      </c>
      <c r="P201" s="541" t="s">
        <v>3961</v>
      </c>
    </row>
    <row r="202" spans="1:16" ht="17.100000000000001" customHeight="1" x14ac:dyDescent="0.25">
      <c r="A202" s="513"/>
      <c r="B202" s="545"/>
      <c r="C202" s="545"/>
      <c r="D202" s="545"/>
      <c r="E202" s="545"/>
      <c r="F202" s="545"/>
      <c r="G202" s="545"/>
      <c r="H202" s="545"/>
      <c r="I202" s="513"/>
      <c r="J202" s="541">
        <v>18</v>
      </c>
      <c r="K202" s="541" t="s">
        <v>127</v>
      </c>
      <c r="L202" s="542" t="s">
        <v>1100</v>
      </c>
      <c r="M202" s="543">
        <v>4</v>
      </c>
      <c r="N202" s="544">
        <v>2778</v>
      </c>
      <c r="O202" s="544">
        <v>12000</v>
      </c>
      <c r="P202" s="541" t="s">
        <v>3961</v>
      </c>
    </row>
    <row r="203" spans="1:16" ht="17.100000000000001" customHeight="1" x14ac:dyDescent="0.25">
      <c r="A203" s="513"/>
      <c r="B203" s="545"/>
      <c r="C203" s="545"/>
      <c r="D203" s="545"/>
      <c r="E203" s="545"/>
      <c r="F203" s="545"/>
      <c r="G203" s="545"/>
      <c r="H203" s="545"/>
      <c r="I203" s="513"/>
      <c r="J203" s="541">
        <v>20</v>
      </c>
      <c r="K203" s="541" t="s">
        <v>133</v>
      </c>
      <c r="L203" s="542" t="s">
        <v>1100</v>
      </c>
      <c r="M203" s="543">
        <v>4</v>
      </c>
      <c r="N203" s="544">
        <v>2778</v>
      </c>
      <c r="O203" s="544">
        <v>12000</v>
      </c>
      <c r="P203" s="541" t="s">
        <v>3961</v>
      </c>
    </row>
    <row r="204" spans="1:16" ht="18.95" customHeight="1" x14ac:dyDescent="0.25">
      <c r="A204" s="513"/>
      <c r="B204" s="761" t="s">
        <v>4025</v>
      </c>
      <c r="C204" s="652"/>
      <c r="D204" s="652"/>
      <c r="E204" s="652"/>
      <c r="F204" s="648"/>
      <c r="G204" s="546">
        <v>30</v>
      </c>
      <c r="H204" s="547">
        <v>62500</v>
      </c>
      <c r="I204" s="513"/>
      <c r="J204" s="761" t="s">
        <v>4026</v>
      </c>
      <c r="K204" s="652"/>
      <c r="L204" s="648"/>
      <c r="M204" s="546">
        <v>51</v>
      </c>
      <c r="N204" s="555" t="s">
        <v>44</v>
      </c>
      <c r="O204" s="547">
        <v>152829</v>
      </c>
      <c r="P204" s="548" t="s">
        <v>44</v>
      </c>
    </row>
    <row r="205" spans="1:16" ht="17.100000000000001" customHeight="1" x14ac:dyDescent="0.25">
      <c r="A205" s="513"/>
      <c r="B205" s="513"/>
      <c r="C205" s="513"/>
      <c r="D205" s="513"/>
      <c r="E205" s="513"/>
      <c r="F205" s="513"/>
      <c r="G205" s="513"/>
      <c r="H205" s="513"/>
      <c r="I205" s="513"/>
      <c r="J205" s="513"/>
      <c r="K205" s="513"/>
      <c r="L205" s="513"/>
      <c r="M205" s="549"/>
      <c r="N205" s="550"/>
      <c r="O205" s="550"/>
      <c r="P205" s="513"/>
    </row>
    <row r="206" spans="1:16" ht="21.95" customHeight="1" x14ac:dyDescent="0.25">
      <c r="A206" s="513"/>
      <c r="B206" s="752" t="s">
        <v>4027</v>
      </c>
      <c r="C206" s="642"/>
      <c r="D206" s="642"/>
      <c r="E206" s="642"/>
      <c r="F206" s="642"/>
      <c r="G206" s="642"/>
      <c r="H206" s="642"/>
      <c r="I206" s="642"/>
      <c r="J206" s="642"/>
      <c r="K206" s="642"/>
      <c r="L206" s="642"/>
      <c r="M206" s="642"/>
      <c r="N206" s="642"/>
      <c r="O206" s="642"/>
      <c r="P206" s="642"/>
    </row>
    <row r="207" spans="1:16" ht="15.95" customHeight="1" x14ac:dyDescent="0.25">
      <c r="A207" s="513"/>
      <c r="B207" s="755" t="s">
        <v>4028</v>
      </c>
      <c r="C207" s="652"/>
      <c r="D207" s="652"/>
      <c r="E207" s="652"/>
      <c r="F207" s="652"/>
      <c r="G207" s="652"/>
      <c r="H207" s="652"/>
      <c r="I207" s="652"/>
      <c r="J207" s="652"/>
      <c r="K207" s="652"/>
      <c r="L207" s="652"/>
      <c r="M207" s="652"/>
      <c r="N207" s="652"/>
      <c r="O207" s="652"/>
      <c r="P207" s="648"/>
    </row>
    <row r="208" spans="1:16" ht="20.100000000000001" customHeight="1" x14ac:dyDescent="0.25">
      <c r="A208" s="513"/>
      <c r="B208" s="756" t="s">
        <v>4001</v>
      </c>
      <c r="C208" s="652"/>
      <c r="D208" s="652"/>
      <c r="E208" s="652"/>
      <c r="F208" s="652"/>
      <c r="G208" s="652"/>
      <c r="H208" s="648"/>
      <c r="I208" s="538"/>
      <c r="J208" s="751" t="s">
        <v>4029</v>
      </c>
      <c r="K208" s="652"/>
      <c r="L208" s="652"/>
      <c r="M208" s="652"/>
      <c r="N208" s="652"/>
      <c r="O208" s="652"/>
      <c r="P208" s="648"/>
    </row>
    <row r="209" spans="1:16" ht="18" customHeight="1" x14ac:dyDescent="0.25">
      <c r="A209" s="513"/>
      <c r="B209" s="539" t="s">
        <v>48</v>
      </c>
      <c r="C209" s="539" t="s">
        <v>76</v>
      </c>
      <c r="D209" s="539" t="s">
        <v>2561</v>
      </c>
      <c r="E209" s="539" t="s">
        <v>1229</v>
      </c>
      <c r="F209" s="539" t="s">
        <v>3953</v>
      </c>
      <c r="G209" s="539" t="s">
        <v>3954</v>
      </c>
      <c r="H209" s="539" t="s">
        <v>3955</v>
      </c>
      <c r="I209" s="513"/>
      <c r="J209" s="540" t="s">
        <v>48</v>
      </c>
      <c r="K209" s="540" t="s">
        <v>76</v>
      </c>
      <c r="L209" s="540" t="s">
        <v>3956</v>
      </c>
      <c r="M209" s="551" t="s">
        <v>3957</v>
      </c>
      <c r="N209" s="552" t="s">
        <v>3958</v>
      </c>
      <c r="O209" s="552" t="s">
        <v>3959</v>
      </c>
      <c r="P209" s="540" t="s">
        <v>3960</v>
      </c>
    </row>
    <row r="210" spans="1:16" ht="17.100000000000001" customHeight="1" x14ac:dyDescent="0.25">
      <c r="A210" s="513"/>
      <c r="B210" s="754" t="s">
        <v>4002</v>
      </c>
      <c r="C210" s="652"/>
      <c r="D210" s="652"/>
      <c r="E210" s="652"/>
      <c r="F210" s="652"/>
      <c r="G210" s="652"/>
      <c r="H210" s="648"/>
      <c r="I210" s="513"/>
      <c r="J210" s="541">
        <v>5</v>
      </c>
      <c r="K210" s="541" t="s">
        <v>94</v>
      </c>
      <c r="L210" s="542" t="s">
        <v>1186</v>
      </c>
      <c r="M210" s="543">
        <v>0</v>
      </c>
      <c r="N210" s="544">
        <v>0</v>
      </c>
      <c r="O210" s="544">
        <v>0</v>
      </c>
      <c r="P210" s="541" t="s">
        <v>3961</v>
      </c>
    </row>
    <row r="211" spans="1:16" ht="17.100000000000001" customHeight="1" x14ac:dyDescent="0.25">
      <c r="A211" s="513"/>
      <c r="B211" s="545"/>
      <c r="C211" s="545"/>
      <c r="D211" s="545"/>
      <c r="E211" s="545"/>
      <c r="F211" s="545"/>
      <c r="G211" s="545"/>
      <c r="H211" s="545"/>
      <c r="I211" s="513"/>
      <c r="J211" s="541">
        <v>6</v>
      </c>
      <c r="K211" s="541" t="s">
        <v>96</v>
      </c>
      <c r="L211" s="542" t="s">
        <v>1186</v>
      </c>
      <c r="M211" s="543">
        <v>2</v>
      </c>
      <c r="N211" s="544">
        <v>11574</v>
      </c>
      <c r="O211" s="544">
        <v>25000</v>
      </c>
      <c r="P211" s="541" t="s">
        <v>3961</v>
      </c>
    </row>
    <row r="212" spans="1:16" ht="17.100000000000001" customHeight="1" x14ac:dyDescent="0.25">
      <c r="A212" s="513"/>
      <c r="B212" s="545"/>
      <c r="C212" s="545"/>
      <c r="D212" s="545"/>
      <c r="E212" s="545"/>
      <c r="F212" s="545"/>
      <c r="G212" s="545"/>
      <c r="H212" s="545"/>
      <c r="I212" s="513"/>
      <c r="J212" s="541">
        <v>13</v>
      </c>
      <c r="K212" s="541" t="s">
        <v>112</v>
      </c>
      <c r="L212" s="542" t="s">
        <v>1186</v>
      </c>
      <c r="M212" s="543">
        <v>2</v>
      </c>
      <c r="N212" s="544">
        <v>11574</v>
      </c>
      <c r="O212" s="544">
        <v>25000</v>
      </c>
      <c r="P212" s="541" t="s">
        <v>3961</v>
      </c>
    </row>
    <row r="213" spans="1:16" ht="18.95" customHeight="1" x14ac:dyDescent="0.25">
      <c r="A213" s="513"/>
      <c r="B213" s="761" t="s">
        <v>4030</v>
      </c>
      <c r="C213" s="652"/>
      <c r="D213" s="652"/>
      <c r="E213" s="652"/>
      <c r="F213" s="648"/>
      <c r="G213" s="546">
        <v>0</v>
      </c>
      <c r="H213" s="547">
        <v>0</v>
      </c>
      <c r="I213" s="513"/>
      <c r="J213" s="761" t="s">
        <v>4031</v>
      </c>
      <c r="K213" s="652"/>
      <c r="L213" s="648"/>
      <c r="M213" s="546">
        <v>4</v>
      </c>
      <c r="N213" s="548" t="s">
        <v>44</v>
      </c>
      <c r="O213" s="547">
        <v>50000</v>
      </c>
      <c r="P213" s="548" t="s">
        <v>44</v>
      </c>
    </row>
    <row r="214" spans="1:16" ht="20.100000000000001" customHeight="1" x14ac:dyDescent="0.25">
      <c r="A214" s="513"/>
      <c r="B214" s="513"/>
      <c r="C214" s="513"/>
      <c r="D214" s="513"/>
      <c r="E214" s="513"/>
      <c r="F214" s="513"/>
      <c r="G214" s="513"/>
      <c r="H214" s="513"/>
      <c r="I214" s="513"/>
      <c r="J214" s="513"/>
      <c r="K214" s="513"/>
      <c r="L214" s="513"/>
      <c r="M214" s="513"/>
      <c r="N214" s="513"/>
      <c r="O214" s="513"/>
      <c r="P214" s="513"/>
    </row>
    <row r="215" spans="1:16" ht="21.95" customHeight="1" x14ac:dyDescent="0.25">
      <c r="A215" s="513"/>
      <c r="B215" s="752" t="s">
        <v>4032</v>
      </c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</row>
    <row r="216" spans="1:16" ht="15.95" customHeight="1" x14ac:dyDescent="0.25">
      <c r="A216" s="513"/>
      <c r="B216" s="755" t="s">
        <v>4033</v>
      </c>
      <c r="C216" s="652"/>
      <c r="D216" s="652"/>
      <c r="E216" s="652"/>
      <c r="F216" s="652"/>
      <c r="G216" s="652"/>
      <c r="H216" s="652"/>
      <c r="I216" s="652"/>
      <c r="J216" s="652"/>
      <c r="K216" s="652"/>
      <c r="L216" s="652"/>
      <c r="M216" s="652"/>
      <c r="N216" s="652"/>
      <c r="O216" s="652"/>
      <c r="P216" s="648"/>
    </row>
    <row r="217" spans="1:16" ht="20.100000000000001" customHeight="1" x14ac:dyDescent="0.25">
      <c r="A217" s="513"/>
      <c r="B217" s="756" t="s">
        <v>4034</v>
      </c>
      <c r="C217" s="652"/>
      <c r="D217" s="652"/>
      <c r="E217" s="652"/>
      <c r="F217" s="652"/>
      <c r="G217" s="652"/>
      <c r="H217" s="648"/>
      <c r="I217" s="538"/>
      <c r="J217" s="751" t="s">
        <v>4035</v>
      </c>
      <c r="K217" s="652"/>
      <c r="L217" s="652"/>
      <c r="M217" s="652"/>
      <c r="N217" s="652"/>
      <c r="O217" s="652"/>
      <c r="P217" s="648"/>
    </row>
    <row r="218" spans="1:16" ht="18" customHeight="1" x14ac:dyDescent="0.25">
      <c r="A218" s="513"/>
      <c r="B218" s="539" t="s">
        <v>48</v>
      </c>
      <c r="C218" s="539" t="s">
        <v>76</v>
      </c>
      <c r="D218" s="539" t="s">
        <v>2561</v>
      </c>
      <c r="E218" s="539" t="s">
        <v>1229</v>
      </c>
      <c r="F218" s="539" t="s">
        <v>3953</v>
      </c>
      <c r="G218" s="556" t="s">
        <v>3954</v>
      </c>
      <c r="H218" s="557" t="s">
        <v>3955</v>
      </c>
      <c r="I218" s="513"/>
      <c r="J218" s="540" t="s">
        <v>48</v>
      </c>
      <c r="K218" s="540" t="s">
        <v>76</v>
      </c>
      <c r="L218" s="540" t="s">
        <v>3956</v>
      </c>
      <c r="M218" s="551" t="s">
        <v>3957</v>
      </c>
      <c r="N218" s="552" t="s">
        <v>3958</v>
      </c>
      <c r="O218" s="552" t="s">
        <v>3959</v>
      </c>
      <c r="P218" s="540" t="s">
        <v>3960</v>
      </c>
    </row>
    <row r="219" spans="1:16" ht="17.100000000000001" customHeight="1" x14ac:dyDescent="0.25">
      <c r="A219" s="513"/>
      <c r="B219" s="541">
        <v>9</v>
      </c>
      <c r="C219" s="541" t="s">
        <v>102</v>
      </c>
      <c r="D219" s="541" t="s">
        <v>648</v>
      </c>
      <c r="E219" s="542" t="s">
        <v>1640</v>
      </c>
      <c r="F219" s="542" t="s">
        <v>672</v>
      </c>
      <c r="G219" s="543">
        <v>12</v>
      </c>
      <c r="H219" s="544">
        <v>44999.99</v>
      </c>
      <c r="I219" s="513"/>
      <c r="J219" s="541">
        <v>1</v>
      </c>
      <c r="K219" s="541" t="s">
        <v>86</v>
      </c>
      <c r="L219" s="542" t="s">
        <v>1107</v>
      </c>
      <c r="M219" s="543">
        <v>6</v>
      </c>
      <c r="N219" s="544">
        <v>6481</v>
      </c>
      <c r="O219" s="544">
        <v>42000</v>
      </c>
      <c r="P219" s="541" t="s">
        <v>3961</v>
      </c>
    </row>
    <row r="220" spans="1:16" ht="17.100000000000001" customHeight="1" x14ac:dyDescent="0.25">
      <c r="A220" s="513"/>
      <c r="B220" s="541">
        <v>9</v>
      </c>
      <c r="C220" s="541" t="s">
        <v>102</v>
      </c>
      <c r="D220" s="541" t="s">
        <v>648</v>
      </c>
      <c r="E220" s="542" t="s">
        <v>1640</v>
      </c>
      <c r="F220" s="542" t="s">
        <v>674</v>
      </c>
      <c r="G220" s="543">
        <v>12</v>
      </c>
      <c r="H220" s="544">
        <v>44999.99</v>
      </c>
      <c r="I220" s="513"/>
      <c r="J220" s="541">
        <v>2</v>
      </c>
      <c r="K220" s="541" t="s">
        <v>88</v>
      </c>
      <c r="L220" s="542" t="s">
        <v>1107</v>
      </c>
      <c r="M220" s="543">
        <v>3</v>
      </c>
      <c r="N220" s="544">
        <v>6481</v>
      </c>
      <c r="O220" s="544">
        <v>21000</v>
      </c>
      <c r="P220" s="541" t="s">
        <v>3961</v>
      </c>
    </row>
    <row r="221" spans="1:16" ht="17.100000000000001" customHeight="1" x14ac:dyDescent="0.25">
      <c r="A221" s="513"/>
      <c r="B221" s="541">
        <v>9</v>
      </c>
      <c r="C221" s="541" t="s">
        <v>102</v>
      </c>
      <c r="D221" s="541" t="s">
        <v>648</v>
      </c>
      <c r="E221" s="542" t="s">
        <v>1640</v>
      </c>
      <c r="F221" s="542" t="s">
        <v>676</v>
      </c>
      <c r="G221" s="543">
        <v>12</v>
      </c>
      <c r="H221" s="544">
        <v>45000.01</v>
      </c>
      <c r="I221" s="513"/>
      <c r="J221" s="541">
        <v>3</v>
      </c>
      <c r="K221" s="541" t="s">
        <v>90</v>
      </c>
      <c r="L221" s="542" t="s">
        <v>1107</v>
      </c>
      <c r="M221" s="543">
        <v>4</v>
      </c>
      <c r="N221" s="544">
        <v>6481</v>
      </c>
      <c r="O221" s="544">
        <v>28000</v>
      </c>
      <c r="P221" s="541" t="s">
        <v>3961</v>
      </c>
    </row>
    <row r="222" spans="1:16" ht="17.100000000000001" customHeight="1" x14ac:dyDescent="0.25">
      <c r="A222" s="513"/>
      <c r="B222" s="541">
        <v>11</v>
      </c>
      <c r="C222" s="541" t="s">
        <v>104</v>
      </c>
      <c r="D222" s="541" t="s">
        <v>1773</v>
      </c>
      <c r="E222" s="542" t="s">
        <v>1294</v>
      </c>
      <c r="F222" s="542" t="s">
        <v>1775</v>
      </c>
      <c r="G222" s="543">
        <v>5</v>
      </c>
      <c r="H222" s="544">
        <v>109500</v>
      </c>
      <c r="I222" s="513"/>
      <c r="J222" s="541">
        <v>4</v>
      </c>
      <c r="K222" s="541" t="s">
        <v>92</v>
      </c>
      <c r="L222" s="542" t="s">
        <v>1107</v>
      </c>
      <c r="M222" s="543">
        <v>3</v>
      </c>
      <c r="N222" s="544">
        <v>6481</v>
      </c>
      <c r="O222" s="544">
        <v>21000</v>
      </c>
      <c r="P222" s="541" t="s">
        <v>3961</v>
      </c>
    </row>
    <row r="223" spans="1:16" ht="17.100000000000001" customHeight="1" x14ac:dyDescent="0.25">
      <c r="A223" s="513"/>
      <c r="B223" s="541">
        <v>5</v>
      </c>
      <c r="C223" s="541" t="s">
        <v>94</v>
      </c>
      <c r="D223" s="541" t="s">
        <v>603</v>
      </c>
      <c r="E223" s="542" t="s">
        <v>1640</v>
      </c>
      <c r="F223" s="542" t="s">
        <v>615</v>
      </c>
      <c r="G223" s="543">
        <v>6</v>
      </c>
      <c r="H223" s="544">
        <v>18907.560000000001</v>
      </c>
      <c r="I223" s="513"/>
      <c r="J223" s="541">
        <v>5</v>
      </c>
      <c r="K223" s="541" t="s">
        <v>94</v>
      </c>
      <c r="L223" s="542" t="s">
        <v>1107</v>
      </c>
      <c r="M223" s="543">
        <v>5</v>
      </c>
      <c r="N223" s="544">
        <v>6481</v>
      </c>
      <c r="O223" s="544">
        <v>35000</v>
      </c>
      <c r="P223" s="541" t="s">
        <v>3961</v>
      </c>
    </row>
    <row r="224" spans="1:16" ht="17.100000000000001" customHeight="1" x14ac:dyDescent="0.25">
      <c r="A224" s="513"/>
      <c r="B224" s="541">
        <v>5</v>
      </c>
      <c r="C224" s="541" t="s">
        <v>94</v>
      </c>
      <c r="D224" s="541" t="s">
        <v>603</v>
      </c>
      <c r="E224" s="542" t="s">
        <v>1640</v>
      </c>
      <c r="F224" s="542" t="s">
        <v>617</v>
      </c>
      <c r="G224" s="543">
        <v>6</v>
      </c>
      <c r="H224" s="544">
        <v>18907.560000000001</v>
      </c>
      <c r="I224" s="513"/>
      <c r="J224" s="541">
        <v>6</v>
      </c>
      <c r="K224" s="541" t="s">
        <v>96</v>
      </c>
      <c r="L224" s="542" t="s">
        <v>1107</v>
      </c>
      <c r="M224" s="543">
        <v>10</v>
      </c>
      <c r="N224" s="544">
        <v>6481</v>
      </c>
      <c r="O224" s="544">
        <v>70000</v>
      </c>
      <c r="P224" s="541" t="s">
        <v>3961</v>
      </c>
    </row>
    <row r="225" spans="1:16" ht="17.100000000000001" customHeight="1" x14ac:dyDescent="0.25">
      <c r="A225" s="513"/>
      <c r="B225" s="541">
        <v>5</v>
      </c>
      <c r="C225" s="541" t="s">
        <v>94</v>
      </c>
      <c r="D225" s="541" t="s">
        <v>603</v>
      </c>
      <c r="E225" s="542" t="s">
        <v>1640</v>
      </c>
      <c r="F225" s="542" t="s">
        <v>627</v>
      </c>
      <c r="G225" s="543">
        <v>12</v>
      </c>
      <c r="H225" s="544">
        <v>37815.120000000003</v>
      </c>
      <c r="I225" s="513"/>
      <c r="J225" s="541">
        <v>7</v>
      </c>
      <c r="K225" s="541" t="s">
        <v>98</v>
      </c>
      <c r="L225" s="542" t="s">
        <v>1107</v>
      </c>
      <c r="M225" s="543">
        <v>2</v>
      </c>
      <c r="N225" s="544">
        <v>6481</v>
      </c>
      <c r="O225" s="544">
        <v>14000</v>
      </c>
      <c r="P225" s="541" t="s">
        <v>3961</v>
      </c>
    </row>
    <row r="226" spans="1:16" ht="17.100000000000001" customHeight="1" x14ac:dyDescent="0.25">
      <c r="A226" s="513"/>
      <c r="B226" s="541">
        <v>5</v>
      </c>
      <c r="C226" s="541" t="s">
        <v>94</v>
      </c>
      <c r="D226" s="541" t="s">
        <v>603</v>
      </c>
      <c r="E226" s="542" t="s">
        <v>1640</v>
      </c>
      <c r="F226" s="542" t="s">
        <v>629</v>
      </c>
      <c r="G226" s="543">
        <v>12</v>
      </c>
      <c r="H226" s="544">
        <v>37815.120000000003</v>
      </c>
      <c r="I226" s="513"/>
      <c r="J226" s="541">
        <v>8</v>
      </c>
      <c r="K226" s="541" t="s">
        <v>100</v>
      </c>
      <c r="L226" s="542" t="s">
        <v>1107</v>
      </c>
      <c r="M226" s="543">
        <v>1</v>
      </c>
      <c r="N226" s="544">
        <v>6481</v>
      </c>
      <c r="O226" s="544">
        <v>7000</v>
      </c>
      <c r="P226" s="541" t="s">
        <v>3961</v>
      </c>
    </row>
    <row r="227" spans="1:16" ht="17.100000000000001" customHeight="1" x14ac:dyDescent="0.25">
      <c r="A227" s="513"/>
      <c r="B227" s="545"/>
      <c r="C227" s="545"/>
      <c r="D227" s="545"/>
      <c r="E227" s="545"/>
      <c r="F227" s="545"/>
      <c r="G227" s="553"/>
      <c r="H227" s="554"/>
      <c r="I227" s="513"/>
      <c r="J227" s="541">
        <v>9</v>
      </c>
      <c r="K227" s="541" t="s">
        <v>102</v>
      </c>
      <c r="L227" s="542" t="s">
        <v>1107</v>
      </c>
      <c r="M227" s="543">
        <v>2</v>
      </c>
      <c r="N227" s="544">
        <v>6481</v>
      </c>
      <c r="O227" s="544">
        <v>14000</v>
      </c>
      <c r="P227" s="541" t="s">
        <v>3961</v>
      </c>
    </row>
    <row r="228" spans="1:16" ht="17.100000000000001" customHeight="1" x14ac:dyDescent="0.25">
      <c r="A228" s="513"/>
      <c r="B228" s="545"/>
      <c r="C228" s="545"/>
      <c r="D228" s="545"/>
      <c r="E228" s="545"/>
      <c r="F228" s="545"/>
      <c r="G228" s="545"/>
      <c r="H228" s="545"/>
      <c r="I228" s="513"/>
      <c r="J228" s="541">
        <v>10</v>
      </c>
      <c r="K228" s="541" t="s">
        <v>103</v>
      </c>
      <c r="L228" s="542" t="s">
        <v>1107</v>
      </c>
      <c r="M228" s="543">
        <v>2</v>
      </c>
      <c r="N228" s="544">
        <v>6481</v>
      </c>
      <c r="O228" s="544">
        <v>14000</v>
      </c>
      <c r="P228" s="541" t="s">
        <v>3961</v>
      </c>
    </row>
    <row r="229" spans="1:16" ht="17.100000000000001" customHeight="1" x14ac:dyDescent="0.25">
      <c r="A229" s="513"/>
      <c r="B229" s="545"/>
      <c r="C229" s="545"/>
      <c r="D229" s="545"/>
      <c r="E229" s="545"/>
      <c r="F229" s="545"/>
      <c r="G229" s="545"/>
      <c r="H229" s="545"/>
      <c r="I229" s="513"/>
      <c r="J229" s="541">
        <v>11</v>
      </c>
      <c r="K229" s="541" t="s">
        <v>104</v>
      </c>
      <c r="L229" s="542" t="s">
        <v>1107</v>
      </c>
      <c r="M229" s="543">
        <v>2</v>
      </c>
      <c r="N229" s="544">
        <v>6481</v>
      </c>
      <c r="O229" s="544">
        <v>14000</v>
      </c>
      <c r="P229" s="541" t="s">
        <v>3961</v>
      </c>
    </row>
    <row r="230" spans="1:16" ht="17.100000000000001" customHeight="1" x14ac:dyDescent="0.25">
      <c r="A230" s="513"/>
      <c r="B230" s="545"/>
      <c r="C230" s="545"/>
      <c r="D230" s="545"/>
      <c r="E230" s="545"/>
      <c r="F230" s="545"/>
      <c r="G230" s="545"/>
      <c r="H230" s="545"/>
      <c r="I230" s="513"/>
      <c r="J230" s="541">
        <v>12</v>
      </c>
      <c r="K230" s="541" t="s">
        <v>106</v>
      </c>
      <c r="L230" s="542" t="s">
        <v>1107</v>
      </c>
      <c r="M230" s="543">
        <v>11</v>
      </c>
      <c r="N230" s="544">
        <v>6481</v>
      </c>
      <c r="O230" s="544">
        <v>77000</v>
      </c>
      <c r="P230" s="541" t="s">
        <v>3961</v>
      </c>
    </row>
    <row r="231" spans="1:16" ht="17.100000000000001" customHeight="1" x14ac:dyDescent="0.25">
      <c r="A231" s="513"/>
      <c r="B231" s="545"/>
      <c r="C231" s="545"/>
      <c r="D231" s="545"/>
      <c r="E231" s="545"/>
      <c r="F231" s="545"/>
      <c r="G231" s="553"/>
      <c r="H231" s="554"/>
      <c r="I231" s="513"/>
      <c r="J231" s="541">
        <v>13</v>
      </c>
      <c r="K231" s="541" t="s">
        <v>112</v>
      </c>
      <c r="L231" s="542" t="s">
        <v>1107</v>
      </c>
      <c r="M231" s="543">
        <v>10</v>
      </c>
      <c r="N231" s="544">
        <v>6481</v>
      </c>
      <c r="O231" s="544">
        <v>70000</v>
      </c>
      <c r="P231" s="541" t="s">
        <v>3961</v>
      </c>
    </row>
    <row r="232" spans="1:16" ht="17.100000000000001" customHeight="1" x14ac:dyDescent="0.25">
      <c r="A232" s="513"/>
      <c r="B232" s="545"/>
      <c r="C232" s="545"/>
      <c r="D232" s="545"/>
      <c r="E232" s="545"/>
      <c r="F232" s="545"/>
      <c r="G232" s="553"/>
      <c r="H232" s="554"/>
      <c r="I232" s="513"/>
      <c r="J232" s="541">
        <v>14</v>
      </c>
      <c r="K232" s="541" t="s">
        <v>115</v>
      </c>
      <c r="L232" s="542" t="s">
        <v>1107</v>
      </c>
      <c r="M232" s="543">
        <v>1</v>
      </c>
      <c r="N232" s="544">
        <v>6481</v>
      </c>
      <c r="O232" s="544">
        <v>7000</v>
      </c>
      <c r="P232" s="541" t="s">
        <v>3961</v>
      </c>
    </row>
    <row r="233" spans="1:16" ht="17.100000000000001" customHeight="1" x14ac:dyDescent="0.25">
      <c r="A233" s="513"/>
      <c r="B233" s="545"/>
      <c r="C233" s="545"/>
      <c r="D233" s="545"/>
      <c r="E233" s="545"/>
      <c r="F233" s="545"/>
      <c r="G233" s="553"/>
      <c r="H233" s="554"/>
      <c r="I233" s="513"/>
      <c r="J233" s="541">
        <v>15</v>
      </c>
      <c r="K233" s="541" t="s">
        <v>118</v>
      </c>
      <c r="L233" s="542" t="s">
        <v>1107</v>
      </c>
      <c r="M233" s="543">
        <v>1</v>
      </c>
      <c r="N233" s="544">
        <v>6481</v>
      </c>
      <c r="O233" s="544">
        <v>7000</v>
      </c>
      <c r="P233" s="541" t="s">
        <v>3961</v>
      </c>
    </row>
    <row r="234" spans="1:16" ht="17.100000000000001" customHeight="1" x14ac:dyDescent="0.25">
      <c r="A234" s="513"/>
      <c r="B234" s="545"/>
      <c r="C234" s="545"/>
      <c r="D234" s="545"/>
      <c r="E234" s="545"/>
      <c r="F234" s="545"/>
      <c r="G234" s="553"/>
      <c r="H234" s="554"/>
      <c r="I234" s="513"/>
      <c r="J234" s="541">
        <v>16</v>
      </c>
      <c r="K234" s="541" t="s">
        <v>121</v>
      </c>
      <c r="L234" s="542" t="s">
        <v>1107</v>
      </c>
      <c r="M234" s="543">
        <v>1</v>
      </c>
      <c r="N234" s="544">
        <v>6481</v>
      </c>
      <c r="O234" s="544">
        <v>7000</v>
      </c>
      <c r="P234" s="541" t="s">
        <v>3961</v>
      </c>
    </row>
    <row r="235" spans="1:16" ht="17.100000000000001" customHeight="1" x14ac:dyDescent="0.25">
      <c r="A235" s="513"/>
      <c r="B235" s="545"/>
      <c r="C235" s="545"/>
      <c r="D235" s="545"/>
      <c r="E235" s="545"/>
      <c r="F235" s="545"/>
      <c r="G235" s="545"/>
      <c r="H235" s="545"/>
      <c r="I235" s="513"/>
      <c r="J235" s="541">
        <v>18</v>
      </c>
      <c r="K235" s="541" t="s">
        <v>127</v>
      </c>
      <c r="L235" s="542" t="s">
        <v>1107</v>
      </c>
      <c r="M235" s="543">
        <v>1</v>
      </c>
      <c r="N235" s="544">
        <v>6481</v>
      </c>
      <c r="O235" s="544">
        <v>7000</v>
      </c>
      <c r="P235" s="541" t="s">
        <v>3961</v>
      </c>
    </row>
    <row r="236" spans="1:16" ht="17.100000000000001" customHeight="1" x14ac:dyDescent="0.25">
      <c r="A236" s="513"/>
      <c r="B236" s="545"/>
      <c r="C236" s="545"/>
      <c r="D236" s="545"/>
      <c r="E236" s="545"/>
      <c r="F236" s="545"/>
      <c r="G236" s="545"/>
      <c r="H236" s="545"/>
      <c r="I236" s="513"/>
      <c r="J236" s="541">
        <v>19</v>
      </c>
      <c r="K236" s="541" t="s">
        <v>130</v>
      </c>
      <c r="L236" s="542" t="s">
        <v>1107</v>
      </c>
      <c r="M236" s="543">
        <v>11</v>
      </c>
      <c r="N236" s="544">
        <v>6481</v>
      </c>
      <c r="O236" s="544">
        <v>77000</v>
      </c>
      <c r="P236" s="541" t="s">
        <v>3961</v>
      </c>
    </row>
    <row r="237" spans="1:16" ht="17.100000000000001" customHeight="1" x14ac:dyDescent="0.25">
      <c r="A237" s="513"/>
      <c r="B237" s="545"/>
      <c r="C237" s="545"/>
      <c r="D237" s="545"/>
      <c r="E237" s="545"/>
      <c r="F237" s="545"/>
      <c r="G237" s="545"/>
      <c r="H237" s="545"/>
      <c r="I237" s="513"/>
      <c r="J237" s="541">
        <v>20</v>
      </c>
      <c r="K237" s="541" t="s">
        <v>133</v>
      </c>
      <c r="L237" s="542" t="s">
        <v>1107</v>
      </c>
      <c r="M237" s="543">
        <v>18</v>
      </c>
      <c r="N237" s="544">
        <v>6481</v>
      </c>
      <c r="O237" s="544">
        <v>126000</v>
      </c>
      <c r="P237" s="541" t="s">
        <v>3961</v>
      </c>
    </row>
    <row r="238" spans="1:16" ht="18.95" customHeight="1" x14ac:dyDescent="0.25">
      <c r="A238" s="513"/>
      <c r="B238" s="761" t="s">
        <v>4036</v>
      </c>
      <c r="C238" s="652"/>
      <c r="D238" s="652"/>
      <c r="E238" s="652"/>
      <c r="F238" s="648"/>
      <c r="G238" s="546">
        <v>77</v>
      </c>
      <c r="H238" s="547">
        <v>357945.35</v>
      </c>
      <c r="I238" s="513"/>
      <c r="J238" s="761" t="s">
        <v>4037</v>
      </c>
      <c r="K238" s="652"/>
      <c r="L238" s="648"/>
      <c r="M238" s="546">
        <v>94</v>
      </c>
      <c r="N238" s="555" t="s">
        <v>44</v>
      </c>
      <c r="O238" s="547">
        <v>658000</v>
      </c>
      <c r="P238" s="548" t="s">
        <v>44</v>
      </c>
    </row>
    <row r="239" spans="1:16" ht="17.100000000000001" customHeight="1" x14ac:dyDescent="0.25">
      <c r="A239" s="513"/>
      <c r="B239" s="513"/>
      <c r="C239" s="513"/>
      <c r="D239" s="513"/>
      <c r="E239" s="513"/>
      <c r="F239" s="513"/>
      <c r="G239" s="549"/>
      <c r="H239" s="550"/>
      <c r="I239" s="513"/>
      <c r="J239" s="513"/>
      <c r="K239" s="513"/>
      <c r="L239" s="513"/>
      <c r="M239" s="549"/>
      <c r="N239" s="550"/>
      <c r="O239" s="550"/>
      <c r="P239" s="513"/>
    </row>
    <row r="240" spans="1:16" ht="21.95" customHeight="1" x14ac:dyDescent="0.25">
      <c r="A240" s="513"/>
      <c r="B240" s="752" t="s">
        <v>4038</v>
      </c>
      <c r="C240" s="642"/>
      <c r="D240" s="642"/>
      <c r="E240" s="642"/>
      <c r="F240" s="642"/>
      <c r="G240" s="642"/>
      <c r="H240" s="642"/>
      <c r="I240" s="642"/>
      <c r="J240" s="642"/>
      <c r="K240" s="642"/>
      <c r="L240" s="642"/>
      <c r="M240" s="642"/>
      <c r="N240" s="642"/>
      <c r="O240" s="642"/>
      <c r="P240" s="642"/>
    </row>
    <row r="241" spans="1:16" ht="15.95" customHeight="1" x14ac:dyDescent="0.25">
      <c r="A241" s="513"/>
      <c r="B241" s="755" t="s">
        <v>4039</v>
      </c>
      <c r="C241" s="652"/>
      <c r="D241" s="652"/>
      <c r="E241" s="652"/>
      <c r="F241" s="652"/>
      <c r="G241" s="652"/>
      <c r="H241" s="652"/>
      <c r="I241" s="652"/>
      <c r="J241" s="652"/>
      <c r="K241" s="652"/>
      <c r="L241" s="652"/>
      <c r="M241" s="652"/>
      <c r="N241" s="652"/>
      <c r="O241" s="652"/>
      <c r="P241" s="648"/>
    </row>
    <row r="242" spans="1:16" ht="20.100000000000001" customHeight="1" x14ac:dyDescent="0.25">
      <c r="A242" s="513"/>
      <c r="B242" s="756" t="s">
        <v>4001</v>
      </c>
      <c r="C242" s="652"/>
      <c r="D242" s="652"/>
      <c r="E242" s="652"/>
      <c r="F242" s="652"/>
      <c r="G242" s="652"/>
      <c r="H242" s="648"/>
      <c r="I242" s="538"/>
      <c r="J242" s="751" t="s">
        <v>3995</v>
      </c>
      <c r="K242" s="652"/>
      <c r="L242" s="652"/>
      <c r="M242" s="652"/>
      <c r="N242" s="652"/>
      <c r="O242" s="652"/>
      <c r="P242" s="648"/>
    </row>
    <row r="243" spans="1:16" ht="18" customHeight="1" x14ac:dyDescent="0.25">
      <c r="A243" s="513"/>
      <c r="B243" s="539" t="s">
        <v>48</v>
      </c>
      <c r="C243" s="539" t="s">
        <v>76</v>
      </c>
      <c r="D243" s="539" t="s">
        <v>2561</v>
      </c>
      <c r="E243" s="539" t="s">
        <v>1229</v>
      </c>
      <c r="F243" s="539" t="s">
        <v>3953</v>
      </c>
      <c r="G243" s="556" t="s">
        <v>3954</v>
      </c>
      <c r="H243" s="557" t="s">
        <v>3955</v>
      </c>
      <c r="I243" s="513"/>
      <c r="J243" s="540" t="s">
        <v>48</v>
      </c>
      <c r="K243" s="540" t="s">
        <v>76</v>
      </c>
      <c r="L243" s="540" t="s">
        <v>3956</v>
      </c>
      <c r="M243" s="551" t="s">
        <v>3957</v>
      </c>
      <c r="N243" s="552" t="s">
        <v>3958</v>
      </c>
      <c r="O243" s="552" t="s">
        <v>3959</v>
      </c>
      <c r="P243" s="540" t="s">
        <v>3960</v>
      </c>
    </row>
    <row r="244" spans="1:16" ht="17.100000000000001" customHeight="1" x14ac:dyDescent="0.25">
      <c r="A244" s="513"/>
      <c r="B244" s="754" t="s">
        <v>4002</v>
      </c>
      <c r="C244" s="652"/>
      <c r="D244" s="652"/>
      <c r="E244" s="652"/>
      <c r="F244" s="652"/>
      <c r="G244" s="652"/>
      <c r="H244" s="648"/>
      <c r="I244" s="513"/>
      <c r="J244" s="754" t="s">
        <v>3996</v>
      </c>
      <c r="K244" s="652"/>
      <c r="L244" s="652"/>
      <c r="M244" s="652"/>
      <c r="N244" s="652"/>
      <c r="O244" s="652"/>
      <c r="P244" s="648"/>
    </row>
    <row r="245" spans="1:16" ht="18.95" customHeight="1" x14ac:dyDescent="0.25">
      <c r="A245" s="513"/>
      <c r="B245" s="761" t="s">
        <v>4040</v>
      </c>
      <c r="C245" s="652"/>
      <c r="D245" s="652"/>
      <c r="E245" s="652"/>
      <c r="F245" s="648"/>
      <c r="G245" s="546">
        <v>0</v>
      </c>
      <c r="H245" s="547">
        <v>0</v>
      </c>
      <c r="I245" s="513"/>
      <c r="J245" s="761" t="s">
        <v>4041</v>
      </c>
      <c r="K245" s="652"/>
      <c r="L245" s="648"/>
      <c r="M245" s="546">
        <v>0</v>
      </c>
      <c r="N245" s="555" t="s">
        <v>44</v>
      </c>
      <c r="O245" s="547">
        <v>0</v>
      </c>
      <c r="P245" s="548" t="s">
        <v>44</v>
      </c>
    </row>
    <row r="246" spans="1:16" ht="17.100000000000001" customHeight="1" x14ac:dyDescent="0.25">
      <c r="A246" s="513"/>
      <c r="B246" s="513"/>
      <c r="C246" s="513"/>
      <c r="D246" s="513"/>
      <c r="E246" s="513"/>
      <c r="F246" s="513"/>
      <c r="G246" s="549"/>
      <c r="H246" s="550"/>
      <c r="I246" s="513"/>
      <c r="J246" s="513"/>
      <c r="K246" s="513"/>
      <c r="L246" s="513"/>
      <c r="M246" s="549"/>
      <c r="N246" s="550"/>
      <c r="O246" s="550"/>
      <c r="P246" s="513"/>
    </row>
    <row r="247" spans="1:16" ht="21.95" customHeight="1" x14ac:dyDescent="0.25">
      <c r="A247" s="513"/>
      <c r="B247" s="752" t="s">
        <v>4042</v>
      </c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42"/>
      <c r="P247" s="642"/>
    </row>
    <row r="248" spans="1:16" ht="15.95" customHeight="1" x14ac:dyDescent="0.25">
      <c r="A248" s="513"/>
      <c r="B248" s="755" t="s">
        <v>4043</v>
      </c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48"/>
    </row>
    <row r="249" spans="1:16" ht="20.100000000000001" customHeight="1" x14ac:dyDescent="0.25">
      <c r="A249" s="513"/>
      <c r="B249" s="756" t="s">
        <v>3989</v>
      </c>
      <c r="C249" s="652"/>
      <c r="D249" s="652"/>
      <c r="E249" s="652"/>
      <c r="F249" s="652"/>
      <c r="G249" s="652"/>
      <c r="H249" s="648"/>
      <c r="I249" s="538"/>
      <c r="J249" s="751" t="s">
        <v>4044</v>
      </c>
      <c r="K249" s="652"/>
      <c r="L249" s="652"/>
      <c r="M249" s="652"/>
      <c r="N249" s="652"/>
      <c r="O249" s="652"/>
      <c r="P249" s="648"/>
    </row>
    <row r="250" spans="1:16" ht="18" customHeight="1" x14ac:dyDescent="0.25">
      <c r="A250" s="513"/>
      <c r="B250" s="539" t="s">
        <v>48</v>
      </c>
      <c r="C250" s="539" t="s">
        <v>76</v>
      </c>
      <c r="D250" s="539" t="s">
        <v>2561</v>
      </c>
      <c r="E250" s="539" t="s">
        <v>1229</v>
      </c>
      <c r="F250" s="539" t="s">
        <v>3953</v>
      </c>
      <c r="G250" s="556" t="s">
        <v>3954</v>
      </c>
      <c r="H250" s="557" t="s">
        <v>3955</v>
      </c>
      <c r="I250" s="513"/>
      <c r="J250" s="540" t="s">
        <v>48</v>
      </c>
      <c r="K250" s="540" t="s">
        <v>76</v>
      </c>
      <c r="L250" s="540" t="s">
        <v>3956</v>
      </c>
      <c r="M250" s="551" t="s">
        <v>3957</v>
      </c>
      <c r="N250" s="552" t="s">
        <v>3958</v>
      </c>
      <c r="O250" s="552" t="s">
        <v>3959</v>
      </c>
      <c r="P250" s="540" t="s">
        <v>3960</v>
      </c>
    </row>
    <row r="251" spans="1:16" ht="17.100000000000001" customHeight="1" x14ac:dyDescent="0.25">
      <c r="A251" s="513"/>
      <c r="B251" s="541">
        <v>18</v>
      </c>
      <c r="C251" s="541" t="s">
        <v>127</v>
      </c>
      <c r="D251" s="541" t="s">
        <v>765</v>
      </c>
      <c r="E251" s="542" t="s">
        <v>1263</v>
      </c>
      <c r="F251" s="542" t="s">
        <v>777</v>
      </c>
      <c r="G251" s="543">
        <v>24</v>
      </c>
      <c r="H251" s="544">
        <v>60900</v>
      </c>
      <c r="I251" s="513"/>
      <c r="J251" s="541">
        <v>1</v>
      </c>
      <c r="K251" s="541" t="s">
        <v>86</v>
      </c>
      <c r="L251" s="542" t="s">
        <v>1121</v>
      </c>
      <c r="M251" s="543">
        <v>1</v>
      </c>
      <c r="N251" s="544">
        <v>2778</v>
      </c>
      <c r="O251" s="544">
        <v>3000</v>
      </c>
      <c r="P251" s="541" t="s">
        <v>3961</v>
      </c>
    </row>
    <row r="252" spans="1:16" ht="17.100000000000001" customHeight="1" x14ac:dyDescent="0.25">
      <c r="A252" s="513"/>
      <c r="B252" s="545"/>
      <c r="C252" s="545"/>
      <c r="D252" s="545"/>
      <c r="E252" s="545"/>
      <c r="F252" s="545"/>
      <c r="G252" s="545"/>
      <c r="H252" s="545"/>
      <c r="I252" s="513"/>
      <c r="J252" s="541">
        <v>3</v>
      </c>
      <c r="K252" s="541" t="s">
        <v>90</v>
      </c>
      <c r="L252" s="542" t="s">
        <v>1121</v>
      </c>
      <c r="M252" s="543">
        <v>1</v>
      </c>
      <c r="N252" s="544">
        <v>2778</v>
      </c>
      <c r="O252" s="544">
        <v>3000</v>
      </c>
      <c r="P252" s="541" t="s">
        <v>3961</v>
      </c>
    </row>
    <row r="253" spans="1:16" ht="17.100000000000001" customHeight="1" x14ac:dyDescent="0.25">
      <c r="A253" s="513"/>
      <c r="B253" s="545"/>
      <c r="C253" s="545"/>
      <c r="D253" s="545"/>
      <c r="E253" s="545"/>
      <c r="F253" s="545"/>
      <c r="G253" s="545"/>
      <c r="H253" s="545"/>
      <c r="I253" s="513"/>
      <c r="J253" s="541">
        <v>4</v>
      </c>
      <c r="K253" s="541" t="s">
        <v>92</v>
      </c>
      <c r="L253" s="542" t="s">
        <v>1121</v>
      </c>
      <c r="M253" s="543">
        <v>1</v>
      </c>
      <c r="N253" s="544">
        <v>2778</v>
      </c>
      <c r="O253" s="544">
        <v>3000</v>
      </c>
      <c r="P253" s="541" t="s">
        <v>3961</v>
      </c>
    </row>
    <row r="254" spans="1:16" ht="17.100000000000001" customHeight="1" x14ac:dyDescent="0.25">
      <c r="A254" s="513"/>
      <c r="B254" s="545"/>
      <c r="C254" s="545"/>
      <c r="D254" s="545"/>
      <c r="E254" s="545"/>
      <c r="F254" s="545"/>
      <c r="G254" s="553"/>
      <c r="H254" s="554"/>
      <c r="I254" s="513"/>
      <c r="J254" s="541">
        <v>5</v>
      </c>
      <c r="K254" s="541" t="s">
        <v>94</v>
      </c>
      <c r="L254" s="542" t="s">
        <v>1121</v>
      </c>
      <c r="M254" s="543">
        <v>2</v>
      </c>
      <c r="N254" s="544">
        <v>2778</v>
      </c>
      <c r="O254" s="544">
        <v>6000</v>
      </c>
      <c r="P254" s="541" t="s">
        <v>3961</v>
      </c>
    </row>
    <row r="255" spans="1:16" ht="17.100000000000001" customHeight="1" x14ac:dyDescent="0.25">
      <c r="A255" s="513"/>
      <c r="B255" s="545"/>
      <c r="C255" s="545"/>
      <c r="D255" s="545"/>
      <c r="E255" s="545"/>
      <c r="F255" s="545"/>
      <c r="G255" s="545"/>
      <c r="H255" s="545"/>
      <c r="I255" s="513"/>
      <c r="J255" s="541">
        <v>6</v>
      </c>
      <c r="K255" s="541" t="s">
        <v>96</v>
      </c>
      <c r="L255" s="542" t="s">
        <v>1121</v>
      </c>
      <c r="M255" s="543">
        <v>2</v>
      </c>
      <c r="N255" s="544">
        <v>2778</v>
      </c>
      <c r="O255" s="544">
        <v>6000</v>
      </c>
      <c r="P255" s="541" t="s">
        <v>3961</v>
      </c>
    </row>
    <row r="256" spans="1:16" ht="17.100000000000001" customHeight="1" x14ac:dyDescent="0.25">
      <c r="A256" s="513"/>
      <c r="B256" s="545"/>
      <c r="C256" s="545"/>
      <c r="D256" s="545"/>
      <c r="E256" s="545"/>
      <c r="F256" s="545"/>
      <c r="G256" s="545"/>
      <c r="H256" s="545"/>
      <c r="I256" s="513"/>
      <c r="J256" s="541">
        <v>8</v>
      </c>
      <c r="K256" s="541" t="s">
        <v>100</v>
      </c>
      <c r="L256" s="542" t="s">
        <v>1121</v>
      </c>
      <c r="M256" s="543">
        <v>2</v>
      </c>
      <c r="N256" s="544">
        <v>2778</v>
      </c>
      <c r="O256" s="544">
        <v>6000</v>
      </c>
      <c r="P256" s="541" t="s">
        <v>3961</v>
      </c>
    </row>
    <row r="257" spans="1:16" ht="17.100000000000001" customHeight="1" x14ac:dyDescent="0.25">
      <c r="A257" s="513"/>
      <c r="B257" s="545"/>
      <c r="C257" s="545"/>
      <c r="D257" s="545"/>
      <c r="E257" s="545"/>
      <c r="F257" s="545"/>
      <c r="G257" s="545"/>
      <c r="H257" s="545"/>
      <c r="I257" s="513"/>
      <c r="J257" s="541">
        <v>9</v>
      </c>
      <c r="K257" s="541" t="s">
        <v>102</v>
      </c>
      <c r="L257" s="542" t="s">
        <v>1121</v>
      </c>
      <c r="M257" s="543">
        <v>1</v>
      </c>
      <c r="N257" s="544">
        <v>2778</v>
      </c>
      <c r="O257" s="544">
        <v>3000</v>
      </c>
      <c r="P257" s="541" t="s">
        <v>3961</v>
      </c>
    </row>
    <row r="258" spans="1:16" ht="17.100000000000001" customHeight="1" x14ac:dyDescent="0.25">
      <c r="A258" s="513"/>
      <c r="B258" s="545"/>
      <c r="C258" s="545"/>
      <c r="D258" s="545"/>
      <c r="E258" s="545"/>
      <c r="F258" s="545"/>
      <c r="G258" s="545"/>
      <c r="H258" s="545"/>
      <c r="I258" s="513"/>
      <c r="J258" s="541">
        <v>10</v>
      </c>
      <c r="K258" s="541" t="s">
        <v>103</v>
      </c>
      <c r="L258" s="542" t="s">
        <v>1121</v>
      </c>
      <c r="M258" s="543">
        <v>1</v>
      </c>
      <c r="N258" s="544">
        <v>2778</v>
      </c>
      <c r="O258" s="544">
        <v>3000</v>
      </c>
      <c r="P258" s="541" t="s">
        <v>3961</v>
      </c>
    </row>
    <row r="259" spans="1:16" ht="17.100000000000001" customHeight="1" x14ac:dyDescent="0.25">
      <c r="A259" s="513"/>
      <c r="B259" s="545"/>
      <c r="C259" s="545"/>
      <c r="D259" s="545"/>
      <c r="E259" s="545"/>
      <c r="F259" s="545"/>
      <c r="G259" s="545"/>
      <c r="H259" s="545"/>
      <c r="I259" s="513"/>
      <c r="J259" s="541">
        <v>13</v>
      </c>
      <c r="K259" s="541" t="s">
        <v>112</v>
      </c>
      <c r="L259" s="542" t="s">
        <v>1121</v>
      </c>
      <c r="M259" s="543">
        <v>2</v>
      </c>
      <c r="N259" s="544">
        <v>2778</v>
      </c>
      <c r="O259" s="544">
        <v>6000</v>
      </c>
      <c r="P259" s="541" t="s">
        <v>3961</v>
      </c>
    </row>
    <row r="260" spans="1:16" ht="17.100000000000001" customHeight="1" x14ac:dyDescent="0.25">
      <c r="A260" s="513"/>
      <c r="B260" s="545"/>
      <c r="C260" s="545"/>
      <c r="D260" s="545"/>
      <c r="E260" s="545"/>
      <c r="F260" s="545"/>
      <c r="G260" s="553"/>
      <c r="H260" s="554"/>
      <c r="I260" s="513"/>
      <c r="J260" s="541">
        <v>15</v>
      </c>
      <c r="K260" s="541" t="s">
        <v>118</v>
      </c>
      <c r="L260" s="542" t="s">
        <v>1121</v>
      </c>
      <c r="M260" s="543">
        <v>2</v>
      </c>
      <c r="N260" s="544">
        <v>2778</v>
      </c>
      <c r="O260" s="544">
        <v>6000</v>
      </c>
      <c r="P260" s="541" t="s">
        <v>3961</v>
      </c>
    </row>
    <row r="261" spans="1:16" ht="17.100000000000001" customHeight="1" x14ac:dyDescent="0.25">
      <c r="A261" s="513"/>
      <c r="B261" s="545"/>
      <c r="C261" s="545"/>
      <c r="D261" s="545"/>
      <c r="E261" s="545"/>
      <c r="F261" s="545"/>
      <c r="G261" s="553"/>
      <c r="H261" s="554"/>
      <c r="I261" s="513"/>
      <c r="J261" s="541">
        <v>16</v>
      </c>
      <c r="K261" s="541" t="s">
        <v>121</v>
      </c>
      <c r="L261" s="542" t="s">
        <v>1121</v>
      </c>
      <c r="M261" s="543">
        <v>1</v>
      </c>
      <c r="N261" s="544">
        <v>1916</v>
      </c>
      <c r="O261" s="544">
        <v>2069</v>
      </c>
      <c r="P261" s="541" t="s">
        <v>3961</v>
      </c>
    </row>
    <row r="262" spans="1:16" ht="17.100000000000001" customHeight="1" x14ac:dyDescent="0.25">
      <c r="A262" s="513"/>
      <c r="B262" s="545"/>
      <c r="C262" s="545"/>
      <c r="D262" s="545"/>
      <c r="E262" s="545"/>
      <c r="F262" s="545"/>
      <c r="G262" s="553"/>
      <c r="H262" s="554"/>
      <c r="I262" s="513"/>
      <c r="J262" s="541">
        <v>20</v>
      </c>
      <c r="K262" s="541" t="s">
        <v>133</v>
      </c>
      <c r="L262" s="542" t="s">
        <v>1121</v>
      </c>
      <c r="M262" s="543">
        <v>1</v>
      </c>
      <c r="N262" s="544">
        <v>2778</v>
      </c>
      <c r="O262" s="544">
        <v>3000</v>
      </c>
      <c r="P262" s="541" t="s">
        <v>3961</v>
      </c>
    </row>
    <row r="263" spans="1:16" ht="18.95" customHeight="1" x14ac:dyDescent="0.25">
      <c r="A263" s="513"/>
      <c r="B263" s="761" t="s">
        <v>4045</v>
      </c>
      <c r="C263" s="652"/>
      <c r="D263" s="652"/>
      <c r="E263" s="652"/>
      <c r="F263" s="648"/>
      <c r="G263" s="546">
        <v>24</v>
      </c>
      <c r="H263" s="547">
        <v>60900</v>
      </c>
      <c r="I263" s="513"/>
      <c r="J263" s="761" t="s">
        <v>4046</v>
      </c>
      <c r="K263" s="652"/>
      <c r="L263" s="648"/>
      <c r="M263" s="546">
        <v>17</v>
      </c>
      <c r="N263" s="555" t="s">
        <v>44</v>
      </c>
      <c r="O263" s="547">
        <v>50069</v>
      </c>
      <c r="P263" s="548" t="s">
        <v>44</v>
      </c>
    </row>
    <row r="264" spans="1:16" ht="17.100000000000001" customHeight="1" x14ac:dyDescent="0.25">
      <c r="A264" s="513"/>
      <c r="B264" s="513"/>
      <c r="C264" s="513"/>
      <c r="D264" s="513"/>
      <c r="E264" s="513"/>
      <c r="F264" s="513"/>
      <c r="G264" s="549"/>
      <c r="H264" s="550"/>
      <c r="I264" s="513"/>
      <c r="J264" s="513"/>
      <c r="K264" s="513"/>
      <c r="L264" s="513"/>
      <c r="M264" s="549"/>
      <c r="N264" s="550"/>
      <c r="O264" s="550"/>
      <c r="P264" s="513"/>
    </row>
    <row r="265" spans="1:16" ht="21.95" customHeight="1" x14ac:dyDescent="0.25">
      <c r="A265" s="513"/>
      <c r="B265" s="752" t="s">
        <v>4047</v>
      </c>
      <c r="C265" s="642"/>
      <c r="D265" s="642"/>
      <c r="E265" s="642"/>
      <c r="F265" s="642"/>
      <c r="G265" s="642"/>
      <c r="H265" s="642"/>
      <c r="I265" s="642"/>
      <c r="J265" s="642"/>
      <c r="K265" s="642"/>
      <c r="L265" s="642"/>
      <c r="M265" s="642"/>
      <c r="N265" s="642"/>
      <c r="O265" s="642"/>
      <c r="P265" s="642"/>
    </row>
    <row r="266" spans="1:16" ht="15.95" customHeight="1" x14ac:dyDescent="0.25">
      <c r="A266" s="513"/>
      <c r="B266" s="755" t="s">
        <v>4048</v>
      </c>
      <c r="C266" s="652"/>
      <c r="D266" s="652"/>
      <c r="E266" s="652"/>
      <c r="F266" s="652"/>
      <c r="G266" s="652"/>
      <c r="H266" s="652"/>
      <c r="I266" s="652"/>
      <c r="J266" s="652"/>
      <c r="K266" s="652"/>
      <c r="L266" s="652"/>
      <c r="M266" s="652"/>
      <c r="N266" s="652"/>
      <c r="O266" s="652"/>
      <c r="P266" s="648"/>
    </row>
    <row r="267" spans="1:16" ht="20.100000000000001" customHeight="1" x14ac:dyDescent="0.25">
      <c r="A267" s="513"/>
      <c r="B267" s="756" t="s">
        <v>3989</v>
      </c>
      <c r="C267" s="652"/>
      <c r="D267" s="652"/>
      <c r="E267" s="652"/>
      <c r="F267" s="652"/>
      <c r="G267" s="652"/>
      <c r="H267" s="648"/>
      <c r="I267" s="538"/>
      <c r="J267" s="751" t="s">
        <v>4035</v>
      </c>
      <c r="K267" s="652"/>
      <c r="L267" s="652"/>
      <c r="M267" s="652"/>
      <c r="N267" s="652"/>
      <c r="O267" s="652"/>
      <c r="P267" s="648"/>
    </row>
    <row r="268" spans="1:16" ht="18" customHeight="1" x14ac:dyDescent="0.25">
      <c r="A268" s="513"/>
      <c r="B268" s="539" t="s">
        <v>48</v>
      </c>
      <c r="C268" s="539" t="s">
        <v>76</v>
      </c>
      <c r="D268" s="539" t="s">
        <v>2561</v>
      </c>
      <c r="E268" s="539" t="s">
        <v>1229</v>
      </c>
      <c r="F268" s="539" t="s">
        <v>3953</v>
      </c>
      <c r="G268" s="539" t="s">
        <v>3954</v>
      </c>
      <c r="H268" s="539" t="s">
        <v>3955</v>
      </c>
      <c r="I268" s="513"/>
      <c r="J268" s="540" t="s">
        <v>48</v>
      </c>
      <c r="K268" s="540" t="s">
        <v>76</v>
      </c>
      <c r="L268" s="540" t="s">
        <v>3956</v>
      </c>
      <c r="M268" s="551" t="s">
        <v>3957</v>
      </c>
      <c r="N268" s="552" t="s">
        <v>3958</v>
      </c>
      <c r="O268" s="552" t="s">
        <v>3959</v>
      </c>
      <c r="P268" s="540" t="s">
        <v>3960</v>
      </c>
    </row>
    <row r="269" spans="1:16" ht="17.100000000000001" customHeight="1" x14ac:dyDescent="0.25">
      <c r="A269" s="513"/>
      <c r="B269" s="541">
        <v>2</v>
      </c>
      <c r="C269" s="541" t="s">
        <v>88</v>
      </c>
      <c r="D269" s="541" t="s">
        <v>571</v>
      </c>
      <c r="E269" s="542" t="s">
        <v>1263</v>
      </c>
      <c r="F269" s="542" t="s">
        <v>573</v>
      </c>
      <c r="G269" s="543">
        <v>24</v>
      </c>
      <c r="H269" s="544">
        <v>78000</v>
      </c>
      <c r="I269" s="513"/>
      <c r="J269" s="541">
        <v>1</v>
      </c>
      <c r="K269" s="541" t="s">
        <v>86</v>
      </c>
      <c r="L269" s="542" t="s">
        <v>572</v>
      </c>
      <c r="M269" s="543">
        <v>3</v>
      </c>
      <c r="N269" s="544">
        <v>4259</v>
      </c>
      <c r="O269" s="544">
        <v>13800</v>
      </c>
      <c r="P269" s="541" t="s">
        <v>3961</v>
      </c>
    </row>
    <row r="270" spans="1:16" ht="17.100000000000001" customHeight="1" x14ac:dyDescent="0.25">
      <c r="A270" s="513"/>
      <c r="B270" s="545"/>
      <c r="C270" s="545"/>
      <c r="D270" s="545"/>
      <c r="E270" s="545"/>
      <c r="F270" s="545"/>
      <c r="G270" s="545"/>
      <c r="H270" s="545"/>
      <c r="I270" s="513"/>
      <c r="J270" s="541">
        <v>3</v>
      </c>
      <c r="K270" s="541" t="s">
        <v>90</v>
      </c>
      <c r="L270" s="542" t="s">
        <v>572</v>
      </c>
      <c r="M270" s="543">
        <v>3</v>
      </c>
      <c r="N270" s="544">
        <v>4259</v>
      </c>
      <c r="O270" s="544">
        <v>13800</v>
      </c>
      <c r="P270" s="541" t="s">
        <v>3961</v>
      </c>
    </row>
    <row r="271" spans="1:16" ht="17.100000000000001" customHeight="1" x14ac:dyDescent="0.25">
      <c r="A271" s="513"/>
      <c r="B271" s="545"/>
      <c r="C271" s="545"/>
      <c r="D271" s="545"/>
      <c r="E271" s="545"/>
      <c r="F271" s="545"/>
      <c r="G271" s="553"/>
      <c r="H271" s="554"/>
      <c r="I271" s="513"/>
      <c r="J271" s="541">
        <v>4</v>
      </c>
      <c r="K271" s="541" t="s">
        <v>92</v>
      </c>
      <c r="L271" s="542" t="s">
        <v>572</v>
      </c>
      <c r="M271" s="543">
        <v>2</v>
      </c>
      <c r="N271" s="544">
        <v>4259</v>
      </c>
      <c r="O271" s="544">
        <v>9200</v>
      </c>
      <c r="P271" s="541" t="s">
        <v>3961</v>
      </c>
    </row>
    <row r="272" spans="1:16" ht="17.100000000000001" customHeight="1" x14ac:dyDescent="0.25">
      <c r="A272" s="513"/>
      <c r="B272" s="545"/>
      <c r="C272" s="545"/>
      <c r="D272" s="545"/>
      <c r="E272" s="545"/>
      <c r="F272" s="545"/>
      <c r="G272" s="545"/>
      <c r="H272" s="545"/>
      <c r="I272" s="513"/>
      <c r="J272" s="541">
        <v>5</v>
      </c>
      <c r="K272" s="541" t="s">
        <v>94</v>
      </c>
      <c r="L272" s="542" t="s">
        <v>572</v>
      </c>
      <c r="M272" s="543">
        <v>2</v>
      </c>
      <c r="N272" s="544">
        <v>4259</v>
      </c>
      <c r="O272" s="544">
        <v>9200</v>
      </c>
      <c r="P272" s="541" t="s">
        <v>3961</v>
      </c>
    </row>
    <row r="273" spans="1:16" ht="17.100000000000001" customHeight="1" x14ac:dyDescent="0.25">
      <c r="A273" s="513"/>
      <c r="B273" s="545"/>
      <c r="C273" s="545"/>
      <c r="D273" s="545"/>
      <c r="E273" s="545"/>
      <c r="F273" s="545"/>
      <c r="G273" s="545"/>
      <c r="H273" s="545"/>
      <c r="I273" s="513"/>
      <c r="J273" s="541">
        <v>6</v>
      </c>
      <c r="K273" s="541" t="s">
        <v>96</v>
      </c>
      <c r="L273" s="542" t="s">
        <v>572</v>
      </c>
      <c r="M273" s="543">
        <v>6</v>
      </c>
      <c r="N273" s="544">
        <v>4259</v>
      </c>
      <c r="O273" s="544">
        <v>27600</v>
      </c>
      <c r="P273" s="541" t="s">
        <v>3961</v>
      </c>
    </row>
    <row r="274" spans="1:16" ht="17.100000000000001" customHeight="1" x14ac:dyDescent="0.25">
      <c r="A274" s="513"/>
      <c r="B274" s="545"/>
      <c r="C274" s="545"/>
      <c r="D274" s="545"/>
      <c r="E274" s="545"/>
      <c r="F274" s="545"/>
      <c r="G274" s="545"/>
      <c r="H274" s="545"/>
      <c r="I274" s="513"/>
      <c r="J274" s="541">
        <v>7</v>
      </c>
      <c r="K274" s="541" t="s">
        <v>98</v>
      </c>
      <c r="L274" s="542" t="s">
        <v>572</v>
      </c>
      <c r="M274" s="543">
        <v>1</v>
      </c>
      <c r="N274" s="544">
        <v>4259</v>
      </c>
      <c r="O274" s="544">
        <v>4600</v>
      </c>
      <c r="P274" s="541" t="s">
        <v>3961</v>
      </c>
    </row>
    <row r="275" spans="1:16" ht="17.100000000000001" customHeight="1" x14ac:dyDescent="0.25">
      <c r="A275" s="513"/>
      <c r="B275" s="545"/>
      <c r="C275" s="545"/>
      <c r="D275" s="545"/>
      <c r="E275" s="545"/>
      <c r="F275" s="545"/>
      <c r="G275" s="553"/>
      <c r="H275" s="554"/>
      <c r="I275" s="513"/>
      <c r="J275" s="541">
        <v>8</v>
      </c>
      <c r="K275" s="541" t="s">
        <v>100</v>
      </c>
      <c r="L275" s="542" t="s">
        <v>572</v>
      </c>
      <c r="M275" s="543">
        <v>0</v>
      </c>
      <c r="N275" s="544">
        <v>0</v>
      </c>
      <c r="O275" s="544">
        <v>0</v>
      </c>
      <c r="P275" s="541" t="s">
        <v>3961</v>
      </c>
    </row>
    <row r="276" spans="1:16" ht="17.100000000000001" customHeight="1" x14ac:dyDescent="0.25">
      <c r="A276" s="513"/>
      <c r="B276" s="545"/>
      <c r="C276" s="545"/>
      <c r="D276" s="545"/>
      <c r="E276" s="545"/>
      <c r="F276" s="545"/>
      <c r="G276" s="545"/>
      <c r="H276" s="545"/>
      <c r="I276" s="513"/>
      <c r="J276" s="541">
        <v>9</v>
      </c>
      <c r="K276" s="541" t="s">
        <v>102</v>
      </c>
      <c r="L276" s="542" t="s">
        <v>572</v>
      </c>
      <c r="M276" s="543">
        <v>2</v>
      </c>
      <c r="N276" s="544">
        <v>4259</v>
      </c>
      <c r="O276" s="544">
        <v>9200</v>
      </c>
      <c r="P276" s="541" t="s">
        <v>3961</v>
      </c>
    </row>
    <row r="277" spans="1:16" ht="17.100000000000001" customHeight="1" x14ac:dyDescent="0.25">
      <c r="A277" s="513"/>
      <c r="B277" s="545"/>
      <c r="C277" s="545"/>
      <c r="D277" s="545"/>
      <c r="E277" s="545"/>
      <c r="F277" s="545"/>
      <c r="G277" s="545"/>
      <c r="H277" s="545"/>
      <c r="I277" s="513"/>
      <c r="J277" s="541">
        <v>10</v>
      </c>
      <c r="K277" s="541" t="s">
        <v>103</v>
      </c>
      <c r="L277" s="542" t="s">
        <v>572</v>
      </c>
      <c r="M277" s="543">
        <v>1</v>
      </c>
      <c r="N277" s="544">
        <v>4259</v>
      </c>
      <c r="O277" s="544">
        <v>4600</v>
      </c>
      <c r="P277" s="541" t="s">
        <v>3961</v>
      </c>
    </row>
    <row r="278" spans="1:16" ht="17.100000000000001" customHeight="1" x14ac:dyDescent="0.25">
      <c r="A278" s="513"/>
      <c r="B278" s="545"/>
      <c r="C278" s="545"/>
      <c r="D278" s="545"/>
      <c r="E278" s="545"/>
      <c r="F278" s="545"/>
      <c r="G278" s="545"/>
      <c r="H278" s="545"/>
      <c r="I278" s="513"/>
      <c r="J278" s="541">
        <v>11</v>
      </c>
      <c r="K278" s="541" t="s">
        <v>104</v>
      </c>
      <c r="L278" s="542" t="s">
        <v>572</v>
      </c>
      <c r="M278" s="543">
        <v>3</v>
      </c>
      <c r="N278" s="544">
        <v>4259</v>
      </c>
      <c r="O278" s="544">
        <v>13800</v>
      </c>
      <c r="P278" s="541" t="s">
        <v>3961</v>
      </c>
    </row>
    <row r="279" spans="1:16" ht="17.100000000000001" customHeight="1" x14ac:dyDescent="0.25">
      <c r="A279" s="513"/>
      <c r="B279" s="545"/>
      <c r="C279" s="545"/>
      <c r="D279" s="545"/>
      <c r="E279" s="545"/>
      <c r="F279" s="545"/>
      <c r="G279" s="553"/>
      <c r="H279" s="554"/>
      <c r="I279" s="513"/>
      <c r="J279" s="541">
        <v>12</v>
      </c>
      <c r="K279" s="541" t="s">
        <v>106</v>
      </c>
      <c r="L279" s="542" t="s">
        <v>572</v>
      </c>
      <c r="M279" s="543">
        <v>3</v>
      </c>
      <c r="N279" s="544">
        <v>4259</v>
      </c>
      <c r="O279" s="544">
        <v>13800</v>
      </c>
      <c r="P279" s="541" t="s">
        <v>3961</v>
      </c>
    </row>
    <row r="280" spans="1:16" ht="17.100000000000001" customHeight="1" x14ac:dyDescent="0.25">
      <c r="A280" s="513"/>
      <c r="B280" s="545"/>
      <c r="C280" s="545"/>
      <c r="D280" s="545"/>
      <c r="E280" s="545"/>
      <c r="F280" s="545"/>
      <c r="G280" s="545"/>
      <c r="H280" s="545"/>
      <c r="I280" s="513"/>
      <c r="J280" s="541">
        <v>13</v>
      </c>
      <c r="K280" s="541" t="s">
        <v>112</v>
      </c>
      <c r="L280" s="542" t="s">
        <v>572</v>
      </c>
      <c r="M280" s="543">
        <v>2</v>
      </c>
      <c r="N280" s="544">
        <v>4259</v>
      </c>
      <c r="O280" s="544">
        <v>9200</v>
      </c>
      <c r="P280" s="541" t="s">
        <v>3961</v>
      </c>
    </row>
    <row r="281" spans="1:16" ht="17.100000000000001" customHeight="1" x14ac:dyDescent="0.25">
      <c r="A281" s="513"/>
      <c r="B281" s="545"/>
      <c r="C281" s="545"/>
      <c r="D281" s="545"/>
      <c r="E281" s="545"/>
      <c r="F281" s="545"/>
      <c r="G281" s="545"/>
      <c r="H281" s="545"/>
      <c r="I281" s="513"/>
      <c r="J281" s="541">
        <v>14</v>
      </c>
      <c r="K281" s="541" t="s">
        <v>115</v>
      </c>
      <c r="L281" s="542" t="s">
        <v>572</v>
      </c>
      <c r="M281" s="543">
        <v>1</v>
      </c>
      <c r="N281" s="544">
        <v>4259</v>
      </c>
      <c r="O281" s="544">
        <v>4600</v>
      </c>
      <c r="P281" s="541" t="s">
        <v>3961</v>
      </c>
    </row>
    <row r="282" spans="1:16" ht="17.100000000000001" customHeight="1" x14ac:dyDescent="0.25">
      <c r="A282" s="513"/>
      <c r="B282" s="545"/>
      <c r="C282" s="545"/>
      <c r="D282" s="545"/>
      <c r="E282" s="545"/>
      <c r="F282" s="545"/>
      <c r="G282" s="545"/>
      <c r="H282" s="545"/>
      <c r="I282" s="513"/>
      <c r="J282" s="541">
        <v>15</v>
      </c>
      <c r="K282" s="541" t="s">
        <v>118</v>
      </c>
      <c r="L282" s="542" t="s">
        <v>572</v>
      </c>
      <c r="M282" s="543">
        <v>1</v>
      </c>
      <c r="N282" s="544">
        <v>4259</v>
      </c>
      <c r="O282" s="544">
        <v>4600</v>
      </c>
      <c r="P282" s="541" t="s">
        <v>3961</v>
      </c>
    </row>
    <row r="283" spans="1:16" ht="17.100000000000001" customHeight="1" x14ac:dyDescent="0.25">
      <c r="A283" s="513"/>
      <c r="B283" s="545"/>
      <c r="C283" s="545"/>
      <c r="D283" s="545"/>
      <c r="E283" s="545"/>
      <c r="F283" s="545"/>
      <c r="G283" s="545"/>
      <c r="H283" s="545"/>
      <c r="I283" s="513"/>
      <c r="J283" s="541">
        <v>16</v>
      </c>
      <c r="K283" s="541" t="s">
        <v>121</v>
      </c>
      <c r="L283" s="542" t="s">
        <v>572</v>
      </c>
      <c r="M283" s="543">
        <v>1</v>
      </c>
      <c r="N283" s="544">
        <v>4259</v>
      </c>
      <c r="O283" s="544">
        <v>4600</v>
      </c>
      <c r="P283" s="541" t="s">
        <v>3961</v>
      </c>
    </row>
    <row r="284" spans="1:16" ht="17.100000000000001" customHeight="1" x14ac:dyDescent="0.25">
      <c r="A284" s="513"/>
      <c r="B284" s="545"/>
      <c r="C284" s="545"/>
      <c r="D284" s="545"/>
      <c r="E284" s="545"/>
      <c r="F284" s="545"/>
      <c r="G284" s="545"/>
      <c r="H284" s="545"/>
      <c r="I284" s="513"/>
      <c r="J284" s="541">
        <v>17</v>
      </c>
      <c r="K284" s="541" t="s">
        <v>124</v>
      </c>
      <c r="L284" s="542" t="s">
        <v>572</v>
      </c>
      <c r="M284" s="543">
        <v>1</v>
      </c>
      <c r="N284" s="544">
        <v>4259</v>
      </c>
      <c r="O284" s="544">
        <v>4600</v>
      </c>
      <c r="P284" s="541" t="s">
        <v>3961</v>
      </c>
    </row>
    <row r="285" spans="1:16" ht="17.100000000000001" customHeight="1" x14ac:dyDescent="0.25">
      <c r="A285" s="513"/>
      <c r="B285" s="545"/>
      <c r="C285" s="545"/>
      <c r="D285" s="545"/>
      <c r="E285" s="545"/>
      <c r="F285" s="545"/>
      <c r="G285" s="545"/>
      <c r="H285" s="545"/>
      <c r="I285" s="513"/>
      <c r="J285" s="541">
        <v>18</v>
      </c>
      <c r="K285" s="541" t="s">
        <v>127</v>
      </c>
      <c r="L285" s="542" t="s">
        <v>572</v>
      </c>
      <c r="M285" s="543">
        <v>2</v>
      </c>
      <c r="N285" s="544">
        <v>4259</v>
      </c>
      <c r="O285" s="544">
        <v>9200</v>
      </c>
      <c r="P285" s="541" t="s">
        <v>3961</v>
      </c>
    </row>
    <row r="286" spans="1:16" ht="17.100000000000001" customHeight="1" x14ac:dyDescent="0.25">
      <c r="A286" s="513"/>
      <c r="B286" s="545"/>
      <c r="C286" s="545"/>
      <c r="D286" s="545"/>
      <c r="E286" s="545"/>
      <c r="F286" s="545"/>
      <c r="G286" s="553"/>
      <c r="H286" s="554"/>
      <c r="I286" s="513"/>
      <c r="J286" s="541">
        <v>19</v>
      </c>
      <c r="K286" s="541" t="s">
        <v>130</v>
      </c>
      <c r="L286" s="542" t="s">
        <v>572</v>
      </c>
      <c r="M286" s="543">
        <v>1</v>
      </c>
      <c r="N286" s="544">
        <v>4259</v>
      </c>
      <c r="O286" s="544">
        <v>4600</v>
      </c>
      <c r="P286" s="541" t="s">
        <v>3961</v>
      </c>
    </row>
    <row r="287" spans="1:16" ht="17.100000000000001" customHeight="1" x14ac:dyDescent="0.25">
      <c r="A287" s="513"/>
      <c r="B287" s="545"/>
      <c r="C287" s="545"/>
      <c r="D287" s="545"/>
      <c r="E287" s="545"/>
      <c r="F287" s="545"/>
      <c r="G287" s="545"/>
      <c r="H287" s="545"/>
      <c r="I287" s="513"/>
      <c r="J287" s="541">
        <v>20</v>
      </c>
      <c r="K287" s="541" t="s">
        <v>133</v>
      </c>
      <c r="L287" s="542" t="s">
        <v>572</v>
      </c>
      <c r="M287" s="543">
        <v>3</v>
      </c>
      <c r="N287" s="544">
        <v>4259</v>
      </c>
      <c r="O287" s="544">
        <v>13800</v>
      </c>
      <c r="P287" s="541" t="s">
        <v>3961</v>
      </c>
    </row>
    <row r="288" spans="1:16" ht="18.95" customHeight="1" x14ac:dyDescent="0.25">
      <c r="A288" s="513"/>
      <c r="B288" s="761" t="s">
        <v>4049</v>
      </c>
      <c r="C288" s="652"/>
      <c r="D288" s="652"/>
      <c r="E288" s="652"/>
      <c r="F288" s="648"/>
      <c r="G288" s="546">
        <v>24</v>
      </c>
      <c r="H288" s="547">
        <v>78000</v>
      </c>
      <c r="I288" s="513"/>
      <c r="J288" s="761" t="s">
        <v>4050</v>
      </c>
      <c r="K288" s="652"/>
      <c r="L288" s="648"/>
      <c r="M288" s="546">
        <v>38</v>
      </c>
      <c r="N288" s="548" t="s">
        <v>44</v>
      </c>
      <c r="O288" s="547">
        <v>174800</v>
      </c>
      <c r="P288" s="548" t="s">
        <v>44</v>
      </c>
    </row>
    <row r="289" spans="1:16" ht="15.95" customHeight="1" x14ac:dyDescent="0.25">
      <c r="A289" s="513"/>
      <c r="B289" s="513"/>
      <c r="C289" s="513"/>
      <c r="D289" s="513"/>
      <c r="E289" s="513"/>
      <c r="F289" s="513"/>
      <c r="G289" s="513"/>
      <c r="H289" s="513"/>
      <c r="I289" s="513"/>
      <c r="J289" s="513"/>
      <c r="K289" s="513"/>
      <c r="L289" s="513"/>
      <c r="M289" s="513"/>
      <c r="N289" s="513"/>
      <c r="O289" s="513"/>
      <c r="P289" s="513"/>
    </row>
    <row r="290" spans="1:16" ht="21.95" customHeight="1" x14ac:dyDescent="0.25">
      <c r="A290" s="513"/>
      <c r="B290" s="752" t="s">
        <v>4051</v>
      </c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</row>
    <row r="291" spans="1:16" ht="15.95" customHeight="1" x14ac:dyDescent="0.25">
      <c r="A291" s="513"/>
      <c r="B291" s="755" t="s">
        <v>4052</v>
      </c>
      <c r="C291" s="652"/>
      <c r="D291" s="652"/>
      <c r="E291" s="652"/>
      <c r="F291" s="652"/>
      <c r="G291" s="652"/>
      <c r="H291" s="652"/>
      <c r="I291" s="652"/>
      <c r="J291" s="652"/>
      <c r="K291" s="652"/>
      <c r="L291" s="652"/>
      <c r="M291" s="652"/>
      <c r="N291" s="652"/>
      <c r="O291" s="652"/>
      <c r="P291" s="648"/>
    </row>
    <row r="292" spans="1:16" ht="20.100000000000001" customHeight="1" x14ac:dyDescent="0.25">
      <c r="A292" s="513"/>
      <c r="B292" s="756" t="s">
        <v>4053</v>
      </c>
      <c r="C292" s="652"/>
      <c r="D292" s="652"/>
      <c r="E292" s="652"/>
      <c r="F292" s="652"/>
      <c r="G292" s="652"/>
      <c r="H292" s="648"/>
      <c r="I292" s="538"/>
      <c r="J292" s="751" t="s">
        <v>4054</v>
      </c>
      <c r="K292" s="652"/>
      <c r="L292" s="652"/>
      <c r="M292" s="652"/>
      <c r="N292" s="652"/>
      <c r="O292" s="652"/>
      <c r="P292" s="648"/>
    </row>
    <row r="293" spans="1:16" ht="18" customHeight="1" x14ac:dyDescent="0.25">
      <c r="A293" s="513"/>
      <c r="B293" s="539" t="s">
        <v>48</v>
      </c>
      <c r="C293" s="539" t="s">
        <v>76</v>
      </c>
      <c r="D293" s="539" t="s">
        <v>2561</v>
      </c>
      <c r="E293" s="539" t="s">
        <v>1229</v>
      </c>
      <c r="F293" s="539" t="s">
        <v>3953</v>
      </c>
      <c r="G293" s="556" t="s">
        <v>3954</v>
      </c>
      <c r="H293" s="557" t="s">
        <v>3955</v>
      </c>
      <c r="I293" s="513"/>
      <c r="J293" s="540" t="s">
        <v>48</v>
      </c>
      <c r="K293" s="540" t="s">
        <v>76</v>
      </c>
      <c r="L293" s="540" t="s">
        <v>3956</v>
      </c>
      <c r="M293" s="551" t="s">
        <v>3957</v>
      </c>
      <c r="N293" s="552" t="s">
        <v>3958</v>
      </c>
      <c r="O293" s="552" t="s">
        <v>3959</v>
      </c>
      <c r="P293" s="540" t="s">
        <v>3960</v>
      </c>
    </row>
    <row r="294" spans="1:16" ht="17.100000000000001" customHeight="1" x14ac:dyDescent="0.25">
      <c r="A294" s="513"/>
      <c r="B294" s="541">
        <v>3</v>
      </c>
      <c r="C294" s="541" t="s">
        <v>90</v>
      </c>
      <c r="D294" s="541" t="s">
        <v>579</v>
      </c>
      <c r="E294" s="542" t="s">
        <v>1341</v>
      </c>
      <c r="F294" s="542" t="s">
        <v>587</v>
      </c>
      <c r="G294" s="543">
        <v>120</v>
      </c>
      <c r="H294" s="544">
        <v>288000</v>
      </c>
      <c r="I294" s="513"/>
      <c r="J294" s="541">
        <v>1</v>
      </c>
      <c r="K294" s="541" t="s">
        <v>86</v>
      </c>
      <c r="L294" s="542" t="s">
        <v>1109</v>
      </c>
      <c r="M294" s="543">
        <v>9</v>
      </c>
      <c r="N294" s="544">
        <v>3704</v>
      </c>
      <c r="O294" s="544">
        <v>36000</v>
      </c>
      <c r="P294" s="541" t="s">
        <v>3961</v>
      </c>
    </row>
    <row r="295" spans="1:16" ht="17.100000000000001" customHeight="1" x14ac:dyDescent="0.25">
      <c r="A295" s="513"/>
      <c r="B295" s="541">
        <v>3</v>
      </c>
      <c r="C295" s="541" t="s">
        <v>90</v>
      </c>
      <c r="D295" s="541" t="s">
        <v>579</v>
      </c>
      <c r="E295" s="542" t="s">
        <v>1341</v>
      </c>
      <c r="F295" s="542" t="s">
        <v>589</v>
      </c>
      <c r="G295" s="543">
        <v>96</v>
      </c>
      <c r="H295" s="544">
        <v>240000</v>
      </c>
      <c r="I295" s="513"/>
      <c r="J295" s="541">
        <v>2</v>
      </c>
      <c r="K295" s="541" t="s">
        <v>88</v>
      </c>
      <c r="L295" s="542" t="s">
        <v>1109</v>
      </c>
      <c r="M295" s="543">
        <v>5</v>
      </c>
      <c r="N295" s="544">
        <v>3704</v>
      </c>
      <c r="O295" s="544">
        <v>20001</v>
      </c>
      <c r="P295" s="541" t="s">
        <v>3961</v>
      </c>
    </row>
    <row r="296" spans="1:16" ht="17.100000000000001" customHeight="1" x14ac:dyDescent="0.25">
      <c r="A296" s="513"/>
      <c r="B296" s="541">
        <v>3</v>
      </c>
      <c r="C296" s="541" t="s">
        <v>90</v>
      </c>
      <c r="D296" s="541" t="s">
        <v>590</v>
      </c>
      <c r="E296" s="542" t="s">
        <v>1341</v>
      </c>
      <c r="F296" s="542" t="s">
        <v>592</v>
      </c>
      <c r="G296" s="543">
        <v>24</v>
      </c>
      <c r="H296" s="544">
        <v>50200</v>
      </c>
      <c r="I296" s="513"/>
      <c r="J296" s="541">
        <v>3</v>
      </c>
      <c r="K296" s="541" t="s">
        <v>90</v>
      </c>
      <c r="L296" s="542" t="s">
        <v>1109</v>
      </c>
      <c r="M296" s="543">
        <v>9</v>
      </c>
      <c r="N296" s="544">
        <v>3684</v>
      </c>
      <c r="O296" s="544">
        <v>35804</v>
      </c>
      <c r="P296" s="541" t="s">
        <v>3961</v>
      </c>
    </row>
    <row r="297" spans="1:16" ht="17.100000000000001" customHeight="1" x14ac:dyDescent="0.25">
      <c r="A297" s="513"/>
      <c r="B297" s="541">
        <v>3</v>
      </c>
      <c r="C297" s="541" t="s">
        <v>90</v>
      </c>
      <c r="D297" s="541" t="s">
        <v>590</v>
      </c>
      <c r="E297" s="542" t="s">
        <v>1341</v>
      </c>
      <c r="F297" s="542" t="s">
        <v>593</v>
      </c>
      <c r="G297" s="543">
        <v>24</v>
      </c>
      <c r="H297" s="544">
        <v>50200</v>
      </c>
      <c r="I297" s="513"/>
      <c r="J297" s="541">
        <v>4</v>
      </c>
      <c r="K297" s="541" t="s">
        <v>92</v>
      </c>
      <c r="L297" s="542" t="s">
        <v>1109</v>
      </c>
      <c r="M297" s="543">
        <v>3</v>
      </c>
      <c r="N297" s="544">
        <v>3704</v>
      </c>
      <c r="O297" s="544">
        <v>12000</v>
      </c>
      <c r="P297" s="541" t="s">
        <v>3961</v>
      </c>
    </row>
    <row r="298" spans="1:16" ht="17.100000000000001" customHeight="1" x14ac:dyDescent="0.25">
      <c r="A298" s="513"/>
      <c r="B298" s="541">
        <v>3</v>
      </c>
      <c r="C298" s="541" t="s">
        <v>90</v>
      </c>
      <c r="D298" s="541" t="s">
        <v>590</v>
      </c>
      <c r="E298" s="542" t="s">
        <v>1341</v>
      </c>
      <c r="F298" s="542" t="s">
        <v>594</v>
      </c>
      <c r="G298" s="543">
        <v>24</v>
      </c>
      <c r="H298" s="544">
        <v>50200</v>
      </c>
      <c r="I298" s="513"/>
      <c r="J298" s="541">
        <v>5</v>
      </c>
      <c r="K298" s="541" t="s">
        <v>94</v>
      </c>
      <c r="L298" s="542" t="s">
        <v>1109</v>
      </c>
      <c r="M298" s="543">
        <v>26</v>
      </c>
      <c r="N298" s="544">
        <v>3704</v>
      </c>
      <c r="O298" s="544">
        <v>104000</v>
      </c>
      <c r="P298" s="541" t="s">
        <v>3961</v>
      </c>
    </row>
    <row r="299" spans="1:16" ht="17.100000000000001" customHeight="1" x14ac:dyDescent="0.25">
      <c r="A299" s="513"/>
      <c r="B299" s="541">
        <v>17</v>
      </c>
      <c r="C299" s="541" t="s">
        <v>124</v>
      </c>
      <c r="D299" s="541" t="s">
        <v>757</v>
      </c>
      <c r="E299" s="542" t="s">
        <v>1341</v>
      </c>
      <c r="F299" s="542" t="s">
        <v>761</v>
      </c>
      <c r="G299" s="543">
        <v>36</v>
      </c>
      <c r="H299" s="544">
        <v>104400</v>
      </c>
      <c r="I299" s="513"/>
      <c r="J299" s="541">
        <v>6</v>
      </c>
      <c r="K299" s="541" t="s">
        <v>96</v>
      </c>
      <c r="L299" s="542" t="s">
        <v>1109</v>
      </c>
      <c r="M299" s="543">
        <v>34</v>
      </c>
      <c r="N299" s="544">
        <v>3704</v>
      </c>
      <c r="O299" s="544">
        <v>136000</v>
      </c>
      <c r="P299" s="541" t="s">
        <v>3961</v>
      </c>
    </row>
    <row r="300" spans="1:16" ht="17.100000000000001" customHeight="1" x14ac:dyDescent="0.25">
      <c r="A300" s="513"/>
      <c r="B300" s="541">
        <v>21</v>
      </c>
      <c r="C300" s="541" t="s">
        <v>136</v>
      </c>
      <c r="D300" s="541" t="s">
        <v>781</v>
      </c>
      <c r="E300" s="542" t="s">
        <v>1341</v>
      </c>
      <c r="F300" s="542" t="s">
        <v>782</v>
      </c>
      <c r="G300" s="543">
        <v>24</v>
      </c>
      <c r="H300" s="544">
        <v>60000</v>
      </c>
      <c r="I300" s="513"/>
      <c r="J300" s="541">
        <v>7</v>
      </c>
      <c r="K300" s="541" t="s">
        <v>98</v>
      </c>
      <c r="L300" s="542" t="s">
        <v>1109</v>
      </c>
      <c r="M300" s="543">
        <v>15</v>
      </c>
      <c r="N300" s="544">
        <v>3704</v>
      </c>
      <c r="O300" s="544">
        <v>60000</v>
      </c>
      <c r="P300" s="541" t="s">
        <v>3961</v>
      </c>
    </row>
    <row r="301" spans="1:16" ht="17.100000000000001" customHeight="1" x14ac:dyDescent="0.25">
      <c r="A301" s="513"/>
      <c r="B301" s="545"/>
      <c r="C301" s="545"/>
      <c r="D301" s="545"/>
      <c r="E301" s="545"/>
      <c r="F301" s="545"/>
      <c r="G301" s="545"/>
      <c r="H301" s="545"/>
      <c r="I301" s="513"/>
      <c r="J301" s="541">
        <v>8</v>
      </c>
      <c r="K301" s="541" t="s">
        <v>100</v>
      </c>
      <c r="L301" s="542" t="s">
        <v>1109</v>
      </c>
      <c r="M301" s="543">
        <v>7</v>
      </c>
      <c r="N301" s="544">
        <v>3704</v>
      </c>
      <c r="O301" s="544">
        <v>28000</v>
      </c>
      <c r="P301" s="541" t="s">
        <v>3961</v>
      </c>
    </row>
    <row r="302" spans="1:16" ht="17.100000000000001" customHeight="1" x14ac:dyDescent="0.25">
      <c r="A302" s="513"/>
      <c r="B302" s="545"/>
      <c r="C302" s="545"/>
      <c r="D302" s="545"/>
      <c r="E302" s="545"/>
      <c r="F302" s="545"/>
      <c r="G302" s="545"/>
      <c r="H302" s="545"/>
      <c r="I302" s="513"/>
      <c r="J302" s="541">
        <v>9</v>
      </c>
      <c r="K302" s="541" t="s">
        <v>102</v>
      </c>
      <c r="L302" s="542" t="s">
        <v>1109</v>
      </c>
      <c r="M302" s="543">
        <v>15</v>
      </c>
      <c r="N302" s="544">
        <v>3704</v>
      </c>
      <c r="O302" s="544">
        <v>60000</v>
      </c>
      <c r="P302" s="541" t="s">
        <v>3961</v>
      </c>
    </row>
    <row r="303" spans="1:16" ht="17.100000000000001" customHeight="1" x14ac:dyDescent="0.25">
      <c r="A303" s="513"/>
      <c r="B303" s="545"/>
      <c r="C303" s="545"/>
      <c r="D303" s="545"/>
      <c r="E303" s="545"/>
      <c r="F303" s="545"/>
      <c r="G303" s="545"/>
      <c r="H303" s="545"/>
      <c r="I303" s="513"/>
      <c r="J303" s="541">
        <v>10</v>
      </c>
      <c r="K303" s="541" t="s">
        <v>103</v>
      </c>
      <c r="L303" s="542" t="s">
        <v>1109</v>
      </c>
      <c r="M303" s="543">
        <v>11</v>
      </c>
      <c r="N303" s="544">
        <v>3704</v>
      </c>
      <c r="O303" s="544">
        <v>44000</v>
      </c>
      <c r="P303" s="541" t="s">
        <v>3961</v>
      </c>
    </row>
    <row r="304" spans="1:16" ht="17.100000000000001" customHeight="1" x14ac:dyDescent="0.25">
      <c r="A304" s="513"/>
      <c r="B304" s="545"/>
      <c r="C304" s="545"/>
      <c r="D304" s="545"/>
      <c r="E304" s="545"/>
      <c r="F304" s="545"/>
      <c r="G304" s="553"/>
      <c r="H304" s="554"/>
      <c r="I304" s="513"/>
      <c r="J304" s="541">
        <v>11</v>
      </c>
      <c r="K304" s="541" t="s">
        <v>104</v>
      </c>
      <c r="L304" s="542" t="s">
        <v>1109</v>
      </c>
      <c r="M304" s="543">
        <v>9</v>
      </c>
      <c r="N304" s="544">
        <v>3704</v>
      </c>
      <c r="O304" s="544">
        <v>36000</v>
      </c>
      <c r="P304" s="541" t="s">
        <v>3961</v>
      </c>
    </row>
    <row r="305" spans="1:16" ht="17.100000000000001" customHeight="1" x14ac:dyDescent="0.25">
      <c r="A305" s="513"/>
      <c r="B305" s="545"/>
      <c r="C305" s="545"/>
      <c r="D305" s="545"/>
      <c r="E305" s="545"/>
      <c r="F305" s="545"/>
      <c r="G305" s="545"/>
      <c r="H305" s="545"/>
      <c r="I305" s="513"/>
      <c r="J305" s="541">
        <v>12</v>
      </c>
      <c r="K305" s="541" t="s">
        <v>106</v>
      </c>
      <c r="L305" s="542" t="s">
        <v>1109</v>
      </c>
      <c r="M305" s="543">
        <v>18</v>
      </c>
      <c r="N305" s="544">
        <v>3704</v>
      </c>
      <c r="O305" s="544">
        <v>72000</v>
      </c>
      <c r="P305" s="541" t="s">
        <v>3961</v>
      </c>
    </row>
    <row r="306" spans="1:16" ht="17.100000000000001" customHeight="1" x14ac:dyDescent="0.25">
      <c r="A306" s="513"/>
      <c r="B306" s="545"/>
      <c r="C306" s="545"/>
      <c r="D306" s="545"/>
      <c r="E306" s="545"/>
      <c r="F306" s="545"/>
      <c r="G306" s="545"/>
      <c r="H306" s="545"/>
      <c r="I306" s="513"/>
      <c r="J306" s="541">
        <v>13</v>
      </c>
      <c r="K306" s="541" t="s">
        <v>112</v>
      </c>
      <c r="L306" s="542" t="s">
        <v>1109</v>
      </c>
      <c r="M306" s="543">
        <v>26</v>
      </c>
      <c r="N306" s="544">
        <v>3704</v>
      </c>
      <c r="O306" s="544">
        <v>104000</v>
      </c>
      <c r="P306" s="541" t="s">
        <v>3961</v>
      </c>
    </row>
    <row r="307" spans="1:16" ht="17.100000000000001" customHeight="1" x14ac:dyDescent="0.25">
      <c r="A307" s="513"/>
      <c r="B307" s="545"/>
      <c r="C307" s="545"/>
      <c r="D307" s="545"/>
      <c r="E307" s="545"/>
      <c r="F307" s="545"/>
      <c r="G307" s="545"/>
      <c r="H307" s="545"/>
      <c r="I307" s="513"/>
      <c r="J307" s="541">
        <v>14</v>
      </c>
      <c r="K307" s="541" t="s">
        <v>115</v>
      </c>
      <c r="L307" s="542" t="s">
        <v>1109</v>
      </c>
      <c r="M307" s="543">
        <v>6</v>
      </c>
      <c r="N307" s="544">
        <v>3704</v>
      </c>
      <c r="O307" s="544">
        <v>24000</v>
      </c>
      <c r="P307" s="541" t="s">
        <v>3961</v>
      </c>
    </row>
    <row r="308" spans="1:16" ht="17.100000000000001" customHeight="1" x14ac:dyDescent="0.25">
      <c r="A308" s="513"/>
      <c r="B308" s="545"/>
      <c r="C308" s="545"/>
      <c r="D308" s="545"/>
      <c r="E308" s="545"/>
      <c r="F308" s="545"/>
      <c r="G308" s="545"/>
      <c r="H308" s="545"/>
      <c r="I308" s="513"/>
      <c r="J308" s="541">
        <v>15</v>
      </c>
      <c r="K308" s="541" t="s">
        <v>118</v>
      </c>
      <c r="L308" s="542" t="s">
        <v>1109</v>
      </c>
      <c r="M308" s="543">
        <v>6</v>
      </c>
      <c r="N308" s="544">
        <v>3704</v>
      </c>
      <c r="O308" s="544">
        <v>24000</v>
      </c>
      <c r="P308" s="541" t="s">
        <v>3961</v>
      </c>
    </row>
    <row r="309" spans="1:16" ht="17.100000000000001" customHeight="1" x14ac:dyDescent="0.25">
      <c r="A309" s="513"/>
      <c r="B309" s="545"/>
      <c r="C309" s="545"/>
      <c r="D309" s="545"/>
      <c r="E309" s="545"/>
      <c r="F309" s="545"/>
      <c r="G309" s="545"/>
      <c r="H309" s="545"/>
      <c r="I309" s="513"/>
      <c r="J309" s="541">
        <v>16</v>
      </c>
      <c r="K309" s="541" t="s">
        <v>121</v>
      </c>
      <c r="L309" s="542" t="s">
        <v>1109</v>
      </c>
      <c r="M309" s="543">
        <v>14</v>
      </c>
      <c r="N309" s="544">
        <v>3704</v>
      </c>
      <c r="O309" s="544">
        <v>56000</v>
      </c>
      <c r="P309" s="541" t="s">
        <v>3961</v>
      </c>
    </row>
    <row r="310" spans="1:16" ht="17.100000000000001" customHeight="1" x14ac:dyDescent="0.25">
      <c r="A310" s="513"/>
      <c r="B310" s="545"/>
      <c r="C310" s="545"/>
      <c r="D310" s="545"/>
      <c r="E310" s="545"/>
      <c r="F310" s="545"/>
      <c r="G310" s="553"/>
      <c r="H310" s="554"/>
      <c r="I310" s="513"/>
      <c r="J310" s="541">
        <v>17</v>
      </c>
      <c r="K310" s="541" t="s">
        <v>124</v>
      </c>
      <c r="L310" s="542" t="s">
        <v>1109</v>
      </c>
      <c r="M310" s="543">
        <v>8</v>
      </c>
      <c r="N310" s="544">
        <v>3704</v>
      </c>
      <c r="O310" s="544">
        <v>32000</v>
      </c>
      <c r="P310" s="541" t="s">
        <v>3961</v>
      </c>
    </row>
    <row r="311" spans="1:16" ht="17.100000000000001" customHeight="1" x14ac:dyDescent="0.25">
      <c r="A311" s="513"/>
      <c r="B311" s="545"/>
      <c r="C311" s="545"/>
      <c r="D311" s="545"/>
      <c r="E311" s="545"/>
      <c r="F311" s="545"/>
      <c r="G311" s="545"/>
      <c r="H311" s="545"/>
      <c r="I311" s="513"/>
      <c r="J311" s="541">
        <v>18</v>
      </c>
      <c r="K311" s="541" t="s">
        <v>127</v>
      </c>
      <c r="L311" s="542" t="s">
        <v>1109</v>
      </c>
      <c r="M311" s="543">
        <v>3</v>
      </c>
      <c r="N311" s="544">
        <v>3704</v>
      </c>
      <c r="O311" s="544">
        <v>12000</v>
      </c>
      <c r="P311" s="541" t="s">
        <v>3961</v>
      </c>
    </row>
    <row r="312" spans="1:16" ht="17.100000000000001" customHeight="1" x14ac:dyDescent="0.25">
      <c r="A312" s="513"/>
      <c r="B312" s="545"/>
      <c r="C312" s="545"/>
      <c r="D312" s="545"/>
      <c r="E312" s="545"/>
      <c r="F312" s="545"/>
      <c r="G312" s="545"/>
      <c r="H312" s="545"/>
      <c r="I312" s="513"/>
      <c r="J312" s="541">
        <v>19</v>
      </c>
      <c r="K312" s="541" t="s">
        <v>130</v>
      </c>
      <c r="L312" s="542" t="s">
        <v>1109</v>
      </c>
      <c r="M312" s="543">
        <v>15</v>
      </c>
      <c r="N312" s="544">
        <v>3704</v>
      </c>
      <c r="O312" s="544">
        <v>60000</v>
      </c>
      <c r="P312" s="541" t="s">
        <v>3961</v>
      </c>
    </row>
    <row r="313" spans="1:16" ht="17.100000000000001" customHeight="1" x14ac:dyDescent="0.25">
      <c r="A313" s="513"/>
      <c r="B313" s="545"/>
      <c r="C313" s="545"/>
      <c r="D313" s="545"/>
      <c r="E313" s="545"/>
      <c r="F313" s="545"/>
      <c r="G313" s="545"/>
      <c r="H313" s="545"/>
      <c r="I313" s="513"/>
      <c r="J313" s="541">
        <v>20</v>
      </c>
      <c r="K313" s="541" t="s">
        <v>133</v>
      </c>
      <c r="L313" s="542" t="s">
        <v>1109</v>
      </c>
      <c r="M313" s="543">
        <v>19</v>
      </c>
      <c r="N313" s="544">
        <v>3704</v>
      </c>
      <c r="O313" s="544">
        <v>76000</v>
      </c>
      <c r="P313" s="541" t="s">
        <v>3961</v>
      </c>
    </row>
    <row r="314" spans="1:16" ht="18.95" customHeight="1" x14ac:dyDescent="0.25">
      <c r="A314" s="513"/>
      <c r="B314" s="761" t="s">
        <v>4055</v>
      </c>
      <c r="C314" s="652"/>
      <c r="D314" s="652"/>
      <c r="E314" s="652"/>
      <c r="F314" s="648"/>
      <c r="G314" s="546">
        <v>348</v>
      </c>
      <c r="H314" s="547">
        <v>843000</v>
      </c>
      <c r="I314" s="513"/>
      <c r="J314" s="761" t="s">
        <v>4056</v>
      </c>
      <c r="K314" s="652"/>
      <c r="L314" s="648"/>
      <c r="M314" s="546">
        <v>258</v>
      </c>
      <c r="N314" s="555" t="s">
        <v>44</v>
      </c>
      <c r="O314" s="547">
        <v>1031805</v>
      </c>
      <c r="P314" s="548" t="s">
        <v>44</v>
      </c>
    </row>
    <row r="315" spans="1:16" ht="17.100000000000001" customHeight="1" x14ac:dyDescent="0.25">
      <c r="A315" s="513"/>
      <c r="B315" s="513"/>
      <c r="C315" s="513"/>
      <c r="D315" s="513"/>
      <c r="E315" s="513"/>
      <c r="F315" s="513"/>
      <c r="G315" s="549"/>
      <c r="H315" s="550"/>
      <c r="I315" s="513"/>
      <c r="J315" s="513"/>
      <c r="K315" s="513"/>
      <c r="L315" s="513"/>
      <c r="M315" s="549"/>
      <c r="N315" s="550"/>
      <c r="O315" s="550"/>
      <c r="P315" s="513"/>
    </row>
    <row r="316" spans="1:16" ht="21.95" customHeight="1" x14ac:dyDescent="0.25">
      <c r="A316" s="513"/>
      <c r="B316" s="752" t="s">
        <v>4057</v>
      </c>
      <c r="C316" s="642"/>
      <c r="D316" s="642"/>
      <c r="E316" s="642"/>
      <c r="F316" s="642"/>
      <c r="G316" s="642"/>
      <c r="H316" s="642"/>
      <c r="I316" s="642"/>
      <c r="J316" s="642"/>
      <c r="K316" s="642"/>
      <c r="L316" s="642"/>
      <c r="M316" s="642"/>
      <c r="N316" s="642"/>
      <c r="O316" s="642"/>
      <c r="P316" s="642"/>
    </row>
    <row r="317" spans="1:16" ht="15.95" customHeight="1" x14ac:dyDescent="0.25">
      <c r="A317" s="513"/>
      <c r="B317" s="755" t="s">
        <v>4058</v>
      </c>
      <c r="C317" s="652"/>
      <c r="D317" s="652"/>
      <c r="E317" s="652"/>
      <c r="F317" s="652"/>
      <c r="G317" s="652"/>
      <c r="H317" s="652"/>
      <c r="I317" s="652"/>
      <c r="J317" s="652"/>
      <c r="K317" s="652"/>
      <c r="L317" s="652"/>
      <c r="M317" s="652"/>
      <c r="N317" s="652"/>
      <c r="O317" s="652"/>
      <c r="P317" s="648"/>
    </row>
    <row r="318" spans="1:16" ht="20.100000000000001" customHeight="1" x14ac:dyDescent="0.25">
      <c r="A318" s="513"/>
      <c r="B318" s="756" t="s">
        <v>4012</v>
      </c>
      <c r="C318" s="652"/>
      <c r="D318" s="652"/>
      <c r="E318" s="652"/>
      <c r="F318" s="652"/>
      <c r="G318" s="652"/>
      <c r="H318" s="648"/>
      <c r="I318" s="538"/>
      <c r="J318" s="751" t="s">
        <v>4054</v>
      </c>
      <c r="K318" s="652"/>
      <c r="L318" s="652"/>
      <c r="M318" s="652"/>
      <c r="N318" s="652"/>
      <c r="O318" s="652"/>
      <c r="P318" s="648"/>
    </row>
    <row r="319" spans="1:16" ht="18" customHeight="1" x14ac:dyDescent="0.25">
      <c r="A319" s="513"/>
      <c r="B319" s="539" t="s">
        <v>48</v>
      </c>
      <c r="C319" s="539" t="s">
        <v>76</v>
      </c>
      <c r="D319" s="539" t="s">
        <v>2561</v>
      </c>
      <c r="E319" s="539" t="s">
        <v>1229</v>
      </c>
      <c r="F319" s="539" t="s">
        <v>3953</v>
      </c>
      <c r="G319" s="556" t="s">
        <v>3954</v>
      </c>
      <c r="H319" s="557" t="s">
        <v>3955</v>
      </c>
      <c r="I319" s="513"/>
      <c r="J319" s="540" t="s">
        <v>48</v>
      </c>
      <c r="K319" s="540" t="s">
        <v>76</v>
      </c>
      <c r="L319" s="540" t="s">
        <v>3956</v>
      </c>
      <c r="M319" s="551" t="s">
        <v>3957</v>
      </c>
      <c r="N319" s="552" t="s">
        <v>3958</v>
      </c>
      <c r="O319" s="552" t="s">
        <v>3959</v>
      </c>
      <c r="P319" s="540" t="s">
        <v>3960</v>
      </c>
    </row>
    <row r="320" spans="1:16" ht="17.100000000000001" customHeight="1" x14ac:dyDescent="0.25">
      <c r="A320" s="513"/>
      <c r="B320" s="541">
        <v>9</v>
      </c>
      <c r="C320" s="541" t="s">
        <v>102</v>
      </c>
      <c r="D320" s="541" t="s">
        <v>648</v>
      </c>
      <c r="E320" s="542" t="s">
        <v>1640</v>
      </c>
      <c r="F320" s="542" t="s">
        <v>662</v>
      </c>
      <c r="G320" s="543">
        <v>15</v>
      </c>
      <c r="H320" s="544">
        <v>25899.99</v>
      </c>
      <c r="I320" s="513"/>
      <c r="J320" s="541">
        <v>1</v>
      </c>
      <c r="K320" s="541" t="s">
        <v>86</v>
      </c>
      <c r="L320" s="542" t="s">
        <v>1108</v>
      </c>
      <c r="M320" s="543">
        <v>3</v>
      </c>
      <c r="N320" s="544">
        <v>2778</v>
      </c>
      <c r="O320" s="544">
        <v>9000</v>
      </c>
      <c r="P320" s="541" t="s">
        <v>3961</v>
      </c>
    </row>
    <row r="321" spans="1:16" ht="17.100000000000001" customHeight="1" x14ac:dyDescent="0.25">
      <c r="A321" s="513"/>
      <c r="B321" s="541">
        <v>9</v>
      </c>
      <c r="C321" s="541" t="s">
        <v>102</v>
      </c>
      <c r="D321" s="541" t="s">
        <v>648</v>
      </c>
      <c r="E321" s="542" t="s">
        <v>1640</v>
      </c>
      <c r="F321" s="542" t="s">
        <v>664</v>
      </c>
      <c r="G321" s="543">
        <v>15</v>
      </c>
      <c r="H321" s="544">
        <v>25899.99</v>
      </c>
      <c r="I321" s="513"/>
      <c r="J321" s="541">
        <v>2</v>
      </c>
      <c r="K321" s="541" t="s">
        <v>88</v>
      </c>
      <c r="L321" s="542" t="s">
        <v>1108</v>
      </c>
      <c r="M321" s="543">
        <v>1</v>
      </c>
      <c r="N321" s="544">
        <v>2778</v>
      </c>
      <c r="O321" s="544">
        <v>3000</v>
      </c>
      <c r="P321" s="541" t="s">
        <v>3961</v>
      </c>
    </row>
    <row r="322" spans="1:16" ht="17.100000000000001" customHeight="1" x14ac:dyDescent="0.25">
      <c r="A322" s="513"/>
      <c r="B322" s="541">
        <v>9</v>
      </c>
      <c r="C322" s="541" t="s">
        <v>102</v>
      </c>
      <c r="D322" s="541" t="s">
        <v>648</v>
      </c>
      <c r="E322" s="542" t="s">
        <v>1640</v>
      </c>
      <c r="F322" s="542" t="s">
        <v>666</v>
      </c>
      <c r="G322" s="543">
        <v>15</v>
      </c>
      <c r="H322" s="544">
        <v>25899.99</v>
      </c>
      <c r="I322" s="513"/>
      <c r="J322" s="541">
        <v>3</v>
      </c>
      <c r="K322" s="541" t="s">
        <v>90</v>
      </c>
      <c r="L322" s="542" t="s">
        <v>1108</v>
      </c>
      <c r="M322" s="543">
        <v>11</v>
      </c>
      <c r="N322" s="544">
        <v>2778</v>
      </c>
      <c r="O322" s="544">
        <v>33000</v>
      </c>
      <c r="P322" s="541" t="s">
        <v>3961</v>
      </c>
    </row>
    <row r="323" spans="1:16" ht="17.100000000000001" customHeight="1" x14ac:dyDescent="0.25">
      <c r="A323" s="513"/>
      <c r="B323" s="541">
        <v>9</v>
      </c>
      <c r="C323" s="541" t="s">
        <v>102</v>
      </c>
      <c r="D323" s="541" t="s">
        <v>648</v>
      </c>
      <c r="E323" s="542" t="s">
        <v>1640</v>
      </c>
      <c r="F323" s="542" t="s">
        <v>668</v>
      </c>
      <c r="G323" s="543">
        <v>15</v>
      </c>
      <c r="H323" s="544">
        <v>25899.99</v>
      </c>
      <c r="I323" s="513"/>
      <c r="J323" s="541">
        <v>4</v>
      </c>
      <c r="K323" s="541" t="s">
        <v>92</v>
      </c>
      <c r="L323" s="542" t="s">
        <v>1108</v>
      </c>
      <c r="M323" s="543">
        <v>5</v>
      </c>
      <c r="N323" s="544">
        <v>2778</v>
      </c>
      <c r="O323" s="544">
        <v>15000</v>
      </c>
      <c r="P323" s="541" t="s">
        <v>3961</v>
      </c>
    </row>
    <row r="324" spans="1:16" ht="17.100000000000001" customHeight="1" x14ac:dyDescent="0.25">
      <c r="A324" s="513"/>
      <c r="B324" s="541">
        <v>9</v>
      </c>
      <c r="C324" s="541" t="s">
        <v>102</v>
      </c>
      <c r="D324" s="541" t="s">
        <v>648</v>
      </c>
      <c r="E324" s="542" t="s">
        <v>1640</v>
      </c>
      <c r="F324" s="542" t="s">
        <v>670</v>
      </c>
      <c r="G324" s="543">
        <v>30</v>
      </c>
      <c r="H324" s="544">
        <v>44999.85</v>
      </c>
      <c r="I324" s="513"/>
      <c r="J324" s="541">
        <v>5</v>
      </c>
      <c r="K324" s="541" t="s">
        <v>94</v>
      </c>
      <c r="L324" s="542" t="s">
        <v>1108</v>
      </c>
      <c r="M324" s="543">
        <v>15</v>
      </c>
      <c r="N324" s="544">
        <v>2778</v>
      </c>
      <c r="O324" s="544">
        <v>45000</v>
      </c>
      <c r="P324" s="541" t="s">
        <v>3961</v>
      </c>
    </row>
    <row r="325" spans="1:16" ht="17.100000000000001" customHeight="1" x14ac:dyDescent="0.25">
      <c r="A325" s="513"/>
      <c r="B325" s="541">
        <v>5</v>
      </c>
      <c r="C325" s="541" t="s">
        <v>94</v>
      </c>
      <c r="D325" s="541" t="s">
        <v>603</v>
      </c>
      <c r="E325" s="542" t="s">
        <v>1640</v>
      </c>
      <c r="F325" s="542" t="s">
        <v>619</v>
      </c>
      <c r="G325" s="543">
        <v>15</v>
      </c>
      <c r="H325" s="544">
        <v>21764.7</v>
      </c>
      <c r="I325" s="513"/>
      <c r="J325" s="541">
        <v>6</v>
      </c>
      <c r="K325" s="541" t="s">
        <v>96</v>
      </c>
      <c r="L325" s="542" t="s">
        <v>1108</v>
      </c>
      <c r="M325" s="543">
        <v>18</v>
      </c>
      <c r="N325" s="544">
        <v>2778</v>
      </c>
      <c r="O325" s="544">
        <v>54000</v>
      </c>
      <c r="P325" s="541" t="s">
        <v>3961</v>
      </c>
    </row>
    <row r="326" spans="1:16" ht="17.100000000000001" customHeight="1" x14ac:dyDescent="0.25">
      <c r="A326" s="513"/>
      <c r="B326" s="541">
        <v>5</v>
      </c>
      <c r="C326" s="541" t="s">
        <v>94</v>
      </c>
      <c r="D326" s="541" t="s">
        <v>603</v>
      </c>
      <c r="E326" s="542" t="s">
        <v>1640</v>
      </c>
      <c r="F326" s="542" t="s">
        <v>621</v>
      </c>
      <c r="G326" s="543">
        <v>15</v>
      </c>
      <c r="H326" s="544">
        <v>21764.7</v>
      </c>
      <c r="I326" s="513"/>
      <c r="J326" s="541">
        <v>7</v>
      </c>
      <c r="K326" s="541" t="s">
        <v>98</v>
      </c>
      <c r="L326" s="542" t="s">
        <v>1108</v>
      </c>
      <c r="M326" s="543">
        <v>2</v>
      </c>
      <c r="N326" s="544">
        <v>2778</v>
      </c>
      <c r="O326" s="544">
        <v>6000</v>
      </c>
      <c r="P326" s="541" t="s">
        <v>3961</v>
      </c>
    </row>
    <row r="327" spans="1:16" ht="17.100000000000001" customHeight="1" x14ac:dyDescent="0.25">
      <c r="A327" s="513"/>
      <c r="B327" s="541">
        <v>5</v>
      </c>
      <c r="C327" s="541" t="s">
        <v>94</v>
      </c>
      <c r="D327" s="541" t="s">
        <v>603</v>
      </c>
      <c r="E327" s="542" t="s">
        <v>1640</v>
      </c>
      <c r="F327" s="542" t="s">
        <v>623</v>
      </c>
      <c r="G327" s="543">
        <v>15</v>
      </c>
      <c r="H327" s="544">
        <v>21764.7</v>
      </c>
      <c r="I327" s="513"/>
      <c r="J327" s="541">
        <v>8</v>
      </c>
      <c r="K327" s="541" t="s">
        <v>100</v>
      </c>
      <c r="L327" s="542" t="s">
        <v>1108</v>
      </c>
      <c r="M327" s="543">
        <v>2</v>
      </c>
      <c r="N327" s="544">
        <v>2778</v>
      </c>
      <c r="O327" s="544">
        <v>6000</v>
      </c>
      <c r="P327" s="541" t="s">
        <v>3961</v>
      </c>
    </row>
    <row r="328" spans="1:16" ht="17.100000000000001" customHeight="1" x14ac:dyDescent="0.25">
      <c r="A328" s="513"/>
      <c r="B328" s="541">
        <v>5</v>
      </c>
      <c r="C328" s="541" t="s">
        <v>94</v>
      </c>
      <c r="D328" s="541" t="s">
        <v>603</v>
      </c>
      <c r="E328" s="542" t="s">
        <v>1640</v>
      </c>
      <c r="F328" s="542" t="s">
        <v>625</v>
      </c>
      <c r="G328" s="543">
        <v>15</v>
      </c>
      <c r="H328" s="544">
        <v>21764.7</v>
      </c>
      <c r="I328" s="513"/>
      <c r="J328" s="541">
        <v>9</v>
      </c>
      <c r="K328" s="541" t="s">
        <v>102</v>
      </c>
      <c r="L328" s="542" t="s">
        <v>1108</v>
      </c>
      <c r="M328" s="543">
        <v>3</v>
      </c>
      <c r="N328" s="544">
        <v>2778</v>
      </c>
      <c r="O328" s="544">
        <v>9000</v>
      </c>
      <c r="P328" s="541" t="s">
        <v>3961</v>
      </c>
    </row>
    <row r="329" spans="1:16" ht="17.100000000000001" customHeight="1" x14ac:dyDescent="0.25">
      <c r="A329" s="513"/>
      <c r="B329" s="545"/>
      <c r="C329" s="545"/>
      <c r="D329" s="545"/>
      <c r="E329" s="545"/>
      <c r="F329" s="545"/>
      <c r="G329" s="553"/>
      <c r="H329" s="554"/>
      <c r="I329" s="513"/>
      <c r="J329" s="541">
        <v>10</v>
      </c>
      <c r="K329" s="541" t="s">
        <v>103</v>
      </c>
      <c r="L329" s="542" t="s">
        <v>1108</v>
      </c>
      <c r="M329" s="543">
        <v>3</v>
      </c>
      <c r="N329" s="544">
        <v>2778</v>
      </c>
      <c r="O329" s="544">
        <v>9000</v>
      </c>
      <c r="P329" s="541" t="s">
        <v>3961</v>
      </c>
    </row>
    <row r="330" spans="1:16" ht="17.100000000000001" customHeight="1" x14ac:dyDescent="0.25">
      <c r="A330" s="513"/>
      <c r="B330" s="545"/>
      <c r="C330" s="545"/>
      <c r="D330" s="545"/>
      <c r="E330" s="545"/>
      <c r="F330" s="545"/>
      <c r="G330" s="545"/>
      <c r="H330" s="545"/>
      <c r="I330" s="513"/>
      <c r="J330" s="541">
        <v>11</v>
      </c>
      <c r="K330" s="541" t="s">
        <v>104</v>
      </c>
      <c r="L330" s="542" t="s">
        <v>1108</v>
      </c>
      <c r="M330" s="543">
        <v>1</v>
      </c>
      <c r="N330" s="544">
        <v>2778</v>
      </c>
      <c r="O330" s="544">
        <v>3000</v>
      </c>
      <c r="P330" s="541" t="s">
        <v>3961</v>
      </c>
    </row>
    <row r="331" spans="1:16" ht="17.100000000000001" customHeight="1" x14ac:dyDescent="0.25">
      <c r="A331" s="513"/>
      <c r="B331" s="545"/>
      <c r="C331" s="545"/>
      <c r="D331" s="545"/>
      <c r="E331" s="545"/>
      <c r="F331" s="545"/>
      <c r="G331" s="545"/>
      <c r="H331" s="545"/>
      <c r="I331" s="513"/>
      <c r="J331" s="541">
        <v>12</v>
      </c>
      <c r="K331" s="541" t="s">
        <v>106</v>
      </c>
      <c r="L331" s="542" t="s">
        <v>1108</v>
      </c>
      <c r="M331" s="543">
        <v>18</v>
      </c>
      <c r="N331" s="544">
        <v>2778</v>
      </c>
      <c r="O331" s="544">
        <v>54000</v>
      </c>
      <c r="P331" s="541" t="s">
        <v>3961</v>
      </c>
    </row>
    <row r="332" spans="1:16" ht="17.100000000000001" customHeight="1" x14ac:dyDescent="0.25">
      <c r="A332" s="513"/>
      <c r="B332" s="545"/>
      <c r="C332" s="545"/>
      <c r="D332" s="545"/>
      <c r="E332" s="545"/>
      <c r="F332" s="545"/>
      <c r="G332" s="545"/>
      <c r="H332" s="545"/>
      <c r="I332" s="513"/>
      <c r="J332" s="541">
        <v>13</v>
      </c>
      <c r="K332" s="541" t="s">
        <v>112</v>
      </c>
      <c r="L332" s="542" t="s">
        <v>1108</v>
      </c>
      <c r="M332" s="543">
        <v>19</v>
      </c>
      <c r="N332" s="544">
        <v>2778</v>
      </c>
      <c r="O332" s="544">
        <v>57000</v>
      </c>
      <c r="P332" s="541" t="s">
        <v>3961</v>
      </c>
    </row>
    <row r="333" spans="1:16" ht="17.100000000000001" customHeight="1" x14ac:dyDescent="0.25">
      <c r="A333" s="513"/>
      <c r="B333" s="545"/>
      <c r="C333" s="545"/>
      <c r="D333" s="545"/>
      <c r="E333" s="545"/>
      <c r="F333" s="545"/>
      <c r="G333" s="545"/>
      <c r="H333" s="545"/>
      <c r="I333" s="513"/>
      <c r="J333" s="541">
        <v>14</v>
      </c>
      <c r="K333" s="541" t="s">
        <v>115</v>
      </c>
      <c r="L333" s="542" t="s">
        <v>1108</v>
      </c>
      <c r="M333" s="543">
        <v>1</v>
      </c>
      <c r="N333" s="544">
        <v>2778</v>
      </c>
      <c r="O333" s="544">
        <v>3000</v>
      </c>
      <c r="P333" s="541" t="s">
        <v>3961</v>
      </c>
    </row>
    <row r="334" spans="1:16" ht="17.100000000000001" customHeight="1" x14ac:dyDescent="0.25">
      <c r="A334" s="513"/>
      <c r="B334" s="545"/>
      <c r="C334" s="545"/>
      <c r="D334" s="545"/>
      <c r="E334" s="545"/>
      <c r="F334" s="545"/>
      <c r="G334" s="553"/>
      <c r="H334" s="554"/>
      <c r="I334" s="513"/>
      <c r="J334" s="541">
        <v>15</v>
      </c>
      <c r="K334" s="541" t="s">
        <v>118</v>
      </c>
      <c r="L334" s="542" t="s">
        <v>1108</v>
      </c>
      <c r="M334" s="543">
        <v>7</v>
      </c>
      <c r="N334" s="544">
        <v>2778</v>
      </c>
      <c r="O334" s="544">
        <v>21000</v>
      </c>
      <c r="P334" s="541" t="s">
        <v>3961</v>
      </c>
    </row>
    <row r="335" spans="1:16" ht="17.100000000000001" customHeight="1" x14ac:dyDescent="0.25">
      <c r="A335" s="513"/>
      <c r="B335" s="545"/>
      <c r="C335" s="545"/>
      <c r="D335" s="545"/>
      <c r="E335" s="545"/>
      <c r="F335" s="545"/>
      <c r="G335" s="553"/>
      <c r="H335" s="554"/>
      <c r="I335" s="513"/>
      <c r="J335" s="541">
        <v>16</v>
      </c>
      <c r="K335" s="541" t="s">
        <v>121</v>
      </c>
      <c r="L335" s="542" t="s">
        <v>1108</v>
      </c>
      <c r="M335" s="543">
        <v>3</v>
      </c>
      <c r="N335" s="544">
        <v>2778</v>
      </c>
      <c r="O335" s="544">
        <v>9000</v>
      </c>
      <c r="P335" s="541" t="s">
        <v>3961</v>
      </c>
    </row>
    <row r="336" spans="1:16" ht="17.100000000000001" customHeight="1" x14ac:dyDescent="0.25">
      <c r="A336" s="513"/>
      <c r="B336" s="545"/>
      <c r="C336" s="545"/>
      <c r="D336" s="545"/>
      <c r="E336" s="545"/>
      <c r="F336" s="545"/>
      <c r="G336" s="553"/>
      <c r="H336" s="554"/>
      <c r="I336" s="513"/>
      <c r="J336" s="541">
        <v>17</v>
      </c>
      <c r="K336" s="541" t="s">
        <v>124</v>
      </c>
      <c r="L336" s="542" t="s">
        <v>1108</v>
      </c>
      <c r="M336" s="543">
        <v>3</v>
      </c>
      <c r="N336" s="544">
        <v>2778</v>
      </c>
      <c r="O336" s="544">
        <v>9000</v>
      </c>
      <c r="P336" s="541" t="s">
        <v>3961</v>
      </c>
    </row>
    <row r="337" spans="1:16" ht="17.100000000000001" customHeight="1" x14ac:dyDescent="0.25">
      <c r="A337" s="513"/>
      <c r="B337" s="545"/>
      <c r="C337" s="545"/>
      <c r="D337" s="545"/>
      <c r="E337" s="545"/>
      <c r="F337" s="545"/>
      <c r="G337" s="553"/>
      <c r="H337" s="554"/>
      <c r="I337" s="513"/>
      <c r="J337" s="541">
        <v>18</v>
      </c>
      <c r="K337" s="541" t="s">
        <v>127</v>
      </c>
      <c r="L337" s="542" t="s">
        <v>1108</v>
      </c>
      <c r="M337" s="543">
        <v>6</v>
      </c>
      <c r="N337" s="544">
        <v>2778</v>
      </c>
      <c r="O337" s="544">
        <v>18000</v>
      </c>
      <c r="P337" s="541" t="s">
        <v>3961</v>
      </c>
    </row>
    <row r="338" spans="1:16" ht="17.100000000000001" customHeight="1" x14ac:dyDescent="0.25">
      <c r="A338" s="513"/>
      <c r="B338" s="545"/>
      <c r="C338" s="545"/>
      <c r="D338" s="545"/>
      <c r="E338" s="545"/>
      <c r="F338" s="545"/>
      <c r="G338" s="553"/>
      <c r="H338" s="554"/>
      <c r="I338" s="513"/>
      <c r="J338" s="541">
        <v>19</v>
      </c>
      <c r="K338" s="541" t="s">
        <v>130</v>
      </c>
      <c r="L338" s="542" t="s">
        <v>1108</v>
      </c>
      <c r="M338" s="543">
        <v>5</v>
      </c>
      <c r="N338" s="544">
        <v>2778</v>
      </c>
      <c r="O338" s="544">
        <v>15000</v>
      </c>
      <c r="P338" s="541" t="s">
        <v>3961</v>
      </c>
    </row>
    <row r="339" spans="1:16" ht="17.100000000000001" customHeight="1" x14ac:dyDescent="0.25">
      <c r="A339" s="513"/>
      <c r="B339" s="545"/>
      <c r="C339" s="545"/>
      <c r="D339" s="545"/>
      <c r="E339" s="545"/>
      <c r="F339" s="545"/>
      <c r="G339" s="553"/>
      <c r="H339" s="554"/>
      <c r="I339" s="513"/>
      <c r="J339" s="541">
        <v>20</v>
      </c>
      <c r="K339" s="541" t="s">
        <v>133</v>
      </c>
      <c r="L339" s="542" t="s">
        <v>1108</v>
      </c>
      <c r="M339" s="543">
        <v>12</v>
      </c>
      <c r="N339" s="544">
        <v>2778</v>
      </c>
      <c r="O339" s="544">
        <v>36000</v>
      </c>
      <c r="P339" s="541" t="s">
        <v>3961</v>
      </c>
    </row>
    <row r="340" spans="1:16" ht="18.95" customHeight="1" x14ac:dyDescent="0.25">
      <c r="A340" s="513"/>
      <c r="B340" s="761" t="s">
        <v>4059</v>
      </c>
      <c r="C340" s="652"/>
      <c r="D340" s="652"/>
      <c r="E340" s="652"/>
      <c r="F340" s="648"/>
      <c r="G340" s="546">
        <v>150</v>
      </c>
      <c r="H340" s="547">
        <v>235658.61</v>
      </c>
      <c r="I340" s="513"/>
      <c r="J340" s="761" t="s">
        <v>4060</v>
      </c>
      <c r="K340" s="652"/>
      <c r="L340" s="648"/>
      <c r="M340" s="546">
        <v>138</v>
      </c>
      <c r="N340" s="555" t="s">
        <v>44</v>
      </c>
      <c r="O340" s="547">
        <v>414000</v>
      </c>
      <c r="P340" s="548" t="s">
        <v>44</v>
      </c>
    </row>
    <row r="341" spans="1:16" ht="17.100000000000001" customHeight="1" x14ac:dyDescent="0.25">
      <c r="A341" s="513"/>
      <c r="B341" s="513"/>
      <c r="C341" s="513"/>
      <c r="D341" s="513"/>
      <c r="E341" s="513"/>
      <c r="F341" s="513"/>
      <c r="G341" s="549"/>
      <c r="H341" s="550"/>
      <c r="I341" s="513"/>
      <c r="J341" s="513"/>
      <c r="K341" s="513"/>
      <c r="L341" s="513"/>
      <c r="M341" s="549"/>
      <c r="N341" s="550"/>
      <c r="O341" s="550"/>
      <c r="P341" s="513"/>
    </row>
    <row r="342" spans="1:16" ht="21.95" customHeight="1" x14ac:dyDescent="0.25">
      <c r="A342" s="513"/>
      <c r="B342" s="752" t="s">
        <v>4061</v>
      </c>
      <c r="C342" s="642"/>
      <c r="D342" s="642"/>
      <c r="E342" s="642"/>
      <c r="F342" s="642"/>
      <c r="G342" s="642"/>
      <c r="H342" s="642"/>
      <c r="I342" s="642"/>
      <c r="J342" s="642"/>
      <c r="K342" s="642"/>
      <c r="L342" s="642"/>
      <c r="M342" s="642"/>
      <c r="N342" s="642"/>
      <c r="O342" s="642"/>
      <c r="P342" s="642"/>
    </row>
    <row r="343" spans="1:16" ht="15.95" customHeight="1" x14ac:dyDescent="0.25">
      <c r="A343" s="513"/>
      <c r="B343" s="755" t="s">
        <v>4062</v>
      </c>
      <c r="C343" s="652"/>
      <c r="D343" s="652"/>
      <c r="E343" s="652"/>
      <c r="F343" s="652"/>
      <c r="G343" s="652"/>
      <c r="H343" s="652"/>
      <c r="I343" s="652"/>
      <c r="J343" s="652"/>
      <c r="K343" s="652"/>
      <c r="L343" s="652"/>
      <c r="M343" s="652"/>
      <c r="N343" s="652"/>
      <c r="O343" s="652"/>
      <c r="P343" s="648"/>
    </row>
    <row r="344" spans="1:16" ht="20.100000000000001" customHeight="1" x14ac:dyDescent="0.25">
      <c r="A344" s="513"/>
      <c r="B344" s="756" t="s">
        <v>3989</v>
      </c>
      <c r="C344" s="652"/>
      <c r="D344" s="652"/>
      <c r="E344" s="652"/>
      <c r="F344" s="652"/>
      <c r="G344" s="652"/>
      <c r="H344" s="648"/>
      <c r="I344" s="538"/>
      <c r="J344" s="751" t="s">
        <v>4024</v>
      </c>
      <c r="K344" s="652"/>
      <c r="L344" s="652"/>
      <c r="M344" s="652"/>
      <c r="N344" s="652"/>
      <c r="O344" s="652"/>
      <c r="P344" s="648"/>
    </row>
    <row r="345" spans="1:16" ht="18" customHeight="1" x14ac:dyDescent="0.25">
      <c r="A345" s="513"/>
      <c r="B345" s="539" t="s">
        <v>48</v>
      </c>
      <c r="C345" s="539" t="s">
        <v>76</v>
      </c>
      <c r="D345" s="539" t="s">
        <v>2561</v>
      </c>
      <c r="E345" s="539" t="s">
        <v>1229</v>
      </c>
      <c r="F345" s="539" t="s">
        <v>3953</v>
      </c>
      <c r="G345" s="556" t="s">
        <v>3954</v>
      </c>
      <c r="H345" s="557" t="s">
        <v>3955</v>
      </c>
      <c r="I345" s="513"/>
      <c r="J345" s="540" t="s">
        <v>48</v>
      </c>
      <c r="K345" s="540" t="s">
        <v>76</v>
      </c>
      <c r="L345" s="540" t="s">
        <v>3956</v>
      </c>
      <c r="M345" s="551" t="s">
        <v>3957</v>
      </c>
      <c r="N345" s="552" t="s">
        <v>3958</v>
      </c>
      <c r="O345" s="552" t="s">
        <v>3959</v>
      </c>
      <c r="P345" s="540" t="s">
        <v>3960</v>
      </c>
    </row>
    <row r="346" spans="1:16" ht="17.100000000000001" customHeight="1" x14ac:dyDescent="0.25">
      <c r="A346" s="513"/>
      <c r="B346" s="541">
        <v>9</v>
      </c>
      <c r="C346" s="541" t="s">
        <v>102</v>
      </c>
      <c r="D346" s="541" t="s">
        <v>648</v>
      </c>
      <c r="E346" s="542" t="s">
        <v>1640</v>
      </c>
      <c r="F346" s="542" t="s">
        <v>660</v>
      </c>
      <c r="G346" s="543">
        <v>90</v>
      </c>
      <c r="H346" s="544">
        <v>172500.3</v>
      </c>
      <c r="I346" s="513"/>
      <c r="J346" s="541">
        <v>1</v>
      </c>
      <c r="K346" s="541" t="s">
        <v>86</v>
      </c>
      <c r="L346" s="542" t="s">
        <v>1136</v>
      </c>
      <c r="M346" s="543">
        <v>6</v>
      </c>
      <c r="N346" s="544">
        <v>3704</v>
      </c>
      <c r="O346" s="544">
        <v>24000</v>
      </c>
      <c r="P346" s="541" t="s">
        <v>3961</v>
      </c>
    </row>
    <row r="347" spans="1:16" ht="17.100000000000001" customHeight="1" x14ac:dyDescent="0.25">
      <c r="A347" s="513"/>
      <c r="B347" s="545"/>
      <c r="C347" s="545"/>
      <c r="D347" s="545"/>
      <c r="E347" s="545"/>
      <c r="F347" s="545"/>
      <c r="G347" s="553"/>
      <c r="H347" s="554"/>
      <c r="I347" s="513"/>
      <c r="J347" s="541">
        <v>2</v>
      </c>
      <c r="K347" s="541" t="s">
        <v>88</v>
      </c>
      <c r="L347" s="542" t="s">
        <v>1136</v>
      </c>
      <c r="M347" s="543">
        <v>1</v>
      </c>
      <c r="N347" s="544">
        <v>3704</v>
      </c>
      <c r="O347" s="544">
        <v>4000</v>
      </c>
      <c r="P347" s="541" t="s">
        <v>3961</v>
      </c>
    </row>
    <row r="348" spans="1:16" ht="17.100000000000001" customHeight="1" x14ac:dyDescent="0.25">
      <c r="A348" s="513"/>
      <c r="B348" s="545"/>
      <c r="C348" s="545"/>
      <c r="D348" s="545"/>
      <c r="E348" s="545"/>
      <c r="F348" s="545"/>
      <c r="G348" s="553"/>
      <c r="H348" s="554"/>
      <c r="I348" s="513"/>
      <c r="J348" s="541">
        <v>3</v>
      </c>
      <c r="K348" s="541" t="s">
        <v>90</v>
      </c>
      <c r="L348" s="542" t="s">
        <v>1136</v>
      </c>
      <c r="M348" s="543">
        <v>3</v>
      </c>
      <c r="N348" s="544">
        <v>3704</v>
      </c>
      <c r="O348" s="544">
        <v>12000</v>
      </c>
      <c r="P348" s="541" t="s">
        <v>3961</v>
      </c>
    </row>
    <row r="349" spans="1:16" ht="17.100000000000001" customHeight="1" x14ac:dyDescent="0.25">
      <c r="A349" s="513"/>
      <c r="B349" s="545"/>
      <c r="C349" s="545"/>
      <c r="D349" s="545"/>
      <c r="E349" s="545"/>
      <c r="F349" s="545"/>
      <c r="G349" s="553"/>
      <c r="H349" s="554"/>
      <c r="I349" s="513"/>
      <c r="J349" s="541">
        <v>4</v>
      </c>
      <c r="K349" s="541" t="s">
        <v>92</v>
      </c>
      <c r="L349" s="542" t="s">
        <v>1136</v>
      </c>
      <c r="M349" s="543">
        <v>5</v>
      </c>
      <c r="N349" s="544">
        <v>3704</v>
      </c>
      <c r="O349" s="544">
        <v>20000</v>
      </c>
      <c r="P349" s="541" t="s">
        <v>3961</v>
      </c>
    </row>
    <row r="350" spans="1:16" ht="17.100000000000001" customHeight="1" x14ac:dyDescent="0.25">
      <c r="A350" s="513"/>
      <c r="B350" s="545"/>
      <c r="C350" s="545"/>
      <c r="D350" s="545"/>
      <c r="E350" s="545"/>
      <c r="F350" s="545"/>
      <c r="G350" s="553"/>
      <c r="H350" s="554"/>
      <c r="I350" s="513"/>
      <c r="J350" s="541">
        <v>5</v>
      </c>
      <c r="K350" s="541" t="s">
        <v>94</v>
      </c>
      <c r="L350" s="542" t="s">
        <v>1136</v>
      </c>
      <c r="M350" s="543">
        <v>4</v>
      </c>
      <c r="N350" s="544">
        <v>3704</v>
      </c>
      <c r="O350" s="544">
        <v>16000</v>
      </c>
      <c r="P350" s="541" t="s">
        <v>3961</v>
      </c>
    </row>
    <row r="351" spans="1:16" ht="17.100000000000001" customHeight="1" x14ac:dyDescent="0.25">
      <c r="A351" s="513"/>
      <c r="B351" s="545"/>
      <c r="C351" s="545"/>
      <c r="D351" s="545"/>
      <c r="E351" s="545"/>
      <c r="F351" s="545"/>
      <c r="G351" s="553"/>
      <c r="H351" s="554"/>
      <c r="I351" s="513"/>
      <c r="J351" s="541">
        <v>6</v>
      </c>
      <c r="K351" s="541" t="s">
        <v>96</v>
      </c>
      <c r="L351" s="542" t="s">
        <v>1136</v>
      </c>
      <c r="M351" s="543">
        <v>11</v>
      </c>
      <c r="N351" s="544">
        <v>3704</v>
      </c>
      <c r="O351" s="544">
        <v>44000</v>
      </c>
      <c r="P351" s="541" t="s">
        <v>3961</v>
      </c>
    </row>
    <row r="352" spans="1:16" ht="17.100000000000001" customHeight="1" x14ac:dyDescent="0.25">
      <c r="A352" s="513"/>
      <c r="B352" s="545"/>
      <c r="C352" s="545"/>
      <c r="D352" s="545"/>
      <c r="E352" s="545"/>
      <c r="F352" s="545"/>
      <c r="G352" s="553"/>
      <c r="H352" s="554"/>
      <c r="I352" s="513"/>
      <c r="J352" s="541">
        <v>8</v>
      </c>
      <c r="K352" s="541" t="s">
        <v>100</v>
      </c>
      <c r="L352" s="542" t="s">
        <v>1136</v>
      </c>
      <c r="M352" s="543">
        <v>1</v>
      </c>
      <c r="N352" s="544">
        <v>3704</v>
      </c>
      <c r="O352" s="544">
        <v>4000</v>
      </c>
      <c r="P352" s="541" t="s">
        <v>3961</v>
      </c>
    </row>
    <row r="353" spans="1:16" ht="17.100000000000001" customHeight="1" x14ac:dyDescent="0.25">
      <c r="A353" s="513"/>
      <c r="B353" s="545"/>
      <c r="C353" s="545"/>
      <c r="D353" s="545"/>
      <c r="E353" s="545"/>
      <c r="F353" s="545"/>
      <c r="G353" s="545"/>
      <c r="H353" s="545"/>
      <c r="I353" s="513"/>
      <c r="J353" s="541">
        <v>10</v>
      </c>
      <c r="K353" s="541" t="s">
        <v>103</v>
      </c>
      <c r="L353" s="542" t="s">
        <v>1136</v>
      </c>
      <c r="M353" s="543">
        <v>3</v>
      </c>
      <c r="N353" s="544">
        <v>3704</v>
      </c>
      <c r="O353" s="544">
        <v>12000</v>
      </c>
      <c r="P353" s="541" t="s">
        <v>3961</v>
      </c>
    </row>
    <row r="354" spans="1:16" ht="17.100000000000001" customHeight="1" x14ac:dyDescent="0.25">
      <c r="A354" s="513"/>
      <c r="B354" s="545"/>
      <c r="C354" s="545"/>
      <c r="D354" s="545"/>
      <c r="E354" s="545"/>
      <c r="F354" s="545"/>
      <c r="G354" s="545"/>
      <c r="H354" s="545"/>
      <c r="I354" s="513"/>
      <c r="J354" s="541">
        <v>11</v>
      </c>
      <c r="K354" s="541" t="s">
        <v>104</v>
      </c>
      <c r="L354" s="542" t="s">
        <v>1136</v>
      </c>
      <c r="M354" s="543">
        <v>3</v>
      </c>
      <c r="N354" s="544">
        <v>3704</v>
      </c>
      <c r="O354" s="544">
        <v>12000</v>
      </c>
      <c r="P354" s="541" t="s">
        <v>3961</v>
      </c>
    </row>
    <row r="355" spans="1:16" ht="17.100000000000001" customHeight="1" x14ac:dyDescent="0.25">
      <c r="A355" s="513"/>
      <c r="B355" s="545"/>
      <c r="C355" s="545"/>
      <c r="D355" s="545"/>
      <c r="E355" s="545"/>
      <c r="F355" s="545"/>
      <c r="G355" s="553"/>
      <c r="H355" s="554"/>
      <c r="I355" s="513"/>
      <c r="J355" s="541">
        <v>12</v>
      </c>
      <c r="K355" s="541" t="s">
        <v>106</v>
      </c>
      <c r="L355" s="542" t="s">
        <v>1136</v>
      </c>
      <c r="M355" s="543">
        <v>6</v>
      </c>
      <c r="N355" s="544">
        <v>3704</v>
      </c>
      <c r="O355" s="544">
        <v>24000</v>
      </c>
      <c r="P355" s="541" t="s">
        <v>3961</v>
      </c>
    </row>
    <row r="356" spans="1:16" ht="17.100000000000001" customHeight="1" x14ac:dyDescent="0.25">
      <c r="A356" s="513"/>
      <c r="B356" s="545"/>
      <c r="C356" s="545"/>
      <c r="D356" s="545"/>
      <c r="E356" s="545"/>
      <c r="F356" s="545"/>
      <c r="G356" s="545"/>
      <c r="H356" s="545"/>
      <c r="I356" s="513"/>
      <c r="J356" s="541">
        <v>13</v>
      </c>
      <c r="K356" s="541" t="s">
        <v>112</v>
      </c>
      <c r="L356" s="542" t="s">
        <v>1136</v>
      </c>
      <c r="M356" s="543">
        <v>9</v>
      </c>
      <c r="N356" s="544">
        <v>3704</v>
      </c>
      <c r="O356" s="544">
        <v>36000</v>
      </c>
      <c r="P356" s="541" t="s">
        <v>3961</v>
      </c>
    </row>
    <row r="357" spans="1:16" ht="17.100000000000001" customHeight="1" x14ac:dyDescent="0.25">
      <c r="A357" s="513"/>
      <c r="B357" s="545"/>
      <c r="C357" s="545"/>
      <c r="D357" s="545"/>
      <c r="E357" s="545"/>
      <c r="F357" s="545"/>
      <c r="G357" s="545"/>
      <c r="H357" s="545"/>
      <c r="I357" s="513"/>
      <c r="J357" s="541">
        <v>14</v>
      </c>
      <c r="K357" s="541" t="s">
        <v>115</v>
      </c>
      <c r="L357" s="542" t="s">
        <v>1136</v>
      </c>
      <c r="M357" s="543">
        <v>1</v>
      </c>
      <c r="N357" s="544">
        <v>3704</v>
      </c>
      <c r="O357" s="544">
        <v>4000</v>
      </c>
      <c r="P357" s="541" t="s">
        <v>3961</v>
      </c>
    </row>
    <row r="358" spans="1:16" ht="17.100000000000001" customHeight="1" x14ac:dyDescent="0.25">
      <c r="A358" s="513"/>
      <c r="B358" s="545"/>
      <c r="C358" s="545"/>
      <c r="D358" s="545"/>
      <c r="E358" s="545"/>
      <c r="F358" s="545"/>
      <c r="G358" s="545"/>
      <c r="H358" s="545"/>
      <c r="I358" s="513"/>
      <c r="J358" s="541">
        <v>15</v>
      </c>
      <c r="K358" s="541" t="s">
        <v>118</v>
      </c>
      <c r="L358" s="542" t="s">
        <v>1136</v>
      </c>
      <c r="M358" s="543">
        <v>8</v>
      </c>
      <c r="N358" s="544">
        <v>3704</v>
      </c>
      <c r="O358" s="544">
        <v>32000</v>
      </c>
      <c r="P358" s="541" t="s">
        <v>3961</v>
      </c>
    </row>
    <row r="359" spans="1:16" ht="17.100000000000001" customHeight="1" x14ac:dyDescent="0.25">
      <c r="A359" s="513"/>
      <c r="B359" s="545"/>
      <c r="C359" s="545"/>
      <c r="D359" s="545"/>
      <c r="E359" s="545"/>
      <c r="F359" s="545"/>
      <c r="G359" s="545"/>
      <c r="H359" s="545"/>
      <c r="I359" s="513"/>
      <c r="J359" s="541">
        <v>16</v>
      </c>
      <c r="K359" s="541" t="s">
        <v>121</v>
      </c>
      <c r="L359" s="542" t="s">
        <v>1136</v>
      </c>
      <c r="M359" s="543">
        <v>7</v>
      </c>
      <c r="N359" s="544">
        <v>3704</v>
      </c>
      <c r="O359" s="544">
        <v>28000</v>
      </c>
      <c r="P359" s="541" t="s">
        <v>3961</v>
      </c>
    </row>
    <row r="360" spans="1:16" ht="17.100000000000001" customHeight="1" x14ac:dyDescent="0.25">
      <c r="A360" s="513"/>
      <c r="B360" s="545"/>
      <c r="C360" s="545"/>
      <c r="D360" s="545"/>
      <c r="E360" s="545"/>
      <c r="F360" s="545"/>
      <c r="G360" s="553"/>
      <c r="H360" s="554"/>
      <c r="I360" s="513"/>
      <c r="J360" s="541">
        <v>17</v>
      </c>
      <c r="K360" s="541" t="s">
        <v>124</v>
      </c>
      <c r="L360" s="542" t="s">
        <v>1136</v>
      </c>
      <c r="M360" s="543">
        <v>1</v>
      </c>
      <c r="N360" s="544">
        <v>3704</v>
      </c>
      <c r="O360" s="544">
        <v>4000</v>
      </c>
      <c r="P360" s="541" t="s">
        <v>3961</v>
      </c>
    </row>
    <row r="361" spans="1:16" ht="17.100000000000001" customHeight="1" x14ac:dyDescent="0.25">
      <c r="A361" s="513"/>
      <c r="B361" s="545"/>
      <c r="C361" s="545"/>
      <c r="D361" s="545"/>
      <c r="E361" s="545"/>
      <c r="F361" s="545"/>
      <c r="G361" s="553"/>
      <c r="H361" s="554"/>
      <c r="I361" s="513"/>
      <c r="J361" s="541">
        <v>18</v>
      </c>
      <c r="K361" s="541" t="s">
        <v>127</v>
      </c>
      <c r="L361" s="542" t="s">
        <v>1136</v>
      </c>
      <c r="M361" s="543">
        <v>1</v>
      </c>
      <c r="N361" s="544">
        <v>3704</v>
      </c>
      <c r="O361" s="544">
        <v>4000</v>
      </c>
      <c r="P361" s="541" t="s">
        <v>3961</v>
      </c>
    </row>
    <row r="362" spans="1:16" ht="17.100000000000001" customHeight="1" x14ac:dyDescent="0.25">
      <c r="A362" s="513"/>
      <c r="B362" s="545"/>
      <c r="C362" s="545"/>
      <c r="D362" s="545"/>
      <c r="E362" s="545"/>
      <c r="F362" s="545"/>
      <c r="G362" s="553"/>
      <c r="H362" s="554"/>
      <c r="I362" s="513"/>
      <c r="J362" s="541">
        <v>19</v>
      </c>
      <c r="K362" s="541" t="s">
        <v>130</v>
      </c>
      <c r="L362" s="542" t="s">
        <v>1136</v>
      </c>
      <c r="M362" s="543">
        <v>1</v>
      </c>
      <c r="N362" s="544">
        <v>3704</v>
      </c>
      <c r="O362" s="544">
        <v>4000</v>
      </c>
      <c r="P362" s="541" t="s">
        <v>3961</v>
      </c>
    </row>
    <row r="363" spans="1:16" ht="17.100000000000001" customHeight="1" x14ac:dyDescent="0.25">
      <c r="A363" s="513"/>
      <c r="B363" s="545"/>
      <c r="C363" s="545"/>
      <c r="D363" s="545"/>
      <c r="E363" s="545"/>
      <c r="F363" s="545"/>
      <c r="G363" s="553"/>
      <c r="H363" s="554"/>
      <c r="I363" s="513"/>
      <c r="J363" s="541">
        <v>20</v>
      </c>
      <c r="K363" s="541" t="s">
        <v>133</v>
      </c>
      <c r="L363" s="542" t="s">
        <v>1136</v>
      </c>
      <c r="M363" s="543">
        <v>8</v>
      </c>
      <c r="N363" s="544">
        <v>3704</v>
      </c>
      <c r="O363" s="544">
        <v>32000</v>
      </c>
      <c r="P363" s="541" t="s">
        <v>3961</v>
      </c>
    </row>
    <row r="364" spans="1:16" ht="18.95" customHeight="1" x14ac:dyDescent="0.25">
      <c r="A364" s="513"/>
      <c r="B364" s="761" t="s">
        <v>4063</v>
      </c>
      <c r="C364" s="652"/>
      <c r="D364" s="652"/>
      <c r="E364" s="652"/>
      <c r="F364" s="648"/>
      <c r="G364" s="546">
        <v>90</v>
      </c>
      <c r="H364" s="547">
        <v>172500.3</v>
      </c>
      <c r="I364" s="513"/>
      <c r="J364" s="761" t="s">
        <v>4064</v>
      </c>
      <c r="K364" s="652"/>
      <c r="L364" s="648"/>
      <c r="M364" s="546">
        <v>79</v>
      </c>
      <c r="N364" s="555" t="s">
        <v>44</v>
      </c>
      <c r="O364" s="547">
        <v>316000</v>
      </c>
      <c r="P364" s="548" t="s">
        <v>44</v>
      </c>
    </row>
    <row r="365" spans="1:16" ht="17.100000000000001" customHeight="1" x14ac:dyDescent="0.25">
      <c r="A365" s="513"/>
      <c r="B365" s="513"/>
      <c r="C365" s="513"/>
      <c r="D365" s="513"/>
      <c r="E365" s="513"/>
      <c r="F365" s="513"/>
      <c r="G365" s="549"/>
      <c r="H365" s="550"/>
      <c r="I365" s="513"/>
      <c r="J365" s="513"/>
      <c r="K365" s="513"/>
      <c r="L365" s="513"/>
      <c r="M365" s="549"/>
      <c r="N365" s="550"/>
      <c r="O365" s="550"/>
      <c r="P365" s="513"/>
    </row>
    <row r="366" spans="1:16" ht="21.95" customHeight="1" x14ac:dyDescent="0.25">
      <c r="A366" s="513"/>
      <c r="B366" s="752" t="s">
        <v>4065</v>
      </c>
      <c r="C366" s="642"/>
      <c r="D366" s="642"/>
      <c r="E366" s="642"/>
      <c r="F366" s="642"/>
      <c r="G366" s="642"/>
      <c r="H366" s="642"/>
      <c r="I366" s="642"/>
      <c r="J366" s="642"/>
      <c r="K366" s="642"/>
      <c r="L366" s="642"/>
      <c r="M366" s="642"/>
      <c r="N366" s="642"/>
      <c r="O366" s="642"/>
      <c r="P366" s="642"/>
    </row>
    <row r="367" spans="1:16" ht="15.95" customHeight="1" x14ac:dyDescent="0.25">
      <c r="A367" s="513"/>
      <c r="B367" s="755" t="s">
        <v>4066</v>
      </c>
      <c r="C367" s="652"/>
      <c r="D367" s="652"/>
      <c r="E367" s="652"/>
      <c r="F367" s="652"/>
      <c r="G367" s="652"/>
      <c r="H367" s="652"/>
      <c r="I367" s="652"/>
      <c r="J367" s="652"/>
      <c r="K367" s="652"/>
      <c r="L367" s="652"/>
      <c r="M367" s="652"/>
      <c r="N367" s="652"/>
      <c r="O367" s="652"/>
      <c r="P367" s="648"/>
    </row>
    <row r="368" spans="1:16" ht="20.100000000000001" customHeight="1" x14ac:dyDescent="0.25">
      <c r="A368" s="513"/>
      <c r="B368" s="756" t="s">
        <v>4053</v>
      </c>
      <c r="C368" s="652"/>
      <c r="D368" s="652"/>
      <c r="E368" s="652"/>
      <c r="F368" s="652"/>
      <c r="G368" s="652"/>
      <c r="H368" s="648"/>
      <c r="I368" s="538"/>
      <c r="J368" s="751" t="s">
        <v>4067</v>
      </c>
      <c r="K368" s="652"/>
      <c r="L368" s="652"/>
      <c r="M368" s="652"/>
      <c r="N368" s="652"/>
      <c r="O368" s="652"/>
      <c r="P368" s="648"/>
    </row>
    <row r="369" spans="1:16" ht="18" customHeight="1" x14ac:dyDescent="0.25">
      <c r="A369" s="513"/>
      <c r="B369" s="539" t="s">
        <v>48</v>
      </c>
      <c r="C369" s="539" t="s">
        <v>76</v>
      </c>
      <c r="D369" s="539" t="s">
        <v>2561</v>
      </c>
      <c r="E369" s="539" t="s">
        <v>1229</v>
      </c>
      <c r="F369" s="539" t="s">
        <v>3953</v>
      </c>
      <c r="G369" s="556" t="s">
        <v>3954</v>
      </c>
      <c r="H369" s="557" t="s">
        <v>3955</v>
      </c>
      <c r="I369" s="513"/>
      <c r="J369" s="540" t="s">
        <v>48</v>
      </c>
      <c r="K369" s="540" t="s">
        <v>76</v>
      </c>
      <c r="L369" s="540" t="s">
        <v>3956</v>
      </c>
      <c r="M369" s="551" t="s">
        <v>3957</v>
      </c>
      <c r="N369" s="552" t="s">
        <v>3958</v>
      </c>
      <c r="O369" s="552" t="s">
        <v>3959</v>
      </c>
      <c r="P369" s="540" t="s">
        <v>3960</v>
      </c>
    </row>
    <row r="370" spans="1:16" ht="17.100000000000001" customHeight="1" x14ac:dyDescent="0.25">
      <c r="A370" s="513"/>
      <c r="B370" s="541">
        <v>2</v>
      </c>
      <c r="C370" s="541" t="s">
        <v>88</v>
      </c>
      <c r="D370" s="541" t="s">
        <v>571</v>
      </c>
      <c r="E370" s="542" t="s">
        <v>1263</v>
      </c>
      <c r="F370" s="542" t="s">
        <v>575</v>
      </c>
      <c r="G370" s="543">
        <v>12</v>
      </c>
      <c r="H370" s="544">
        <v>32500</v>
      </c>
      <c r="I370" s="513"/>
      <c r="J370" s="541">
        <v>1</v>
      </c>
      <c r="K370" s="541" t="s">
        <v>86</v>
      </c>
      <c r="L370" s="542" t="s">
        <v>1110</v>
      </c>
      <c r="M370" s="543">
        <v>2</v>
      </c>
      <c r="N370" s="544">
        <v>2778</v>
      </c>
      <c r="O370" s="544">
        <v>6000</v>
      </c>
      <c r="P370" s="541" t="s">
        <v>3961</v>
      </c>
    </row>
    <row r="371" spans="1:16" ht="17.100000000000001" customHeight="1" x14ac:dyDescent="0.25">
      <c r="A371" s="513"/>
      <c r="B371" s="541">
        <v>9</v>
      </c>
      <c r="C371" s="541" t="s">
        <v>102</v>
      </c>
      <c r="D371" s="541" t="s">
        <v>648</v>
      </c>
      <c r="E371" s="542" t="s">
        <v>1640</v>
      </c>
      <c r="F371" s="542" t="s">
        <v>650</v>
      </c>
      <c r="G371" s="543">
        <v>7</v>
      </c>
      <c r="H371" s="544">
        <v>15166.68</v>
      </c>
      <c r="I371" s="513"/>
      <c r="J371" s="541">
        <v>2</v>
      </c>
      <c r="K371" s="541" t="s">
        <v>88</v>
      </c>
      <c r="L371" s="542" t="s">
        <v>1110</v>
      </c>
      <c r="M371" s="543">
        <v>1</v>
      </c>
      <c r="N371" s="544">
        <v>2778</v>
      </c>
      <c r="O371" s="544">
        <v>3000</v>
      </c>
      <c r="P371" s="541" t="s">
        <v>3961</v>
      </c>
    </row>
    <row r="372" spans="1:16" ht="17.100000000000001" customHeight="1" x14ac:dyDescent="0.25">
      <c r="A372" s="513"/>
      <c r="B372" s="541">
        <v>9</v>
      </c>
      <c r="C372" s="541" t="s">
        <v>102</v>
      </c>
      <c r="D372" s="541" t="s">
        <v>648</v>
      </c>
      <c r="E372" s="542" t="s">
        <v>1640</v>
      </c>
      <c r="F372" s="542" t="s">
        <v>652</v>
      </c>
      <c r="G372" s="543">
        <v>8</v>
      </c>
      <c r="H372" s="544">
        <v>17333.349999999999</v>
      </c>
      <c r="I372" s="513"/>
      <c r="J372" s="541">
        <v>3</v>
      </c>
      <c r="K372" s="541" t="s">
        <v>90</v>
      </c>
      <c r="L372" s="542" t="s">
        <v>1110</v>
      </c>
      <c r="M372" s="543">
        <v>2</v>
      </c>
      <c r="N372" s="544">
        <v>2778</v>
      </c>
      <c r="O372" s="544">
        <v>6000</v>
      </c>
      <c r="P372" s="541" t="s">
        <v>3961</v>
      </c>
    </row>
    <row r="373" spans="1:16" ht="17.100000000000001" customHeight="1" x14ac:dyDescent="0.25">
      <c r="A373" s="513"/>
      <c r="B373" s="541">
        <v>9</v>
      </c>
      <c r="C373" s="541" t="s">
        <v>102</v>
      </c>
      <c r="D373" s="541" t="s">
        <v>648</v>
      </c>
      <c r="E373" s="542" t="s">
        <v>1640</v>
      </c>
      <c r="F373" s="542" t="s">
        <v>654</v>
      </c>
      <c r="G373" s="543">
        <v>15</v>
      </c>
      <c r="H373" s="544">
        <v>32500.03</v>
      </c>
      <c r="I373" s="513"/>
      <c r="J373" s="541">
        <v>4</v>
      </c>
      <c r="K373" s="541" t="s">
        <v>92</v>
      </c>
      <c r="L373" s="542" t="s">
        <v>1110</v>
      </c>
      <c r="M373" s="543">
        <v>1</v>
      </c>
      <c r="N373" s="544">
        <v>2778</v>
      </c>
      <c r="O373" s="544">
        <v>3000</v>
      </c>
      <c r="P373" s="541" t="s">
        <v>3961</v>
      </c>
    </row>
    <row r="374" spans="1:16" ht="17.100000000000001" customHeight="1" x14ac:dyDescent="0.25">
      <c r="A374" s="513"/>
      <c r="B374" s="541">
        <v>5</v>
      </c>
      <c r="C374" s="541" t="s">
        <v>94</v>
      </c>
      <c r="D374" s="541" t="s">
        <v>603</v>
      </c>
      <c r="E374" s="542" t="s">
        <v>1640</v>
      </c>
      <c r="F374" s="542" t="s">
        <v>605</v>
      </c>
      <c r="G374" s="543">
        <v>5</v>
      </c>
      <c r="H374" s="544">
        <v>9103.65</v>
      </c>
      <c r="I374" s="513"/>
      <c r="J374" s="541">
        <v>5</v>
      </c>
      <c r="K374" s="541" t="s">
        <v>94</v>
      </c>
      <c r="L374" s="542" t="s">
        <v>1110</v>
      </c>
      <c r="M374" s="543">
        <v>6</v>
      </c>
      <c r="N374" s="544">
        <v>2778</v>
      </c>
      <c r="O374" s="544">
        <v>18000</v>
      </c>
      <c r="P374" s="541" t="s">
        <v>3961</v>
      </c>
    </row>
    <row r="375" spans="1:16" ht="17.100000000000001" customHeight="1" x14ac:dyDescent="0.25">
      <c r="A375" s="513"/>
      <c r="B375" s="541">
        <v>5</v>
      </c>
      <c r="C375" s="541" t="s">
        <v>94</v>
      </c>
      <c r="D375" s="541" t="s">
        <v>603</v>
      </c>
      <c r="E375" s="542" t="s">
        <v>1640</v>
      </c>
      <c r="F375" s="542" t="s">
        <v>607</v>
      </c>
      <c r="G375" s="543">
        <v>5</v>
      </c>
      <c r="H375" s="544">
        <v>9103.65</v>
      </c>
      <c r="I375" s="513"/>
      <c r="J375" s="541">
        <v>6</v>
      </c>
      <c r="K375" s="541" t="s">
        <v>96</v>
      </c>
      <c r="L375" s="542" t="s">
        <v>1110</v>
      </c>
      <c r="M375" s="543">
        <v>6</v>
      </c>
      <c r="N375" s="544">
        <v>2778</v>
      </c>
      <c r="O375" s="544">
        <v>18000</v>
      </c>
      <c r="P375" s="541" t="s">
        <v>3961</v>
      </c>
    </row>
    <row r="376" spans="1:16" ht="17.100000000000001" customHeight="1" x14ac:dyDescent="0.25">
      <c r="A376" s="513"/>
      <c r="B376" s="541">
        <v>5</v>
      </c>
      <c r="C376" s="541" t="s">
        <v>94</v>
      </c>
      <c r="D376" s="541" t="s">
        <v>603</v>
      </c>
      <c r="E376" s="542" t="s">
        <v>1640</v>
      </c>
      <c r="F376" s="542" t="s">
        <v>609</v>
      </c>
      <c r="G376" s="543">
        <v>5</v>
      </c>
      <c r="H376" s="544">
        <v>9103.65</v>
      </c>
      <c r="I376" s="513"/>
      <c r="J376" s="541">
        <v>10</v>
      </c>
      <c r="K376" s="541" t="s">
        <v>103</v>
      </c>
      <c r="L376" s="542" t="s">
        <v>1110</v>
      </c>
      <c r="M376" s="543">
        <v>3</v>
      </c>
      <c r="N376" s="544">
        <v>2778</v>
      </c>
      <c r="O376" s="544">
        <v>9000</v>
      </c>
      <c r="P376" s="541" t="s">
        <v>3961</v>
      </c>
    </row>
    <row r="377" spans="1:16" ht="17.100000000000001" customHeight="1" x14ac:dyDescent="0.25">
      <c r="A377" s="513"/>
      <c r="B377" s="545"/>
      <c r="C377" s="545"/>
      <c r="D377" s="545"/>
      <c r="E377" s="545"/>
      <c r="F377" s="545"/>
      <c r="G377" s="545"/>
      <c r="H377" s="545"/>
      <c r="I377" s="513"/>
      <c r="J377" s="541">
        <v>11</v>
      </c>
      <c r="K377" s="541" t="s">
        <v>104</v>
      </c>
      <c r="L377" s="542" t="s">
        <v>1110</v>
      </c>
      <c r="M377" s="543">
        <v>4</v>
      </c>
      <c r="N377" s="544">
        <v>2778</v>
      </c>
      <c r="O377" s="544">
        <v>12000</v>
      </c>
      <c r="P377" s="541" t="s">
        <v>3961</v>
      </c>
    </row>
    <row r="378" spans="1:16" ht="17.100000000000001" customHeight="1" x14ac:dyDescent="0.25">
      <c r="A378" s="513"/>
      <c r="B378" s="545"/>
      <c r="C378" s="545"/>
      <c r="D378" s="545"/>
      <c r="E378" s="545"/>
      <c r="F378" s="545"/>
      <c r="G378" s="545"/>
      <c r="H378" s="545"/>
      <c r="I378" s="513"/>
      <c r="J378" s="541">
        <v>12</v>
      </c>
      <c r="K378" s="541" t="s">
        <v>106</v>
      </c>
      <c r="L378" s="542" t="s">
        <v>1110</v>
      </c>
      <c r="M378" s="543">
        <v>6</v>
      </c>
      <c r="N378" s="544">
        <v>2778</v>
      </c>
      <c r="O378" s="544">
        <v>18000</v>
      </c>
      <c r="P378" s="541" t="s">
        <v>3961</v>
      </c>
    </row>
    <row r="379" spans="1:16" ht="17.100000000000001" customHeight="1" x14ac:dyDescent="0.25">
      <c r="A379" s="513"/>
      <c r="B379" s="545"/>
      <c r="C379" s="545"/>
      <c r="D379" s="545"/>
      <c r="E379" s="545"/>
      <c r="F379" s="545"/>
      <c r="G379" s="545"/>
      <c r="H379" s="545"/>
      <c r="I379" s="513"/>
      <c r="J379" s="541">
        <v>13</v>
      </c>
      <c r="K379" s="541" t="s">
        <v>112</v>
      </c>
      <c r="L379" s="542" t="s">
        <v>1110</v>
      </c>
      <c r="M379" s="543">
        <v>9</v>
      </c>
      <c r="N379" s="544">
        <v>2778</v>
      </c>
      <c r="O379" s="544">
        <v>27000</v>
      </c>
      <c r="P379" s="541" t="s">
        <v>3961</v>
      </c>
    </row>
    <row r="380" spans="1:16" ht="17.100000000000001" customHeight="1" x14ac:dyDescent="0.25">
      <c r="A380" s="513"/>
      <c r="B380" s="545"/>
      <c r="C380" s="545"/>
      <c r="D380" s="545"/>
      <c r="E380" s="545"/>
      <c r="F380" s="545"/>
      <c r="G380" s="545"/>
      <c r="H380" s="545"/>
      <c r="I380" s="513"/>
      <c r="J380" s="541">
        <v>14</v>
      </c>
      <c r="K380" s="541" t="s">
        <v>115</v>
      </c>
      <c r="L380" s="542" t="s">
        <v>1110</v>
      </c>
      <c r="M380" s="543">
        <v>2</v>
      </c>
      <c r="N380" s="544">
        <v>2778</v>
      </c>
      <c r="O380" s="544">
        <v>6000</v>
      </c>
      <c r="P380" s="541" t="s">
        <v>3961</v>
      </c>
    </row>
    <row r="381" spans="1:16" ht="17.100000000000001" customHeight="1" x14ac:dyDescent="0.25">
      <c r="A381" s="513"/>
      <c r="B381" s="545"/>
      <c r="C381" s="545"/>
      <c r="D381" s="545"/>
      <c r="E381" s="545"/>
      <c r="F381" s="545"/>
      <c r="G381" s="553"/>
      <c r="H381" s="554"/>
      <c r="I381" s="513"/>
      <c r="J381" s="541">
        <v>15</v>
      </c>
      <c r="K381" s="541" t="s">
        <v>118</v>
      </c>
      <c r="L381" s="542" t="s">
        <v>1110</v>
      </c>
      <c r="M381" s="543">
        <v>3</v>
      </c>
      <c r="N381" s="544">
        <v>2778</v>
      </c>
      <c r="O381" s="544">
        <v>9000</v>
      </c>
      <c r="P381" s="541" t="s">
        <v>3961</v>
      </c>
    </row>
    <row r="382" spans="1:16" ht="17.100000000000001" customHeight="1" x14ac:dyDescent="0.25">
      <c r="A382" s="513"/>
      <c r="B382" s="545"/>
      <c r="C382" s="545"/>
      <c r="D382" s="545"/>
      <c r="E382" s="545"/>
      <c r="F382" s="545"/>
      <c r="G382" s="545"/>
      <c r="H382" s="545"/>
      <c r="I382" s="513"/>
      <c r="J382" s="541">
        <v>16</v>
      </c>
      <c r="K382" s="541" t="s">
        <v>121</v>
      </c>
      <c r="L382" s="542" t="s">
        <v>1110</v>
      </c>
      <c r="M382" s="543">
        <v>5</v>
      </c>
      <c r="N382" s="544">
        <v>2778</v>
      </c>
      <c r="O382" s="544">
        <v>15000</v>
      </c>
      <c r="P382" s="541" t="s">
        <v>3961</v>
      </c>
    </row>
    <row r="383" spans="1:16" ht="17.100000000000001" customHeight="1" x14ac:dyDescent="0.25">
      <c r="A383" s="513"/>
      <c r="B383" s="545"/>
      <c r="C383" s="545"/>
      <c r="D383" s="545"/>
      <c r="E383" s="545"/>
      <c r="F383" s="545"/>
      <c r="G383" s="545"/>
      <c r="H383" s="545"/>
      <c r="I383" s="513"/>
      <c r="J383" s="541">
        <v>17</v>
      </c>
      <c r="K383" s="541" t="s">
        <v>124</v>
      </c>
      <c r="L383" s="542" t="s">
        <v>1110</v>
      </c>
      <c r="M383" s="543">
        <v>4</v>
      </c>
      <c r="N383" s="544">
        <v>2778</v>
      </c>
      <c r="O383" s="544">
        <v>12000</v>
      </c>
      <c r="P383" s="541" t="s">
        <v>3961</v>
      </c>
    </row>
    <row r="384" spans="1:16" ht="17.100000000000001" customHeight="1" x14ac:dyDescent="0.25">
      <c r="A384" s="513"/>
      <c r="B384" s="545"/>
      <c r="C384" s="545"/>
      <c r="D384" s="545"/>
      <c r="E384" s="545"/>
      <c r="F384" s="545"/>
      <c r="G384" s="545"/>
      <c r="H384" s="545"/>
      <c r="I384" s="513"/>
      <c r="J384" s="541">
        <v>18</v>
      </c>
      <c r="K384" s="541" t="s">
        <v>127</v>
      </c>
      <c r="L384" s="542" t="s">
        <v>1110</v>
      </c>
      <c r="M384" s="543">
        <v>1</v>
      </c>
      <c r="N384" s="544">
        <v>2778</v>
      </c>
      <c r="O384" s="544">
        <v>3000</v>
      </c>
      <c r="P384" s="541" t="s">
        <v>3961</v>
      </c>
    </row>
    <row r="385" spans="1:16" ht="17.100000000000001" customHeight="1" x14ac:dyDescent="0.25">
      <c r="A385" s="513"/>
      <c r="B385" s="545"/>
      <c r="C385" s="545"/>
      <c r="D385" s="545"/>
      <c r="E385" s="545"/>
      <c r="F385" s="545"/>
      <c r="G385" s="545"/>
      <c r="H385" s="545"/>
      <c r="I385" s="513"/>
      <c r="J385" s="541">
        <v>19</v>
      </c>
      <c r="K385" s="541" t="s">
        <v>130</v>
      </c>
      <c r="L385" s="542" t="s">
        <v>1110</v>
      </c>
      <c r="M385" s="543">
        <v>3</v>
      </c>
      <c r="N385" s="544">
        <v>2778</v>
      </c>
      <c r="O385" s="544">
        <v>9000</v>
      </c>
      <c r="P385" s="541" t="s">
        <v>3961</v>
      </c>
    </row>
    <row r="386" spans="1:16" ht="17.100000000000001" customHeight="1" x14ac:dyDescent="0.25">
      <c r="A386" s="513"/>
      <c r="B386" s="545"/>
      <c r="C386" s="545"/>
      <c r="D386" s="545"/>
      <c r="E386" s="545"/>
      <c r="F386" s="545"/>
      <c r="G386" s="545"/>
      <c r="H386" s="545"/>
      <c r="I386" s="513"/>
      <c r="J386" s="541">
        <v>20</v>
      </c>
      <c r="K386" s="541" t="s">
        <v>133</v>
      </c>
      <c r="L386" s="542" t="s">
        <v>1110</v>
      </c>
      <c r="M386" s="543">
        <v>3</v>
      </c>
      <c r="N386" s="544">
        <v>2778</v>
      </c>
      <c r="O386" s="544">
        <v>9000</v>
      </c>
      <c r="P386" s="541" t="s">
        <v>3961</v>
      </c>
    </row>
    <row r="387" spans="1:16" ht="18.95" customHeight="1" x14ac:dyDescent="0.25">
      <c r="A387" s="513"/>
      <c r="B387" s="761" t="s">
        <v>4068</v>
      </c>
      <c r="C387" s="652"/>
      <c r="D387" s="652"/>
      <c r="E387" s="652"/>
      <c r="F387" s="648"/>
      <c r="G387" s="546">
        <v>57</v>
      </c>
      <c r="H387" s="547">
        <v>124811.01</v>
      </c>
      <c r="I387" s="513"/>
      <c r="J387" s="761" t="s">
        <v>4069</v>
      </c>
      <c r="K387" s="652"/>
      <c r="L387" s="648"/>
      <c r="M387" s="546">
        <v>61</v>
      </c>
      <c r="N387" s="555" t="s">
        <v>44</v>
      </c>
      <c r="O387" s="547">
        <v>183000</v>
      </c>
      <c r="P387" s="548" t="s">
        <v>44</v>
      </c>
    </row>
    <row r="388" spans="1:16" ht="17.100000000000001" customHeight="1" x14ac:dyDescent="0.25">
      <c r="A388" s="513"/>
      <c r="B388" s="513"/>
      <c r="C388" s="513"/>
      <c r="D388" s="513"/>
      <c r="E388" s="513"/>
      <c r="F388" s="513"/>
      <c r="G388" s="513"/>
      <c r="H388" s="513"/>
      <c r="I388" s="513"/>
      <c r="J388" s="513"/>
      <c r="K388" s="513"/>
      <c r="L388" s="513"/>
      <c r="M388" s="549"/>
      <c r="N388" s="550"/>
      <c r="O388" s="550"/>
      <c r="P388" s="513"/>
    </row>
    <row r="389" spans="1:16" ht="21.95" customHeight="1" x14ac:dyDescent="0.25">
      <c r="A389" s="513"/>
      <c r="B389" s="752" t="s">
        <v>4070</v>
      </c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42"/>
      <c r="P389" s="642"/>
    </row>
    <row r="390" spans="1:16" ht="15.95" customHeight="1" x14ac:dyDescent="0.25">
      <c r="A390" s="513"/>
      <c r="B390" s="755" t="s">
        <v>4071</v>
      </c>
      <c r="C390" s="652"/>
      <c r="D390" s="652"/>
      <c r="E390" s="652"/>
      <c r="F390" s="652"/>
      <c r="G390" s="652"/>
      <c r="H390" s="652"/>
      <c r="I390" s="652"/>
      <c r="J390" s="652"/>
      <c r="K390" s="652"/>
      <c r="L390" s="652"/>
      <c r="M390" s="652"/>
      <c r="N390" s="652"/>
      <c r="O390" s="652"/>
      <c r="P390" s="648"/>
    </row>
    <row r="391" spans="1:16" ht="20.100000000000001" customHeight="1" x14ac:dyDescent="0.25">
      <c r="A391" s="513"/>
      <c r="B391" s="756" t="s">
        <v>4018</v>
      </c>
      <c r="C391" s="652"/>
      <c r="D391" s="652"/>
      <c r="E391" s="652"/>
      <c r="F391" s="652"/>
      <c r="G391" s="652"/>
      <c r="H391" s="648"/>
      <c r="I391" s="538"/>
      <c r="J391" s="751" t="s">
        <v>4019</v>
      </c>
      <c r="K391" s="652"/>
      <c r="L391" s="652"/>
      <c r="M391" s="652"/>
      <c r="N391" s="652"/>
      <c r="O391" s="652"/>
      <c r="P391" s="648"/>
    </row>
    <row r="392" spans="1:16" ht="18" customHeight="1" x14ac:dyDescent="0.25">
      <c r="A392" s="513"/>
      <c r="B392" s="539" t="s">
        <v>48</v>
      </c>
      <c r="C392" s="539" t="s">
        <v>76</v>
      </c>
      <c r="D392" s="539" t="s">
        <v>2561</v>
      </c>
      <c r="E392" s="539" t="s">
        <v>1229</v>
      </c>
      <c r="F392" s="539" t="s">
        <v>3953</v>
      </c>
      <c r="G392" s="556" t="s">
        <v>3954</v>
      </c>
      <c r="H392" s="557" t="s">
        <v>3955</v>
      </c>
      <c r="I392" s="513"/>
      <c r="J392" s="540" t="s">
        <v>48</v>
      </c>
      <c r="K392" s="540" t="s">
        <v>76</v>
      </c>
      <c r="L392" s="540" t="s">
        <v>3956</v>
      </c>
      <c r="M392" s="551" t="s">
        <v>3957</v>
      </c>
      <c r="N392" s="552" t="s">
        <v>3958</v>
      </c>
      <c r="O392" s="552" t="s">
        <v>3959</v>
      </c>
      <c r="P392" s="540" t="s">
        <v>3960</v>
      </c>
    </row>
    <row r="393" spans="1:16" ht="17.100000000000001" customHeight="1" x14ac:dyDescent="0.25">
      <c r="A393" s="513"/>
      <c r="B393" s="541">
        <v>12</v>
      </c>
      <c r="C393" s="541" t="s">
        <v>106</v>
      </c>
      <c r="D393" s="541" t="s">
        <v>730</v>
      </c>
      <c r="E393" s="542" t="s">
        <v>1294</v>
      </c>
      <c r="F393" s="542" t="s">
        <v>732</v>
      </c>
      <c r="G393" s="543">
        <v>6</v>
      </c>
      <c r="H393" s="544">
        <v>20750</v>
      </c>
      <c r="I393" s="513"/>
      <c r="J393" s="541">
        <v>2</v>
      </c>
      <c r="K393" s="541" t="s">
        <v>88</v>
      </c>
      <c r="L393" s="542" t="s">
        <v>1148</v>
      </c>
      <c r="M393" s="543">
        <v>2</v>
      </c>
      <c r="N393" s="544">
        <v>4630</v>
      </c>
      <c r="O393" s="544">
        <v>10000</v>
      </c>
      <c r="P393" s="541" t="s">
        <v>3961</v>
      </c>
    </row>
    <row r="394" spans="1:16" ht="17.100000000000001" customHeight="1" x14ac:dyDescent="0.25">
      <c r="A394" s="513"/>
      <c r="B394" s="541">
        <v>12</v>
      </c>
      <c r="C394" s="541" t="s">
        <v>106</v>
      </c>
      <c r="D394" s="541" t="s">
        <v>730</v>
      </c>
      <c r="E394" s="542" t="s">
        <v>1294</v>
      </c>
      <c r="F394" s="542" t="s">
        <v>733</v>
      </c>
      <c r="G394" s="543">
        <v>6</v>
      </c>
      <c r="H394" s="544">
        <v>20750</v>
      </c>
      <c r="I394" s="513"/>
      <c r="J394" s="541">
        <v>4</v>
      </c>
      <c r="K394" s="541" t="s">
        <v>92</v>
      </c>
      <c r="L394" s="542" t="s">
        <v>1148</v>
      </c>
      <c r="M394" s="543">
        <v>1</v>
      </c>
      <c r="N394" s="544">
        <v>4630</v>
      </c>
      <c r="O394" s="544">
        <v>5000</v>
      </c>
      <c r="P394" s="541" t="s">
        <v>3961</v>
      </c>
    </row>
    <row r="395" spans="1:16" ht="17.100000000000001" customHeight="1" x14ac:dyDescent="0.25">
      <c r="A395" s="513"/>
      <c r="B395" s="541">
        <v>12</v>
      </c>
      <c r="C395" s="541" t="s">
        <v>106</v>
      </c>
      <c r="D395" s="541" t="s">
        <v>730</v>
      </c>
      <c r="E395" s="542" t="s">
        <v>1294</v>
      </c>
      <c r="F395" s="542" t="s">
        <v>734</v>
      </c>
      <c r="G395" s="543">
        <v>6</v>
      </c>
      <c r="H395" s="544">
        <v>20750</v>
      </c>
      <c r="I395" s="513"/>
      <c r="J395" s="541">
        <v>5</v>
      </c>
      <c r="K395" s="541" t="s">
        <v>94</v>
      </c>
      <c r="L395" s="542" t="s">
        <v>1148</v>
      </c>
      <c r="M395" s="543">
        <v>1</v>
      </c>
      <c r="N395" s="544">
        <v>4630</v>
      </c>
      <c r="O395" s="544">
        <v>5000</v>
      </c>
      <c r="P395" s="541" t="s">
        <v>3961</v>
      </c>
    </row>
    <row r="396" spans="1:16" ht="17.100000000000001" customHeight="1" x14ac:dyDescent="0.25">
      <c r="A396" s="513"/>
      <c r="B396" s="541">
        <v>12</v>
      </c>
      <c r="C396" s="541" t="s">
        <v>106</v>
      </c>
      <c r="D396" s="541" t="s">
        <v>730</v>
      </c>
      <c r="E396" s="542" t="s">
        <v>1294</v>
      </c>
      <c r="F396" s="542" t="s">
        <v>735</v>
      </c>
      <c r="G396" s="543">
        <v>6</v>
      </c>
      <c r="H396" s="544">
        <v>20750</v>
      </c>
      <c r="I396" s="513"/>
      <c r="J396" s="541">
        <v>14</v>
      </c>
      <c r="K396" s="541" t="s">
        <v>115</v>
      </c>
      <c r="L396" s="542" t="s">
        <v>1148</v>
      </c>
      <c r="M396" s="543">
        <v>2</v>
      </c>
      <c r="N396" s="544">
        <v>4630</v>
      </c>
      <c r="O396" s="544">
        <v>10000</v>
      </c>
      <c r="P396" s="541" t="s">
        <v>3961</v>
      </c>
    </row>
    <row r="397" spans="1:16" ht="17.100000000000001" customHeight="1" x14ac:dyDescent="0.25">
      <c r="A397" s="513"/>
      <c r="B397" s="545"/>
      <c r="C397" s="545"/>
      <c r="D397" s="545"/>
      <c r="E397" s="545"/>
      <c r="F397" s="545"/>
      <c r="G397" s="553"/>
      <c r="H397" s="554"/>
      <c r="I397" s="513"/>
      <c r="J397" s="541">
        <v>15</v>
      </c>
      <c r="K397" s="541" t="s">
        <v>118</v>
      </c>
      <c r="L397" s="542" t="s">
        <v>1148</v>
      </c>
      <c r="M397" s="543">
        <v>2</v>
      </c>
      <c r="N397" s="544">
        <v>4630</v>
      </c>
      <c r="O397" s="544">
        <v>10000</v>
      </c>
      <c r="P397" s="541" t="s">
        <v>3961</v>
      </c>
    </row>
    <row r="398" spans="1:16" ht="18.95" customHeight="1" x14ac:dyDescent="0.25">
      <c r="A398" s="513"/>
      <c r="B398" s="761" t="s">
        <v>4072</v>
      </c>
      <c r="C398" s="652"/>
      <c r="D398" s="652"/>
      <c r="E398" s="652"/>
      <c r="F398" s="648"/>
      <c r="G398" s="546">
        <v>24</v>
      </c>
      <c r="H398" s="547">
        <v>83000</v>
      </c>
      <c r="I398" s="513"/>
      <c r="J398" s="761" t="s">
        <v>4073</v>
      </c>
      <c r="K398" s="652"/>
      <c r="L398" s="648"/>
      <c r="M398" s="546">
        <v>8</v>
      </c>
      <c r="N398" s="555" t="s">
        <v>44</v>
      </c>
      <c r="O398" s="547">
        <v>40000</v>
      </c>
      <c r="P398" s="548" t="s">
        <v>44</v>
      </c>
    </row>
    <row r="399" spans="1:16" ht="17.100000000000001" customHeight="1" x14ac:dyDescent="0.25">
      <c r="A399" s="513"/>
      <c r="B399" s="513"/>
      <c r="C399" s="513"/>
      <c r="D399" s="513"/>
      <c r="E399" s="513"/>
      <c r="F399" s="513"/>
      <c r="G399" s="549"/>
      <c r="H399" s="550"/>
      <c r="I399" s="513"/>
      <c r="J399" s="513"/>
      <c r="K399" s="513"/>
      <c r="L399" s="513"/>
      <c r="M399" s="549"/>
      <c r="N399" s="550"/>
      <c r="O399" s="550"/>
      <c r="P399" s="513"/>
    </row>
    <row r="400" spans="1:16" ht="21.95" customHeight="1" x14ac:dyDescent="0.25">
      <c r="A400" s="513"/>
      <c r="B400" s="752" t="s">
        <v>4074</v>
      </c>
      <c r="C400" s="642"/>
      <c r="D400" s="642"/>
      <c r="E400" s="642"/>
      <c r="F400" s="642"/>
      <c r="G400" s="642"/>
      <c r="H400" s="642"/>
      <c r="I400" s="642"/>
      <c r="J400" s="642"/>
      <c r="K400" s="642"/>
      <c r="L400" s="642"/>
      <c r="M400" s="642"/>
      <c r="N400" s="642"/>
      <c r="O400" s="642"/>
      <c r="P400" s="642"/>
    </row>
    <row r="401" spans="1:16" ht="15.95" customHeight="1" x14ac:dyDescent="0.25">
      <c r="A401" s="513"/>
      <c r="B401" s="755" t="s">
        <v>4075</v>
      </c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48"/>
    </row>
    <row r="402" spans="1:16" ht="20.100000000000001" customHeight="1" x14ac:dyDescent="0.25">
      <c r="A402" s="513"/>
      <c r="B402" s="756" t="s">
        <v>4076</v>
      </c>
      <c r="C402" s="652"/>
      <c r="D402" s="652"/>
      <c r="E402" s="652"/>
      <c r="F402" s="652"/>
      <c r="G402" s="652"/>
      <c r="H402" s="648"/>
      <c r="I402" s="538"/>
      <c r="J402" s="751" t="s">
        <v>4007</v>
      </c>
      <c r="K402" s="652"/>
      <c r="L402" s="652"/>
      <c r="M402" s="652"/>
      <c r="N402" s="652"/>
      <c r="O402" s="652"/>
      <c r="P402" s="648"/>
    </row>
    <row r="403" spans="1:16" ht="18" customHeight="1" x14ac:dyDescent="0.25">
      <c r="A403" s="513"/>
      <c r="B403" s="539" t="s">
        <v>48</v>
      </c>
      <c r="C403" s="539" t="s">
        <v>76</v>
      </c>
      <c r="D403" s="539" t="s">
        <v>2561</v>
      </c>
      <c r="E403" s="539" t="s">
        <v>1229</v>
      </c>
      <c r="F403" s="539" t="s">
        <v>3953</v>
      </c>
      <c r="G403" s="539" t="s">
        <v>3954</v>
      </c>
      <c r="H403" s="539" t="s">
        <v>3955</v>
      </c>
      <c r="I403" s="513"/>
      <c r="J403" s="540" t="s">
        <v>48</v>
      </c>
      <c r="K403" s="540" t="s">
        <v>76</v>
      </c>
      <c r="L403" s="540" t="s">
        <v>3956</v>
      </c>
      <c r="M403" s="551" t="s">
        <v>3957</v>
      </c>
      <c r="N403" s="552" t="s">
        <v>3958</v>
      </c>
      <c r="O403" s="552" t="s">
        <v>3959</v>
      </c>
      <c r="P403" s="540" t="s">
        <v>3960</v>
      </c>
    </row>
    <row r="404" spans="1:16" ht="17.100000000000001" customHeight="1" x14ac:dyDescent="0.25">
      <c r="A404" s="513"/>
      <c r="B404" s="541">
        <v>1</v>
      </c>
      <c r="C404" s="541" t="s">
        <v>86</v>
      </c>
      <c r="D404" s="541" t="s">
        <v>561</v>
      </c>
      <c r="E404" s="542" t="s">
        <v>1263</v>
      </c>
      <c r="F404" s="542" t="s">
        <v>563</v>
      </c>
      <c r="G404" s="543">
        <v>24</v>
      </c>
      <c r="H404" s="544">
        <v>92200</v>
      </c>
      <c r="I404" s="513"/>
      <c r="J404" s="541">
        <v>1</v>
      </c>
      <c r="K404" s="541" t="s">
        <v>86</v>
      </c>
      <c r="L404" s="542" t="s">
        <v>1095</v>
      </c>
      <c r="M404" s="543">
        <v>1</v>
      </c>
      <c r="N404" s="544">
        <v>6481</v>
      </c>
      <c r="O404" s="544">
        <v>7000</v>
      </c>
      <c r="P404" s="541" t="s">
        <v>3961</v>
      </c>
    </row>
    <row r="405" spans="1:16" ht="17.100000000000001" customHeight="1" x14ac:dyDescent="0.25">
      <c r="A405" s="513"/>
      <c r="B405" s="541">
        <v>18</v>
      </c>
      <c r="C405" s="541" t="s">
        <v>127</v>
      </c>
      <c r="D405" s="541" t="s">
        <v>765</v>
      </c>
      <c r="E405" s="542" t="s">
        <v>1263</v>
      </c>
      <c r="F405" s="542" t="s">
        <v>771</v>
      </c>
      <c r="G405" s="543">
        <v>24</v>
      </c>
      <c r="H405" s="544">
        <v>92200</v>
      </c>
      <c r="I405" s="513"/>
      <c r="J405" s="541">
        <v>4</v>
      </c>
      <c r="K405" s="541" t="s">
        <v>92</v>
      </c>
      <c r="L405" s="542" t="s">
        <v>1095</v>
      </c>
      <c r="M405" s="543">
        <v>4</v>
      </c>
      <c r="N405" s="544">
        <v>6481</v>
      </c>
      <c r="O405" s="544">
        <v>28000</v>
      </c>
      <c r="P405" s="541" t="s">
        <v>3961</v>
      </c>
    </row>
    <row r="406" spans="1:16" ht="17.100000000000001" customHeight="1" x14ac:dyDescent="0.25">
      <c r="A406" s="513"/>
      <c r="B406" s="541">
        <v>18</v>
      </c>
      <c r="C406" s="541" t="s">
        <v>127</v>
      </c>
      <c r="D406" s="541" t="s">
        <v>765</v>
      </c>
      <c r="E406" s="542" t="s">
        <v>1263</v>
      </c>
      <c r="F406" s="542" t="s">
        <v>773</v>
      </c>
      <c r="G406" s="543">
        <v>24</v>
      </c>
      <c r="H406" s="544">
        <v>93000</v>
      </c>
      <c r="I406" s="513"/>
      <c r="J406" s="541">
        <v>5</v>
      </c>
      <c r="K406" s="541" t="s">
        <v>94</v>
      </c>
      <c r="L406" s="542" t="s">
        <v>1095</v>
      </c>
      <c r="M406" s="543">
        <v>1</v>
      </c>
      <c r="N406" s="544">
        <v>6481</v>
      </c>
      <c r="O406" s="544">
        <v>7000</v>
      </c>
      <c r="P406" s="541" t="s">
        <v>3961</v>
      </c>
    </row>
    <row r="407" spans="1:16" ht="17.100000000000001" customHeight="1" x14ac:dyDescent="0.25">
      <c r="A407" s="513"/>
      <c r="B407" s="545"/>
      <c r="C407" s="545"/>
      <c r="D407" s="545"/>
      <c r="E407" s="545"/>
      <c r="F407" s="545"/>
      <c r="G407" s="545"/>
      <c r="H407" s="545"/>
      <c r="I407" s="513"/>
      <c r="J407" s="541">
        <v>6</v>
      </c>
      <c r="K407" s="541" t="s">
        <v>96</v>
      </c>
      <c r="L407" s="542" t="s">
        <v>1095</v>
      </c>
      <c r="M407" s="543">
        <v>10</v>
      </c>
      <c r="N407" s="544">
        <v>6481</v>
      </c>
      <c r="O407" s="544">
        <v>70000</v>
      </c>
      <c r="P407" s="541" t="s">
        <v>3961</v>
      </c>
    </row>
    <row r="408" spans="1:16" ht="17.100000000000001" customHeight="1" x14ac:dyDescent="0.25">
      <c r="A408" s="513"/>
      <c r="B408" s="545"/>
      <c r="C408" s="545"/>
      <c r="D408" s="545"/>
      <c r="E408" s="545"/>
      <c r="F408" s="545"/>
      <c r="G408" s="545"/>
      <c r="H408" s="545"/>
      <c r="I408" s="513"/>
      <c r="J408" s="541">
        <v>8</v>
      </c>
      <c r="K408" s="541" t="s">
        <v>100</v>
      </c>
      <c r="L408" s="542" t="s">
        <v>1095</v>
      </c>
      <c r="M408" s="543">
        <v>1</v>
      </c>
      <c r="N408" s="544">
        <v>6481</v>
      </c>
      <c r="O408" s="544">
        <v>7000</v>
      </c>
      <c r="P408" s="541" t="s">
        <v>3961</v>
      </c>
    </row>
    <row r="409" spans="1:16" ht="17.100000000000001" customHeight="1" x14ac:dyDescent="0.25">
      <c r="A409" s="513"/>
      <c r="B409" s="545"/>
      <c r="C409" s="545"/>
      <c r="D409" s="545"/>
      <c r="E409" s="545"/>
      <c r="F409" s="545"/>
      <c r="G409" s="545"/>
      <c r="H409" s="545"/>
      <c r="I409" s="513"/>
      <c r="J409" s="541">
        <v>9</v>
      </c>
      <c r="K409" s="541" t="s">
        <v>102</v>
      </c>
      <c r="L409" s="542" t="s">
        <v>1095</v>
      </c>
      <c r="M409" s="543">
        <v>2</v>
      </c>
      <c r="N409" s="544">
        <v>6481</v>
      </c>
      <c r="O409" s="544">
        <v>14000</v>
      </c>
      <c r="P409" s="541" t="s">
        <v>3961</v>
      </c>
    </row>
    <row r="410" spans="1:16" ht="17.100000000000001" customHeight="1" x14ac:dyDescent="0.25">
      <c r="A410" s="513"/>
      <c r="B410" s="545"/>
      <c r="C410" s="545"/>
      <c r="D410" s="545"/>
      <c r="E410" s="545"/>
      <c r="F410" s="545"/>
      <c r="G410" s="545"/>
      <c r="H410" s="545"/>
      <c r="I410" s="513"/>
      <c r="J410" s="541">
        <v>11</v>
      </c>
      <c r="K410" s="541" t="s">
        <v>104</v>
      </c>
      <c r="L410" s="542" t="s">
        <v>1095</v>
      </c>
      <c r="M410" s="543">
        <v>7</v>
      </c>
      <c r="N410" s="544">
        <v>6481</v>
      </c>
      <c r="O410" s="544">
        <v>49000</v>
      </c>
      <c r="P410" s="541" t="s">
        <v>3961</v>
      </c>
    </row>
    <row r="411" spans="1:16" ht="17.100000000000001" customHeight="1" x14ac:dyDescent="0.25">
      <c r="A411" s="513"/>
      <c r="B411" s="545"/>
      <c r="C411" s="545"/>
      <c r="D411" s="545"/>
      <c r="E411" s="545"/>
      <c r="F411" s="545"/>
      <c r="G411" s="553"/>
      <c r="H411" s="554"/>
      <c r="I411" s="513"/>
      <c r="J411" s="541">
        <v>12</v>
      </c>
      <c r="K411" s="541" t="s">
        <v>106</v>
      </c>
      <c r="L411" s="542" t="s">
        <v>1095</v>
      </c>
      <c r="M411" s="543">
        <v>7</v>
      </c>
      <c r="N411" s="544">
        <v>6481</v>
      </c>
      <c r="O411" s="544">
        <v>49000</v>
      </c>
      <c r="P411" s="541" t="s">
        <v>3961</v>
      </c>
    </row>
    <row r="412" spans="1:16" ht="17.100000000000001" customHeight="1" x14ac:dyDescent="0.25">
      <c r="A412" s="513"/>
      <c r="B412" s="545"/>
      <c r="C412" s="545"/>
      <c r="D412" s="545"/>
      <c r="E412" s="545"/>
      <c r="F412" s="545"/>
      <c r="G412" s="553"/>
      <c r="H412" s="554"/>
      <c r="I412" s="513"/>
      <c r="J412" s="541">
        <v>13</v>
      </c>
      <c r="K412" s="541" t="s">
        <v>112</v>
      </c>
      <c r="L412" s="542" t="s">
        <v>1095</v>
      </c>
      <c r="M412" s="543">
        <v>6</v>
      </c>
      <c r="N412" s="544">
        <v>6481</v>
      </c>
      <c r="O412" s="544">
        <v>42000</v>
      </c>
      <c r="P412" s="541" t="s">
        <v>3961</v>
      </c>
    </row>
    <row r="413" spans="1:16" ht="17.100000000000001" customHeight="1" x14ac:dyDescent="0.25">
      <c r="A413" s="513"/>
      <c r="B413" s="545"/>
      <c r="C413" s="545"/>
      <c r="D413" s="545"/>
      <c r="E413" s="545"/>
      <c r="F413" s="545"/>
      <c r="G413" s="553"/>
      <c r="H413" s="554"/>
      <c r="I413" s="513"/>
      <c r="J413" s="541">
        <v>16</v>
      </c>
      <c r="K413" s="541" t="s">
        <v>121</v>
      </c>
      <c r="L413" s="542" t="s">
        <v>1095</v>
      </c>
      <c r="M413" s="543">
        <v>1</v>
      </c>
      <c r="N413" s="544">
        <v>6481</v>
      </c>
      <c r="O413" s="544">
        <v>7000</v>
      </c>
      <c r="P413" s="541" t="s">
        <v>3961</v>
      </c>
    </row>
    <row r="414" spans="1:16" ht="17.100000000000001" customHeight="1" x14ac:dyDescent="0.25">
      <c r="A414" s="513"/>
      <c r="B414" s="545"/>
      <c r="C414" s="545"/>
      <c r="D414" s="545"/>
      <c r="E414" s="545"/>
      <c r="F414" s="545"/>
      <c r="G414" s="553"/>
      <c r="H414" s="554"/>
      <c r="I414" s="513"/>
      <c r="J414" s="541">
        <v>17</v>
      </c>
      <c r="K414" s="541" t="s">
        <v>124</v>
      </c>
      <c r="L414" s="542" t="s">
        <v>1095</v>
      </c>
      <c r="M414" s="543">
        <v>3</v>
      </c>
      <c r="N414" s="544">
        <v>6481</v>
      </c>
      <c r="O414" s="544">
        <v>21000</v>
      </c>
      <c r="P414" s="541" t="s">
        <v>3961</v>
      </c>
    </row>
    <row r="415" spans="1:16" ht="17.100000000000001" customHeight="1" x14ac:dyDescent="0.25">
      <c r="A415" s="513"/>
      <c r="B415" s="545"/>
      <c r="C415" s="545"/>
      <c r="D415" s="545"/>
      <c r="E415" s="545"/>
      <c r="F415" s="545"/>
      <c r="G415" s="553"/>
      <c r="H415" s="554"/>
      <c r="I415" s="513"/>
      <c r="J415" s="541">
        <v>18</v>
      </c>
      <c r="K415" s="541" t="s">
        <v>127</v>
      </c>
      <c r="L415" s="542" t="s">
        <v>1095</v>
      </c>
      <c r="M415" s="543">
        <v>2</v>
      </c>
      <c r="N415" s="544">
        <v>6481</v>
      </c>
      <c r="O415" s="544">
        <v>14000</v>
      </c>
      <c r="P415" s="541" t="s">
        <v>3961</v>
      </c>
    </row>
    <row r="416" spans="1:16" ht="17.100000000000001" customHeight="1" x14ac:dyDescent="0.25">
      <c r="A416" s="513"/>
      <c r="B416" s="545"/>
      <c r="C416" s="545"/>
      <c r="D416" s="545"/>
      <c r="E416" s="545"/>
      <c r="F416" s="545"/>
      <c r="G416" s="553"/>
      <c r="H416" s="554"/>
      <c r="I416" s="513"/>
      <c r="J416" s="541">
        <v>19</v>
      </c>
      <c r="K416" s="541" t="s">
        <v>130</v>
      </c>
      <c r="L416" s="542" t="s">
        <v>1095</v>
      </c>
      <c r="M416" s="543">
        <v>4</v>
      </c>
      <c r="N416" s="544">
        <v>6481</v>
      </c>
      <c r="O416" s="544">
        <v>28000</v>
      </c>
      <c r="P416" s="541" t="s">
        <v>3961</v>
      </c>
    </row>
    <row r="417" spans="1:16" ht="17.100000000000001" customHeight="1" x14ac:dyDescent="0.25">
      <c r="A417" s="513"/>
      <c r="B417" s="545"/>
      <c r="C417" s="545"/>
      <c r="D417" s="545"/>
      <c r="E417" s="545"/>
      <c r="F417" s="545"/>
      <c r="G417" s="553"/>
      <c r="H417" s="554"/>
      <c r="I417" s="513"/>
      <c r="J417" s="541">
        <v>20</v>
      </c>
      <c r="K417" s="541" t="s">
        <v>133</v>
      </c>
      <c r="L417" s="542" t="s">
        <v>1095</v>
      </c>
      <c r="M417" s="543">
        <v>6</v>
      </c>
      <c r="N417" s="544">
        <v>6481</v>
      </c>
      <c r="O417" s="544">
        <v>42000</v>
      </c>
      <c r="P417" s="541" t="s">
        <v>3961</v>
      </c>
    </row>
    <row r="418" spans="1:16" ht="18.95" customHeight="1" x14ac:dyDescent="0.25">
      <c r="A418" s="513"/>
      <c r="B418" s="761" t="s">
        <v>4077</v>
      </c>
      <c r="C418" s="652"/>
      <c r="D418" s="652"/>
      <c r="E418" s="652"/>
      <c r="F418" s="648"/>
      <c r="G418" s="546">
        <v>72</v>
      </c>
      <c r="H418" s="547">
        <v>277400</v>
      </c>
      <c r="I418" s="513"/>
      <c r="J418" s="761" t="s">
        <v>4078</v>
      </c>
      <c r="K418" s="652"/>
      <c r="L418" s="648"/>
      <c r="M418" s="546">
        <v>55</v>
      </c>
      <c r="N418" s="555" t="s">
        <v>44</v>
      </c>
      <c r="O418" s="547">
        <v>385000</v>
      </c>
      <c r="P418" s="548" t="s">
        <v>44</v>
      </c>
    </row>
    <row r="419" spans="1:16" ht="17.100000000000001" customHeight="1" x14ac:dyDescent="0.25">
      <c r="A419" s="513"/>
      <c r="B419" s="513"/>
      <c r="C419" s="513"/>
      <c r="D419" s="513"/>
      <c r="E419" s="513"/>
      <c r="F419" s="513"/>
      <c r="G419" s="549"/>
      <c r="H419" s="550"/>
      <c r="I419" s="513"/>
      <c r="J419" s="513"/>
      <c r="K419" s="513"/>
      <c r="L419" s="513"/>
      <c r="M419" s="549"/>
      <c r="N419" s="550"/>
      <c r="O419" s="550"/>
      <c r="P419" s="513"/>
    </row>
    <row r="420" spans="1:16" ht="21.95" customHeight="1" x14ac:dyDescent="0.25">
      <c r="A420" s="513"/>
      <c r="B420" s="752" t="s">
        <v>4079</v>
      </c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42"/>
      <c r="P420" s="642"/>
    </row>
    <row r="421" spans="1:16" ht="15.95" customHeight="1" x14ac:dyDescent="0.25">
      <c r="A421" s="513"/>
      <c r="B421" s="755" t="s">
        <v>4080</v>
      </c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48"/>
    </row>
    <row r="422" spans="1:16" ht="20.100000000000001" customHeight="1" x14ac:dyDescent="0.25">
      <c r="A422" s="513"/>
      <c r="B422" s="756" t="s">
        <v>3951</v>
      </c>
      <c r="C422" s="652"/>
      <c r="D422" s="652"/>
      <c r="E422" s="652"/>
      <c r="F422" s="652"/>
      <c r="G422" s="652"/>
      <c r="H422" s="648"/>
      <c r="I422" s="538"/>
      <c r="J422" s="751" t="s">
        <v>4007</v>
      </c>
      <c r="K422" s="652"/>
      <c r="L422" s="652"/>
      <c r="M422" s="652"/>
      <c r="N422" s="652"/>
      <c r="O422" s="652"/>
      <c r="P422" s="648"/>
    </row>
    <row r="423" spans="1:16" ht="18" customHeight="1" x14ac:dyDescent="0.25">
      <c r="A423" s="513"/>
      <c r="B423" s="539" t="s">
        <v>48</v>
      </c>
      <c r="C423" s="539" t="s">
        <v>76</v>
      </c>
      <c r="D423" s="539" t="s">
        <v>2561</v>
      </c>
      <c r="E423" s="539" t="s">
        <v>1229</v>
      </c>
      <c r="F423" s="539" t="s">
        <v>3953</v>
      </c>
      <c r="G423" s="539" t="s">
        <v>3954</v>
      </c>
      <c r="H423" s="539" t="s">
        <v>3955</v>
      </c>
      <c r="I423" s="513"/>
      <c r="J423" s="540" t="s">
        <v>48</v>
      </c>
      <c r="K423" s="540" t="s">
        <v>76</v>
      </c>
      <c r="L423" s="540" t="s">
        <v>3956</v>
      </c>
      <c r="M423" s="551" t="s">
        <v>3957</v>
      </c>
      <c r="N423" s="552" t="s">
        <v>3958</v>
      </c>
      <c r="O423" s="552" t="s">
        <v>3959</v>
      </c>
      <c r="P423" s="540" t="s">
        <v>3960</v>
      </c>
    </row>
    <row r="424" spans="1:16" ht="17.100000000000001" customHeight="1" x14ac:dyDescent="0.25">
      <c r="A424" s="513"/>
      <c r="B424" s="541">
        <v>1</v>
      </c>
      <c r="C424" s="541" t="s">
        <v>86</v>
      </c>
      <c r="D424" s="541" t="s">
        <v>561</v>
      </c>
      <c r="E424" s="542" t="s">
        <v>1263</v>
      </c>
      <c r="F424" s="542" t="s">
        <v>565</v>
      </c>
      <c r="G424" s="543">
        <v>24</v>
      </c>
      <c r="H424" s="544">
        <v>77500</v>
      </c>
      <c r="I424" s="513"/>
      <c r="J424" s="541">
        <v>1</v>
      </c>
      <c r="K424" s="541" t="s">
        <v>86</v>
      </c>
      <c r="L424" s="542" t="s">
        <v>1097</v>
      </c>
      <c r="M424" s="543">
        <v>1</v>
      </c>
      <c r="N424" s="544">
        <v>5556</v>
      </c>
      <c r="O424" s="544">
        <v>6000</v>
      </c>
      <c r="P424" s="541" t="s">
        <v>3961</v>
      </c>
    </row>
    <row r="425" spans="1:16" ht="17.100000000000001" customHeight="1" x14ac:dyDescent="0.25">
      <c r="A425" s="513"/>
      <c r="B425" s="541">
        <v>18</v>
      </c>
      <c r="C425" s="541" t="s">
        <v>127</v>
      </c>
      <c r="D425" s="541" t="s">
        <v>765</v>
      </c>
      <c r="E425" s="542" t="s">
        <v>1263</v>
      </c>
      <c r="F425" s="542" t="s">
        <v>769</v>
      </c>
      <c r="G425" s="543">
        <v>24</v>
      </c>
      <c r="H425" s="544">
        <v>77500</v>
      </c>
      <c r="I425" s="513"/>
      <c r="J425" s="541">
        <v>3</v>
      </c>
      <c r="K425" s="541" t="s">
        <v>90</v>
      </c>
      <c r="L425" s="542" t="s">
        <v>1097</v>
      </c>
      <c r="M425" s="543">
        <v>4</v>
      </c>
      <c r="N425" s="544">
        <v>5556</v>
      </c>
      <c r="O425" s="544">
        <v>24000</v>
      </c>
      <c r="P425" s="541" t="s">
        <v>3961</v>
      </c>
    </row>
    <row r="426" spans="1:16" ht="17.100000000000001" customHeight="1" x14ac:dyDescent="0.25">
      <c r="A426" s="513"/>
      <c r="B426" s="545"/>
      <c r="C426" s="545"/>
      <c r="D426" s="545"/>
      <c r="E426" s="545"/>
      <c r="F426" s="545"/>
      <c r="G426" s="553"/>
      <c r="H426" s="554"/>
      <c r="I426" s="513"/>
      <c r="J426" s="541">
        <v>4</v>
      </c>
      <c r="K426" s="541" t="s">
        <v>92</v>
      </c>
      <c r="L426" s="542" t="s">
        <v>1097</v>
      </c>
      <c r="M426" s="543">
        <v>9</v>
      </c>
      <c r="N426" s="544">
        <v>5556</v>
      </c>
      <c r="O426" s="544">
        <v>54000</v>
      </c>
      <c r="P426" s="541" t="s">
        <v>3961</v>
      </c>
    </row>
    <row r="427" spans="1:16" ht="17.100000000000001" customHeight="1" x14ac:dyDescent="0.25">
      <c r="A427" s="513"/>
      <c r="B427" s="545"/>
      <c r="C427" s="545"/>
      <c r="D427" s="545"/>
      <c r="E427" s="545"/>
      <c r="F427" s="545"/>
      <c r="G427" s="545"/>
      <c r="H427" s="545"/>
      <c r="I427" s="513"/>
      <c r="J427" s="541">
        <v>5</v>
      </c>
      <c r="K427" s="541" t="s">
        <v>94</v>
      </c>
      <c r="L427" s="542" t="s">
        <v>1097</v>
      </c>
      <c r="M427" s="543">
        <v>4</v>
      </c>
      <c r="N427" s="544">
        <v>5556</v>
      </c>
      <c r="O427" s="544">
        <v>24000</v>
      </c>
      <c r="P427" s="541" t="s">
        <v>3961</v>
      </c>
    </row>
    <row r="428" spans="1:16" ht="17.100000000000001" customHeight="1" x14ac:dyDescent="0.25">
      <c r="A428" s="513"/>
      <c r="B428" s="545"/>
      <c r="C428" s="545"/>
      <c r="D428" s="545"/>
      <c r="E428" s="545"/>
      <c r="F428" s="545"/>
      <c r="G428" s="553"/>
      <c r="H428" s="554"/>
      <c r="I428" s="513"/>
      <c r="J428" s="541">
        <v>6</v>
      </c>
      <c r="K428" s="541" t="s">
        <v>96</v>
      </c>
      <c r="L428" s="542" t="s">
        <v>1097</v>
      </c>
      <c r="M428" s="543">
        <v>5</v>
      </c>
      <c r="N428" s="544">
        <v>5556</v>
      </c>
      <c r="O428" s="544">
        <v>30000</v>
      </c>
      <c r="P428" s="541" t="s">
        <v>3961</v>
      </c>
    </row>
    <row r="429" spans="1:16" ht="17.100000000000001" customHeight="1" x14ac:dyDescent="0.25">
      <c r="A429" s="513"/>
      <c r="B429" s="545"/>
      <c r="C429" s="545"/>
      <c r="D429" s="545"/>
      <c r="E429" s="545"/>
      <c r="F429" s="545"/>
      <c r="G429" s="545"/>
      <c r="H429" s="545"/>
      <c r="I429" s="513"/>
      <c r="J429" s="541">
        <v>9</v>
      </c>
      <c r="K429" s="541" t="s">
        <v>102</v>
      </c>
      <c r="L429" s="542" t="s">
        <v>1097</v>
      </c>
      <c r="M429" s="543">
        <v>1</v>
      </c>
      <c r="N429" s="544">
        <v>5556</v>
      </c>
      <c r="O429" s="544">
        <v>6000</v>
      </c>
      <c r="P429" s="541" t="s">
        <v>3961</v>
      </c>
    </row>
    <row r="430" spans="1:16" ht="17.100000000000001" customHeight="1" x14ac:dyDescent="0.25">
      <c r="A430" s="513"/>
      <c r="B430" s="545"/>
      <c r="C430" s="545"/>
      <c r="D430" s="545"/>
      <c r="E430" s="545"/>
      <c r="F430" s="545"/>
      <c r="G430" s="545"/>
      <c r="H430" s="545"/>
      <c r="I430" s="513"/>
      <c r="J430" s="541">
        <v>10</v>
      </c>
      <c r="K430" s="541" t="s">
        <v>103</v>
      </c>
      <c r="L430" s="542" t="s">
        <v>1097</v>
      </c>
      <c r="M430" s="543">
        <v>2</v>
      </c>
      <c r="N430" s="544">
        <v>5556</v>
      </c>
      <c r="O430" s="544">
        <v>12000</v>
      </c>
      <c r="P430" s="541" t="s">
        <v>3961</v>
      </c>
    </row>
    <row r="431" spans="1:16" ht="17.100000000000001" customHeight="1" x14ac:dyDescent="0.25">
      <c r="A431" s="513"/>
      <c r="B431" s="545"/>
      <c r="C431" s="545"/>
      <c r="D431" s="545"/>
      <c r="E431" s="545"/>
      <c r="F431" s="545"/>
      <c r="G431" s="545"/>
      <c r="H431" s="545"/>
      <c r="I431" s="513"/>
      <c r="J431" s="541">
        <v>13</v>
      </c>
      <c r="K431" s="541" t="s">
        <v>112</v>
      </c>
      <c r="L431" s="542" t="s">
        <v>1097</v>
      </c>
      <c r="M431" s="543">
        <v>3</v>
      </c>
      <c r="N431" s="544">
        <v>5556</v>
      </c>
      <c r="O431" s="544">
        <v>18000</v>
      </c>
      <c r="P431" s="541" t="s">
        <v>3961</v>
      </c>
    </row>
    <row r="432" spans="1:16" ht="17.100000000000001" customHeight="1" x14ac:dyDescent="0.25">
      <c r="A432" s="513"/>
      <c r="B432" s="545"/>
      <c r="C432" s="545"/>
      <c r="D432" s="545"/>
      <c r="E432" s="545"/>
      <c r="F432" s="545"/>
      <c r="G432" s="545"/>
      <c r="H432" s="545"/>
      <c r="I432" s="513"/>
      <c r="J432" s="541">
        <v>15</v>
      </c>
      <c r="K432" s="541" t="s">
        <v>118</v>
      </c>
      <c r="L432" s="542" t="s">
        <v>1097</v>
      </c>
      <c r="M432" s="543">
        <v>2</v>
      </c>
      <c r="N432" s="544">
        <v>5556</v>
      </c>
      <c r="O432" s="544">
        <v>12000</v>
      </c>
      <c r="P432" s="541" t="s">
        <v>3961</v>
      </c>
    </row>
    <row r="433" spans="1:16" ht="17.100000000000001" customHeight="1" x14ac:dyDescent="0.25">
      <c r="A433" s="513"/>
      <c r="B433" s="545"/>
      <c r="C433" s="545"/>
      <c r="D433" s="545"/>
      <c r="E433" s="545"/>
      <c r="F433" s="545"/>
      <c r="G433" s="545"/>
      <c r="H433" s="545"/>
      <c r="I433" s="513"/>
      <c r="J433" s="541">
        <v>16</v>
      </c>
      <c r="K433" s="541" t="s">
        <v>121</v>
      </c>
      <c r="L433" s="542" t="s">
        <v>1097</v>
      </c>
      <c r="M433" s="543">
        <v>2</v>
      </c>
      <c r="N433" s="544">
        <v>5556</v>
      </c>
      <c r="O433" s="544">
        <v>12000</v>
      </c>
      <c r="P433" s="541" t="s">
        <v>3961</v>
      </c>
    </row>
    <row r="434" spans="1:16" ht="17.100000000000001" customHeight="1" x14ac:dyDescent="0.25">
      <c r="A434" s="513"/>
      <c r="B434" s="545"/>
      <c r="C434" s="545"/>
      <c r="D434" s="545"/>
      <c r="E434" s="545"/>
      <c r="F434" s="545"/>
      <c r="G434" s="553"/>
      <c r="H434" s="554"/>
      <c r="I434" s="513"/>
      <c r="J434" s="541">
        <v>17</v>
      </c>
      <c r="K434" s="541" t="s">
        <v>124</v>
      </c>
      <c r="L434" s="542" t="s">
        <v>1097</v>
      </c>
      <c r="M434" s="543">
        <v>5</v>
      </c>
      <c r="N434" s="544">
        <v>5556</v>
      </c>
      <c r="O434" s="544">
        <v>30000</v>
      </c>
      <c r="P434" s="541" t="s">
        <v>3961</v>
      </c>
    </row>
    <row r="435" spans="1:16" ht="17.100000000000001" customHeight="1" x14ac:dyDescent="0.25">
      <c r="A435" s="513"/>
      <c r="B435" s="545"/>
      <c r="C435" s="545"/>
      <c r="D435" s="545"/>
      <c r="E435" s="545"/>
      <c r="F435" s="545"/>
      <c r="G435" s="553"/>
      <c r="H435" s="554"/>
      <c r="I435" s="513"/>
      <c r="J435" s="541">
        <v>18</v>
      </c>
      <c r="K435" s="541" t="s">
        <v>127</v>
      </c>
      <c r="L435" s="542" t="s">
        <v>1097</v>
      </c>
      <c r="M435" s="543">
        <v>2</v>
      </c>
      <c r="N435" s="544">
        <v>5556</v>
      </c>
      <c r="O435" s="544">
        <v>12000</v>
      </c>
      <c r="P435" s="541" t="s">
        <v>3961</v>
      </c>
    </row>
    <row r="436" spans="1:16" ht="17.100000000000001" customHeight="1" x14ac:dyDescent="0.25">
      <c r="A436" s="513"/>
      <c r="B436" s="545"/>
      <c r="C436" s="545"/>
      <c r="D436" s="545"/>
      <c r="E436" s="545"/>
      <c r="F436" s="545"/>
      <c r="G436" s="553"/>
      <c r="H436" s="554"/>
      <c r="I436" s="513"/>
      <c r="J436" s="541">
        <v>19</v>
      </c>
      <c r="K436" s="541" t="s">
        <v>130</v>
      </c>
      <c r="L436" s="542" t="s">
        <v>1097</v>
      </c>
      <c r="M436" s="543">
        <v>3</v>
      </c>
      <c r="N436" s="544">
        <v>5556</v>
      </c>
      <c r="O436" s="544">
        <v>18000</v>
      </c>
      <c r="P436" s="541" t="s">
        <v>3961</v>
      </c>
    </row>
    <row r="437" spans="1:16" ht="17.100000000000001" customHeight="1" x14ac:dyDescent="0.25">
      <c r="A437" s="513"/>
      <c r="B437" s="545"/>
      <c r="C437" s="545"/>
      <c r="D437" s="545"/>
      <c r="E437" s="545"/>
      <c r="F437" s="545"/>
      <c r="G437" s="553"/>
      <c r="H437" s="554"/>
      <c r="I437" s="513"/>
      <c r="J437" s="541">
        <v>20</v>
      </c>
      <c r="K437" s="541" t="s">
        <v>133</v>
      </c>
      <c r="L437" s="542" t="s">
        <v>1097</v>
      </c>
      <c r="M437" s="543">
        <v>14</v>
      </c>
      <c r="N437" s="544">
        <v>5556</v>
      </c>
      <c r="O437" s="544">
        <v>84000</v>
      </c>
      <c r="P437" s="541" t="s">
        <v>3961</v>
      </c>
    </row>
    <row r="438" spans="1:16" ht="18.95" customHeight="1" x14ac:dyDescent="0.25">
      <c r="A438" s="513"/>
      <c r="B438" s="761" t="s">
        <v>4081</v>
      </c>
      <c r="C438" s="652"/>
      <c r="D438" s="652"/>
      <c r="E438" s="652"/>
      <c r="F438" s="648"/>
      <c r="G438" s="546">
        <v>48</v>
      </c>
      <c r="H438" s="547">
        <v>155000</v>
      </c>
      <c r="I438" s="513"/>
      <c r="J438" s="761" t="s">
        <v>4082</v>
      </c>
      <c r="K438" s="652"/>
      <c r="L438" s="648"/>
      <c r="M438" s="546">
        <v>57</v>
      </c>
      <c r="N438" s="555" t="s">
        <v>44</v>
      </c>
      <c r="O438" s="547">
        <v>342000</v>
      </c>
      <c r="P438" s="548" t="s">
        <v>44</v>
      </c>
    </row>
    <row r="439" spans="1:16" ht="18.95" customHeight="1" x14ac:dyDescent="0.25">
      <c r="A439" s="513"/>
      <c r="B439" s="513"/>
      <c r="C439" s="513"/>
      <c r="D439" s="513"/>
      <c r="E439" s="513"/>
      <c r="F439" s="513"/>
      <c r="G439" s="549"/>
      <c r="H439" s="550"/>
      <c r="I439" s="513"/>
      <c r="J439" s="513"/>
      <c r="K439" s="513"/>
      <c r="L439" s="513"/>
      <c r="M439" s="549"/>
      <c r="N439" s="550"/>
      <c r="O439" s="550"/>
      <c r="P439" s="513"/>
    </row>
    <row r="440" spans="1:16" ht="21.95" customHeight="1" x14ac:dyDescent="0.25">
      <c r="A440" s="513"/>
      <c r="B440" s="752" t="s">
        <v>4083</v>
      </c>
      <c r="C440" s="642"/>
      <c r="D440" s="642"/>
      <c r="E440" s="642"/>
      <c r="F440" s="642"/>
      <c r="G440" s="642"/>
      <c r="H440" s="642"/>
      <c r="I440" s="642"/>
      <c r="J440" s="642"/>
      <c r="K440" s="642"/>
      <c r="L440" s="642"/>
      <c r="M440" s="642"/>
      <c r="N440" s="642"/>
      <c r="O440" s="642"/>
      <c r="P440" s="642"/>
    </row>
    <row r="441" spans="1:16" ht="15.95" customHeight="1" x14ac:dyDescent="0.25">
      <c r="A441" s="513"/>
      <c r="B441" s="755" t="s">
        <v>4084</v>
      </c>
      <c r="C441" s="652"/>
      <c r="D441" s="652"/>
      <c r="E441" s="652"/>
      <c r="F441" s="652"/>
      <c r="G441" s="652"/>
      <c r="H441" s="652"/>
      <c r="I441" s="652"/>
      <c r="J441" s="652"/>
      <c r="K441" s="652"/>
      <c r="L441" s="652"/>
      <c r="M441" s="652"/>
      <c r="N441" s="652"/>
      <c r="O441" s="652"/>
      <c r="P441" s="648"/>
    </row>
    <row r="442" spans="1:16" ht="20.100000000000001" customHeight="1" x14ac:dyDescent="0.25">
      <c r="A442" s="513"/>
      <c r="B442" s="756" t="s">
        <v>3951</v>
      </c>
      <c r="C442" s="652"/>
      <c r="D442" s="652"/>
      <c r="E442" s="652"/>
      <c r="F442" s="652"/>
      <c r="G442" s="652"/>
      <c r="H442" s="648"/>
      <c r="I442" s="538"/>
      <c r="J442" s="751" t="s">
        <v>4085</v>
      </c>
      <c r="K442" s="652"/>
      <c r="L442" s="652"/>
      <c r="M442" s="652"/>
      <c r="N442" s="652"/>
      <c r="O442" s="652"/>
      <c r="P442" s="648"/>
    </row>
    <row r="443" spans="1:16" ht="18" customHeight="1" x14ac:dyDescent="0.25">
      <c r="A443" s="513"/>
      <c r="B443" s="539" t="s">
        <v>48</v>
      </c>
      <c r="C443" s="539" t="s">
        <v>76</v>
      </c>
      <c r="D443" s="539" t="s">
        <v>2561</v>
      </c>
      <c r="E443" s="539" t="s">
        <v>1229</v>
      </c>
      <c r="F443" s="539" t="s">
        <v>3953</v>
      </c>
      <c r="G443" s="539" t="s">
        <v>3954</v>
      </c>
      <c r="H443" s="539" t="s">
        <v>3955</v>
      </c>
      <c r="I443" s="513"/>
      <c r="J443" s="540" t="s">
        <v>48</v>
      </c>
      <c r="K443" s="540" t="s">
        <v>76</v>
      </c>
      <c r="L443" s="540" t="s">
        <v>3956</v>
      </c>
      <c r="M443" s="540" t="s">
        <v>3957</v>
      </c>
      <c r="N443" s="540" t="s">
        <v>3958</v>
      </c>
      <c r="O443" s="540" t="s">
        <v>3959</v>
      </c>
      <c r="P443" s="540" t="s">
        <v>3960</v>
      </c>
    </row>
    <row r="444" spans="1:16" ht="17.100000000000001" customHeight="1" x14ac:dyDescent="0.25">
      <c r="A444" s="513"/>
      <c r="B444" s="541">
        <v>1</v>
      </c>
      <c r="C444" s="541" t="s">
        <v>86</v>
      </c>
      <c r="D444" s="541" t="s">
        <v>561</v>
      </c>
      <c r="E444" s="542" t="s">
        <v>1263</v>
      </c>
      <c r="F444" s="542" t="s">
        <v>569</v>
      </c>
      <c r="G444" s="543">
        <v>48</v>
      </c>
      <c r="H444" s="544">
        <v>149000</v>
      </c>
      <c r="I444" s="513"/>
      <c r="J444" s="541">
        <v>1</v>
      </c>
      <c r="K444" s="541" t="s">
        <v>86</v>
      </c>
      <c r="L444" s="542" t="s">
        <v>1096</v>
      </c>
      <c r="M444" s="543">
        <v>0</v>
      </c>
      <c r="N444" s="544">
        <v>0</v>
      </c>
      <c r="O444" s="544">
        <v>0</v>
      </c>
      <c r="P444" s="541" t="s">
        <v>3961</v>
      </c>
    </row>
    <row r="445" spans="1:16" ht="17.100000000000001" customHeight="1" x14ac:dyDescent="0.25">
      <c r="A445" s="513"/>
      <c r="B445" s="541">
        <v>18</v>
      </c>
      <c r="C445" s="541" t="s">
        <v>127</v>
      </c>
      <c r="D445" s="541" t="s">
        <v>765</v>
      </c>
      <c r="E445" s="542" t="s">
        <v>1263</v>
      </c>
      <c r="F445" s="542" t="s">
        <v>767</v>
      </c>
      <c r="G445" s="543">
        <v>48</v>
      </c>
      <c r="H445" s="544">
        <v>149000</v>
      </c>
      <c r="I445" s="513"/>
      <c r="J445" s="541">
        <v>2</v>
      </c>
      <c r="K445" s="541" t="s">
        <v>88</v>
      </c>
      <c r="L445" s="542" t="s">
        <v>1096</v>
      </c>
      <c r="M445" s="543">
        <v>5</v>
      </c>
      <c r="N445" s="544">
        <v>4630</v>
      </c>
      <c r="O445" s="544">
        <v>25000</v>
      </c>
      <c r="P445" s="541" t="s">
        <v>3961</v>
      </c>
    </row>
    <row r="446" spans="1:16" ht="17.100000000000001" customHeight="1" x14ac:dyDescent="0.25">
      <c r="A446" s="513"/>
      <c r="B446" s="545"/>
      <c r="C446" s="545"/>
      <c r="D446" s="545"/>
      <c r="E446" s="545"/>
      <c r="F446" s="545"/>
      <c r="G446" s="553"/>
      <c r="H446" s="554"/>
      <c r="I446" s="513"/>
      <c r="J446" s="541">
        <v>3</v>
      </c>
      <c r="K446" s="541" t="s">
        <v>90</v>
      </c>
      <c r="L446" s="542" t="s">
        <v>1096</v>
      </c>
      <c r="M446" s="543">
        <v>4</v>
      </c>
      <c r="N446" s="544">
        <v>4630</v>
      </c>
      <c r="O446" s="544">
        <v>20000</v>
      </c>
      <c r="P446" s="541" t="s">
        <v>3961</v>
      </c>
    </row>
    <row r="447" spans="1:16" ht="17.100000000000001" customHeight="1" x14ac:dyDescent="0.25">
      <c r="A447" s="513"/>
      <c r="B447" s="545"/>
      <c r="C447" s="545"/>
      <c r="D447" s="545"/>
      <c r="E447" s="545"/>
      <c r="F447" s="545"/>
      <c r="G447" s="553"/>
      <c r="H447" s="554"/>
      <c r="I447" s="513"/>
      <c r="J447" s="541">
        <v>4</v>
      </c>
      <c r="K447" s="541" t="s">
        <v>92</v>
      </c>
      <c r="L447" s="542" t="s">
        <v>1096</v>
      </c>
      <c r="M447" s="543">
        <v>2</v>
      </c>
      <c r="N447" s="544">
        <v>4630</v>
      </c>
      <c r="O447" s="544">
        <v>10000</v>
      </c>
      <c r="P447" s="541" t="s">
        <v>3961</v>
      </c>
    </row>
    <row r="448" spans="1:16" ht="17.100000000000001" customHeight="1" x14ac:dyDescent="0.25">
      <c r="A448" s="513"/>
      <c r="B448" s="545"/>
      <c r="C448" s="545"/>
      <c r="D448" s="545"/>
      <c r="E448" s="545"/>
      <c r="F448" s="545"/>
      <c r="G448" s="553"/>
      <c r="H448" s="554"/>
      <c r="I448" s="513"/>
      <c r="J448" s="541">
        <v>5</v>
      </c>
      <c r="K448" s="541" t="s">
        <v>94</v>
      </c>
      <c r="L448" s="542" t="s">
        <v>1096</v>
      </c>
      <c r="M448" s="543">
        <v>5</v>
      </c>
      <c r="N448" s="544">
        <v>4630</v>
      </c>
      <c r="O448" s="544">
        <v>25000</v>
      </c>
      <c r="P448" s="541" t="s">
        <v>3961</v>
      </c>
    </row>
    <row r="449" spans="1:16" ht="17.100000000000001" customHeight="1" x14ac:dyDescent="0.25">
      <c r="A449" s="513"/>
      <c r="B449" s="545"/>
      <c r="C449" s="545"/>
      <c r="D449" s="545"/>
      <c r="E449" s="545"/>
      <c r="F449" s="545"/>
      <c r="G449" s="553"/>
      <c r="H449" s="554"/>
      <c r="I449" s="513"/>
      <c r="J449" s="541">
        <v>6</v>
      </c>
      <c r="K449" s="541" t="s">
        <v>96</v>
      </c>
      <c r="L449" s="542" t="s">
        <v>1096</v>
      </c>
      <c r="M449" s="543">
        <v>12</v>
      </c>
      <c r="N449" s="544">
        <v>4630</v>
      </c>
      <c r="O449" s="544">
        <v>60000</v>
      </c>
      <c r="P449" s="541" t="s">
        <v>3961</v>
      </c>
    </row>
    <row r="450" spans="1:16" ht="17.100000000000001" customHeight="1" x14ac:dyDescent="0.25">
      <c r="A450" s="513"/>
      <c r="B450" s="545"/>
      <c r="C450" s="545"/>
      <c r="D450" s="545"/>
      <c r="E450" s="545"/>
      <c r="F450" s="545"/>
      <c r="G450" s="545"/>
      <c r="H450" s="545"/>
      <c r="I450" s="513"/>
      <c r="J450" s="541">
        <v>8</v>
      </c>
      <c r="K450" s="541" t="s">
        <v>100</v>
      </c>
      <c r="L450" s="542" t="s">
        <v>1096</v>
      </c>
      <c r="M450" s="543">
        <v>1</v>
      </c>
      <c r="N450" s="544">
        <v>4630</v>
      </c>
      <c r="O450" s="544">
        <v>5000</v>
      </c>
      <c r="P450" s="541" t="s">
        <v>3961</v>
      </c>
    </row>
    <row r="451" spans="1:16" ht="17.100000000000001" customHeight="1" x14ac:dyDescent="0.25">
      <c r="A451" s="513"/>
      <c r="B451" s="545"/>
      <c r="C451" s="545"/>
      <c r="D451" s="545"/>
      <c r="E451" s="545"/>
      <c r="F451" s="545"/>
      <c r="G451" s="545"/>
      <c r="H451" s="545"/>
      <c r="I451" s="513"/>
      <c r="J451" s="541">
        <v>9</v>
      </c>
      <c r="K451" s="541" t="s">
        <v>102</v>
      </c>
      <c r="L451" s="542" t="s">
        <v>1096</v>
      </c>
      <c r="M451" s="543">
        <v>4</v>
      </c>
      <c r="N451" s="544">
        <v>4630</v>
      </c>
      <c r="O451" s="544">
        <v>20000</v>
      </c>
      <c r="P451" s="541" t="s">
        <v>3961</v>
      </c>
    </row>
    <row r="452" spans="1:16" ht="17.100000000000001" customHeight="1" x14ac:dyDescent="0.25">
      <c r="A452" s="513"/>
      <c r="B452" s="545"/>
      <c r="C452" s="545"/>
      <c r="D452" s="545"/>
      <c r="E452" s="545"/>
      <c r="F452" s="545"/>
      <c r="G452" s="545"/>
      <c r="H452" s="545"/>
      <c r="I452" s="513"/>
      <c r="J452" s="541">
        <v>10</v>
      </c>
      <c r="K452" s="541" t="s">
        <v>103</v>
      </c>
      <c r="L452" s="542" t="s">
        <v>1096</v>
      </c>
      <c r="M452" s="543">
        <v>4</v>
      </c>
      <c r="N452" s="544">
        <v>4630</v>
      </c>
      <c r="O452" s="544">
        <v>20000</v>
      </c>
      <c r="P452" s="541" t="s">
        <v>3961</v>
      </c>
    </row>
    <row r="453" spans="1:16" ht="17.100000000000001" customHeight="1" x14ac:dyDescent="0.25">
      <c r="A453" s="513"/>
      <c r="B453" s="545"/>
      <c r="C453" s="545"/>
      <c r="D453" s="545"/>
      <c r="E453" s="545"/>
      <c r="F453" s="545"/>
      <c r="G453" s="545"/>
      <c r="H453" s="545"/>
      <c r="I453" s="513"/>
      <c r="J453" s="541">
        <v>12</v>
      </c>
      <c r="K453" s="541" t="s">
        <v>106</v>
      </c>
      <c r="L453" s="542" t="s">
        <v>1096</v>
      </c>
      <c r="M453" s="543">
        <v>7</v>
      </c>
      <c r="N453" s="544">
        <v>4630</v>
      </c>
      <c r="O453" s="544">
        <v>35000</v>
      </c>
      <c r="P453" s="541" t="s">
        <v>3961</v>
      </c>
    </row>
    <row r="454" spans="1:16" ht="17.100000000000001" customHeight="1" x14ac:dyDescent="0.25">
      <c r="A454" s="513"/>
      <c r="B454" s="545"/>
      <c r="C454" s="545"/>
      <c r="D454" s="545"/>
      <c r="E454" s="545"/>
      <c r="F454" s="545"/>
      <c r="G454" s="545"/>
      <c r="H454" s="545"/>
      <c r="I454" s="513"/>
      <c r="J454" s="541">
        <v>13</v>
      </c>
      <c r="K454" s="541" t="s">
        <v>112</v>
      </c>
      <c r="L454" s="542" t="s">
        <v>1096</v>
      </c>
      <c r="M454" s="543">
        <v>2</v>
      </c>
      <c r="N454" s="544">
        <v>4630</v>
      </c>
      <c r="O454" s="544">
        <v>10000</v>
      </c>
      <c r="P454" s="541" t="s">
        <v>3961</v>
      </c>
    </row>
    <row r="455" spans="1:16" ht="17.100000000000001" customHeight="1" x14ac:dyDescent="0.25">
      <c r="A455" s="513"/>
      <c r="B455" s="545"/>
      <c r="C455" s="545"/>
      <c r="D455" s="545"/>
      <c r="E455" s="545"/>
      <c r="F455" s="545"/>
      <c r="G455" s="545"/>
      <c r="H455" s="545"/>
      <c r="I455" s="513"/>
      <c r="J455" s="541">
        <v>15</v>
      </c>
      <c r="K455" s="541" t="s">
        <v>118</v>
      </c>
      <c r="L455" s="542" t="s">
        <v>1096</v>
      </c>
      <c r="M455" s="543">
        <v>6</v>
      </c>
      <c r="N455" s="544">
        <v>4630</v>
      </c>
      <c r="O455" s="544">
        <v>30000</v>
      </c>
      <c r="P455" s="541" t="s">
        <v>3961</v>
      </c>
    </row>
    <row r="456" spans="1:16" ht="17.100000000000001" customHeight="1" x14ac:dyDescent="0.25">
      <c r="A456" s="513"/>
      <c r="B456" s="545"/>
      <c r="C456" s="545"/>
      <c r="D456" s="545"/>
      <c r="E456" s="545"/>
      <c r="F456" s="545"/>
      <c r="G456" s="545"/>
      <c r="H456" s="545"/>
      <c r="I456" s="513"/>
      <c r="J456" s="541">
        <v>18</v>
      </c>
      <c r="K456" s="541" t="s">
        <v>127</v>
      </c>
      <c r="L456" s="542" t="s">
        <v>1096</v>
      </c>
      <c r="M456" s="543">
        <v>2</v>
      </c>
      <c r="N456" s="544">
        <v>4630</v>
      </c>
      <c r="O456" s="544">
        <v>10000</v>
      </c>
      <c r="P456" s="541" t="s">
        <v>3961</v>
      </c>
    </row>
    <row r="457" spans="1:16" ht="17.100000000000001" customHeight="1" x14ac:dyDescent="0.25">
      <c r="A457" s="513"/>
      <c r="B457" s="545"/>
      <c r="C457" s="545"/>
      <c r="D457" s="545"/>
      <c r="E457" s="545"/>
      <c r="F457" s="545"/>
      <c r="G457" s="545"/>
      <c r="H457" s="545"/>
      <c r="I457" s="513"/>
      <c r="J457" s="541">
        <v>19</v>
      </c>
      <c r="K457" s="541" t="s">
        <v>130</v>
      </c>
      <c r="L457" s="542" t="s">
        <v>1096</v>
      </c>
      <c r="M457" s="543">
        <v>7</v>
      </c>
      <c r="N457" s="544">
        <v>4630</v>
      </c>
      <c r="O457" s="544">
        <v>35000</v>
      </c>
      <c r="P457" s="541" t="s">
        <v>3961</v>
      </c>
    </row>
    <row r="458" spans="1:16" ht="17.100000000000001" customHeight="1" x14ac:dyDescent="0.25">
      <c r="A458" s="513"/>
      <c r="B458" s="545"/>
      <c r="C458" s="545"/>
      <c r="D458" s="545"/>
      <c r="E458" s="545"/>
      <c r="F458" s="545"/>
      <c r="G458" s="553"/>
      <c r="H458" s="554"/>
      <c r="I458" s="513"/>
      <c r="J458" s="541">
        <v>20</v>
      </c>
      <c r="K458" s="541" t="s">
        <v>133</v>
      </c>
      <c r="L458" s="542" t="s">
        <v>1096</v>
      </c>
      <c r="M458" s="543">
        <v>10</v>
      </c>
      <c r="N458" s="544">
        <v>4630</v>
      </c>
      <c r="O458" s="544">
        <v>50000</v>
      </c>
      <c r="P458" s="541" t="s">
        <v>3961</v>
      </c>
    </row>
    <row r="459" spans="1:16" ht="18.95" customHeight="1" x14ac:dyDescent="0.25">
      <c r="A459" s="513"/>
      <c r="B459" s="761" t="s">
        <v>4086</v>
      </c>
      <c r="C459" s="652"/>
      <c r="D459" s="652"/>
      <c r="E459" s="652"/>
      <c r="F459" s="648"/>
      <c r="G459" s="546">
        <v>96</v>
      </c>
      <c r="H459" s="547">
        <v>298000</v>
      </c>
      <c r="I459" s="513"/>
      <c r="J459" s="761" t="s">
        <v>4087</v>
      </c>
      <c r="K459" s="652"/>
      <c r="L459" s="648"/>
      <c r="M459" s="546">
        <v>71</v>
      </c>
      <c r="N459" s="555" t="s">
        <v>44</v>
      </c>
      <c r="O459" s="547">
        <v>355000</v>
      </c>
      <c r="P459" s="548" t="s">
        <v>44</v>
      </c>
    </row>
    <row r="460" spans="1:16" ht="21.95" customHeight="1" x14ac:dyDescent="0.25">
      <c r="A460" s="513"/>
      <c r="B460" s="513"/>
      <c r="C460" s="513"/>
      <c r="D460" s="513"/>
      <c r="E460" s="513"/>
      <c r="F460" s="513"/>
      <c r="G460" s="513"/>
      <c r="H460" s="513"/>
      <c r="I460" s="513"/>
      <c r="J460" s="513"/>
      <c r="K460" s="513"/>
      <c r="L460" s="513"/>
      <c r="M460" s="513"/>
      <c r="N460" s="513"/>
      <c r="O460" s="513"/>
      <c r="P460" s="513"/>
    </row>
    <row r="461" spans="1:16" ht="21.95" customHeight="1" x14ac:dyDescent="0.25">
      <c r="A461" s="513"/>
      <c r="B461" s="513"/>
      <c r="C461" s="513"/>
      <c r="D461" s="513"/>
      <c r="E461" s="513"/>
      <c r="F461" s="513"/>
      <c r="G461" s="513"/>
      <c r="H461" s="513"/>
      <c r="I461" s="513"/>
      <c r="J461" s="513"/>
      <c r="K461" s="513"/>
      <c r="L461" s="513"/>
      <c r="M461" s="513"/>
      <c r="N461" s="513"/>
      <c r="O461" s="513"/>
      <c r="P461" s="513"/>
    </row>
    <row r="462" spans="1:16" ht="15.95" customHeight="1" x14ac:dyDescent="0.25">
      <c r="A462" s="513"/>
      <c r="B462" s="513"/>
      <c r="C462" s="513"/>
      <c r="D462" s="513"/>
      <c r="E462" s="513"/>
      <c r="F462" s="513"/>
      <c r="G462" s="513"/>
      <c r="H462" s="513"/>
      <c r="I462" s="513"/>
      <c r="J462" s="513"/>
      <c r="K462" s="513"/>
      <c r="L462" s="513"/>
      <c r="M462" s="513"/>
      <c r="N462" s="513"/>
      <c r="O462" s="513"/>
      <c r="P462" s="513"/>
    </row>
    <row r="463" spans="1:16" ht="20.100000000000001" customHeight="1" x14ac:dyDescent="0.25">
      <c r="A463" s="513"/>
      <c r="B463" s="513"/>
      <c r="C463" s="513"/>
      <c r="D463" s="513"/>
      <c r="E463" s="513"/>
      <c r="F463" s="513"/>
      <c r="G463" s="513"/>
      <c r="H463" s="513"/>
      <c r="I463" s="513"/>
      <c r="J463" s="513"/>
      <c r="K463" s="513"/>
      <c r="L463" s="513"/>
      <c r="M463" s="513"/>
      <c r="N463" s="513"/>
      <c r="O463" s="513"/>
      <c r="P463" s="513"/>
    </row>
    <row r="464" spans="1:16" ht="18" customHeight="1" x14ac:dyDescent="0.25">
      <c r="A464" s="513"/>
      <c r="B464" s="513"/>
      <c r="C464" s="513"/>
      <c r="D464" s="513"/>
      <c r="E464" s="513"/>
      <c r="F464" s="513"/>
      <c r="G464" s="549"/>
      <c r="H464" s="550"/>
      <c r="I464" s="513"/>
      <c r="J464" s="513"/>
      <c r="K464" s="513"/>
      <c r="L464" s="513"/>
      <c r="M464" s="549"/>
      <c r="N464" s="550"/>
      <c r="O464" s="550"/>
      <c r="P464" s="513"/>
    </row>
    <row r="465" spans="1:16" ht="17.100000000000001" customHeight="1" x14ac:dyDescent="0.25">
      <c r="A465" s="513"/>
      <c r="B465" s="513"/>
      <c r="C465" s="513"/>
      <c r="D465" s="513"/>
      <c r="E465" s="513"/>
      <c r="F465" s="513"/>
      <c r="G465" s="549"/>
      <c r="H465" s="550"/>
      <c r="I465" s="513"/>
      <c r="J465" s="513"/>
      <c r="K465" s="513"/>
      <c r="L465" s="513"/>
      <c r="M465" s="549"/>
      <c r="N465" s="550"/>
      <c r="O465" s="550"/>
      <c r="P465" s="513"/>
    </row>
    <row r="466" spans="1:16" ht="17.100000000000001" customHeight="1" x14ac:dyDescent="0.25">
      <c r="A466" s="513"/>
      <c r="B466" s="513"/>
      <c r="C466" s="513"/>
      <c r="D466" s="513"/>
      <c r="E466" s="513"/>
      <c r="F466" s="513"/>
      <c r="G466" s="549"/>
      <c r="H466" s="550"/>
      <c r="I466" s="513"/>
      <c r="J466" s="513"/>
      <c r="K466" s="513"/>
      <c r="L466" s="513"/>
      <c r="M466" s="549"/>
      <c r="N466" s="550"/>
      <c r="O466" s="550"/>
      <c r="P466" s="513"/>
    </row>
    <row r="467" spans="1:16" ht="17.100000000000001" customHeight="1" x14ac:dyDescent="0.25">
      <c r="A467" s="513"/>
      <c r="B467" s="513"/>
      <c r="C467" s="513"/>
      <c r="D467" s="513"/>
      <c r="E467" s="513"/>
      <c r="F467" s="513"/>
      <c r="G467" s="513"/>
      <c r="H467" s="513"/>
      <c r="I467" s="513"/>
      <c r="J467" s="513"/>
      <c r="K467" s="513"/>
      <c r="L467" s="513"/>
      <c r="M467" s="549"/>
      <c r="N467" s="550"/>
      <c r="O467" s="550"/>
      <c r="P467" s="513"/>
    </row>
    <row r="468" spans="1:16" ht="17.100000000000001" customHeight="1" x14ac:dyDescent="0.25">
      <c r="A468" s="513"/>
      <c r="B468" s="513"/>
      <c r="C468" s="513"/>
      <c r="D468" s="513"/>
      <c r="E468" s="513"/>
      <c r="F468" s="513"/>
      <c r="G468" s="549"/>
      <c r="H468" s="550"/>
      <c r="I468" s="513"/>
      <c r="J468" s="513"/>
      <c r="K468" s="513"/>
      <c r="L468" s="513"/>
      <c r="M468" s="549"/>
      <c r="N468" s="550"/>
      <c r="O468" s="550"/>
      <c r="P468" s="513"/>
    </row>
    <row r="469" spans="1:16" ht="17.100000000000001" customHeight="1" x14ac:dyDescent="0.25">
      <c r="A469" s="513"/>
      <c r="B469" s="513"/>
      <c r="C469" s="513"/>
      <c r="D469" s="513"/>
      <c r="E469" s="513"/>
      <c r="F469" s="513"/>
      <c r="G469" s="549"/>
      <c r="H469" s="550"/>
      <c r="I469" s="513"/>
      <c r="J469" s="513"/>
      <c r="K469" s="513"/>
      <c r="L469" s="513"/>
      <c r="M469" s="549"/>
      <c r="N469" s="550"/>
      <c r="O469" s="550"/>
      <c r="P469" s="513"/>
    </row>
    <row r="470" spans="1:16" ht="17.100000000000001" customHeight="1" x14ac:dyDescent="0.25">
      <c r="A470" s="513"/>
      <c r="B470" s="513"/>
      <c r="C470" s="513"/>
      <c r="D470" s="513"/>
      <c r="E470" s="513"/>
      <c r="F470" s="513"/>
      <c r="G470" s="513"/>
      <c r="H470" s="513"/>
      <c r="I470" s="513"/>
      <c r="J470" s="513"/>
      <c r="K470" s="513"/>
      <c r="L470" s="513"/>
      <c r="M470" s="549"/>
      <c r="N470" s="550"/>
      <c r="O470" s="550"/>
      <c r="P470" s="513"/>
    </row>
    <row r="471" spans="1:16" ht="17.100000000000001" customHeight="1" x14ac:dyDescent="0.25">
      <c r="A471" s="513"/>
      <c r="B471" s="513"/>
      <c r="C471" s="513"/>
      <c r="D471" s="513"/>
      <c r="E471" s="513"/>
      <c r="F471" s="513"/>
      <c r="G471" s="513"/>
      <c r="H471" s="513"/>
      <c r="I471" s="513"/>
      <c r="J471" s="513"/>
      <c r="K471" s="513"/>
      <c r="L471" s="513"/>
      <c r="M471" s="549"/>
      <c r="N471" s="550"/>
      <c r="O471" s="550"/>
      <c r="P471" s="513"/>
    </row>
    <row r="472" spans="1:16" ht="17.100000000000001" customHeight="1" x14ac:dyDescent="0.25">
      <c r="A472" s="513"/>
      <c r="B472" s="513"/>
      <c r="C472" s="513"/>
      <c r="D472" s="513"/>
      <c r="E472" s="513"/>
      <c r="F472" s="513"/>
      <c r="G472" s="513"/>
      <c r="H472" s="513"/>
      <c r="I472" s="513"/>
      <c r="J472" s="513"/>
      <c r="K472" s="513"/>
      <c r="L472" s="513"/>
      <c r="M472" s="549"/>
      <c r="N472" s="550"/>
      <c r="O472" s="550"/>
      <c r="P472" s="513"/>
    </row>
    <row r="473" spans="1:16" ht="17.100000000000001" customHeight="1" x14ac:dyDescent="0.25">
      <c r="A473" s="513"/>
      <c r="B473" s="513"/>
      <c r="C473" s="513"/>
      <c r="D473" s="513"/>
      <c r="E473" s="513"/>
      <c r="F473" s="513"/>
      <c r="G473" s="513"/>
      <c r="H473" s="513"/>
      <c r="I473" s="513"/>
      <c r="J473" s="513"/>
      <c r="K473" s="513"/>
      <c r="L473" s="513"/>
      <c r="M473" s="549"/>
      <c r="N473" s="550"/>
      <c r="O473" s="550"/>
      <c r="P473" s="513"/>
    </row>
    <row r="474" spans="1:16" ht="17.100000000000001" customHeight="1" x14ac:dyDescent="0.25">
      <c r="A474" s="513"/>
      <c r="B474" s="513"/>
      <c r="C474" s="513"/>
      <c r="D474" s="513"/>
      <c r="E474" s="513"/>
      <c r="F474" s="513"/>
      <c r="G474" s="513"/>
      <c r="H474" s="513"/>
      <c r="I474" s="513"/>
      <c r="J474" s="513"/>
      <c r="K474" s="513"/>
      <c r="L474" s="513"/>
      <c r="M474" s="549"/>
      <c r="N474" s="550"/>
      <c r="O474" s="550"/>
      <c r="P474" s="513"/>
    </row>
    <row r="475" spans="1:16" ht="17.100000000000001" customHeight="1" x14ac:dyDescent="0.25">
      <c r="A475" s="513"/>
      <c r="B475" s="513"/>
      <c r="C475" s="513"/>
      <c r="D475" s="513"/>
      <c r="E475" s="513"/>
      <c r="F475" s="513"/>
      <c r="G475" s="513"/>
      <c r="H475" s="513"/>
      <c r="I475" s="513"/>
      <c r="J475" s="513"/>
      <c r="K475" s="513"/>
      <c r="L475" s="513"/>
      <c r="M475" s="549"/>
      <c r="N475" s="550"/>
      <c r="O475" s="550"/>
      <c r="P475" s="513"/>
    </row>
    <row r="476" spans="1:16" ht="17.100000000000001" customHeight="1" x14ac:dyDescent="0.25">
      <c r="A476" s="513"/>
      <c r="B476" s="513"/>
      <c r="C476" s="513"/>
      <c r="D476" s="513"/>
      <c r="E476" s="513"/>
      <c r="F476" s="513"/>
      <c r="G476" s="513"/>
      <c r="H476" s="513"/>
      <c r="I476" s="513"/>
      <c r="J476" s="513"/>
      <c r="K476" s="513"/>
      <c r="L476" s="513"/>
      <c r="M476" s="549"/>
      <c r="N476" s="550"/>
      <c r="O476" s="550"/>
      <c r="P476" s="513"/>
    </row>
    <row r="477" spans="1:16" ht="17.100000000000001" customHeight="1" x14ac:dyDescent="0.25">
      <c r="A477" s="513"/>
      <c r="B477" s="513"/>
      <c r="C477" s="513"/>
      <c r="D477" s="513"/>
      <c r="E477" s="513"/>
      <c r="F477" s="513"/>
      <c r="G477" s="513"/>
      <c r="H477" s="513"/>
      <c r="I477" s="513"/>
      <c r="J477" s="513"/>
      <c r="K477" s="513"/>
      <c r="L477" s="513"/>
      <c r="M477" s="549"/>
      <c r="N477" s="550"/>
      <c r="O477" s="550"/>
      <c r="P477" s="513"/>
    </row>
    <row r="478" spans="1:16" ht="17.100000000000001" customHeight="1" x14ac:dyDescent="0.25">
      <c r="A478" s="513"/>
      <c r="B478" s="513"/>
      <c r="C478" s="513"/>
      <c r="D478" s="513"/>
      <c r="E478" s="513"/>
      <c r="F478" s="513"/>
      <c r="G478" s="513"/>
      <c r="H478" s="513"/>
      <c r="I478" s="513"/>
      <c r="J478" s="513"/>
      <c r="K478" s="513"/>
      <c r="L478" s="513"/>
      <c r="M478" s="549"/>
      <c r="N478" s="550"/>
      <c r="O478" s="550"/>
      <c r="P478" s="513"/>
    </row>
    <row r="479" spans="1:16" ht="18.95" customHeight="1" x14ac:dyDescent="0.25">
      <c r="A479" s="513"/>
      <c r="B479" s="513"/>
      <c r="C479" s="513"/>
      <c r="D479" s="513"/>
      <c r="E479" s="513"/>
      <c r="F479" s="513"/>
      <c r="G479" s="549"/>
      <c r="H479" s="550"/>
      <c r="I479" s="513"/>
      <c r="J479" s="513"/>
      <c r="K479" s="513"/>
      <c r="L479" s="513"/>
      <c r="M479" s="549"/>
      <c r="N479" s="550"/>
      <c r="O479" s="550"/>
      <c r="P479" s="513"/>
    </row>
    <row r="480" spans="1:16" ht="17.100000000000001" customHeight="1" x14ac:dyDescent="0.25">
      <c r="A480" s="513"/>
      <c r="B480" s="513"/>
      <c r="C480" s="513"/>
      <c r="D480" s="513"/>
      <c r="E480" s="513"/>
      <c r="F480" s="513"/>
      <c r="G480" s="513"/>
      <c r="H480" s="513"/>
      <c r="I480" s="513"/>
      <c r="J480" s="513"/>
      <c r="K480" s="513"/>
      <c r="L480" s="513"/>
      <c r="M480" s="549"/>
      <c r="N480" s="550"/>
      <c r="O480" s="550"/>
      <c r="P480" s="513"/>
    </row>
    <row r="481" spans="1:16" ht="21.95" customHeight="1" x14ac:dyDescent="0.25">
      <c r="A481" s="513"/>
      <c r="B481" s="513"/>
      <c r="C481" s="513"/>
      <c r="D481" s="513"/>
      <c r="E481" s="513"/>
      <c r="F481" s="513"/>
      <c r="G481" s="513"/>
      <c r="H481" s="513"/>
      <c r="I481" s="513"/>
      <c r="J481" s="513"/>
      <c r="K481" s="513"/>
      <c r="L481" s="513"/>
      <c r="M481" s="513"/>
      <c r="N481" s="513"/>
      <c r="O481" s="513"/>
      <c r="P481" s="513"/>
    </row>
    <row r="482" spans="1:16" ht="15.95" customHeight="1" x14ac:dyDescent="0.25">
      <c r="A482" s="513"/>
      <c r="B482" s="513"/>
      <c r="C482" s="513"/>
      <c r="D482" s="513"/>
      <c r="E482" s="513"/>
      <c r="F482" s="513"/>
      <c r="G482" s="513"/>
      <c r="H482" s="513"/>
      <c r="I482" s="513"/>
      <c r="J482" s="513"/>
      <c r="K482" s="513"/>
      <c r="L482" s="513"/>
      <c r="M482" s="513"/>
      <c r="N482" s="513"/>
      <c r="O482" s="513"/>
      <c r="P482" s="513"/>
    </row>
    <row r="483" spans="1:16" ht="20.100000000000001" customHeight="1" x14ac:dyDescent="0.25">
      <c r="A483" s="513"/>
      <c r="B483" s="513"/>
      <c r="C483" s="513"/>
      <c r="D483" s="513"/>
      <c r="E483" s="513"/>
      <c r="F483" s="513"/>
      <c r="G483" s="513"/>
      <c r="H483" s="513"/>
      <c r="I483" s="513"/>
      <c r="J483" s="513"/>
      <c r="K483" s="513"/>
      <c r="L483" s="513"/>
      <c r="M483" s="513"/>
      <c r="N483" s="513"/>
      <c r="O483" s="513"/>
      <c r="P483" s="513"/>
    </row>
    <row r="484" spans="1:16" ht="18" customHeight="1" x14ac:dyDescent="0.25">
      <c r="A484" s="513"/>
      <c r="B484" s="513"/>
      <c r="C484" s="513"/>
      <c r="D484" s="513"/>
      <c r="E484" s="513"/>
      <c r="F484" s="513"/>
      <c r="G484" s="513"/>
      <c r="H484" s="513"/>
      <c r="I484" s="513"/>
      <c r="J484" s="513"/>
      <c r="K484" s="513"/>
      <c r="L484" s="513"/>
      <c r="M484" s="513"/>
      <c r="N484" s="513"/>
      <c r="O484" s="513"/>
      <c r="P484" s="513"/>
    </row>
    <row r="485" spans="1:16" ht="17.100000000000001" customHeight="1" x14ac:dyDescent="0.25">
      <c r="A485" s="513"/>
      <c r="B485" s="513"/>
      <c r="C485" s="513"/>
      <c r="D485" s="513"/>
      <c r="E485" s="513"/>
      <c r="F485" s="513"/>
      <c r="G485" s="549"/>
      <c r="H485" s="550"/>
      <c r="I485" s="513"/>
      <c r="J485" s="513"/>
      <c r="K485" s="513"/>
      <c r="L485" s="513"/>
      <c r="M485" s="549"/>
      <c r="N485" s="550"/>
      <c r="O485" s="550"/>
      <c r="P485" s="513"/>
    </row>
    <row r="486" spans="1:16" ht="17.100000000000001" customHeight="1" x14ac:dyDescent="0.25">
      <c r="A486" s="513"/>
      <c r="B486" s="513"/>
      <c r="C486" s="513"/>
      <c r="D486" s="513"/>
      <c r="E486" s="513"/>
      <c r="F486" s="513"/>
      <c r="G486" s="549"/>
      <c r="H486" s="550"/>
      <c r="I486" s="513"/>
      <c r="J486" s="513"/>
      <c r="K486" s="513"/>
      <c r="L486" s="513"/>
      <c r="M486" s="549"/>
      <c r="N486" s="550"/>
      <c r="O486" s="550"/>
      <c r="P486" s="513"/>
    </row>
    <row r="487" spans="1:16" ht="17.100000000000001" customHeight="1" x14ac:dyDescent="0.25">
      <c r="A487" s="513"/>
      <c r="B487" s="513"/>
      <c r="C487" s="513"/>
      <c r="D487" s="513"/>
      <c r="E487" s="513"/>
      <c r="F487" s="513"/>
      <c r="G487" s="513"/>
      <c r="H487" s="513"/>
      <c r="I487" s="513"/>
      <c r="J487" s="513"/>
      <c r="K487" s="513"/>
      <c r="L487" s="513"/>
      <c r="M487" s="549"/>
      <c r="N487" s="550"/>
      <c r="O487" s="550"/>
      <c r="P487" s="513"/>
    </row>
    <row r="488" spans="1:16" ht="17.100000000000001" customHeight="1" x14ac:dyDescent="0.25">
      <c r="A488" s="513"/>
      <c r="B488" s="513"/>
      <c r="C488" s="513"/>
      <c r="D488" s="513"/>
      <c r="E488" s="513"/>
      <c r="F488" s="513"/>
      <c r="G488" s="513"/>
      <c r="H488" s="513"/>
      <c r="I488" s="513"/>
      <c r="J488" s="513"/>
      <c r="K488" s="513"/>
      <c r="L488" s="513"/>
      <c r="M488" s="549"/>
      <c r="N488" s="550"/>
      <c r="O488" s="550"/>
      <c r="P488" s="513"/>
    </row>
    <row r="489" spans="1:16" ht="17.100000000000001" customHeight="1" x14ac:dyDescent="0.25">
      <c r="A489" s="513"/>
      <c r="B489" s="513"/>
      <c r="C489" s="513"/>
      <c r="D489" s="513"/>
      <c r="E489" s="513"/>
      <c r="F489" s="513"/>
      <c r="G489" s="513"/>
      <c r="H489" s="513"/>
      <c r="I489" s="513"/>
      <c r="J489" s="513"/>
      <c r="K489" s="513"/>
      <c r="L489" s="513"/>
      <c r="M489" s="549"/>
      <c r="N489" s="550"/>
      <c r="O489" s="550"/>
      <c r="P489" s="513"/>
    </row>
    <row r="490" spans="1:16" ht="17.100000000000001" customHeight="1" x14ac:dyDescent="0.25">
      <c r="A490" s="513"/>
      <c r="B490" s="513"/>
      <c r="C490" s="513"/>
      <c r="D490" s="513"/>
      <c r="E490" s="513"/>
      <c r="F490" s="513"/>
      <c r="G490" s="513"/>
      <c r="H490" s="513"/>
      <c r="I490" s="513"/>
      <c r="J490" s="513"/>
      <c r="K490" s="513"/>
      <c r="L490" s="513"/>
      <c r="M490" s="549"/>
      <c r="N490" s="550"/>
      <c r="O490" s="550"/>
      <c r="P490" s="513"/>
    </row>
    <row r="491" spans="1:16" ht="17.100000000000001" customHeight="1" x14ac:dyDescent="0.25">
      <c r="A491" s="513"/>
      <c r="B491" s="513"/>
      <c r="C491" s="513"/>
      <c r="D491" s="513"/>
      <c r="E491" s="513"/>
      <c r="F491" s="513"/>
      <c r="G491" s="513"/>
      <c r="H491" s="513"/>
      <c r="I491" s="513"/>
      <c r="J491" s="513"/>
      <c r="K491" s="513"/>
      <c r="L491" s="513"/>
      <c r="M491" s="549"/>
      <c r="N491" s="550"/>
      <c r="O491" s="550"/>
      <c r="P491" s="513"/>
    </row>
    <row r="492" spans="1:16" ht="17.100000000000001" customHeight="1" x14ac:dyDescent="0.25">
      <c r="A492" s="513"/>
      <c r="B492" s="513"/>
      <c r="C492" s="513"/>
      <c r="D492" s="513"/>
      <c r="E492" s="513"/>
      <c r="F492" s="513"/>
      <c r="G492" s="513"/>
      <c r="H492" s="513"/>
      <c r="I492" s="513"/>
      <c r="J492" s="513"/>
      <c r="K492" s="513"/>
      <c r="L492" s="513"/>
      <c r="M492" s="549"/>
      <c r="N492" s="550"/>
      <c r="O492" s="550"/>
      <c r="P492" s="513"/>
    </row>
    <row r="493" spans="1:16" ht="17.100000000000001" customHeight="1" x14ac:dyDescent="0.25">
      <c r="A493" s="513"/>
      <c r="B493" s="513"/>
      <c r="C493" s="513"/>
      <c r="D493" s="513"/>
      <c r="E493" s="513"/>
      <c r="F493" s="513"/>
      <c r="G493" s="513"/>
      <c r="H493" s="513"/>
      <c r="I493" s="513"/>
      <c r="J493" s="513"/>
      <c r="K493" s="513"/>
      <c r="L493" s="513"/>
      <c r="M493" s="549"/>
      <c r="N493" s="550"/>
      <c r="O493" s="550"/>
      <c r="P493" s="513"/>
    </row>
    <row r="494" spans="1:16" ht="17.100000000000001" customHeight="1" x14ac:dyDescent="0.25">
      <c r="A494" s="513"/>
      <c r="B494" s="513"/>
      <c r="C494" s="513"/>
      <c r="D494" s="513"/>
      <c r="E494" s="513"/>
      <c r="F494" s="513"/>
      <c r="G494" s="513"/>
      <c r="H494" s="513"/>
      <c r="I494" s="513"/>
      <c r="J494" s="513"/>
      <c r="K494" s="513"/>
      <c r="L494" s="513"/>
      <c r="M494" s="549"/>
      <c r="N494" s="550"/>
      <c r="O494" s="550"/>
      <c r="P494" s="513"/>
    </row>
    <row r="495" spans="1:16" ht="17.100000000000001" customHeight="1" x14ac:dyDescent="0.25">
      <c r="A495" s="513"/>
      <c r="B495" s="513"/>
      <c r="C495" s="513"/>
      <c r="D495" s="513"/>
      <c r="E495" s="513"/>
      <c r="F495" s="513"/>
      <c r="G495" s="513"/>
      <c r="H495" s="513"/>
      <c r="I495" s="513"/>
      <c r="J495" s="513"/>
      <c r="K495" s="513"/>
      <c r="L495" s="513"/>
      <c r="M495" s="549"/>
      <c r="N495" s="550"/>
      <c r="O495" s="550"/>
      <c r="P495" s="513"/>
    </row>
    <row r="496" spans="1:16" ht="17.100000000000001" customHeight="1" x14ac:dyDescent="0.25">
      <c r="A496" s="513"/>
      <c r="B496" s="513"/>
      <c r="C496" s="513"/>
      <c r="D496" s="513"/>
      <c r="E496" s="513"/>
      <c r="F496" s="513"/>
      <c r="G496" s="513"/>
      <c r="H496" s="513"/>
      <c r="I496" s="513"/>
      <c r="J496" s="513"/>
      <c r="K496" s="513"/>
      <c r="L496" s="513"/>
      <c r="M496" s="549"/>
      <c r="N496" s="550"/>
      <c r="O496" s="550"/>
      <c r="P496" s="513"/>
    </row>
    <row r="497" spans="1:16" ht="17.100000000000001" customHeight="1" x14ac:dyDescent="0.25">
      <c r="A497" s="513"/>
      <c r="B497" s="513"/>
      <c r="C497" s="513"/>
      <c r="D497" s="513"/>
      <c r="E497" s="513"/>
      <c r="F497" s="513"/>
      <c r="G497" s="513"/>
      <c r="H497" s="513"/>
      <c r="I497" s="513"/>
      <c r="J497" s="513"/>
      <c r="K497" s="513"/>
      <c r="L497" s="513"/>
      <c r="M497" s="549"/>
      <c r="N497" s="550"/>
      <c r="O497" s="550"/>
      <c r="P497" s="513"/>
    </row>
    <row r="498" spans="1:16" ht="17.100000000000001" customHeight="1" x14ac:dyDescent="0.25">
      <c r="A498" s="513"/>
      <c r="B498" s="513"/>
      <c r="C498" s="513"/>
      <c r="D498" s="513"/>
      <c r="E498" s="513"/>
      <c r="F498" s="513"/>
      <c r="G498" s="513"/>
      <c r="H498" s="513"/>
      <c r="I498" s="513"/>
      <c r="J498" s="513"/>
      <c r="K498" s="513"/>
      <c r="L498" s="513"/>
      <c r="M498" s="549"/>
      <c r="N498" s="550"/>
      <c r="O498" s="550"/>
      <c r="P498" s="513"/>
    </row>
    <row r="499" spans="1:16" ht="17.100000000000001" customHeight="1" x14ac:dyDescent="0.25">
      <c r="A499" s="513"/>
      <c r="B499" s="513"/>
      <c r="C499" s="513"/>
      <c r="D499" s="513"/>
      <c r="E499" s="513"/>
      <c r="F499" s="513"/>
      <c r="G499" s="513"/>
      <c r="H499" s="513"/>
      <c r="I499" s="513"/>
      <c r="J499" s="513"/>
      <c r="K499" s="513"/>
      <c r="L499" s="513"/>
      <c r="M499" s="549"/>
      <c r="N499" s="550"/>
      <c r="O499" s="550"/>
      <c r="P499" s="513"/>
    </row>
    <row r="500" spans="1:16" ht="18.95" customHeight="1" x14ac:dyDescent="0.25">
      <c r="A500" s="513"/>
      <c r="B500" s="513"/>
      <c r="C500" s="513"/>
      <c r="D500" s="513"/>
      <c r="E500" s="513"/>
      <c r="F500" s="513"/>
      <c r="G500" s="549"/>
      <c r="H500" s="550"/>
      <c r="I500" s="513"/>
      <c r="J500" s="513"/>
      <c r="K500" s="513"/>
      <c r="L500" s="513"/>
      <c r="M500" s="549"/>
      <c r="N500" s="513"/>
      <c r="O500" s="550"/>
      <c r="P500" s="513"/>
    </row>
  </sheetData>
  <autoFilter ref="B67:H67" xr:uid="{00000000-0009-0000-0000-00000E000000}"/>
  <mergeCells count="179">
    <mergeCell ref="J242:P242"/>
    <mergeCell ref="J245:L245"/>
    <mergeCell ref="B120:P120"/>
    <mergeCell ref="O6:P6"/>
    <mergeCell ref="B58:F58"/>
    <mergeCell ref="B180:F180"/>
    <mergeCell ref="J103:L103"/>
    <mergeCell ref="B238:F238"/>
    <mergeCell ref="D6:E6"/>
    <mergeCell ref="B171:P171"/>
    <mergeCell ref="J118:L118"/>
    <mergeCell ref="B441:P441"/>
    <mergeCell ref="J66:P66"/>
    <mergeCell ref="B39:P39"/>
    <mergeCell ref="F6:G6"/>
    <mergeCell ref="B142:H142"/>
    <mergeCell ref="J7:L7"/>
    <mergeCell ref="B368:H368"/>
    <mergeCell ref="B111:F111"/>
    <mergeCell ref="B244:H244"/>
    <mergeCell ref="B364:F364"/>
    <mergeCell ref="B106:P106"/>
    <mergeCell ref="J180:L180"/>
    <mergeCell ref="H63:J63"/>
    <mergeCell ref="J107:P107"/>
    <mergeCell ref="E62:G62"/>
    <mergeCell ref="B121:P121"/>
    <mergeCell ref="B340:F340"/>
    <mergeCell ref="B291:P291"/>
    <mergeCell ref="J391:P391"/>
    <mergeCell ref="B207:P207"/>
    <mergeCell ref="J263:L263"/>
    <mergeCell ref="B216:P216"/>
    <mergeCell ref="B343:P343"/>
    <mergeCell ref="B288:F288"/>
    <mergeCell ref="B442:H442"/>
    <mergeCell ref="B242:H242"/>
    <mergeCell ref="J438:L438"/>
    <mergeCell ref="B88:F88"/>
    <mergeCell ref="B183:P183"/>
    <mergeCell ref="B208:H208"/>
    <mergeCell ref="M7:N7"/>
    <mergeCell ref="K64:M64"/>
    <mergeCell ref="J204:L204"/>
    <mergeCell ref="J184:P184"/>
    <mergeCell ref="J238:L238"/>
    <mergeCell ref="J213:L213"/>
    <mergeCell ref="B398:F398"/>
    <mergeCell ref="K62:M62"/>
    <mergeCell ref="J418:L418"/>
    <mergeCell ref="B43:H43"/>
    <mergeCell ref="B114:P114"/>
    <mergeCell ref="B210:H210"/>
    <mergeCell ref="B41:P41"/>
    <mergeCell ref="B206:P206"/>
    <mergeCell ref="B390:P390"/>
    <mergeCell ref="B107:H107"/>
    <mergeCell ref="B113:P113"/>
    <mergeCell ref="B418:F418"/>
    <mergeCell ref="B438:F438"/>
    <mergeCell ref="B204:F204"/>
    <mergeCell ref="B140:P140"/>
    <mergeCell ref="H5:I5"/>
    <mergeCell ref="B247:P247"/>
    <mergeCell ref="J314:L314"/>
    <mergeCell ref="M5:N5"/>
    <mergeCell ref="O5:P5"/>
    <mergeCell ref="J122:P122"/>
    <mergeCell ref="J368:P368"/>
    <mergeCell ref="B387:F387"/>
    <mergeCell ref="J318:P318"/>
    <mergeCell ref="B316:P316"/>
    <mergeCell ref="B266:P266"/>
    <mergeCell ref="B63:D63"/>
    <mergeCell ref="J138:L138"/>
    <mergeCell ref="J58:L58"/>
    <mergeCell ref="B245:F245"/>
    <mergeCell ref="J249:P249"/>
    <mergeCell ref="F5:G5"/>
    <mergeCell ref="B215:P215"/>
    <mergeCell ref="B400:P400"/>
    <mergeCell ref="H64:J64"/>
    <mergeCell ref="B248:P248"/>
    <mergeCell ref="J459:L459"/>
    <mergeCell ref="J288:L288"/>
    <mergeCell ref="J292:P292"/>
    <mergeCell ref="E63:G63"/>
    <mergeCell ref="J6:L6"/>
    <mergeCell ref="B7:C7"/>
    <mergeCell ref="J387:L387"/>
    <mergeCell ref="N62:P62"/>
    <mergeCell ref="B440:P440"/>
    <mergeCell ref="B240:P240"/>
    <mergeCell ref="B61:P61"/>
    <mergeCell ref="B124:H124"/>
    <mergeCell ref="J115:P115"/>
    <mergeCell ref="B290:P290"/>
    <mergeCell ref="J142:P142"/>
    <mergeCell ref="N64:P64"/>
    <mergeCell ref="F7:G7"/>
    <mergeCell ref="J340:L340"/>
    <mergeCell ref="J398:L398"/>
    <mergeCell ref="B263:F263"/>
    <mergeCell ref="B182:P182"/>
    <mergeCell ref="B367:P367"/>
    <mergeCell ref="B173:H173"/>
    <mergeCell ref="B459:F459"/>
    <mergeCell ref="B421:P421"/>
    <mergeCell ref="K63:M63"/>
    <mergeCell ref="J217:P217"/>
    <mergeCell ref="B217:H217"/>
    <mergeCell ref="B314:F314"/>
    <mergeCell ref="B265:P265"/>
    <mergeCell ref="B117:H117"/>
    <mergeCell ref="J111:L111"/>
    <mergeCell ref="J402:P402"/>
    <mergeCell ref="B402:H402"/>
    <mergeCell ref="N63:P63"/>
    <mergeCell ref="B420:P420"/>
    <mergeCell ref="J88:L88"/>
    <mergeCell ref="B401:P401"/>
    <mergeCell ref="B169:F169"/>
    <mergeCell ref="J364:L364"/>
    <mergeCell ref="B91:P91"/>
    <mergeCell ref="B318:H318"/>
    <mergeCell ref="B389:P389"/>
    <mergeCell ref="J117:P117"/>
    <mergeCell ref="B118:F118"/>
    <mergeCell ref="J344:P344"/>
    <mergeCell ref="B141:P141"/>
    <mergeCell ref="B213:F213"/>
    <mergeCell ref="M6:N6"/>
    <mergeCell ref="H7:I7"/>
    <mergeCell ref="B3:P3"/>
    <mergeCell ref="B249:H249"/>
    <mergeCell ref="D5:E5"/>
    <mergeCell ref="B5:C5"/>
    <mergeCell ref="B366:P366"/>
    <mergeCell ref="B267:H267"/>
    <mergeCell ref="E64:G64"/>
    <mergeCell ref="B138:F138"/>
    <mergeCell ref="J5:L5"/>
    <mergeCell ref="B6:C6"/>
    <mergeCell ref="B62:D62"/>
    <mergeCell ref="B317:P317"/>
    <mergeCell ref="B292:H292"/>
    <mergeCell ref="B9:P9"/>
    <mergeCell ref="B122:H122"/>
    <mergeCell ref="B184:H184"/>
    <mergeCell ref="B66:H66"/>
    <mergeCell ref="D7:E7"/>
    <mergeCell ref="J93:P93"/>
    <mergeCell ref="J169:L169"/>
    <mergeCell ref="O7:P7"/>
    <mergeCell ref="J208:P208"/>
    <mergeCell ref="J442:P442"/>
    <mergeCell ref="B105:P105"/>
    <mergeCell ref="B2:P2"/>
    <mergeCell ref="J109:P109"/>
    <mergeCell ref="J173:P173"/>
    <mergeCell ref="B42:P42"/>
    <mergeCell ref="B422:H422"/>
    <mergeCell ref="J422:P422"/>
    <mergeCell ref="B60:P60"/>
    <mergeCell ref="J267:P267"/>
    <mergeCell ref="J43:P43"/>
    <mergeCell ref="B344:H344"/>
    <mergeCell ref="B342:P342"/>
    <mergeCell ref="H6:I6"/>
    <mergeCell ref="B172:P172"/>
    <mergeCell ref="J244:P244"/>
    <mergeCell ref="B92:P92"/>
    <mergeCell ref="B64:D64"/>
    <mergeCell ref="B115:H115"/>
    <mergeCell ref="B241:P241"/>
    <mergeCell ref="B93:H93"/>
    <mergeCell ref="H62:J62"/>
    <mergeCell ref="B391:H391"/>
    <mergeCell ref="B103:F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Dashboard</vt:lpstr>
      <vt:lpstr>Dashboard Ventas</vt:lpstr>
      <vt:lpstr>Dashboard Carnes</vt:lpstr>
      <vt:lpstr>Dashboard Bebidas</vt:lpstr>
      <vt:lpstr>Dashboard Nomina</vt:lpstr>
      <vt:lpstr>Detalle Ventas Septiembre 2026</vt:lpstr>
      <vt:lpstr>Detalle Compras Septiembre 2026</vt:lpstr>
      <vt:lpstr>Hoja2</vt:lpstr>
      <vt:lpstr>Auditoría Cuaderno vs Excel</vt:lpstr>
      <vt:lpstr>Auditoria libro de Caja</vt:lpstr>
      <vt:lpstr>Hoja1</vt:lpstr>
      <vt:lpstr>Facturas por Proveedor</vt:lpstr>
      <vt:lpstr>Agosto 2026</vt:lpstr>
      <vt:lpstr>Transacciones Repetidas</vt:lpstr>
      <vt:lpstr>Control Físico Bebidas vs Excel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Arango</dc:creator>
  <cp:lastModifiedBy>USUARIO</cp:lastModifiedBy>
  <cp:lastPrinted>2026-09-19T18:28:40Z</cp:lastPrinted>
  <dcterms:created xsi:type="dcterms:W3CDTF">2026-09-04T03:02:21Z</dcterms:created>
  <dcterms:modified xsi:type="dcterms:W3CDTF">2026-09-30T16:42:43Z</dcterms:modified>
</cp:coreProperties>
</file>